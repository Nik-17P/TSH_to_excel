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<sst xmlns="http://schemas.openxmlformats.org/spreadsheetml/2006/main" count="138751" uniqueCount="367">
  <si>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</si>
  <si>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</si>
  <si>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</si>
  <si>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</si>
  <si>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</si>
  <si>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</si>
  <si>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</si>
  <si>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</si>
  <si>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</si>
  <si>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</si>
  <si>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</si>
  <si>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</si>
  <si>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</si>
  <si>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</si>
  <si>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</si>
  <si>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</si>
  <si>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</si>
  <si>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</si>
  <si>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</si>
  <si>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</si>
  <si>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</si>
  <si>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</si>
  <si>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</si>
  <si>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</si>
  <si>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</si>
  <si>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</si>
  <si>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</si>
  <si>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</si>
  <si>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</si>
  <si>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</si>
  <si>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</si>
  <si>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</si>
  <si>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</si>
  <si>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</si>
  <si>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</si>
  <si>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</si>
  <si>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SourceFile</t>
  </si>
  <si>
    <t>Чис</t>
  </si>
  <si>
    <t>ло</t>
  </si>
  <si>
    <t>Срок</t>
  </si>
  <si>
    <t>ДЛ</t>
  </si>
  <si>
    <t>Дм</t>
  </si>
  <si>
    <t>ТЛ</t>
  </si>
  <si>
    <t xml:space="preserve">без </t>
  </si>
  <si>
    <t>О с а д к и ,  мм        Число дней с осадками по градациям, не менее мм   отте</t>
  </si>
  <si>
    <t>-----------------------------    -------------------------------------------     пели</t>
  </si>
  <si>
    <t>ночь</t>
  </si>
  <si>
    <t>Число</t>
  </si>
  <si>
    <t>0.02м</t>
  </si>
  <si>
    <t>--------------------------------------</t>
  </si>
  <si>
    <t xml:space="preserve">     воздуха     </t>
  </si>
  <si>
    <t>-----------------+--------------</t>
  </si>
  <si>
    <t>сред.</t>
  </si>
  <si>
    <t xml:space="preserve">  С   </t>
  </si>
  <si>
    <t>------</t>
  </si>
  <si>
    <t xml:space="preserve"> ч</t>
  </si>
  <si>
    <t xml:space="preserve">   </t>
  </si>
  <si>
    <t>0-1</t>
  </si>
  <si>
    <t xml:space="preserve"> Ci</t>
  </si>
  <si>
    <t xml:space="preserve"> ЖО</t>
  </si>
  <si>
    <t>Дж</t>
  </si>
  <si>
    <t xml:space="preserve"> ТТ</t>
  </si>
  <si>
    <t>ТЛП</t>
  </si>
  <si>
    <t xml:space="preserve"> с  </t>
  </si>
  <si>
    <t>моро</t>
  </si>
  <si>
    <t xml:space="preserve">зом </t>
  </si>
  <si>
    <t xml:space="preserve"> день</t>
  </si>
  <si>
    <t xml:space="preserve">    С  р  е  д  н  е  с  у  т  о  ч  н  ы  е     з  н  а  ч  е  н  и  я    </t>
  </si>
  <si>
    <t>---------------------------------------------------------------------------</t>
  </si>
  <si>
    <t xml:space="preserve">  под  оголенной  поверхн. </t>
  </si>
  <si>
    <t>---------------------------+-----------------------------------------------</t>
  </si>
  <si>
    <t xml:space="preserve"> 0.05м</t>
  </si>
  <si>
    <t xml:space="preserve">      </t>
  </si>
  <si>
    <t>давл.</t>
  </si>
  <si>
    <t>поверхн. почвы</t>
  </si>
  <si>
    <t xml:space="preserve">росы </t>
  </si>
  <si>
    <t>макс.</t>
  </si>
  <si>
    <t xml:space="preserve"> ССВ  </t>
  </si>
  <si>
    <t xml:space="preserve"> с </t>
  </si>
  <si>
    <t>2-3</t>
  </si>
  <si>
    <t xml:space="preserve"> Cc</t>
  </si>
  <si>
    <t xml:space="preserve"> ТО</t>
  </si>
  <si>
    <t>Мр</t>
  </si>
  <si>
    <t>ТТО</t>
  </si>
  <si>
    <t xml:space="preserve">ТЗ </t>
  </si>
  <si>
    <t>с мор,</t>
  </si>
  <si>
    <t>на пов</t>
  </si>
  <si>
    <t xml:space="preserve">почвы </t>
  </si>
  <si>
    <t>сумма</t>
  </si>
  <si>
    <t xml:space="preserve">      Под  естественным  покровом      </t>
  </si>
  <si>
    <t>---------------------------------------</t>
  </si>
  <si>
    <t xml:space="preserve">          под  естественным  покровом          </t>
  </si>
  <si>
    <t xml:space="preserve"> 0.80м </t>
  </si>
  <si>
    <t xml:space="preserve"> 0.10м</t>
  </si>
  <si>
    <t xml:space="preserve"> влажн.</t>
  </si>
  <si>
    <t>точки</t>
  </si>
  <si>
    <t xml:space="preserve"> мин.</t>
  </si>
  <si>
    <t xml:space="preserve">  СВ  </t>
  </si>
  <si>
    <t>4-5</t>
  </si>
  <si>
    <t xml:space="preserve"> Cs</t>
  </si>
  <si>
    <t>ТОМ</t>
  </si>
  <si>
    <t>ЛД</t>
  </si>
  <si>
    <t xml:space="preserve"> П </t>
  </si>
  <si>
    <t>ТЛЗ</t>
  </si>
  <si>
    <t>с относ. влаж</t>
  </si>
  <si>
    <t>не бо-</t>
  </si>
  <si>
    <t>лее 30</t>
  </si>
  <si>
    <t>Высо-</t>
  </si>
  <si>
    <t xml:space="preserve"> та</t>
  </si>
  <si>
    <t xml:space="preserve">       </t>
  </si>
  <si>
    <t xml:space="preserve"> 1.20м </t>
  </si>
  <si>
    <t xml:space="preserve"> 0.15м</t>
  </si>
  <si>
    <t xml:space="preserve"> насыщения,</t>
  </si>
  <si>
    <t>вод.п</t>
  </si>
  <si>
    <t>-------+-----------</t>
  </si>
  <si>
    <t>сред</t>
  </si>
  <si>
    <t xml:space="preserve"> ВСВ  </t>
  </si>
  <si>
    <t>6-7</t>
  </si>
  <si>
    <t xml:space="preserve"> Ac</t>
  </si>
  <si>
    <t xml:space="preserve">Изм </t>
  </si>
  <si>
    <t>ЖО</t>
  </si>
  <si>
    <t xml:space="preserve"> МН </t>
  </si>
  <si>
    <t>ТОС</t>
  </si>
  <si>
    <t>ясных</t>
  </si>
  <si>
    <t>не ме-</t>
  </si>
  <si>
    <t>нее 80</t>
  </si>
  <si>
    <t xml:space="preserve"> даты    0.0</t>
  </si>
  <si>
    <t xml:space="preserve"> 1.60м </t>
  </si>
  <si>
    <t xml:space="preserve"> 0.20м</t>
  </si>
  <si>
    <t xml:space="preserve">    31</t>
  </si>
  <si>
    <t xml:space="preserve">    29</t>
  </si>
  <si>
    <t xml:space="preserve">    27</t>
  </si>
  <si>
    <t xml:space="preserve">    26</t>
  </si>
  <si>
    <t xml:space="preserve">    23</t>
  </si>
  <si>
    <t xml:space="preserve">    21</t>
  </si>
  <si>
    <t xml:space="preserve">    12</t>
  </si>
  <si>
    <t xml:space="preserve">     3</t>
  </si>
  <si>
    <t xml:space="preserve">     2</t>
  </si>
  <si>
    <t xml:space="preserve">     6</t>
  </si>
  <si>
    <t xml:space="preserve">     0</t>
  </si>
  <si>
    <t xml:space="preserve">     1</t>
  </si>
  <si>
    <t xml:space="preserve">     4</t>
  </si>
  <si>
    <t xml:space="preserve">     9</t>
  </si>
  <si>
    <t xml:space="preserve">     5</t>
  </si>
  <si>
    <t xml:space="preserve">    30</t>
  </si>
  <si>
    <t xml:space="preserve">    28</t>
  </si>
  <si>
    <t xml:space="preserve"> давление,гПа</t>
  </si>
  <si>
    <t xml:space="preserve"> проц. </t>
  </si>
  <si>
    <t>на ур.</t>
  </si>
  <si>
    <t>макс</t>
  </si>
  <si>
    <t xml:space="preserve">  В   </t>
  </si>
  <si>
    <t>8-9</t>
  </si>
  <si>
    <t xml:space="preserve"> As</t>
  </si>
  <si>
    <t xml:space="preserve">Гл </t>
  </si>
  <si>
    <t xml:space="preserve"> С</t>
  </si>
  <si>
    <t xml:space="preserve"> ММ</t>
  </si>
  <si>
    <t>ТЗО</t>
  </si>
  <si>
    <t>пасм.</t>
  </si>
  <si>
    <t>-----+-----</t>
  </si>
  <si>
    <t xml:space="preserve"> о</t>
  </si>
  <si>
    <t>0.1</t>
  </si>
  <si>
    <t xml:space="preserve"> 2.40м </t>
  </si>
  <si>
    <t xml:space="preserve"> 0.02м </t>
  </si>
  <si>
    <t xml:space="preserve"> 0.40м</t>
  </si>
  <si>
    <t xml:space="preserve">    22</t>
  </si>
  <si>
    <t xml:space="preserve">    24</t>
  </si>
  <si>
    <t xml:space="preserve">    25</t>
  </si>
  <si>
    <t xml:space="preserve">    11</t>
  </si>
  <si>
    <t xml:space="preserve">     7</t>
  </si>
  <si>
    <t xml:space="preserve">     -</t>
  </si>
  <si>
    <t xml:space="preserve">    10</t>
  </si>
  <si>
    <t xml:space="preserve">    13</t>
  </si>
  <si>
    <t>облачн.</t>
  </si>
  <si>
    <t xml:space="preserve">    гПа    </t>
  </si>
  <si>
    <t>мин.</t>
  </si>
  <si>
    <t xml:space="preserve"> ВЮВ  </t>
  </si>
  <si>
    <t>10-</t>
  </si>
  <si>
    <t xml:space="preserve"> 11</t>
  </si>
  <si>
    <t xml:space="preserve"> Cu</t>
  </si>
  <si>
    <t xml:space="preserve"> Р </t>
  </si>
  <si>
    <t>СЛ</t>
  </si>
  <si>
    <t xml:space="preserve"> Мг</t>
  </si>
  <si>
    <t>ТТ</t>
  </si>
  <si>
    <t xml:space="preserve"> Со</t>
  </si>
  <si>
    <t>снеж</t>
  </si>
  <si>
    <t xml:space="preserve"> н</t>
  </si>
  <si>
    <t>0.5</t>
  </si>
  <si>
    <t xml:space="preserve"> 3.20м </t>
  </si>
  <si>
    <t xml:space="preserve"> 0.05м </t>
  </si>
  <si>
    <t xml:space="preserve"> 0.80м</t>
  </si>
  <si>
    <t xml:space="preserve">   27 </t>
  </si>
  <si>
    <t xml:space="preserve">   31 </t>
  </si>
  <si>
    <t xml:space="preserve">    0 </t>
  </si>
  <si>
    <t xml:space="preserve">   29 </t>
  </si>
  <si>
    <t xml:space="preserve">   26 </t>
  </si>
  <si>
    <t xml:space="preserve">   13 </t>
  </si>
  <si>
    <t xml:space="preserve">   25 </t>
  </si>
  <si>
    <t xml:space="preserve">   19 </t>
  </si>
  <si>
    <t xml:space="preserve">   17 </t>
  </si>
  <si>
    <t xml:space="preserve">   16 </t>
  </si>
  <si>
    <t xml:space="preserve">   10 </t>
  </si>
  <si>
    <t xml:space="preserve">   15 </t>
  </si>
  <si>
    <t xml:space="preserve">   18 </t>
  </si>
  <si>
    <t xml:space="preserve">    1 </t>
  </si>
  <si>
    <t xml:space="preserve">    3 </t>
  </si>
  <si>
    <t xml:space="preserve">   12 </t>
  </si>
  <si>
    <t xml:space="preserve">    6 </t>
  </si>
  <si>
    <t>-------макс.--</t>
  </si>
  <si>
    <t>-------------</t>
  </si>
  <si>
    <t>-------</t>
  </si>
  <si>
    <t xml:space="preserve">  ЮВ  </t>
  </si>
  <si>
    <t>12-</t>
  </si>
  <si>
    <t xml:space="preserve"> 13</t>
  </si>
  <si>
    <t xml:space="preserve"> Cb</t>
  </si>
  <si>
    <t xml:space="preserve"> И </t>
  </si>
  <si>
    <t>ЗС</t>
  </si>
  <si>
    <t>Пыл</t>
  </si>
  <si>
    <t xml:space="preserve"> 1 </t>
  </si>
  <si>
    <t>покр.,</t>
  </si>
  <si>
    <t xml:space="preserve"> 0.10м </t>
  </si>
  <si>
    <t xml:space="preserve"> 1.20м</t>
  </si>
  <si>
    <t xml:space="preserve">   11 </t>
  </si>
  <si>
    <t xml:space="preserve">   23 </t>
  </si>
  <si>
    <t xml:space="preserve">   21 </t>
  </si>
  <si>
    <t xml:space="preserve">   28 </t>
  </si>
  <si>
    <t xml:space="preserve">   24 </t>
  </si>
  <si>
    <t>осад.</t>
  </si>
  <si>
    <t xml:space="preserve"> шифр  </t>
  </si>
  <si>
    <t xml:space="preserve">    </t>
  </si>
  <si>
    <t xml:space="preserve"> гПа </t>
  </si>
  <si>
    <t xml:space="preserve"> ЮЮВ  </t>
  </si>
  <si>
    <t>14-</t>
  </si>
  <si>
    <t xml:space="preserve"> 15</t>
  </si>
  <si>
    <t xml:space="preserve"> St</t>
  </si>
  <si>
    <t>Глц</t>
  </si>
  <si>
    <t>КС</t>
  </si>
  <si>
    <t xml:space="preserve">  Г</t>
  </si>
  <si>
    <t>МГС</t>
  </si>
  <si>
    <t xml:space="preserve"> 5 </t>
  </si>
  <si>
    <t>снеж.</t>
  </si>
  <si>
    <t xml:space="preserve"> 0.15м </t>
  </si>
  <si>
    <t xml:space="preserve"> 1.60м</t>
  </si>
  <si>
    <t xml:space="preserve">    2 </t>
  </si>
  <si>
    <t xml:space="preserve">   20 </t>
  </si>
  <si>
    <t xml:space="preserve">   14 </t>
  </si>
  <si>
    <t xml:space="preserve">    4 </t>
  </si>
  <si>
    <t>повер</t>
  </si>
  <si>
    <t>из 8</t>
  </si>
  <si>
    <t>ср.</t>
  </si>
  <si>
    <t xml:space="preserve">  Ю   </t>
  </si>
  <si>
    <t>16-</t>
  </si>
  <si>
    <t xml:space="preserve"> 17</t>
  </si>
  <si>
    <t xml:space="preserve"> Sc</t>
  </si>
  <si>
    <t>КЛ</t>
  </si>
  <si>
    <t xml:space="preserve"> П</t>
  </si>
  <si>
    <t>пок-</t>
  </si>
  <si>
    <t xml:space="preserve"> 10</t>
  </si>
  <si>
    <t xml:space="preserve"> 0.20м </t>
  </si>
  <si>
    <t xml:space="preserve"> 2.40м</t>
  </si>
  <si>
    <t xml:space="preserve">  покров</t>
  </si>
  <si>
    <t>---------</t>
  </si>
  <si>
    <t>абс.</t>
  </si>
  <si>
    <t>мин</t>
  </si>
  <si>
    <t xml:space="preserve"> ЮЮЗ  </t>
  </si>
  <si>
    <t>18-</t>
  </si>
  <si>
    <t xml:space="preserve"> 20</t>
  </si>
  <si>
    <t xml:space="preserve"> Ns</t>
  </si>
  <si>
    <t>ТО</t>
  </si>
  <si>
    <t>МО</t>
  </si>
  <si>
    <t xml:space="preserve"> 0.40м </t>
  </si>
  <si>
    <t xml:space="preserve"> 3.20м    вместо среднесуточных значений температуры</t>
  </si>
  <si>
    <t xml:space="preserve">    0     почвы под естественным покровом печатаются</t>
  </si>
  <si>
    <t xml:space="preserve">          почвы под естественным покровом печатаются</t>
  </si>
  <si>
    <t xml:space="preserve"> за  </t>
  </si>
  <si>
    <t>сутки</t>
  </si>
  <si>
    <t xml:space="preserve">  ЮЗ  </t>
  </si>
  <si>
    <t>21-</t>
  </si>
  <si>
    <t xml:space="preserve"> 24</t>
  </si>
  <si>
    <t>Frnb</t>
  </si>
  <si>
    <t>СМ</t>
  </si>
  <si>
    <t>МН</t>
  </si>
  <si>
    <t xml:space="preserve"> 30</t>
  </si>
  <si>
    <t>почвы</t>
  </si>
  <si>
    <t xml:space="preserve">шифр </t>
  </si>
  <si>
    <t xml:space="preserve"> ЗЮЗ  </t>
  </si>
  <si>
    <t>25-</t>
  </si>
  <si>
    <t xml:space="preserve"> 28</t>
  </si>
  <si>
    <t xml:space="preserve"> * </t>
  </si>
  <si>
    <t>СЛМ</t>
  </si>
  <si>
    <t>ММ</t>
  </si>
  <si>
    <t xml:space="preserve"> 50</t>
  </si>
  <si>
    <t>----------</t>
  </si>
  <si>
    <t xml:space="preserve"> ст.</t>
  </si>
  <si>
    <t>станц.</t>
  </si>
  <si>
    <t xml:space="preserve">  З   </t>
  </si>
  <si>
    <t>29-</t>
  </si>
  <si>
    <t xml:space="preserve"> 34</t>
  </si>
  <si>
    <t xml:space="preserve"> 0 </t>
  </si>
  <si>
    <t>Мг</t>
  </si>
  <si>
    <t xml:space="preserve"> 80</t>
  </si>
  <si>
    <t>высо-</t>
  </si>
  <si>
    <t xml:space="preserve"> моря </t>
  </si>
  <si>
    <t xml:space="preserve"> ЗСЗ  </t>
  </si>
  <si>
    <t>35-</t>
  </si>
  <si>
    <t xml:space="preserve"> 40</t>
  </si>
  <si>
    <t xml:space="preserve"> &lt;1 </t>
  </si>
  <si>
    <t>Гд</t>
  </si>
  <si>
    <t>ПП</t>
  </si>
  <si>
    <t xml:space="preserve">120         </t>
  </si>
  <si>
    <t xml:space="preserve"> о </t>
  </si>
  <si>
    <t xml:space="preserve">  СЗ  </t>
  </si>
  <si>
    <t>&gt;40</t>
  </si>
  <si>
    <t>1-&lt;6</t>
  </si>
  <si>
    <t>ИЛ</t>
  </si>
  <si>
    <t>ПБ</t>
  </si>
  <si>
    <t xml:space="preserve"> н </t>
  </si>
  <si>
    <t xml:space="preserve"> ССЗ  </t>
  </si>
  <si>
    <t xml:space="preserve">  0-2 </t>
  </si>
  <si>
    <t xml:space="preserve">  о</t>
  </si>
  <si>
    <t>6-&lt;10</t>
  </si>
  <si>
    <t xml:space="preserve"> Р</t>
  </si>
  <si>
    <t xml:space="preserve"> см</t>
  </si>
  <si>
    <t>Перем.</t>
  </si>
  <si>
    <t>направ</t>
  </si>
  <si>
    <t xml:space="preserve"> 8-10</t>
  </si>
  <si>
    <t xml:space="preserve"> И</t>
  </si>
  <si>
    <t xml:space="preserve"> Г </t>
  </si>
  <si>
    <t xml:space="preserve">проц. </t>
  </si>
  <si>
    <t>срок</t>
  </si>
  <si>
    <t xml:space="preserve"> Шти</t>
  </si>
  <si>
    <t xml:space="preserve"> ль</t>
  </si>
  <si>
    <t xml:space="preserve"> 10     Элемент </t>
  </si>
  <si>
    <t>Гл</t>
  </si>
  <si>
    <t xml:space="preserve">ПС </t>
  </si>
  <si>
    <t xml:space="preserve"> Сред.</t>
  </si>
  <si>
    <t xml:space="preserve"> Ш</t>
  </si>
  <si>
    <t xml:space="preserve">  </t>
  </si>
  <si>
    <t xml:space="preserve"> мм  </t>
  </si>
  <si>
    <t xml:space="preserve"> Абс. </t>
  </si>
  <si>
    <t xml:space="preserve">  н             </t>
  </si>
  <si>
    <t xml:space="preserve"> В</t>
  </si>
  <si>
    <t xml:space="preserve">     </t>
  </si>
  <si>
    <t xml:space="preserve"> Даты </t>
  </si>
  <si>
    <t xml:space="preserve"> Дм</t>
  </si>
  <si>
    <t>Сч</t>
  </si>
  <si>
    <t>покр</t>
  </si>
  <si>
    <t xml:space="preserve"> Абс.</t>
  </si>
  <si>
    <t xml:space="preserve"> макс.</t>
  </si>
  <si>
    <t xml:space="preserve"> Т</t>
  </si>
  <si>
    <t>Мж</t>
  </si>
  <si>
    <t>та,см</t>
  </si>
  <si>
    <t xml:space="preserve"> Даты</t>
  </si>
  <si>
    <t xml:space="preserve"> ТП</t>
  </si>
  <si>
    <t>ров</t>
  </si>
  <si>
    <t xml:space="preserve">             ------------------------------------</t>
  </si>
  <si>
    <t>AGG.108</t>
  </si>
  <si>
    <t>AGG.208</t>
  </si>
  <si>
    <t>AGG.308</t>
  </si>
  <si>
    <t>AGG.408</t>
  </si>
  <si>
    <t>AGG.508</t>
  </si>
  <si>
    <t>AGG.608</t>
  </si>
  <si>
    <t>AGG.708</t>
  </si>
  <si>
    <t>AGG.808</t>
  </si>
  <si>
    <t>AGG.908</t>
  </si>
  <si>
    <t>AGG.A08</t>
  </si>
  <si>
    <t>AGG.B08</t>
  </si>
  <si>
    <t>AGG.C08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</si>
</sst>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73</v>
      </c>
      <c r="D2" t="s">
        <v>94</v>
      </c>
      <c r="E2" t="s">
        <v>112</v>
      </c>
      <c r="F2" t="s">
        <v>146</v>
      </c>
      <c r="G2" t="s">
        <v>172</v>
      </c>
      <c r="H2" t="s">
        <v>207</v>
      </c>
      <c r="I2" t="s">
        <v>226</v>
      </c>
      <c r="J2" t="s">
        <v>246</v>
      </c>
      <c r="K2" t="s">
        <v>259</v>
      </c>
      <c r="AK2" t="s">
        <v>355</v>
      </c>
    </row>
    <row r="3" spans="1:37">
      <c r="A3" t="s">
        <v>38</v>
      </c>
      <c r="B3" t="s">
        <v>50</v>
      </c>
      <c r="C3" t="s">
        <v>74</v>
      </c>
      <c r="D3" t="s">
        <v>95</v>
      </c>
      <c r="E3" t="s">
        <v>113</v>
      </c>
      <c r="F3" t="s">
        <v>147</v>
      </c>
      <c r="G3" t="s">
        <v>173</v>
      </c>
      <c r="H3" t="s">
        <v>208</v>
      </c>
      <c r="I3" t="s">
        <v>227</v>
      </c>
      <c r="J3" t="s">
        <v>115</v>
      </c>
      <c r="K3" t="s">
        <v>260</v>
      </c>
      <c r="L3" t="s">
        <v>273</v>
      </c>
      <c r="M3" t="s">
        <v>282</v>
      </c>
      <c r="N3" t="s">
        <v>291</v>
      </c>
      <c r="AK3" t="s">
        <v>355</v>
      </c>
    </row>
    <row r="4" spans="1:37">
      <c r="B4" t="s">
        <v>51</v>
      </c>
      <c r="C4" t="s">
        <v>75</v>
      </c>
      <c r="D4" t="s">
        <v>52</v>
      </c>
      <c r="E4" t="s">
        <v>114</v>
      </c>
      <c r="F4" t="s">
        <v>148</v>
      </c>
      <c r="G4" t="s">
        <v>148</v>
      </c>
      <c r="H4" t="s">
        <v>209</v>
      </c>
      <c r="I4" t="s">
        <v>228</v>
      </c>
      <c r="J4" t="s">
        <v>247</v>
      </c>
      <c r="K4" t="s">
        <v>261</v>
      </c>
      <c r="L4" t="s">
        <v>274</v>
      </c>
      <c r="M4" t="s">
        <v>283</v>
      </c>
      <c r="N4" t="s">
        <v>292</v>
      </c>
      <c r="O4" t="s">
        <v>300</v>
      </c>
      <c r="AK4" t="s">
        <v>355</v>
      </c>
    </row>
    <row r="5" spans="1:37">
      <c r="B5" t="s">
        <v>52</v>
      </c>
      <c r="C5" t="s">
        <v>76</v>
      </c>
      <c r="D5" t="s">
        <v>96</v>
      </c>
      <c r="E5" t="s">
        <v>115</v>
      </c>
      <c r="F5" t="s">
        <v>149</v>
      </c>
      <c r="G5" t="s">
        <v>174</v>
      </c>
      <c r="H5" t="s">
        <v>96</v>
      </c>
      <c r="I5" t="s">
        <v>229</v>
      </c>
      <c r="J5" t="s">
        <v>248</v>
      </c>
      <c r="K5" t="s">
        <v>262</v>
      </c>
      <c r="L5" t="s">
        <v>52</v>
      </c>
      <c r="M5" t="s">
        <v>76</v>
      </c>
      <c r="N5" t="s">
        <v>293</v>
      </c>
      <c r="O5" t="s">
        <v>301</v>
      </c>
      <c r="P5" t="s">
        <v>309</v>
      </c>
      <c r="Q5" t="s">
        <v>315</v>
      </c>
      <c r="R5" t="s">
        <v>228</v>
      </c>
      <c r="S5" t="s">
        <v>328</v>
      </c>
      <c r="T5" t="s">
        <v>149</v>
      </c>
      <c r="U5" t="s">
        <v>337</v>
      </c>
      <c r="V5" t="s">
        <v>341</v>
      </c>
      <c r="W5" t="s">
        <v>345</v>
      </c>
      <c r="X5" t="s">
        <v>350</v>
      </c>
      <c r="AK5" t="s">
        <v>355</v>
      </c>
    </row>
    <row r="6" spans="1:37">
      <c r="B6" t="s">
        <v>53</v>
      </c>
      <c r="C6" t="s">
        <v>77</v>
      </c>
      <c r="D6" t="s">
        <v>97</v>
      </c>
      <c r="E6" t="s">
        <v>116</v>
      </c>
      <c r="F6" t="s">
        <v>150</v>
      </c>
      <c r="G6" t="s">
        <v>175</v>
      </c>
      <c r="H6" t="s">
        <v>210</v>
      </c>
      <c r="I6" t="s">
        <v>230</v>
      </c>
      <c r="J6" t="s">
        <v>249</v>
      </c>
      <c r="K6" t="s">
        <v>263</v>
      </c>
      <c r="L6" t="s">
        <v>275</v>
      </c>
      <c r="M6" t="s">
        <v>284</v>
      </c>
      <c r="N6" t="s">
        <v>294</v>
      </c>
      <c r="O6" t="s">
        <v>302</v>
      </c>
      <c r="P6" t="s">
        <v>310</v>
      </c>
      <c r="Q6" t="s">
        <v>316</v>
      </c>
      <c r="R6" t="s">
        <v>322</v>
      </c>
      <c r="S6" t="s">
        <v>329</v>
      </c>
      <c r="AK6" t="s">
        <v>355</v>
      </c>
    </row>
    <row r="7" spans="1:37">
      <c r="A7" t="s">
        <v>39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323</v>
      </c>
      <c r="S7" t="s">
        <v>330</v>
      </c>
      <c r="AK7" t="s">
        <v>355</v>
      </c>
    </row>
    <row r="8" spans="1:37">
      <c r="B8" t="s">
        <v>55</v>
      </c>
      <c r="C8" t="s">
        <v>78</v>
      </c>
      <c r="D8" t="s">
        <v>55</v>
      </c>
      <c r="E8" t="s">
        <v>78</v>
      </c>
      <c r="F8" t="s">
        <v>55</v>
      </c>
      <c r="G8" t="s">
        <v>78</v>
      </c>
      <c r="H8" t="s">
        <v>55</v>
      </c>
      <c r="I8" t="s">
        <v>78</v>
      </c>
      <c r="J8" t="s">
        <v>55</v>
      </c>
      <c r="K8" t="s">
        <v>78</v>
      </c>
      <c r="L8" t="s">
        <v>55</v>
      </c>
      <c r="M8" t="s">
        <v>78</v>
      </c>
      <c r="N8" t="s">
        <v>55</v>
      </c>
      <c r="O8" t="s">
        <v>78</v>
      </c>
      <c r="P8" t="s">
        <v>55</v>
      </c>
      <c r="Q8" t="s">
        <v>78</v>
      </c>
      <c r="R8" t="s">
        <v>55</v>
      </c>
      <c r="S8" t="s">
        <v>78</v>
      </c>
      <c r="T8" t="s">
        <v>55</v>
      </c>
      <c r="U8" t="s">
        <v>78</v>
      </c>
      <c r="V8" t="s">
        <v>55</v>
      </c>
      <c r="W8" t="s">
        <v>78</v>
      </c>
      <c r="X8" t="s">
        <v>55</v>
      </c>
      <c r="Y8" t="s">
        <v>78</v>
      </c>
      <c r="Z8" t="s">
        <v>55</v>
      </c>
      <c r="AA8" t="s">
        <v>78</v>
      </c>
      <c r="AB8" t="s">
        <v>55</v>
      </c>
      <c r="AC8" t="s">
        <v>78</v>
      </c>
      <c r="AD8" t="s">
        <v>55</v>
      </c>
      <c r="AE8" t="s">
        <v>78</v>
      </c>
      <c r="AF8" t="s">
        <v>55</v>
      </c>
      <c r="AG8" t="s">
        <v>78</v>
      </c>
      <c r="AH8" t="s">
        <v>55</v>
      </c>
      <c r="AI8" t="s">
        <v>78</v>
      </c>
      <c r="AK8" t="s">
        <v>355</v>
      </c>
    </row>
    <row r="9" spans="1:37"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176</v>
      </c>
      <c r="H9" t="s">
        <v>211</v>
      </c>
      <c r="I9" t="s">
        <v>231</v>
      </c>
      <c r="J9" t="s">
        <v>250</v>
      </c>
      <c r="K9" t="s">
        <v>264</v>
      </c>
      <c r="L9" t="s">
        <v>276</v>
      </c>
      <c r="M9" t="s">
        <v>285</v>
      </c>
      <c r="N9" t="s">
        <v>295</v>
      </c>
      <c r="O9" t="s">
        <v>303</v>
      </c>
      <c r="P9" t="s">
        <v>56</v>
      </c>
      <c r="Q9" t="s">
        <v>317</v>
      </c>
      <c r="R9" t="s">
        <v>324</v>
      </c>
      <c r="S9" t="s">
        <v>331</v>
      </c>
      <c r="T9" t="s">
        <v>334</v>
      </c>
      <c r="U9" t="s">
        <v>338</v>
      </c>
      <c r="V9" t="s">
        <v>342</v>
      </c>
      <c r="W9" t="s">
        <v>346</v>
      </c>
      <c r="X9" t="s">
        <v>351</v>
      </c>
      <c r="AK9" t="s">
        <v>355</v>
      </c>
    </row>
    <row r="10" spans="1:37">
      <c r="B10" t="s">
        <v>57</v>
      </c>
      <c r="C10" t="s">
        <v>79</v>
      </c>
      <c r="D10" t="s">
        <v>98</v>
      </c>
      <c r="E10" t="s">
        <v>117</v>
      </c>
      <c r="F10" t="s">
        <v>151</v>
      </c>
      <c r="G10" t="s">
        <v>177</v>
      </c>
      <c r="H10" t="s">
        <v>212</v>
      </c>
      <c r="I10" t="s">
        <v>232</v>
      </c>
      <c r="J10" t="s">
        <v>251</v>
      </c>
      <c r="K10" t="s">
        <v>265</v>
      </c>
      <c r="L10" t="s">
        <v>277</v>
      </c>
      <c r="M10" t="s">
        <v>286</v>
      </c>
      <c r="N10" t="s">
        <v>296</v>
      </c>
      <c r="O10" t="s">
        <v>304</v>
      </c>
      <c r="P10" t="s">
        <v>311</v>
      </c>
      <c r="Q10" t="s">
        <v>318</v>
      </c>
      <c r="R10" t="s">
        <v>185</v>
      </c>
      <c r="S10" t="s">
        <v>159</v>
      </c>
      <c r="T10" t="s">
        <v>185</v>
      </c>
      <c r="U10" t="s">
        <v>339</v>
      </c>
      <c r="V10" t="s">
        <v>72</v>
      </c>
      <c r="W10" t="s">
        <v>347</v>
      </c>
      <c r="X10" t="s">
        <v>72</v>
      </c>
      <c r="Y10" t="s">
        <v>96</v>
      </c>
      <c r="AK10" t="s">
        <v>355</v>
      </c>
    </row>
    <row r="11" spans="1:37">
      <c r="B11" t="s">
        <v>58</v>
      </c>
      <c r="C11" t="s">
        <v>80</v>
      </c>
      <c r="D11" t="s">
        <v>99</v>
      </c>
      <c r="E11" t="s">
        <v>118</v>
      </c>
      <c r="F11" t="s">
        <v>152</v>
      </c>
      <c r="G11" t="s">
        <v>178</v>
      </c>
      <c r="H11" t="s">
        <v>213</v>
      </c>
      <c r="I11" t="s">
        <v>233</v>
      </c>
      <c r="J11" t="s">
        <v>252</v>
      </c>
      <c r="K11" t="s">
        <v>266</v>
      </c>
      <c r="L11" t="s">
        <v>278</v>
      </c>
      <c r="M11" t="s">
        <v>287</v>
      </c>
      <c r="N11" t="s">
        <v>297</v>
      </c>
      <c r="O11" t="s">
        <v>305</v>
      </c>
      <c r="P11" t="s">
        <v>312</v>
      </c>
      <c r="Q11" t="s">
        <v>319</v>
      </c>
      <c r="R11">
        <f>&gt;10       ветра      0.7     10   2</f>
        <v>0</v>
      </c>
      <c r="AK11" t="s">
        <v>355</v>
      </c>
    </row>
    <row r="12" spans="1:37">
      <c r="A12" t="s">
        <v>40</v>
      </c>
      <c r="B12" t="s">
        <v>59</v>
      </c>
      <c r="C12" t="s">
        <v>81</v>
      </c>
      <c r="D12" t="s">
        <v>100</v>
      </c>
      <c r="E12" t="s">
        <v>119</v>
      </c>
      <c r="F12" t="s">
        <v>153</v>
      </c>
      <c r="G12" t="s">
        <v>179</v>
      </c>
      <c r="H12" t="s">
        <v>214</v>
      </c>
      <c r="I12" t="s">
        <v>234</v>
      </c>
      <c r="AK12" t="s">
        <v>355</v>
      </c>
    </row>
    <row r="13" spans="1:37">
      <c r="A13" t="s">
        <v>40</v>
      </c>
      <c r="B13" t="s">
        <v>60</v>
      </c>
      <c r="C13" t="s">
        <v>82</v>
      </c>
      <c r="D13" t="s">
        <v>101</v>
      </c>
      <c r="E13" t="s">
        <v>120</v>
      </c>
      <c r="F13" t="s">
        <v>154</v>
      </c>
      <c r="G13" t="s">
        <v>180</v>
      </c>
      <c r="H13" t="s">
        <v>215</v>
      </c>
      <c r="I13" t="s">
        <v>235</v>
      </c>
      <c r="J13" t="s">
        <v>253</v>
      </c>
      <c r="K13" t="s">
        <v>267</v>
      </c>
      <c r="L13" t="s">
        <v>279</v>
      </c>
      <c r="M13" t="s">
        <v>288</v>
      </c>
      <c r="N13" t="s">
        <v>100</v>
      </c>
      <c r="O13" t="s">
        <v>306</v>
      </c>
      <c r="P13" t="s">
        <v>313</v>
      </c>
      <c r="Q13" t="s">
        <v>320</v>
      </c>
      <c r="R13" t="s">
        <v>325</v>
      </c>
      <c r="S13" t="s">
        <v>332</v>
      </c>
      <c r="T13" t="s">
        <v>119</v>
      </c>
      <c r="U13" t="s">
        <v>234</v>
      </c>
      <c r="V13" t="s">
        <v>343</v>
      </c>
      <c r="W13" t="s">
        <v>348</v>
      </c>
      <c r="X13" t="s">
        <v>352</v>
      </c>
      <c r="Y13" t="s">
        <v>354</v>
      </c>
      <c r="AK13" t="s">
        <v>355</v>
      </c>
    </row>
    <row r="14" spans="1:37">
      <c r="A14" t="s">
        <v>41</v>
      </c>
      <c r="B14" t="s">
        <v>61</v>
      </c>
      <c r="C14" t="s">
        <v>83</v>
      </c>
      <c r="D14" t="s">
        <v>102</v>
      </c>
      <c r="E14" t="s">
        <v>121</v>
      </c>
      <c r="F14" t="s">
        <v>155</v>
      </c>
      <c r="G14" t="s">
        <v>181</v>
      </c>
      <c r="H14" t="s">
        <v>216</v>
      </c>
      <c r="I14" t="s">
        <v>236</v>
      </c>
      <c r="AK14" t="s">
        <v>355</v>
      </c>
    </row>
    <row r="15" spans="1:37">
      <c r="A15" t="s">
        <v>42</v>
      </c>
      <c r="B15" t="s">
        <v>62</v>
      </c>
      <c r="C15" t="s">
        <v>84</v>
      </c>
      <c r="D15" t="s">
        <v>103</v>
      </c>
      <c r="E15" t="s">
        <v>122</v>
      </c>
      <c r="F15" t="s">
        <v>156</v>
      </c>
      <c r="G15" t="s">
        <v>182</v>
      </c>
      <c r="H15" t="s">
        <v>83</v>
      </c>
      <c r="I15" t="s">
        <v>237</v>
      </c>
      <c r="J15" t="s">
        <v>254</v>
      </c>
      <c r="K15" t="s">
        <v>268</v>
      </c>
      <c r="L15" t="s">
        <v>280</v>
      </c>
      <c r="M15" t="s">
        <v>289</v>
      </c>
      <c r="N15" t="s">
        <v>298</v>
      </c>
      <c r="O15" t="s">
        <v>307</v>
      </c>
      <c r="P15" t="s">
        <v>314</v>
      </c>
      <c r="Q15" t="s">
        <v>216</v>
      </c>
      <c r="R15" t="s">
        <v>326</v>
      </c>
      <c r="S15" t="s">
        <v>333</v>
      </c>
      <c r="T15" t="s">
        <v>335</v>
      </c>
      <c r="U15" t="s">
        <v>340</v>
      </c>
      <c r="V15" t="s">
        <v>344</v>
      </c>
      <c r="W15" t="s">
        <v>349</v>
      </c>
      <c r="AK15" t="s">
        <v>355</v>
      </c>
    </row>
    <row r="16" spans="1:37">
      <c r="A16" t="s">
        <v>43</v>
      </c>
      <c r="B16" t="s">
        <v>63</v>
      </c>
      <c r="C16" t="s">
        <v>85</v>
      </c>
      <c r="D16" t="s">
        <v>104</v>
      </c>
      <c r="E16" t="s">
        <v>123</v>
      </c>
      <c r="F16" t="s">
        <v>157</v>
      </c>
      <c r="G16" t="s">
        <v>183</v>
      </c>
      <c r="AK16" t="s">
        <v>355</v>
      </c>
    </row>
    <row r="17" spans="1:37">
      <c r="A17" t="s">
        <v>44</v>
      </c>
      <c r="B17" t="s">
        <v>64</v>
      </c>
      <c r="C17" t="s">
        <v>86</v>
      </c>
      <c r="D17" t="s">
        <v>105</v>
      </c>
      <c r="E17" t="s">
        <v>124</v>
      </c>
      <c r="F17" t="s">
        <v>158</v>
      </c>
      <c r="G17" t="s">
        <v>184</v>
      </c>
      <c r="AK17" t="s">
        <v>355</v>
      </c>
    </row>
    <row r="18" spans="1:37">
      <c r="A18" t="s">
        <v>45</v>
      </c>
      <c r="B18" t="s">
        <v>65</v>
      </c>
      <c r="C18" t="s">
        <v>87</v>
      </c>
      <c r="D18" t="s">
        <v>106</v>
      </c>
      <c r="E18" t="s">
        <v>125</v>
      </c>
      <c r="F18" t="s">
        <v>159</v>
      </c>
      <c r="G18" t="s">
        <v>185</v>
      </c>
      <c r="H18" t="s">
        <v>159</v>
      </c>
      <c r="I18" t="s">
        <v>185</v>
      </c>
      <c r="J18" t="s">
        <v>255</v>
      </c>
      <c r="AK18" t="s">
        <v>355</v>
      </c>
    </row>
    <row r="19" spans="1:37">
      <c r="A19" t="s">
        <v>46</v>
      </c>
      <c r="B19" t="s">
        <v>66</v>
      </c>
      <c r="C19" t="s">
        <v>88</v>
      </c>
      <c r="D19" t="s">
        <v>76</v>
      </c>
      <c r="E19" t="s">
        <v>126</v>
      </c>
      <c r="F19" t="s">
        <v>160</v>
      </c>
      <c r="G19" t="s">
        <v>186</v>
      </c>
      <c r="H19" t="s">
        <v>217</v>
      </c>
      <c r="I19" t="s">
        <v>238</v>
      </c>
      <c r="J19" t="s">
        <v>256</v>
      </c>
      <c r="K19" t="s">
        <v>265</v>
      </c>
      <c r="L19" t="s">
        <v>281</v>
      </c>
      <c r="M19" t="s">
        <v>290</v>
      </c>
      <c r="N19" t="s">
        <v>299</v>
      </c>
      <c r="O19" t="s">
        <v>308</v>
      </c>
      <c r="P19" t="s">
        <v>228</v>
      </c>
      <c r="Q19" t="s">
        <v>72</v>
      </c>
      <c r="R19" t="s">
        <v>327</v>
      </c>
      <c r="S19" t="s">
        <v>327</v>
      </c>
      <c r="T19" t="s">
        <v>336</v>
      </c>
      <c r="U19" t="s">
        <v>336</v>
      </c>
      <c r="V19" t="s">
        <v>336</v>
      </c>
      <c r="W19" t="s">
        <v>336</v>
      </c>
      <c r="X19" t="s">
        <v>353</v>
      </c>
      <c r="AK19" t="s">
        <v>355</v>
      </c>
    </row>
    <row r="20" spans="1:37">
      <c r="A20" t="s">
        <v>37</v>
      </c>
      <c r="B20" t="s">
        <v>49</v>
      </c>
      <c r="C20" t="s">
        <v>73</v>
      </c>
      <c r="D20" t="s">
        <v>94</v>
      </c>
      <c r="E20" t="s">
        <v>112</v>
      </c>
      <c r="F20" t="s">
        <v>146</v>
      </c>
      <c r="G20" t="s">
        <v>172</v>
      </c>
      <c r="H20" t="s">
        <v>207</v>
      </c>
      <c r="I20" t="s">
        <v>226</v>
      </c>
      <c r="J20" t="s">
        <v>246</v>
      </c>
      <c r="K20" t="s">
        <v>259</v>
      </c>
      <c r="AK20" t="s">
        <v>355</v>
      </c>
    </row>
    <row r="21" spans="1:37">
      <c r="A21" t="s">
        <v>38</v>
      </c>
      <c r="B21" t="s">
        <v>50</v>
      </c>
      <c r="C21" t="s">
        <v>74</v>
      </c>
      <c r="D21" t="s">
        <v>95</v>
      </c>
      <c r="E21" t="s">
        <v>113</v>
      </c>
      <c r="F21" t="s">
        <v>147</v>
      </c>
      <c r="G21" t="s">
        <v>173</v>
      </c>
      <c r="H21" t="s">
        <v>208</v>
      </c>
      <c r="I21" t="s">
        <v>227</v>
      </c>
      <c r="J21" t="s">
        <v>115</v>
      </c>
      <c r="K21" t="s">
        <v>260</v>
      </c>
      <c r="L21" t="s">
        <v>273</v>
      </c>
      <c r="M21" t="s">
        <v>282</v>
      </c>
      <c r="N21" t="s">
        <v>291</v>
      </c>
      <c r="AK21" t="s">
        <v>355</v>
      </c>
    </row>
    <row r="22" spans="1:37">
      <c r="B22" t="s">
        <v>51</v>
      </c>
      <c r="C22" t="s">
        <v>75</v>
      </c>
      <c r="D22" t="s">
        <v>52</v>
      </c>
      <c r="E22" t="s">
        <v>114</v>
      </c>
      <c r="F22" t="s">
        <v>148</v>
      </c>
      <c r="G22" t="s">
        <v>148</v>
      </c>
      <c r="H22" t="s">
        <v>209</v>
      </c>
      <c r="I22" t="s">
        <v>228</v>
      </c>
      <c r="J22" t="s">
        <v>247</v>
      </c>
      <c r="K22" t="s">
        <v>261</v>
      </c>
      <c r="L22" t="s">
        <v>274</v>
      </c>
      <c r="M22" t="s">
        <v>283</v>
      </c>
      <c r="N22" t="s">
        <v>292</v>
      </c>
      <c r="O22" t="s">
        <v>300</v>
      </c>
      <c r="AK22" t="s">
        <v>355</v>
      </c>
    </row>
    <row r="23" spans="1:37">
      <c r="B23" t="s">
        <v>52</v>
      </c>
      <c r="C23" t="s">
        <v>76</v>
      </c>
      <c r="D23" t="s">
        <v>96</v>
      </c>
      <c r="E23" t="s">
        <v>115</v>
      </c>
      <c r="F23" t="s">
        <v>149</v>
      </c>
      <c r="G23" t="s">
        <v>174</v>
      </c>
      <c r="H23" t="s">
        <v>96</v>
      </c>
      <c r="I23" t="s">
        <v>229</v>
      </c>
      <c r="J23" t="s">
        <v>248</v>
      </c>
      <c r="K23" t="s">
        <v>262</v>
      </c>
      <c r="L23" t="s">
        <v>52</v>
      </c>
      <c r="M23" t="s">
        <v>76</v>
      </c>
      <c r="N23" t="s">
        <v>293</v>
      </c>
      <c r="O23" t="s">
        <v>301</v>
      </c>
      <c r="P23" t="s">
        <v>309</v>
      </c>
      <c r="Q23" t="s">
        <v>315</v>
      </c>
      <c r="R23" t="s">
        <v>228</v>
      </c>
      <c r="S23" t="s">
        <v>328</v>
      </c>
      <c r="T23" t="s">
        <v>149</v>
      </c>
      <c r="U23" t="s">
        <v>337</v>
      </c>
      <c r="V23" t="s">
        <v>341</v>
      </c>
      <c r="W23" t="s">
        <v>345</v>
      </c>
      <c r="X23" t="s">
        <v>350</v>
      </c>
      <c r="AK23" t="s">
        <v>355</v>
      </c>
    </row>
    <row r="24" spans="1:37">
      <c r="B24" t="s">
        <v>53</v>
      </c>
      <c r="C24" t="s">
        <v>77</v>
      </c>
      <c r="D24" t="s">
        <v>97</v>
      </c>
      <c r="E24" t="s">
        <v>116</v>
      </c>
      <c r="F24" t="s">
        <v>150</v>
      </c>
      <c r="G24" t="s">
        <v>175</v>
      </c>
      <c r="H24" t="s">
        <v>210</v>
      </c>
      <c r="I24" t="s">
        <v>230</v>
      </c>
      <c r="J24" t="s">
        <v>249</v>
      </c>
      <c r="K24" t="s">
        <v>263</v>
      </c>
      <c r="L24" t="s">
        <v>275</v>
      </c>
      <c r="M24" t="s">
        <v>284</v>
      </c>
      <c r="N24" t="s">
        <v>294</v>
      </c>
      <c r="O24" t="s">
        <v>302</v>
      </c>
      <c r="P24" t="s">
        <v>310</v>
      </c>
      <c r="Q24" t="s">
        <v>316</v>
      </c>
      <c r="R24" t="s">
        <v>322</v>
      </c>
      <c r="S24" t="s">
        <v>329</v>
      </c>
      <c r="AK24" t="s">
        <v>355</v>
      </c>
    </row>
    <row r="25" spans="1:37">
      <c r="A25" t="s">
        <v>39</v>
      </c>
      <c r="B25" t="s">
        <v>54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323</v>
      </c>
      <c r="S25" t="s">
        <v>330</v>
      </c>
      <c r="AK25" t="s">
        <v>355</v>
      </c>
    </row>
    <row r="26" spans="1:37">
      <c r="B26" t="s">
        <v>55</v>
      </c>
      <c r="C26" t="s">
        <v>78</v>
      </c>
      <c r="D26" t="s">
        <v>55</v>
      </c>
      <c r="E26" t="s">
        <v>78</v>
      </c>
      <c r="F26" t="s">
        <v>55</v>
      </c>
      <c r="G26" t="s">
        <v>78</v>
      </c>
      <c r="H26" t="s">
        <v>55</v>
      </c>
      <c r="I26" t="s">
        <v>78</v>
      </c>
      <c r="J26" t="s">
        <v>55</v>
      </c>
      <c r="K26" t="s">
        <v>78</v>
      </c>
      <c r="L26" t="s">
        <v>55</v>
      </c>
      <c r="M26" t="s">
        <v>78</v>
      </c>
      <c r="N26" t="s">
        <v>55</v>
      </c>
      <c r="O26" t="s">
        <v>78</v>
      </c>
      <c r="P26" t="s">
        <v>55</v>
      </c>
      <c r="Q26" t="s">
        <v>78</v>
      </c>
      <c r="R26" t="s">
        <v>55</v>
      </c>
      <c r="S26" t="s">
        <v>78</v>
      </c>
      <c r="T26" t="s">
        <v>55</v>
      </c>
      <c r="U26" t="s">
        <v>78</v>
      </c>
      <c r="V26" t="s">
        <v>55</v>
      </c>
      <c r="W26" t="s">
        <v>78</v>
      </c>
      <c r="X26" t="s">
        <v>55</v>
      </c>
      <c r="Y26" t="s">
        <v>78</v>
      </c>
      <c r="Z26" t="s">
        <v>55</v>
      </c>
      <c r="AA26" t="s">
        <v>78</v>
      </c>
      <c r="AB26" t="s">
        <v>55</v>
      </c>
      <c r="AC26" t="s">
        <v>78</v>
      </c>
      <c r="AD26" t="s">
        <v>55</v>
      </c>
      <c r="AE26" t="s">
        <v>78</v>
      </c>
      <c r="AF26" t="s">
        <v>55</v>
      </c>
      <c r="AG26" t="s">
        <v>78</v>
      </c>
      <c r="AH26" t="s">
        <v>55</v>
      </c>
      <c r="AI26" t="s">
        <v>78</v>
      </c>
      <c r="AK26" t="s">
        <v>355</v>
      </c>
    </row>
    <row r="27" spans="1:37">
      <c r="B27" t="s">
        <v>56</v>
      </c>
      <c r="C27" t="s">
        <v>56</v>
      </c>
      <c r="D27" t="s">
        <v>56</v>
      </c>
      <c r="E27" t="s">
        <v>56</v>
      </c>
      <c r="F27" t="s">
        <v>56</v>
      </c>
      <c r="G27" t="s">
        <v>176</v>
      </c>
      <c r="H27" t="s">
        <v>211</v>
      </c>
      <c r="I27" t="s">
        <v>231</v>
      </c>
      <c r="J27" t="s">
        <v>250</v>
      </c>
      <c r="K27" t="s">
        <v>264</v>
      </c>
      <c r="L27" t="s">
        <v>276</v>
      </c>
      <c r="M27" t="s">
        <v>285</v>
      </c>
      <c r="N27" t="s">
        <v>295</v>
      </c>
      <c r="O27" t="s">
        <v>303</v>
      </c>
      <c r="P27" t="s">
        <v>56</v>
      </c>
      <c r="Q27" t="s">
        <v>317</v>
      </c>
      <c r="R27" t="s">
        <v>324</v>
      </c>
      <c r="S27" t="s">
        <v>331</v>
      </c>
      <c r="T27" t="s">
        <v>334</v>
      </c>
      <c r="U27" t="s">
        <v>338</v>
      </c>
      <c r="V27" t="s">
        <v>342</v>
      </c>
      <c r="W27" t="s">
        <v>346</v>
      </c>
      <c r="X27" t="s">
        <v>351</v>
      </c>
      <c r="AK27" t="s">
        <v>355</v>
      </c>
    </row>
    <row r="28" spans="1:37">
      <c r="B28" t="s">
        <v>57</v>
      </c>
      <c r="C28" t="s">
        <v>79</v>
      </c>
      <c r="D28" t="s">
        <v>98</v>
      </c>
      <c r="E28" t="s">
        <v>117</v>
      </c>
      <c r="F28" t="s">
        <v>151</v>
      </c>
      <c r="G28" t="s">
        <v>177</v>
      </c>
      <c r="H28" t="s">
        <v>212</v>
      </c>
      <c r="I28" t="s">
        <v>232</v>
      </c>
      <c r="J28" t="s">
        <v>251</v>
      </c>
      <c r="K28" t="s">
        <v>265</v>
      </c>
      <c r="L28" t="s">
        <v>277</v>
      </c>
      <c r="M28" t="s">
        <v>286</v>
      </c>
      <c r="N28" t="s">
        <v>296</v>
      </c>
      <c r="O28" t="s">
        <v>304</v>
      </c>
      <c r="P28" t="s">
        <v>311</v>
      </c>
      <c r="Q28" t="s">
        <v>318</v>
      </c>
      <c r="R28" t="s">
        <v>185</v>
      </c>
      <c r="S28" t="s">
        <v>159</v>
      </c>
      <c r="T28" t="s">
        <v>185</v>
      </c>
      <c r="U28" t="s">
        <v>339</v>
      </c>
      <c r="V28" t="s">
        <v>72</v>
      </c>
      <c r="W28" t="s">
        <v>347</v>
      </c>
      <c r="X28" t="s">
        <v>72</v>
      </c>
      <c r="Y28" t="s">
        <v>96</v>
      </c>
      <c r="AK28" t="s">
        <v>355</v>
      </c>
    </row>
    <row r="29" spans="1:37">
      <c r="B29" t="s">
        <v>58</v>
      </c>
      <c r="C29" t="s">
        <v>80</v>
      </c>
      <c r="D29" t="s">
        <v>99</v>
      </c>
      <c r="E29" t="s">
        <v>118</v>
      </c>
      <c r="F29" t="s">
        <v>152</v>
      </c>
      <c r="G29" t="s">
        <v>178</v>
      </c>
      <c r="H29" t="s">
        <v>213</v>
      </c>
      <c r="I29" t="s">
        <v>233</v>
      </c>
      <c r="J29" t="s">
        <v>252</v>
      </c>
      <c r="K29" t="s">
        <v>266</v>
      </c>
      <c r="L29" t="s">
        <v>278</v>
      </c>
      <c r="M29" t="s">
        <v>287</v>
      </c>
      <c r="N29" t="s">
        <v>297</v>
      </c>
      <c r="O29" t="s">
        <v>305</v>
      </c>
      <c r="P29" t="s">
        <v>312</v>
      </c>
      <c r="Q29" t="s">
        <v>319</v>
      </c>
      <c r="R29">
        <f>&gt;10       ветра      1.7     11  16</f>
        <v>0</v>
      </c>
      <c r="AK29" t="s">
        <v>355</v>
      </c>
    </row>
    <row r="30" spans="1:37">
      <c r="A30" t="s">
        <v>40</v>
      </c>
      <c r="B30" t="s">
        <v>59</v>
      </c>
      <c r="C30" t="s">
        <v>81</v>
      </c>
      <c r="D30" t="s">
        <v>100</v>
      </c>
      <c r="E30" t="s">
        <v>119</v>
      </c>
      <c r="F30" t="s">
        <v>153</v>
      </c>
      <c r="G30" t="s">
        <v>179</v>
      </c>
      <c r="H30" t="s">
        <v>214</v>
      </c>
      <c r="I30" t="s">
        <v>234</v>
      </c>
      <c r="AK30" t="s">
        <v>355</v>
      </c>
    </row>
    <row r="31" spans="1:37">
      <c r="A31" t="s">
        <v>40</v>
      </c>
      <c r="B31" t="s">
        <v>60</v>
      </c>
      <c r="C31" t="s">
        <v>82</v>
      </c>
      <c r="D31" t="s">
        <v>101</v>
      </c>
      <c r="E31" t="s">
        <v>120</v>
      </c>
      <c r="F31" t="s">
        <v>154</v>
      </c>
      <c r="G31" t="s">
        <v>180</v>
      </c>
      <c r="H31" t="s">
        <v>215</v>
      </c>
      <c r="I31" t="s">
        <v>235</v>
      </c>
      <c r="J31" t="s">
        <v>253</v>
      </c>
      <c r="K31" t="s">
        <v>267</v>
      </c>
      <c r="L31" t="s">
        <v>279</v>
      </c>
      <c r="M31" t="s">
        <v>288</v>
      </c>
      <c r="N31" t="s">
        <v>100</v>
      </c>
      <c r="O31" t="s">
        <v>306</v>
      </c>
      <c r="P31" t="s">
        <v>313</v>
      </c>
      <c r="Q31" t="s">
        <v>320</v>
      </c>
      <c r="R31" t="s">
        <v>325</v>
      </c>
      <c r="S31" t="s">
        <v>332</v>
      </c>
      <c r="T31" t="s">
        <v>119</v>
      </c>
      <c r="U31" t="s">
        <v>234</v>
      </c>
      <c r="V31" t="s">
        <v>343</v>
      </c>
      <c r="W31" t="s">
        <v>348</v>
      </c>
      <c r="X31" t="s">
        <v>352</v>
      </c>
      <c r="Y31" t="s">
        <v>354</v>
      </c>
      <c r="AK31" t="s">
        <v>355</v>
      </c>
    </row>
    <row r="32" spans="1:37">
      <c r="A32" t="s">
        <v>41</v>
      </c>
      <c r="B32" t="s">
        <v>61</v>
      </c>
      <c r="C32" t="s">
        <v>83</v>
      </c>
      <c r="D32" t="s">
        <v>102</v>
      </c>
      <c r="E32" t="s">
        <v>121</v>
      </c>
      <c r="F32" t="s">
        <v>155</v>
      </c>
      <c r="G32" t="s">
        <v>181</v>
      </c>
      <c r="H32" t="s">
        <v>216</v>
      </c>
      <c r="I32" t="s">
        <v>236</v>
      </c>
      <c r="AK32" t="s">
        <v>355</v>
      </c>
    </row>
    <row r="33" spans="1:37">
      <c r="A33" t="s">
        <v>42</v>
      </c>
      <c r="B33" t="s">
        <v>62</v>
      </c>
      <c r="C33" t="s">
        <v>84</v>
      </c>
      <c r="D33" t="s">
        <v>103</v>
      </c>
      <c r="E33" t="s">
        <v>122</v>
      </c>
      <c r="F33" t="s">
        <v>156</v>
      </c>
      <c r="G33" t="s">
        <v>182</v>
      </c>
      <c r="H33" t="s">
        <v>83</v>
      </c>
      <c r="I33" t="s">
        <v>237</v>
      </c>
      <c r="J33" t="s">
        <v>254</v>
      </c>
      <c r="K33" t="s">
        <v>268</v>
      </c>
      <c r="L33" t="s">
        <v>280</v>
      </c>
      <c r="M33" t="s">
        <v>289</v>
      </c>
      <c r="N33" t="s">
        <v>298</v>
      </c>
      <c r="O33" t="s">
        <v>307</v>
      </c>
      <c r="P33" t="s">
        <v>314</v>
      </c>
      <c r="Q33" t="s">
        <v>216</v>
      </c>
      <c r="R33" t="s">
        <v>326</v>
      </c>
      <c r="S33" t="s">
        <v>333</v>
      </c>
      <c r="T33" t="s">
        <v>335</v>
      </c>
      <c r="U33" t="s">
        <v>340</v>
      </c>
      <c r="V33" t="s">
        <v>344</v>
      </c>
      <c r="W33" t="s">
        <v>349</v>
      </c>
      <c r="AK33" t="s">
        <v>355</v>
      </c>
    </row>
    <row r="34" spans="1:37">
      <c r="A34" t="s">
        <v>43</v>
      </c>
      <c r="B34" t="s">
        <v>63</v>
      </c>
      <c r="C34" t="s">
        <v>85</v>
      </c>
      <c r="D34" t="s">
        <v>104</v>
      </c>
      <c r="E34" t="s">
        <v>123</v>
      </c>
      <c r="F34" t="s">
        <v>157</v>
      </c>
      <c r="G34" t="s">
        <v>183</v>
      </c>
      <c r="AK34" t="s">
        <v>355</v>
      </c>
    </row>
    <row r="35" spans="1:37">
      <c r="A35" t="s">
        <v>44</v>
      </c>
      <c r="B35" t="s">
        <v>64</v>
      </c>
      <c r="C35" t="s">
        <v>86</v>
      </c>
      <c r="D35" t="s">
        <v>105</v>
      </c>
      <c r="E35" t="s">
        <v>124</v>
      </c>
      <c r="F35" t="s">
        <v>158</v>
      </c>
      <c r="G35" t="s">
        <v>184</v>
      </c>
      <c r="AK35" t="s">
        <v>355</v>
      </c>
    </row>
    <row r="36" spans="1:37">
      <c r="A36" t="s">
        <v>45</v>
      </c>
      <c r="B36" t="s">
        <v>65</v>
      </c>
      <c r="C36" t="s">
        <v>87</v>
      </c>
      <c r="D36" t="s">
        <v>106</v>
      </c>
      <c r="E36" t="s">
        <v>125</v>
      </c>
      <c r="F36" t="s">
        <v>159</v>
      </c>
      <c r="G36" t="s">
        <v>185</v>
      </c>
      <c r="H36" t="s">
        <v>159</v>
      </c>
      <c r="I36" t="s">
        <v>185</v>
      </c>
      <c r="J36" t="s">
        <v>255</v>
      </c>
      <c r="AK36" t="s">
        <v>355</v>
      </c>
    </row>
    <row r="37" spans="1:37">
      <c r="A37" t="s">
        <v>46</v>
      </c>
      <c r="B37" t="s">
        <v>66</v>
      </c>
      <c r="C37" t="s">
        <v>88</v>
      </c>
      <c r="D37" t="s">
        <v>76</v>
      </c>
      <c r="E37" t="s">
        <v>126</v>
      </c>
      <c r="F37" t="s">
        <v>160</v>
      </c>
      <c r="G37" t="s">
        <v>186</v>
      </c>
      <c r="H37" t="s">
        <v>217</v>
      </c>
      <c r="I37" t="s">
        <v>238</v>
      </c>
      <c r="J37" t="s">
        <v>256</v>
      </c>
      <c r="K37" t="s">
        <v>265</v>
      </c>
      <c r="L37" t="s">
        <v>281</v>
      </c>
      <c r="M37" t="s">
        <v>290</v>
      </c>
      <c r="N37" t="s">
        <v>299</v>
      </c>
      <c r="O37" t="s">
        <v>308</v>
      </c>
      <c r="P37" t="s">
        <v>228</v>
      </c>
      <c r="Q37" t="s">
        <v>72</v>
      </c>
      <c r="R37" t="s">
        <v>327</v>
      </c>
      <c r="S37" t="s">
        <v>327</v>
      </c>
      <c r="T37" t="s">
        <v>336</v>
      </c>
      <c r="U37" t="s">
        <v>336</v>
      </c>
      <c r="V37" t="s">
        <v>336</v>
      </c>
      <c r="W37" t="s">
        <v>336</v>
      </c>
      <c r="X37" t="s">
        <v>353</v>
      </c>
      <c r="AK37" t="s">
        <v>355</v>
      </c>
    </row>
    <row r="38" spans="1:37">
      <c r="B38" t="s">
        <v>67</v>
      </c>
      <c r="C38" t="s">
        <v>89</v>
      </c>
      <c r="D38" t="s">
        <v>107</v>
      </c>
      <c r="AK38" t="s">
        <v>355</v>
      </c>
    </row>
    <row r="39" spans="1:37">
      <c r="B39" t="s">
        <v>68</v>
      </c>
      <c r="C39" t="s">
        <v>90</v>
      </c>
      <c r="D39" t="s">
        <v>108</v>
      </c>
      <c r="AK39" t="s">
        <v>355</v>
      </c>
    </row>
    <row r="40" spans="1:37">
      <c r="A40" t="s">
        <v>47</v>
      </c>
      <c r="B40" t="s">
        <v>69</v>
      </c>
      <c r="C40" t="s">
        <v>91</v>
      </c>
      <c r="D40" t="s">
        <v>109</v>
      </c>
      <c r="E40" t="s">
        <v>109</v>
      </c>
      <c r="F40" t="s">
        <v>109</v>
      </c>
      <c r="G40" t="s">
        <v>109</v>
      </c>
      <c r="H40" t="s">
        <v>109</v>
      </c>
      <c r="I40" t="s">
        <v>239</v>
      </c>
      <c r="AK40" t="s">
        <v>355</v>
      </c>
    </row>
    <row r="41" spans="1:37">
      <c r="B41" t="s">
        <v>70</v>
      </c>
      <c r="C41" t="s">
        <v>92</v>
      </c>
      <c r="D41" t="s">
        <v>110</v>
      </c>
      <c r="E41" t="s">
        <v>127</v>
      </c>
      <c r="F41" t="s">
        <v>161</v>
      </c>
      <c r="G41" t="s">
        <v>187</v>
      </c>
      <c r="H41" t="s">
        <v>218</v>
      </c>
      <c r="AK41" t="s">
        <v>355</v>
      </c>
    </row>
    <row r="42" spans="1:37">
      <c r="B42" t="s">
        <v>71</v>
      </c>
      <c r="C42" t="s">
        <v>93</v>
      </c>
      <c r="D42" t="s">
        <v>111</v>
      </c>
      <c r="E42" t="s">
        <v>128</v>
      </c>
      <c r="F42" t="s">
        <v>162</v>
      </c>
      <c r="G42" t="s">
        <v>188</v>
      </c>
      <c r="H42" t="s">
        <v>219</v>
      </c>
      <c r="I42" t="s">
        <v>240</v>
      </c>
      <c r="J42" t="s">
        <v>257</v>
      </c>
      <c r="K42" t="s">
        <v>269</v>
      </c>
      <c r="L42" t="s">
        <v>109</v>
      </c>
      <c r="M42" t="s">
        <v>109</v>
      </c>
      <c r="N42" t="s">
        <v>109</v>
      </c>
      <c r="O42" t="s">
        <v>109</v>
      </c>
      <c r="P42" t="s">
        <v>109</v>
      </c>
      <c r="Q42" t="s">
        <v>321</v>
      </c>
      <c r="AK42" t="s">
        <v>355</v>
      </c>
    </row>
    <row r="43" spans="1:37">
      <c r="A43" t="s">
        <v>48</v>
      </c>
      <c r="B43" t="s">
        <v>71</v>
      </c>
      <c r="C43" t="s">
        <v>93</v>
      </c>
      <c r="D43" t="s">
        <v>111</v>
      </c>
      <c r="E43" t="s">
        <v>128</v>
      </c>
      <c r="F43" t="s">
        <v>163</v>
      </c>
      <c r="G43" t="s">
        <v>189</v>
      </c>
      <c r="H43" t="s">
        <v>220</v>
      </c>
      <c r="I43" t="s">
        <v>241</v>
      </c>
      <c r="J43" t="s">
        <v>258</v>
      </c>
      <c r="K43" t="s">
        <v>270</v>
      </c>
      <c r="AK43" t="s">
        <v>355</v>
      </c>
    </row>
    <row r="44" spans="1:37">
      <c r="B44" t="s">
        <v>72</v>
      </c>
      <c r="C44" t="s">
        <v>72</v>
      </c>
      <c r="D44" t="s">
        <v>72</v>
      </c>
      <c r="E44" t="s">
        <v>129</v>
      </c>
      <c r="F44" t="s">
        <v>129</v>
      </c>
      <c r="G44" t="s">
        <v>190</v>
      </c>
      <c r="H44" t="s">
        <v>192</v>
      </c>
      <c r="I44" t="s">
        <v>192</v>
      </c>
      <c r="J44" t="s">
        <v>192</v>
      </c>
      <c r="K44" t="s">
        <v>271</v>
      </c>
      <c r="AK44" t="s">
        <v>355</v>
      </c>
    </row>
    <row r="45" spans="1:37">
      <c r="A45" t="s">
        <v>37</v>
      </c>
      <c r="B45" t="s">
        <v>49</v>
      </c>
      <c r="C45" t="s">
        <v>73</v>
      </c>
      <c r="D45" t="s">
        <v>94</v>
      </c>
      <c r="E45" t="s">
        <v>112</v>
      </c>
      <c r="F45" t="s">
        <v>146</v>
      </c>
      <c r="G45" t="s">
        <v>172</v>
      </c>
      <c r="H45" t="s">
        <v>207</v>
      </c>
      <c r="I45" t="s">
        <v>226</v>
      </c>
      <c r="J45" t="s">
        <v>246</v>
      </c>
      <c r="K45" t="s">
        <v>259</v>
      </c>
      <c r="AK45" t="s">
        <v>355</v>
      </c>
    </row>
    <row r="46" spans="1:37">
      <c r="A46" t="s">
        <v>38</v>
      </c>
      <c r="B46" t="s">
        <v>50</v>
      </c>
      <c r="C46" t="s">
        <v>74</v>
      </c>
      <c r="D46" t="s">
        <v>95</v>
      </c>
      <c r="E46" t="s">
        <v>113</v>
      </c>
      <c r="F46" t="s">
        <v>147</v>
      </c>
      <c r="G46" t="s">
        <v>173</v>
      </c>
      <c r="H46" t="s">
        <v>208</v>
      </c>
      <c r="I46" t="s">
        <v>227</v>
      </c>
      <c r="J46" t="s">
        <v>115</v>
      </c>
      <c r="K46" t="s">
        <v>260</v>
      </c>
      <c r="L46" t="s">
        <v>273</v>
      </c>
      <c r="M46" t="s">
        <v>282</v>
      </c>
      <c r="N46" t="s">
        <v>291</v>
      </c>
      <c r="AK46" t="s">
        <v>355</v>
      </c>
    </row>
    <row r="47" spans="1:37">
      <c r="B47" t="s">
        <v>51</v>
      </c>
      <c r="C47" t="s">
        <v>75</v>
      </c>
      <c r="D47" t="s">
        <v>52</v>
      </c>
      <c r="E47" t="s">
        <v>114</v>
      </c>
      <c r="F47" t="s">
        <v>148</v>
      </c>
      <c r="G47" t="s">
        <v>148</v>
      </c>
      <c r="H47" t="s">
        <v>209</v>
      </c>
      <c r="I47" t="s">
        <v>228</v>
      </c>
      <c r="J47" t="s">
        <v>247</v>
      </c>
      <c r="K47" t="s">
        <v>261</v>
      </c>
      <c r="L47" t="s">
        <v>274</v>
      </c>
      <c r="M47" t="s">
        <v>283</v>
      </c>
      <c r="N47" t="s">
        <v>292</v>
      </c>
      <c r="O47" t="s">
        <v>300</v>
      </c>
      <c r="AK47" t="s">
        <v>355</v>
      </c>
    </row>
    <row r="48" spans="1:37">
      <c r="B48" t="s">
        <v>52</v>
      </c>
      <c r="C48" t="s">
        <v>76</v>
      </c>
      <c r="D48" t="s">
        <v>96</v>
      </c>
      <c r="E48" t="s">
        <v>115</v>
      </c>
      <c r="F48" t="s">
        <v>149</v>
      </c>
      <c r="G48" t="s">
        <v>174</v>
      </c>
      <c r="H48" t="s">
        <v>96</v>
      </c>
      <c r="I48" t="s">
        <v>229</v>
      </c>
      <c r="J48" t="s">
        <v>248</v>
      </c>
      <c r="K48" t="s">
        <v>262</v>
      </c>
      <c r="L48" t="s">
        <v>52</v>
      </c>
      <c r="M48" t="s">
        <v>76</v>
      </c>
      <c r="N48" t="s">
        <v>293</v>
      </c>
      <c r="O48" t="s">
        <v>301</v>
      </c>
      <c r="P48" t="s">
        <v>309</v>
      </c>
      <c r="Q48" t="s">
        <v>315</v>
      </c>
      <c r="R48" t="s">
        <v>228</v>
      </c>
      <c r="S48" t="s">
        <v>328</v>
      </c>
      <c r="T48" t="s">
        <v>149</v>
      </c>
      <c r="U48" t="s">
        <v>337</v>
      </c>
      <c r="V48" t="s">
        <v>341</v>
      </c>
      <c r="W48" t="s">
        <v>345</v>
      </c>
      <c r="X48" t="s">
        <v>350</v>
      </c>
      <c r="AK48" t="s">
        <v>355</v>
      </c>
    </row>
    <row r="49" spans="1:37">
      <c r="B49" t="s">
        <v>53</v>
      </c>
      <c r="C49" t="s">
        <v>77</v>
      </c>
      <c r="D49" t="s">
        <v>97</v>
      </c>
      <c r="E49" t="s">
        <v>116</v>
      </c>
      <c r="F49" t="s">
        <v>150</v>
      </c>
      <c r="G49" t="s">
        <v>175</v>
      </c>
      <c r="H49" t="s">
        <v>210</v>
      </c>
      <c r="I49" t="s">
        <v>230</v>
      </c>
      <c r="J49" t="s">
        <v>249</v>
      </c>
      <c r="K49" t="s">
        <v>263</v>
      </c>
      <c r="L49" t="s">
        <v>275</v>
      </c>
      <c r="M49" t="s">
        <v>284</v>
      </c>
      <c r="N49" t="s">
        <v>294</v>
      </c>
      <c r="O49" t="s">
        <v>302</v>
      </c>
      <c r="P49" t="s">
        <v>310</v>
      </c>
      <c r="Q49" t="s">
        <v>316</v>
      </c>
      <c r="R49" t="s">
        <v>322</v>
      </c>
      <c r="S49" t="s">
        <v>329</v>
      </c>
      <c r="AK49" t="s">
        <v>355</v>
      </c>
    </row>
    <row r="50" spans="1:37">
      <c r="A50" t="s">
        <v>39</v>
      </c>
      <c r="B50" t="s">
        <v>54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323</v>
      </c>
      <c r="S50" t="s">
        <v>330</v>
      </c>
      <c r="AK50" t="s">
        <v>355</v>
      </c>
    </row>
    <row r="51" spans="1:37">
      <c r="B51" t="s">
        <v>55</v>
      </c>
      <c r="C51" t="s">
        <v>78</v>
      </c>
      <c r="D51" t="s">
        <v>55</v>
      </c>
      <c r="E51" t="s">
        <v>78</v>
      </c>
      <c r="F51" t="s">
        <v>55</v>
      </c>
      <c r="G51" t="s">
        <v>78</v>
      </c>
      <c r="H51" t="s">
        <v>55</v>
      </c>
      <c r="I51" t="s">
        <v>78</v>
      </c>
      <c r="J51" t="s">
        <v>55</v>
      </c>
      <c r="K51" t="s">
        <v>78</v>
      </c>
      <c r="L51" t="s">
        <v>55</v>
      </c>
      <c r="M51" t="s">
        <v>78</v>
      </c>
      <c r="N51" t="s">
        <v>55</v>
      </c>
      <c r="O51" t="s">
        <v>78</v>
      </c>
      <c r="P51" t="s">
        <v>55</v>
      </c>
      <c r="Q51" t="s">
        <v>78</v>
      </c>
      <c r="R51" t="s">
        <v>55</v>
      </c>
      <c r="S51" t="s">
        <v>78</v>
      </c>
      <c r="T51" t="s">
        <v>55</v>
      </c>
      <c r="U51" t="s">
        <v>78</v>
      </c>
      <c r="V51" t="s">
        <v>55</v>
      </c>
      <c r="W51" t="s">
        <v>78</v>
      </c>
      <c r="X51" t="s">
        <v>55</v>
      </c>
      <c r="Y51" t="s">
        <v>78</v>
      </c>
      <c r="Z51" t="s">
        <v>55</v>
      </c>
      <c r="AA51" t="s">
        <v>78</v>
      </c>
      <c r="AB51" t="s">
        <v>55</v>
      </c>
      <c r="AC51" t="s">
        <v>78</v>
      </c>
      <c r="AD51" t="s">
        <v>55</v>
      </c>
      <c r="AE51" t="s">
        <v>78</v>
      </c>
      <c r="AF51" t="s">
        <v>55</v>
      </c>
      <c r="AG51" t="s">
        <v>78</v>
      </c>
      <c r="AH51" t="s">
        <v>55</v>
      </c>
      <c r="AI51" t="s">
        <v>78</v>
      </c>
      <c r="AK51" t="s">
        <v>355</v>
      </c>
    </row>
    <row r="52" spans="1:37">
      <c r="B52" t="s">
        <v>56</v>
      </c>
      <c r="C52" t="s">
        <v>56</v>
      </c>
      <c r="D52" t="s">
        <v>56</v>
      </c>
      <c r="E52" t="s">
        <v>56</v>
      </c>
      <c r="F52" t="s">
        <v>56</v>
      </c>
      <c r="G52" t="s">
        <v>176</v>
      </c>
      <c r="H52" t="s">
        <v>211</v>
      </c>
      <c r="I52" t="s">
        <v>231</v>
      </c>
      <c r="J52" t="s">
        <v>250</v>
      </c>
      <c r="K52" t="s">
        <v>264</v>
      </c>
      <c r="L52" t="s">
        <v>276</v>
      </c>
      <c r="M52" t="s">
        <v>285</v>
      </c>
      <c r="N52" t="s">
        <v>295</v>
      </c>
      <c r="O52" t="s">
        <v>303</v>
      </c>
      <c r="P52" t="s">
        <v>56</v>
      </c>
      <c r="Q52" t="s">
        <v>317</v>
      </c>
      <c r="R52" t="s">
        <v>324</v>
      </c>
      <c r="S52" t="s">
        <v>331</v>
      </c>
      <c r="T52" t="s">
        <v>334</v>
      </c>
      <c r="U52" t="s">
        <v>338</v>
      </c>
      <c r="V52" t="s">
        <v>342</v>
      </c>
      <c r="W52" t="s">
        <v>346</v>
      </c>
      <c r="X52" t="s">
        <v>351</v>
      </c>
      <c r="AK52" t="s">
        <v>355</v>
      </c>
    </row>
    <row r="53" spans="1:37">
      <c r="B53" t="s">
        <v>57</v>
      </c>
      <c r="C53" t="s">
        <v>79</v>
      </c>
      <c r="D53" t="s">
        <v>98</v>
      </c>
      <c r="E53" t="s">
        <v>117</v>
      </c>
      <c r="F53" t="s">
        <v>151</v>
      </c>
      <c r="G53" t="s">
        <v>177</v>
      </c>
      <c r="H53" t="s">
        <v>212</v>
      </c>
      <c r="I53" t="s">
        <v>232</v>
      </c>
      <c r="J53" t="s">
        <v>251</v>
      </c>
      <c r="K53" t="s">
        <v>265</v>
      </c>
      <c r="L53" t="s">
        <v>277</v>
      </c>
      <c r="M53" t="s">
        <v>286</v>
      </c>
      <c r="N53" t="s">
        <v>296</v>
      </c>
      <c r="O53" t="s">
        <v>304</v>
      </c>
      <c r="P53" t="s">
        <v>311</v>
      </c>
      <c r="Q53" t="s">
        <v>318</v>
      </c>
      <c r="R53" t="s">
        <v>185</v>
      </c>
      <c r="S53" t="s">
        <v>159</v>
      </c>
      <c r="T53" t="s">
        <v>185</v>
      </c>
      <c r="U53" t="s">
        <v>339</v>
      </c>
      <c r="V53" t="s">
        <v>72</v>
      </c>
      <c r="W53" t="s">
        <v>347</v>
      </c>
      <c r="X53" t="s">
        <v>72</v>
      </c>
      <c r="Y53" t="s">
        <v>96</v>
      </c>
      <c r="AK53" t="s">
        <v>355</v>
      </c>
    </row>
    <row r="54" spans="1:37">
      <c r="B54" t="s">
        <v>58</v>
      </c>
      <c r="C54" t="s">
        <v>80</v>
      </c>
      <c r="D54" t="s">
        <v>99</v>
      </c>
      <c r="E54" t="s">
        <v>118</v>
      </c>
      <c r="F54" t="s">
        <v>152</v>
      </c>
      <c r="G54" t="s">
        <v>178</v>
      </c>
      <c r="H54" t="s">
        <v>213</v>
      </c>
      <c r="I54" t="s">
        <v>233</v>
      </c>
      <c r="J54" t="s">
        <v>252</v>
      </c>
      <c r="K54" t="s">
        <v>266</v>
      </c>
      <c r="L54" t="s">
        <v>278</v>
      </c>
      <c r="M54" t="s">
        <v>287</v>
      </c>
      <c r="N54" t="s">
        <v>297</v>
      </c>
      <c r="O54" t="s">
        <v>305</v>
      </c>
      <c r="P54" t="s">
        <v>312</v>
      </c>
      <c r="Q54" t="s">
        <v>319</v>
      </c>
      <c r="R54">
        <f>&gt;10       ветра      1.2     14   2</f>
        <v>0</v>
      </c>
      <c r="AK54" t="s">
        <v>355</v>
      </c>
    </row>
    <row r="55" spans="1:37">
      <c r="A55" t="s">
        <v>40</v>
      </c>
      <c r="B55" t="s">
        <v>59</v>
      </c>
      <c r="C55" t="s">
        <v>81</v>
      </c>
      <c r="D55" t="s">
        <v>100</v>
      </c>
      <c r="E55" t="s">
        <v>119</v>
      </c>
      <c r="F55" t="s">
        <v>153</v>
      </c>
      <c r="G55" t="s">
        <v>179</v>
      </c>
      <c r="H55" t="s">
        <v>214</v>
      </c>
      <c r="I55" t="s">
        <v>234</v>
      </c>
      <c r="AK55" t="s">
        <v>355</v>
      </c>
    </row>
    <row r="56" spans="1:37">
      <c r="A56" t="s">
        <v>40</v>
      </c>
      <c r="B56" t="s">
        <v>60</v>
      </c>
      <c r="C56" t="s">
        <v>82</v>
      </c>
      <c r="D56" t="s">
        <v>101</v>
      </c>
      <c r="E56" t="s">
        <v>120</v>
      </c>
      <c r="F56" t="s">
        <v>154</v>
      </c>
      <c r="G56" t="s">
        <v>180</v>
      </c>
      <c r="H56" t="s">
        <v>215</v>
      </c>
      <c r="I56" t="s">
        <v>235</v>
      </c>
      <c r="J56" t="s">
        <v>253</v>
      </c>
      <c r="K56" t="s">
        <v>267</v>
      </c>
      <c r="L56" t="s">
        <v>279</v>
      </c>
      <c r="M56" t="s">
        <v>288</v>
      </c>
      <c r="N56" t="s">
        <v>100</v>
      </c>
      <c r="O56" t="s">
        <v>306</v>
      </c>
      <c r="P56" t="s">
        <v>313</v>
      </c>
      <c r="Q56" t="s">
        <v>320</v>
      </c>
      <c r="R56" t="s">
        <v>325</v>
      </c>
      <c r="S56" t="s">
        <v>332</v>
      </c>
      <c r="T56" t="s">
        <v>119</v>
      </c>
      <c r="U56" t="s">
        <v>234</v>
      </c>
      <c r="V56" t="s">
        <v>343</v>
      </c>
      <c r="W56" t="s">
        <v>348</v>
      </c>
      <c r="X56" t="s">
        <v>352</v>
      </c>
      <c r="Y56" t="s">
        <v>354</v>
      </c>
      <c r="AK56" t="s">
        <v>355</v>
      </c>
    </row>
    <row r="57" spans="1:37">
      <c r="A57" t="s">
        <v>41</v>
      </c>
      <c r="B57" t="s">
        <v>61</v>
      </c>
      <c r="C57" t="s">
        <v>83</v>
      </c>
      <c r="D57" t="s">
        <v>102</v>
      </c>
      <c r="E57" t="s">
        <v>121</v>
      </c>
      <c r="F57" t="s">
        <v>155</v>
      </c>
      <c r="G57" t="s">
        <v>181</v>
      </c>
      <c r="H57" t="s">
        <v>216</v>
      </c>
      <c r="I57" t="s">
        <v>236</v>
      </c>
      <c r="AK57" t="s">
        <v>355</v>
      </c>
    </row>
    <row r="58" spans="1:37">
      <c r="A58" t="s">
        <v>42</v>
      </c>
      <c r="B58" t="s">
        <v>62</v>
      </c>
      <c r="C58" t="s">
        <v>84</v>
      </c>
      <c r="D58" t="s">
        <v>103</v>
      </c>
      <c r="E58" t="s">
        <v>122</v>
      </c>
      <c r="F58" t="s">
        <v>156</v>
      </c>
      <c r="G58" t="s">
        <v>182</v>
      </c>
      <c r="H58" t="s">
        <v>83</v>
      </c>
      <c r="I58" t="s">
        <v>237</v>
      </c>
      <c r="J58" t="s">
        <v>254</v>
      </c>
      <c r="K58" t="s">
        <v>268</v>
      </c>
      <c r="L58" t="s">
        <v>280</v>
      </c>
      <c r="M58" t="s">
        <v>289</v>
      </c>
      <c r="N58" t="s">
        <v>298</v>
      </c>
      <c r="O58" t="s">
        <v>307</v>
      </c>
      <c r="P58" t="s">
        <v>314</v>
      </c>
      <c r="Q58" t="s">
        <v>216</v>
      </c>
      <c r="R58" t="s">
        <v>326</v>
      </c>
      <c r="S58" t="s">
        <v>333</v>
      </c>
      <c r="T58" t="s">
        <v>335</v>
      </c>
      <c r="U58" t="s">
        <v>340</v>
      </c>
      <c r="V58" t="s">
        <v>344</v>
      </c>
      <c r="W58" t="s">
        <v>349</v>
      </c>
      <c r="AK58" t="s">
        <v>355</v>
      </c>
    </row>
    <row r="59" spans="1:37">
      <c r="A59" t="s">
        <v>43</v>
      </c>
      <c r="B59" t="s">
        <v>63</v>
      </c>
      <c r="C59" t="s">
        <v>85</v>
      </c>
      <c r="D59" t="s">
        <v>104</v>
      </c>
      <c r="E59" t="s">
        <v>123</v>
      </c>
      <c r="F59" t="s">
        <v>157</v>
      </c>
      <c r="G59" t="s">
        <v>183</v>
      </c>
      <c r="AK59" t="s">
        <v>355</v>
      </c>
    </row>
    <row r="60" spans="1:37">
      <c r="A60" t="s">
        <v>44</v>
      </c>
      <c r="B60" t="s">
        <v>64</v>
      </c>
      <c r="C60" t="s">
        <v>86</v>
      </c>
      <c r="D60" t="s">
        <v>105</v>
      </c>
      <c r="E60" t="s">
        <v>124</v>
      </c>
      <c r="F60" t="s">
        <v>158</v>
      </c>
      <c r="G60" t="s">
        <v>184</v>
      </c>
      <c r="AK60" t="s">
        <v>355</v>
      </c>
    </row>
    <row r="61" spans="1:37">
      <c r="A61" t="s">
        <v>45</v>
      </c>
      <c r="B61" t="s">
        <v>65</v>
      </c>
      <c r="C61" t="s">
        <v>87</v>
      </c>
      <c r="D61" t="s">
        <v>106</v>
      </c>
      <c r="E61" t="s">
        <v>125</v>
      </c>
      <c r="F61" t="s">
        <v>159</v>
      </c>
      <c r="G61" t="s">
        <v>185</v>
      </c>
      <c r="H61" t="s">
        <v>159</v>
      </c>
      <c r="I61" t="s">
        <v>185</v>
      </c>
      <c r="J61" t="s">
        <v>255</v>
      </c>
      <c r="AK61" t="s">
        <v>355</v>
      </c>
    </row>
    <row r="62" spans="1:37">
      <c r="A62" t="s">
        <v>46</v>
      </c>
      <c r="B62" t="s">
        <v>66</v>
      </c>
      <c r="C62" t="s">
        <v>88</v>
      </c>
      <c r="D62" t="s">
        <v>76</v>
      </c>
      <c r="E62" t="s">
        <v>126</v>
      </c>
      <c r="F62" t="s">
        <v>160</v>
      </c>
      <c r="G62" t="s">
        <v>186</v>
      </c>
      <c r="H62" t="s">
        <v>217</v>
      </c>
      <c r="I62" t="s">
        <v>238</v>
      </c>
      <c r="J62" t="s">
        <v>256</v>
      </c>
      <c r="K62" t="s">
        <v>265</v>
      </c>
      <c r="L62" t="s">
        <v>281</v>
      </c>
      <c r="M62" t="s">
        <v>290</v>
      </c>
      <c r="N62" t="s">
        <v>299</v>
      </c>
      <c r="O62" t="s">
        <v>308</v>
      </c>
      <c r="P62" t="s">
        <v>228</v>
      </c>
      <c r="Q62" t="s">
        <v>72</v>
      </c>
      <c r="R62" t="s">
        <v>327</v>
      </c>
      <c r="S62" t="s">
        <v>327</v>
      </c>
      <c r="T62" t="s">
        <v>336</v>
      </c>
      <c r="U62" t="s">
        <v>336</v>
      </c>
      <c r="V62" t="s">
        <v>336</v>
      </c>
      <c r="W62" t="s">
        <v>336</v>
      </c>
      <c r="X62" t="s">
        <v>353</v>
      </c>
      <c r="AK62" t="s">
        <v>355</v>
      </c>
    </row>
    <row r="63" spans="1:37">
      <c r="A63" t="s">
        <v>37</v>
      </c>
      <c r="B63" t="s">
        <v>49</v>
      </c>
      <c r="C63" t="s">
        <v>73</v>
      </c>
      <c r="D63" t="s">
        <v>94</v>
      </c>
      <c r="E63" t="s">
        <v>112</v>
      </c>
      <c r="F63" t="s">
        <v>146</v>
      </c>
      <c r="G63" t="s">
        <v>172</v>
      </c>
      <c r="H63" t="s">
        <v>207</v>
      </c>
      <c r="I63" t="s">
        <v>226</v>
      </c>
      <c r="J63" t="s">
        <v>246</v>
      </c>
      <c r="K63" t="s">
        <v>259</v>
      </c>
      <c r="AK63" t="s">
        <v>355</v>
      </c>
    </row>
    <row r="64" spans="1:37">
      <c r="A64" t="s">
        <v>38</v>
      </c>
      <c r="B64" t="s">
        <v>50</v>
      </c>
      <c r="C64" t="s">
        <v>74</v>
      </c>
      <c r="D64" t="s">
        <v>95</v>
      </c>
      <c r="E64" t="s">
        <v>113</v>
      </c>
      <c r="F64" t="s">
        <v>147</v>
      </c>
      <c r="G64" t="s">
        <v>173</v>
      </c>
      <c r="H64" t="s">
        <v>208</v>
      </c>
      <c r="I64" t="s">
        <v>227</v>
      </c>
      <c r="J64" t="s">
        <v>115</v>
      </c>
      <c r="K64" t="s">
        <v>260</v>
      </c>
      <c r="L64" t="s">
        <v>273</v>
      </c>
      <c r="M64" t="s">
        <v>282</v>
      </c>
      <c r="N64" t="s">
        <v>291</v>
      </c>
      <c r="AK64" t="s">
        <v>355</v>
      </c>
    </row>
    <row r="65" spans="1:37">
      <c r="B65" t="s">
        <v>51</v>
      </c>
      <c r="C65" t="s">
        <v>75</v>
      </c>
      <c r="D65" t="s">
        <v>52</v>
      </c>
      <c r="E65" t="s">
        <v>114</v>
      </c>
      <c r="F65" t="s">
        <v>148</v>
      </c>
      <c r="G65" t="s">
        <v>148</v>
      </c>
      <c r="H65" t="s">
        <v>209</v>
      </c>
      <c r="I65" t="s">
        <v>228</v>
      </c>
      <c r="J65" t="s">
        <v>247</v>
      </c>
      <c r="K65" t="s">
        <v>261</v>
      </c>
      <c r="L65" t="s">
        <v>274</v>
      </c>
      <c r="M65" t="s">
        <v>283</v>
      </c>
      <c r="N65" t="s">
        <v>292</v>
      </c>
      <c r="O65" t="s">
        <v>300</v>
      </c>
      <c r="AK65" t="s">
        <v>355</v>
      </c>
    </row>
    <row r="66" spans="1:37">
      <c r="B66" t="s">
        <v>52</v>
      </c>
      <c r="C66" t="s">
        <v>76</v>
      </c>
      <c r="D66" t="s">
        <v>96</v>
      </c>
      <c r="E66" t="s">
        <v>115</v>
      </c>
      <c r="F66" t="s">
        <v>149</v>
      </c>
      <c r="G66" t="s">
        <v>174</v>
      </c>
      <c r="H66" t="s">
        <v>96</v>
      </c>
      <c r="I66" t="s">
        <v>229</v>
      </c>
      <c r="J66" t="s">
        <v>248</v>
      </c>
      <c r="K66" t="s">
        <v>262</v>
      </c>
      <c r="L66" t="s">
        <v>52</v>
      </c>
      <c r="M66" t="s">
        <v>76</v>
      </c>
      <c r="N66" t="s">
        <v>293</v>
      </c>
      <c r="O66" t="s">
        <v>301</v>
      </c>
      <c r="P66" t="s">
        <v>309</v>
      </c>
      <c r="Q66" t="s">
        <v>315</v>
      </c>
      <c r="R66" t="s">
        <v>228</v>
      </c>
      <c r="S66" t="s">
        <v>328</v>
      </c>
      <c r="T66" t="s">
        <v>149</v>
      </c>
      <c r="U66" t="s">
        <v>337</v>
      </c>
      <c r="V66" t="s">
        <v>341</v>
      </c>
      <c r="W66" t="s">
        <v>345</v>
      </c>
      <c r="X66" t="s">
        <v>350</v>
      </c>
      <c r="AK66" t="s">
        <v>355</v>
      </c>
    </row>
    <row r="67" spans="1:37">
      <c r="B67" t="s">
        <v>53</v>
      </c>
      <c r="C67" t="s">
        <v>77</v>
      </c>
      <c r="D67" t="s">
        <v>97</v>
      </c>
      <c r="E67" t="s">
        <v>116</v>
      </c>
      <c r="F67" t="s">
        <v>150</v>
      </c>
      <c r="G67" t="s">
        <v>175</v>
      </c>
      <c r="H67" t="s">
        <v>210</v>
      </c>
      <c r="I67" t="s">
        <v>230</v>
      </c>
      <c r="J67" t="s">
        <v>249</v>
      </c>
      <c r="K67" t="s">
        <v>263</v>
      </c>
      <c r="L67" t="s">
        <v>275</v>
      </c>
      <c r="M67" t="s">
        <v>284</v>
      </c>
      <c r="N67" t="s">
        <v>294</v>
      </c>
      <c r="O67" t="s">
        <v>302</v>
      </c>
      <c r="P67" t="s">
        <v>310</v>
      </c>
      <c r="Q67" t="s">
        <v>316</v>
      </c>
      <c r="R67" t="s">
        <v>322</v>
      </c>
      <c r="S67" t="s">
        <v>329</v>
      </c>
      <c r="AK67" t="s">
        <v>355</v>
      </c>
    </row>
    <row r="68" spans="1:37">
      <c r="A68" t="s">
        <v>39</v>
      </c>
      <c r="B68" t="s">
        <v>54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323</v>
      </c>
      <c r="S68" t="s">
        <v>330</v>
      </c>
      <c r="AK68" t="s">
        <v>355</v>
      </c>
    </row>
    <row r="69" spans="1:37">
      <c r="B69" t="s">
        <v>55</v>
      </c>
      <c r="C69" t="s">
        <v>78</v>
      </c>
      <c r="D69" t="s">
        <v>55</v>
      </c>
      <c r="E69" t="s">
        <v>78</v>
      </c>
      <c r="F69" t="s">
        <v>55</v>
      </c>
      <c r="G69" t="s">
        <v>78</v>
      </c>
      <c r="H69" t="s">
        <v>55</v>
      </c>
      <c r="I69" t="s">
        <v>78</v>
      </c>
      <c r="J69" t="s">
        <v>55</v>
      </c>
      <c r="K69" t="s">
        <v>78</v>
      </c>
      <c r="L69" t="s">
        <v>55</v>
      </c>
      <c r="M69" t="s">
        <v>78</v>
      </c>
      <c r="N69" t="s">
        <v>55</v>
      </c>
      <c r="O69" t="s">
        <v>78</v>
      </c>
      <c r="P69" t="s">
        <v>55</v>
      </c>
      <c r="Q69" t="s">
        <v>78</v>
      </c>
      <c r="R69" t="s">
        <v>55</v>
      </c>
      <c r="S69" t="s">
        <v>78</v>
      </c>
      <c r="T69" t="s">
        <v>55</v>
      </c>
      <c r="U69" t="s">
        <v>78</v>
      </c>
      <c r="V69" t="s">
        <v>55</v>
      </c>
      <c r="W69" t="s">
        <v>78</v>
      </c>
      <c r="X69" t="s">
        <v>55</v>
      </c>
      <c r="Y69" t="s">
        <v>78</v>
      </c>
      <c r="Z69" t="s">
        <v>55</v>
      </c>
      <c r="AA69" t="s">
        <v>78</v>
      </c>
      <c r="AB69" t="s">
        <v>55</v>
      </c>
      <c r="AC69" t="s">
        <v>78</v>
      </c>
      <c r="AD69" t="s">
        <v>55</v>
      </c>
      <c r="AE69" t="s">
        <v>78</v>
      </c>
      <c r="AF69" t="s">
        <v>55</v>
      </c>
      <c r="AG69" t="s">
        <v>78</v>
      </c>
      <c r="AH69" t="s">
        <v>55</v>
      </c>
      <c r="AI69" t="s">
        <v>78</v>
      </c>
      <c r="AK69" t="s">
        <v>355</v>
      </c>
    </row>
    <row r="70" spans="1:37">
      <c r="B70" t="s">
        <v>56</v>
      </c>
      <c r="C70" t="s">
        <v>56</v>
      </c>
      <c r="D70" t="s">
        <v>56</v>
      </c>
      <c r="E70" t="s">
        <v>56</v>
      </c>
      <c r="F70" t="s">
        <v>56</v>
      </c>
      <c r="G70" t="s">
        <v>176</v>
      </c>
      <c r="H70" t="s">
        <v>211</v>
      </c>
      <c r="I70" t="s">
        <v>231</v>
      </c>
      <c r="J70" t="s">
        <v>250</v>
      </c>
      <c r="K70" t="s">
        <v>264</v>
      </c>
      <c r="L70" t="s">
        <v>276</v>
      </c>
      <c r="M70" t="s">
        <v>285</v>
      </c>
      <c r="N70" t="s">
        <v>295</v>
      </c>
      <c r="O70" t="s">
        <v>303</v>
      </c>
      <c r="P70" t="s">
        <v>56</v>
      </c>
      <c r="Q70" t="s">
        <v>317</v>
      </c>
      <c r="R70" t="s">
        <v>324</v>
      </c>
      <c r="S70" t="s">
        <v>331</v>
      </c>
      <c r="T70" t="s">
        <v>334</v>
      </c>
      <c r="U70" t="s">
        <v>338</v>
      </c>
      <c r="V70" t="s">
        <v>342</v>
      </c>
      <c r="W70" t="s">
        <v>346</v>
      </c>
      <c r="X70" t="s">
        <v>351</v>
      </c>
      <c r="AK70" t="s">
        <v>355</v>
      </c>
    </row>
    <row r="71" spans="1:37">
      <c r="B71" t="s">
        <v>57</v>
      </c>
      <c r="C71" t="s">
        <v>79</v>
      </c>
      <c r="D71" t="s">
        <v>98</v>
      </c>
      <c r="E71" t="s">
        <v>117</v>
      </c>
      <c r="F71" t="s">
        <v>151</v>
      </c>
      <c r="G71" t="s">
        <v>177</v>
      </c>
      <c r="H71" t="s">
        <v>212</v>
      </c>
      <c r="I71" t="s">
        <v>232</v>
      </c>
      <c r="J71" t="s">
        <v>251</v>
      </c>
      <c r="K71" t="s">
        <v>265</v>
      </c>
      <c r="L71" t="s">
        <v>277</v>
      </c>
      <c r="M71" t="s">
        <v>286</v>
      </c>
      <c r="N71" t="s">
        <v>296</v>
      </c>
      <c r="O71" t="s">
        <v>304</v>
      </c>
      <c r="P71" t="s">
        <v>311</v>
      </c>
      <c r="Q71" t="s">
        <v>318</v>
      </c>
      <c r="R71" t="s">
        <v>185</v>
      </c>
      <c r="S71" t="s">
        <v>159</v>
      </c>
      <c r="T71" t="s">
        <v>185</v>
      </c>
      <c r="U71" t="s">
        <v>339</v>
      </c>
      <c r="V71" t="s">
        <v>72</v>
      </c>
      <c r="W71" t="s">
        <v>347</v>
      </c>
      <c r="X71" t="s">
        <v>72</v>
      </c>
      <c r="Y71" t="s">
        <v>96</v>
      </c>
      <c r="AK71" t="s">
        <v>355</v>
      </c>
    </row>
    <row r="72" spans="1:37">
      <c r="B72" t="s">
        <v>58</v>
      </c>
      <c r="C72" t="s">
        <v>80</v>
      </c>
      <c r="D72" t="s">
        <v>99</v>
      </c>
      <c r="E72" t="s">
        <v>118</v>
      </c>
      <c r="F72" t="s">
        <v>152</v>
      </c>
      <c r="G72" t="s">
        <v>178</v>
      </c>
      <c r="H72" t="s">
        <v>213</v>
      </c>
      <c r="I72" t="s">
        <v>233</v>
      </c>
      <c r="J72" t="s">
        <v>252</v>
      </c>
      <c r="K72" t="s">
        <v>266</v>
      </c>
      <c r="L72" t="s">
        <v>278</v>
      </c>
      <c r="M72" t="s">
        <v>287</v>
      </c>
      <c r="N72" t="s">
        <v>297</v>
      </c>
      <c r="O72" t="s">
        <v>305</v>
      </c>
      <c r="P72" t="s">
        <v>312</v>
      </c>
      <c r="Q72" t="s">
        <v>319</v>
      </c>
      <c r="R72">
        <f>&gt;10       ветра      1.3     10   1  6</f>
        <v>0</v>
      </c>
      <c r="AK72" t="s">
        <v>355</v>
      </c>
    </row>
    <row r="73" spans="1:37">
      <c r="A73" t="s">
        <v>40</v>
      </c>
      <c r="B73" t="s">
        <v>59</v>
      </c>
      <c r="C73" t="s">
        <v>81</v>
      </c>
      <c r="D73" t="s">
        <v>100</v>
      </c>
      <c r="E73" t="s">
        <v>119</v>
      </c>
      <c r="F73" t="s">
        <v>153</v>
      </c>
      <c r="G73" t="s">
        <v>179</v>
      </c>
      <c r="H73" t="s">
        <v>214</v>
      </c>
      <c r="I73" t="s">
        <v>234</v>
      </c>
      <c r="AK73" t="s">
        <v>355</v>
      </c>
    </row>
    <row r="74" spans="1:37">
      <c r="A74" t="s">
        <v>40</v>
      </c>
      <c r="B74" t="s">
        <v>60</v>
      </c>
      <c r="C74" t="s">
        <v>82</v>
      </c>
      <c r="D74" t="s">
        <v>101</v>
      </c>
      <c r="E74" t="s">
        <v>120</v>
      </c>
      <c r="F74" t="s">
        <v>154</v>
      </c>
      <c r="G74" t="s">
        <v>180</v>
      </c>
      <c r="H74" t="s">
        <v>215</v>
      </c>
      <c r="I74" t="s">
        <v>235</v>
      </c>
      <c r="J74" t="s">
        <v>253</v>
      </c>
      <c r="K74" t="s">
        <v>267</v>
      </c>
      <c r="L74" t="s">
        <v>279</v>
      </c>
      <c r="M74" t="s">
        <v>288</v>
      </c>
      <c r="N74" t="s">
        <v>100</v>
      </c>
      <c r="O74" t="s">
        <v>306</v>
      </c>
      <c r="P74" t="s">
        <v>313</v>
      </c>
      <c r="Q74" t="s">
        <v>320</v>
      </c>
      <c r="R74" t="s">
        <v>325</v>
      </c>
      <c r="S74" t="s">
        <v>332</v>
      </c>
      <c r="T74" t="s">
        <v>119</v>
      </c>
      <c r="U74" t="s">
        <v>234</v>
      </c>
      <c r="V74" t="s">
        <v>343</v>
      </c>
      <c r="W74" t="s">
        <v>348</v>
      </c>
      <c r="X74" t="s">
        <v>352</v>
      </c>
      <c r="Y74" t="s">
        <v>354</v>
      </c>
      <c r="AK74" t="s">
        <v>355</v>
      </c>
    </row>
    <row r="75" spans="1:37">
      <c r="A75" t="s">
        <v>41</v>
      </c>
      <c r="B75" t="s">
        <v>61</v>
      </c>
      <c r="C75" t="s">
        <v>83</v>
      </c>
      <c r="D75" t="s">
        <v>102</v>
      </c>
      <c r="E75" t="s">
        <v>121</v>
      </c>
      <c r="F75" t="s">
        <v>155</v>
      </c>
      <c r="G75" t="s">
        <v>181</v>
      </c>
      <c r="H75" t="s">
        <v>216</v>
      </c>
      <c r="I75" t="s">
        <v>236</v>
      </c>
      <c r="AK75" t="s">
        <v>355</v>
      </c>
    </row>
    <row r="76" spans="1:37">
      <c r="A76" t="s">
        <v>42</v>
      </c>
      <c r="B76" t="s">
        <v>62</v>
      </c>
      <c r="C76" t="s">
        <v>84</v>
      </c>
      <c r="D76" t="s">
        <v>103</v>
      </c>
      <c r="E76" t="s">
        <v>122</v>
      </c>
      <c r="F76" t="s">
        <v>156</v>
      </c>
      <c r="G76" t="s">
        <v>182</v>
      </c>
      <c r="H76" t="s">
        <v>83</v>
      </c>
      <c r="I76" t="s">
        <v>237</v>
      </c>
      <c r="J76" t="s">
        <v>254</v>
      </c>
      <c r="K76" t="s">
        <v>268</v>
      </c>
      <c r="L76" t="s">
        <v>280</v>
      </c>
      <c r="M76" t="s">
        <v>289</v>
      </c>
      <c r="N76" t="s">
        <v>298</v>
      </c>
      <c r="O76" t="s">
        <v>307</v>
      </c>
      <c r="P76" t="s">
        <v>314</v>
      </c>
      <c r="Q76" t="s">
        <v>216</v>
      </c>
      <c r="R76" t="s">
        <v>326</v>
      </c>
      <c r="S76" t="s">
        <v>333</v>
      </c>
      <c r="T76" t="s">
        <v>335</v>
      </c>
      <c r="U76" t="s">
        <v>340</v>
      </c>
      <c r="V76" t="s">
        <v>344</v>
      </c>
      <c r="W76" t="s">
        <v>349</v>
      </c>
      <c r="AK76" t="s">
        <v>355</v>
      </c>
    </row>
    <row r="77" spans="1:37">
      <c r="A77" t="s">
        <v>43</v>
      </c>
      <c r="B77" t="s">
        <v>63</v>
      </c>
      <c r="C77" t="s">
        <v>85</v>
      </c>
      <c r="D77" t="s">
        <v>104</v>
      </c>
      <c r="E77" t="s">
        <v>123</v>
      </c>
      <c r="F77" t="s">
        <v>157</v>
      </c>
      <c r="G77" t="s">
        <v>183</v>
      </c>
      <c r="AK77" t="s">
        <v>355</v>
      </c>
    </row>
    <row r="78" spans="1:37">
      <c r="A78" t="s">
        <v>44</v>
      </c>
      <c r="B78" t="s">
        <v>64</v>
      </c>
      <c r="C78" t="s">
        <v>86</v>
      </c>
      <c r="D78" t="s">
        <v>105</v>
      </c>
      <c r="E78" t="s">
        <v>124</v>
      </c>
      <c r="F78" t="s">
        <v>158</v>
      </c>
      <c r="G78" t="s">
        <v>184</v>
      </c>
      <c r="AK78" t="s">
        <v>355</v>
      </c>
    </row>
    <row r="79" spans="1:37">
      <c r="A79" t="s">
        <v>45</v>
      </c>
      <c r="B79" t="s">
        <v>65</v>
      </c>
      <c r="C79" t="s">
        <v>87</v>
      </c>
      <c r="D79" t="s">
        <v>106</v>
      </c>
      <c r="E79" t="s">
        <v>125</v>
      </c>
      <c r="F79" t="s">
        <v>159</v>
      </c>
      <c r="G79" t="s">
        <v>185</v>
      </c>
      <c r="H79" t="s">
        <v>159</v>
      </c>
      <c r="I79" t="s">
        <v>185</v>
      </c>
      <c r="J79" t="s">
        <v>255</v>
      </c>
      <c r="AK79" t="s">
        <v>355</v>
      </c>
    </row>
    <row r="80" spans="1:37">
      <c r="A80" t="s">
        <v>46</v>
      </c>
      <c r="B80" t="s">
        <v>66</v>
      </c>
      <c r="C80" t="s">
        <v>88</v>
      </c>
      <c r="D80" t="s">
        <v>76</v>
      </c>
      <c r="E80" t="s">
        <v>126</v>
      </c>
      <c r="F80" t="s">
        <v>160</v>
      </c>
      <c r="G80" t="s">
        <v>186</v>
      </c>
      <c r="H80" t="s">
        <v>217</v>
      </c>
      <c r="I80" t="s">
        <v>238</v>
      </c>
      <c r="J80" t="s">
        <v>256</v>
      </c>
      <c r="K80" t="s">
        <v>265</v>
      </c>
      <c r="L80" t="s">
        <v>281</v>
      </c>
      <c r="M80" t="s">
        <v>290</v>
      </c>
      <c r="N80" t="s">
        <v>299</v>
      </c>
      <c r="O80" t="s">
        <v>308</v>
      </c>
      <c r="P80" t="s">
        <v>228</v>
      </c>
      <c r="Q80" t="s">
        <v>72</v>
      </c>
      <c r="R80" t="s">
        <v>327</v>
      </c>
      <c r="S80" t="s">
        <v>327</v>
      </c>
      <c r="T80" t="s">
        <v>336</v>
      </c>
      <c r="U80" t="s">
        <v>336</v>
      </c>
      <c r="V80" t="s">
        <v>336</v>
      </c>
      <c r="W80" t="s">
        <v>336</v>
      </c>
      <c r="X80" t="s">
        <v>353</v>
      </c>
      <c r="AK80" t="s">
        <v>355</v>
      </c>
    </row>
    <row r="81" spans="1:37">
      <c r="B81" t="s">
        <v>67</v>
      </c>
      <c r="C81" t="s">
        <v>89</v>
      </c>
      <c r="D81" t="s">
        <v>107</v>
      </c>
      <c r="AK81" t="s">
        <v>355</v>
      </c>
    </row>
    <row r="82" spans="1:37">
      <c r="B82" t="s">
        <v>68</v>
      </c>
      <c r="C82" t="s">
        <v>90</v>
      </c>
      <c r="D82" t="s">
        <v>108</v>
      </c>
      <c r="AK82" t="s">
        <v>355</v>
      </c>
    </row>
    <row r="83" spans="1:37">
      <c r="A83" t="s">
        <v>47</v>
      </c>
      <c r="B83" t="s">
        <v>69</v>
      </c>
      <c r="C83" t="s">
        <v>91</v>
      </c>
      <c r="D83" t="s">
        <v>109</v>
      </c>
      <c r="E83" t="s">
        <v>109</v>
      </c>
      <c r="F83" t="s">
        <v>109</v>
      </c>
      <c r="G83" t="s">
        <v>109</v>
      </c>
      <c r="H83" t="s">
        <v>109</v>
      </c>
      <c r="I83" t="s">
        <v>239</v>
      </c>
      <c r="AK83" t="s">
        <v>355</v>
      </c>
    </row>
    <row r="84" spans="1:37">
      <c r="B84" t="s">
        <v>70</v>
      </c>
      <c r="C84" t="s">
        <v>92</v>
      </c>
      <c r="D84" t="s">
        <v>110</v>
      </c>
      <c r="E84" t="s">
        <v>127</v>
      </c>
      <c r="F84" t="s">
        <v>161</v>
      </c>
      <c r="G84" t="s">
        <v>187</v>
      </c>
      <c r="H84" t="s">
        <v>218</v>
      </c>
      <c r="AK84" t="s">
        <v>355</v>
      </c>
    </row>
    <row r="85" spans="1:37">
      <c r="B85" t="s">
        <v>71</v>
      </c>
      <c r="C85" t="s">
        <v>93</v>
      </c>
      <c r="D85" t="s">
        <v>111</v>
      </c>
      <c r="E85" t="s">
        <v>128</v>
      </c>
      <c r="F85" t="s">
        <v>162</v>
      </c>
      <c r="G85" t="s">
        <v>188</v>
      </c>
      <c r="H85" t="s">
        <v>219</v>
      </c>
      <c r="I85" t="s">
        <v>240</v>
      </c>
      <c r="J85" t="s">
        <v>257</v>
      </c>
      <c r="K85" t="s">
        <v>269</v>
      </c>
      <c r="L85" t="s">
        <v>109</v>
      </c>
      <c r="M85" t="s">
        <v>109</v>
      </c>
      <c r="N85" t="s">
        <v>109</v>
      </c>
      <c r="O85" t="s">
        <v>109</v>
      </c>
      <c r="P85" t="s">
        <v>109</v>
      </c>
      <c r="Q85" t="s">
        <v>321</v>
      </c>
      <c r="AK85" t="s">
        <v>355</v>
      </c>
    </row>
    <row r="86" spans="1:37">
      <c r="A86" t="s">
        <v>48</v>
      </c>
      <c r="B86" t="s">
        <v>71</v>
      </c>
      <c r="C86" t="s">
        <v>93</v>
      </c>
      <c r="D86" t="s">
        <v>111</v>
      </c>
      <c r="E86" t="s">
        <v>128</v>
      </c>
      <c r="F86" t="s">
        <v>163</v>
      </c>
      <c r="G86" t="s">
        <v>189</v>
      </c>
      <c r="H86" t="s">
        <v>220</v>
      </c>
      <c r="I86" t="s">
        <v>241</v>
      </c>
      <c r="J86" t="s">
        <v>258</v>
      </c>
      <c r="K86" t="s">
        <v>270</v>
      </c>
      <c r="AK86" t="s">
        <v>355</v>
      </c>
    </row>
    <row r="87" spans="1:37">
      <c r="B87" t="s">
        <v>72</v>
      </c>
      <c r="C87" t="s">
        <v>72</v>
      </c>
      <c r="D87" t="s">
        <v>72</v>
      </c>
      <c r="E87" t="s">
        <v>129</v>
      </c>
      <c r="F87" t="s">
        <v>129</v>
      </c>
      <c r="G87" t="s">
        <v>191</v>
      </c>
      <c r="H87" t="s">
        <v>221</v>
      </c>
      <c r="I87" t="s">
        <v>192</v>
      </c>
      <c r="J87" t="s">
        <v>192</v>
      </c>
      <c r="K87" t="s">
        <v>271</v>
      </c>
      <c r="AK87" t="s">
        <v>355</v>
      </c>
    </row>
    <row r="88" spans="1:37">
      <c r="A88" t="s">
        <v>37</v>
      </c>
      <c r="B88" t="s">
        <v>49</v>
      </c>
      <c r="C88" t="s">
        <v>73</v>
      </c>
      <c r="D88" t="s">
        <v>94</v>
      </c>
      <c r="E88" t="s">
        <v>112</v>
      </c>
      <c r="F88" t="s">
        <v>146</v>
      </c>
      <c r="G88" t="s">
        <v>172</v>
      </c>
      <c r="H88" t="s">
        <v>207</v>
      </c>
      <c r="I88" t="s">
        <v>226</v>
      </c>
      <c r="J88" t="s">
        <v>246</v>
      </c>
      <c r="K88" t="s">
        <v>259</v>
      </c>
      <c r="AK88" t="s">
        <v>355</v>
      </c>
    </row>
    <row r="89" spans="1:37">
      <c r="A89" t="s">
        <v>38</v>
      </c>
      <c r="B89" t="s">
        <v>50</v>
      </c>
      <c r="C89" t="s">
        <v>74</v>
      </c>
      <c r="D89" t="s">
        <v>95</v>
      </c>
      <c r="E89" t="s">
        <v>113</v>
      </c>
      <c r="F89" t="s">
        <v>147</v>
      </c>
      <c r="G89" t="s">
        <v>173</v>
      </c>
      <c r="H89" t="s">
        <v>208</v>
      </c>
      <c r="I89" t="s">
        <v>227</v>
      </c>
      <c r="J89" t="s">
        <v>115</v>
      </c>
      <c r="K89" t="s">
        <v>260</v>
      </c>
      <c r="L89" t="s">
        <v>273</v>
      </c>
      <c r="M89" t="s">
        <v>282</v>
      </c>
      <c r="N89" t="s">
        <v>291</v>
      </c>
      <c r="AK89" t="s">
        <v>355</v>
      </c>
    </row>
    <row r="90" spans="1:37">
      <c r="B90" t="s">
        <v>51</v>
      </c>
      <c r="C90" t="s">
        <v>75</v>
      </c>
      <c r="D90" t="s">
        <v>52</v>
      </c>
      <c r="E90" t="s">
        <v>114</v>
      </c>
      <c r="F90" t="s">
        <v>148</v>
      </c>
      <c r="G90" t="s">
        <v>148</v>
      </c>
      <c r="H90" t="s">
        <v>209</v>
      </c>
      <c r="I90" t="s">
        <v>228</v>
      </c>
      <c r="J90" t="s">
        <v>247</v>
      </c>
      <c r="K90" t="s">
        <v>261</v>
      </c>
      <c r="L90" t="s">
        <v>274</v>
      </c>
      <c r="M90" t="s">
        <v>283</v>
      </c>
      <c r="N90" t="s">
        <v>292</v>
      </c>
      <c r="O90" t="s">
        <v>300</v>
      </c>
      <c r="AK90" t="s">
        <v>355</v>
      </c>
    </row>
    <row r="91" spans="1:37">
      <c r="B91" t="s">
        <v>52</v>
      </c>
      <c r="C91" t="s">
        <v>76</v>
      </c>
      <c r="D91" t="s">
        <v>96</v>
      </c>
      <c r="E91" t="s">
        <v>115</v>
      </c>
      <c r="F91" t="s">
        <v>149</v>
      </c>
      <c r="G91" t="s">
        <v>174</v>
      </c>
      <c r="H91" t="s">
        <v>96</v>
      </c>
      <c r="I91" t="s">
        <v>229</v>
      </c>
      <c r="J91" t="s">
        <v>248</v>
      </c>
      <c r="K91" t="s">
        <v>262</v>
      </c>
      <c r="L91" t="s">
        <v>52</v>
      </c>
      <c r="M91" t="s">
        <v>76</v>
      </c>
      <c r="N91" t="s">
        <v>293</v>
      </c>
      <c r="O91" t="s">
        <v>301</v>
      </c>
      <c r="P91" t="s">
        <v>309</v>
      </c>
      <c r="Q91" t="s">
        <v>315</v>
      </c>
      <c r="R91" t="s">
        <v>228</v>
      </c>
      <c r="S91" t="s">
        <v>328</v>
      </c>
      <c r="T91" t="s">
        <v>149</v>
      </c>
      <c r="U91" t="s">
        <v>337</v>
      </c>
      <c r="V91" t="s">
        <v>341</v>
      </c>
      <c r="W91" t="s">
        <v>345</v>
      </c>
      <c r="X91" t="s">
        <v>350</v>
      </c>
      <c r="AK91" t="s">
        <v>355</v>
      </c>
    </row>
    <row r="92" spans="1:37">
      <c r="B92" t="s">
        <v>53</v>
      </c>
      <c r="C92" t="s">
        <v>77</v>
      </c>
      <c r="D92" t="s">
        <v>97</v>
      </c>
      <c r="E92" t="s">
        <v>116</v>
      </c>
      <c r="F92" t="s">
        <v>150</v>
      </c>
      <c r="G92" t="s">
        <v>175</v>
      </c>
      <c r="H92" t="s">
        <v>210</v>
      </c>
      <c r="I92" t="s">
        <v>230</v>
      </c>
      <c r="J92" t="s">
        <v>249</v>
      </c>
      <c r="K92" t="s">
        <v>263</v>
      </c>
      <c r="L92" t="s">
        <v>275</v>
      </c>
      <c r="M92" t="s">
        <v>284</v>
      </c>
      <c r="N92" t="s">
        <v>294</v>
      </c>
      <c r="O92" t="s">
        <v>302</v>
      </c>
      <c r="P92" t="s">
        <v>310</v>
      </c>
      <c r="Q92" t="s">
        <v>316</v>
      </c>
      <c r="R92" t="s">
        <v>322</v>
      </c>
      <c r="S92" t="s">
        <v>329</v>
      </c>
      <c r="AK92" t="s">
        <v>355</v>
      </c>
    </row>
    <row r="93" spans="1:37">
      <c r="A93" t="s">
        <v>39</v>
      </c>
      <c r="B93" t="s">
        <v>54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323</v>
      </c>
      <c r="S93" t="s">
        <v>330</v>
      </c>
      <c r="AK93" t="s">
        <v>355</v>
      </c>
    </row>
    <row r="94" spans="1:37">
      <c r="B94" t="s">
        <v>55</v>
      </c>
      <c r="C94" t="s">
        <v>78</v>
      </c>
      <c r="D94" t="s">
        <v>55</v>
      </c>
      <c r="E94" t="s">
        <v>78</v>
      </c>
      <c r="F94" t="s">
        <v>55</v>
      </c>
      <c r="G94" t="s">
        <v>78</v>
      </c>
      <c r="H94" t="s">
        <v>55</v>
      </c>
      <c r="I94" t="s">
        <v>78</v>
      </c>
      <c r="J94" t="s">
        <v>55</v>
      </c>
      <c r="K94" t="s">
        <v>78</v>
      </c>
      <c r="L94" t="s">
        <v>55</v>
      </c>
      <c r="M94" t="s">
        <v>78</v>
      </c>
      <c r="N94" t="s">
        <v>55</v>
      </c>
      <c r="O94" t="s">
        <v>78</v>
      </c>
      <c r="P94" t="s">
        <v>55</v>
      </c>
      <c r="Q94" t="s">
        <v>78</v>
      </c>
      <c r="R94" t="s">
        <v>55</v>
      </c>
      <c r="S94" t="s">
        <v>78</v>
      </c>
      <c r="T94" t="s">
        <v>55</v>
      </c>
      <c r="U94" t="s">
        <v>78</v>
      </c>
      <c r="V94" t="s">
        <v>55</v>
      </c>
      <c r="W94" t="s">
        <v>78</v>
      </c>
      <c r="X94" t="s">
        <v>55</v>
      </c>
      <c r="Y94" t="s">
        <v>78</v>
      </c>
      <c r="Z94" t="s">
        <v>55</v>
      </c>
      <c r="AA94" t="s">
        <v>78</v>
      </c>
      <c r="AB94" t="s">
        <v>55</v>
      </c>
      <c r="AC94" t="s">
        <v>78</v>
      </c>
      <c r="AD94" t="s">
        <v>55</v>
      </c>
      <c r="AE94" t="s">
        <v>78</v>
      </c>
      <c r="AF94" t="s">
        <v>55</v>
      </c>
      <c r="AG94" t="s">
        <v>78</v>
      </c>
      <c r="AH94" t="s">
        <v>55</v>
      </c>
      <c r="AI94" t="s">
        <v>78</v>
      </c>
      <c r="AK94" t="s">
        <v>355</v>
      </c>
    </row>
    <row r="95" spans="1:37">
      <c r="B95" t="s">
        <v>56</v>
      </c>
      <c r="C95" t="s">
        <v>56</v>
      </c>
      <c r="D95" t="s">
        <v>56</v>
      </c>
      <c r="E95" t="s">
        <v>56</v>
      </c>
      <c r="F95" t="s">
        <v>56</v>
      </c>
      <c r="G95" t="s">
        <v>176</v>
      </c>
      <c r="H95" t="s">
        <v>211</v>
      </c>
      <c r="I95" t="s">
        <v>231</v>
      </c>
      <c r="J95" t="s">
        <v>250</v>
      </c>
      <c r="K95" t="s">
        <v>264</v>
      </c>
      <c r="L95" t="s">
        <v>276</v>
      </c>
      <c r="M95" t="s">
        <v>285</v>
      </c>
      <c r="N95" t="s">
        <v>295</v>
      </c>
      <c r="O95" t="s">
        <v>303</v>
      </c>
      <c r="P95" t="s">
        <v>56</v>
      </c>
      <c r="Q95" t="s">
        <v>317</v>
      </c>
      <c r="R95" t="s">
        <v>324</v>
      </c>
      <c r="S95" t="s">
        <v>331</v>
      </c>
      <c r="T95" t="s">
        <v>334</v>
      </c>
      <c r="U95" t="s">
        <v>338</v>
      </c>
      <c r="V95" t="s">
        <v>342</v>
      </c>
      <c r="W95" t="s">
        <v>346</v>
      </c>
      <c r="X95" t="s">
        <v>351</v>
      </c>
      <c r="AK95" t="s">
        <v>355</v>
      </c>
    </row>
    <row r="96" spans="1:37">
      <c r="B96" t="s">
        <v>57</v>
      </c>
      <c r="C96" t="s">
        <v>79</v>
      </c>
      <c r="D96" t="s">
        <v>98</v>
      </c>
      <c r="E96" t="s">
        <v>117</v>
      </c>
      <c r="F96" t="s">
        <v>151</v>
      </c>
      <c r="G96" t="s">
        <v>177</v>
      </c>
      <c r="H96" t="s">
        <v>212</v>
      </c>
      <c r="I96" t="s">
        <v>232</v>
      </c>
      <c r="J96" t="s">
        <v>251</v>
      </c>
      <c r="K96" t="s">
        <v>265</v>
      </c>
      <c r="L96" t="s">
        <v>277</v>
      </c>
      <c r="M96" t="s">
        <v>286</v>
      </c>
      <c r="N96" t="s">
        <v>296</v>
      </c>
      <c r="O96" t="s">
        <v>304</v>
      </c>
      <c r="P96" t="s">
        <v>311</v>
      </c>
      <c r="Q96" t="s">
        <v>318</v>
      </c>
      <c r="R96" t="s">
        <v>185</v>
      </c>
      <c r="S96" t="s">
        <v>159</v>
      </c>
      <c r="T96" t="s">
        <v>185</v>
      </c>
      <c r="U96" t="s">
        <v>339</v>
      </c>
      <c r="V96" t="s">
        <v>72</v>
      </c>
      <c r="W96" t="s">
        <v>347</v>
      </c>
      <c r="X96" t="s">
        <v>72</v>
      </c>
      <c r="Y96" t="s">
        <v>96</v>
      </c>
      <c r="AK96" t="s">
        <v>355</v>
      </c>
    </row>
    <row r="97" spans="1:37">
      <c r="B97" t="s">
        <v>58</v>
      </c>
      <c r="C97" t="s">
        <v>80</v>
      </c>
      <c r="D97" t="s">
        <v>99</v>
      </c>
      <c r="E97" t="s">
        <v>118</v>
      </c>
      <c r="F97" t="s">
        <v>152</v>
      </c>
      <c r="G97" t="s">
        <v>178</v>
      </c>
      <c r="H97" t="s">
        <v>213</v>
      </c>
      <c r="I97" t="s">
        <v>233</v>
      </c>
      <c r="J97" t="s">
        <v>252</v>
      </c>
      <c r="K97" t="s">
        <v>266</v>
      </c>
      <c r="L97" t="s">
        <v>278</v>
      </c>
      <c r="M97" t="s">
        <v>287</v>
      </c>
      <c r="N97" t="s">
        <v>297</v>
      </c>
      <c r="O97" t="s">
        <v>305</v>
      </c>
      <c r="P97" t="s">
        <v>312</v>
      </c>
      <c r="Q97" t="s">
        <v>319</v>
      </c>
      <c r="R97">
        <f>&gt;10       ветра      1.7     10   1 17</f>
        <v>0</v>
      </c>
      <c r="AK97" t="s">
        <v>355</v>
      </c>
    </row>
    <row r="98" spans="1:37">
      <c r="A98" t="s">
        <v>40</v>
      </c>
      <c r="B98" t="s">
        <v>59</v>
      </c>
      <c r="C98" t="s">
        <v>81</v>
      </c>
      <c r="D98" t="s">
        <v>100</v>
      </c>
      <c r="E98" t="s">
        <v>119</v>
      </c>
      <c r="F98" t="s">
        <v>153</v>
      </c>
      <c r="G98" t="s">
        <v>179</v>
      </c>
      <c r="H98" t="s">
        <v>214</v>
      </c>
      <c r="I98" t="s">
        <v>234</v>
      </c>
      <c r="AK98" t="s">
        <v>355</v>
      </c>
    </row>
    <row r="99" spans="1:37">
      <c r="A99" t="s">
        <v>40</v>
      </c>
      <c r="B99" t="s">
        <v>60</v>
      </c>
      <c r="C99" t="s">
        <v>82</v>
      </c>
      <c r="D99" t="s">
        <v>101</v>
      </c>
      <c r="E99" t="s">
        <v>120</v>
      </c>
      <c r="F99" t="s">
        <v>154</v>
      </c>
      <c r="G99" t="s">
        <v>180</v>
      </c>
      <c r="H99" t="s">
        <v>215</v>
      </c>
      <c r="I99" t="s">
        <v>235</v>
      </c>
      <c r="J99" t="s">
        <v>253</v>
      </c>
      <c r="K99" t="s">
        <v>267</v>
      </c>
      <c r="L99" t="s">
        <v>279</v>
      </c>
      <c r="M99" t="s">
        <v>288</v>
      </c>
      <c r="N99" t="s">
        <v>100</v>
      </c>
      <c r="O99" t="s">
        <v>306</v>
      </c>
      <c r="P99" t="s">
        <v>313</v>
      </c>
      <c r="Q99" t="s">
        <v>320</v>
      </c>
      <c r="R99" t="s">
        <v>325</v>
      </c>
      <c r="S99" t="s">
        <v>332</v>
      </c>
      <c r="T99" t="s">
        <v>119</v>
      </c>
      <c r="U99" t="s">
        <v>234</v>
      </c>
      <c r="V99" t="s">
        <v>343</v>
      </c>
      <c r="W99" t="s">
        <v>348</v>
      </c>
      <c r="X99" t="s">
        <v>352</v>
      </c>
      <c r="Y99" t="s">
        <v>354</v>
      </c>
      <c r="AK99" t="s">
        <v>355</v>
      </c>
    </row>
    <row r="100" spans="1:37">
      <c r="A100" t="s">
        <v>41</v>
      </c>
      <c r="B100" t="s">
        <v>61</v>
      </c>
      <c r="C100" t="s">
        <v>83</v>
      </c>
      <c r="D100" t="s">
        <v>102</v>
      </c>
      <c r="E100" t="s">
        <v>121</v>
      </c>
      <c r="F100" t="s">
        <v>155</v>
      </c>
      <c r="G100" t="s">
        <v>181</v>
      </c>
      <c r="H100" t="s">
        <v>216</v>
      </c>
      <c r="I100" t="s">
        <v>236</v>
      </c>
      <c r="AK100" t="s">
        <v>355</v>
      </c>
    </row>
    <row r="101" spans="1:37">
      <c r="A101" t="s">
        <v>42</v>
      </c>
      <c r="B101" t="s">
        <v>62</v>
      </c>
      <c r="C101" t="s">
        <v>84</v>
      </c>
      <c r="D101" t="s">
        <v>103</v>
      </c>
      <c r="E101" t="s">
        <v>122</v>
      </c>
      <c r="F101" t="s">
        <v>156</v>
      </c>
      <c r="G101" t="s">
        <v>182</v>
      </c>
      <c r="H101" t="s">
        <v>83</v>
      </c>
      <c r="I101" t="s">
        <v>237</v>
      </c>
      <c r="J101" t="s">
        <v>254</v>
      </c>
      <c r="K101" t="s">
        <v>268</v>
      </c>
      <c r="L101" t="s">
        <v>280</v>
      </c>
      <c r="M101" t="s">
        <v>289</v>
      </c>
      <c r="N101" t="s">
        <v>298</v>
      </c>
      <c r="O101" t="s">
        <v>307</v>
      </c>
      <c r="P101" t="s">
        <v>314</v>
      </c>
      <c r="Q101" t="s">
        <v>216</v>
      </c>
      <c r="R101" t="s">
        <v>326</v>
      </c>
      <c r="S101" t="s">
        <v>333</v>
      </c>
      <c r="T101" t="s">
        <v>335</v>
      </c>
      <c r="U101" t="s">
        <v>340</v>
      </c>
      <c r="V101" t="s">
        <v>344</v>
      </c>
      <c r="W101" t="s">
        <v>349</v>
      </c>
      <c r="AK101" t="s">
        <v>355</v>
      </c>
    </row>
    <row r="102" spans="1:37">
      <c r="A102" t="s">
        <v>43</v>
      </c>
      <c r="B102" t="s">
        <v>63</v>
      </c>
      <c r="C102" t="s">
        <v>85</v>
      </c>
      <c r="D102" t="s">
        <v>104</v>
      </c>
      <c r="E102" t="s">
        <v>123</v>
      </c>
      <c r="F102" t="s">
        <v>157</v>
      </c>
      <c r="G102" t="s">
        <v>183</v>
      </c>
      <c r="AK102" t="s">
        <v>355</v>
      </c>
    </row>
    <row r="103" spans="1:37">
      <c r="A103" t="s">
        <v>44</v>
      </c>
      <c r="B103" t="s">
        <v>64</v>
      </c>
      <c r="C103" t="s">
        <v>86</v>
      </c>
      <c r="D103" t="s">
        <v>105</v>
      </c>
      <c r="E103" t="s">
        <v>124</v>
      </c>
      <c r="F103" t="s">
        <v>158</v>
      </c>
      <c r="G103" t="s">
        <v>184</v>
      </c>
      <c r="AK103" t="s">
        <v>355</v>
      </c>
    </row>
    <row r="104" spans="1:37">
      <c r="A104" t="s">
        <v>45</v>
      </c>
      <c r="B104" t="s">
        <v>65</v>
      </c>
      <c r="C104" t="s">
        <v>87</v>
      </c>
      <c r="D104" t="s">
        <v>106</v>
      </c>
      <c r="E104" t="s">
        <v>125</v>
      </c>
      <c r="F104" t="s">
        <v>159</v>
      </c>
      <c r="G104" t="s">
        <v>185</v>
      </c>
      <c r="H104" t="s">
        <v>159</v>
      </c>
      <c r="I104" t="s">
        <v>185</v>
      </c>
      <c r="J104" t="s">
        <v>255</v>
      </c>
      <c r="AK104" t="s">
        <v>355</v>
      </c>
    </row>
    <row r="105" spans="1:37">
      <c r="A105" t="s">
        <v>46</v>
      </c>
      <c r="B105" t="s">
        <v>66</v>
      </c>
      <c r="C105" t="s">
        <v>88</v>
      </c>
      <c r="D105" t="s">
        <v>76</v>
      </c>
      <c r="E105" t="s">
        <v>126</v>
      </c>
      <c r="F105" t="s">
        <v>160</v>
      </c>
      <c r="G105" t="s">
        <v>186</v>
      </c>
      <c r="H105" t="s">
        <v>217</v>
      </c>
      <c r="I105" t="s">
        <v>238</v>
      </c>
      <c r="J105" t="s">
        <v>256</v>
      </c>
      <c r="K105" t="s">
        <v>265</v>
      </c>
      <c r="L105" t="s">
        <v>281</v>
      </c>
      <c r="M105" t="s">
        <v>290</v>
      </c>
      <c r="N105" t="s">
        <v>299</v>
      </c>
      <c r="O105" t="s">
        <v>308</v>
      </c>
      <c r="P105" t="s">
        <v>228</v>
      </c>
      <c r="Q105" t="s">
        <v>72</v>
      </c>
      <c r="R105" t="s">
        <v>327</v>
      </c>
      <c r="S105" t="s">
        <v>327</v>
      </c>
      <c r="T105" t="s">
        <v>336</v>
      </c>
      <c r="U105" t="s">
        <v>336</v>
      </c>
      <c r="V105" t="s">
        <v>336</v>
      </c>
      <c r="W105" t="s">
        <v>336</v>
      </c>
      <c r="X105" t="s">
        <v>353</v>
      </c>
      <c r="AK105" t="s">
        <v>355</v>
      </c>
    </row>
    <row r="106" spans="1:37">
      <c r="A106" t="s">
        <v>37</v>
      </c>
      <c r="B106" t="s">
        <v>49</v>
      </c>
      <c r="C106" t="s">
        <v>73</v>
      </c>
      <c r="D106" t="s">
        <v>94</v>
      </c>
      <c r="E106" t="s">
        <v>112</v>
      </c>
      <c r="F106" t="s">
        <v>146</v>
      </c>
      <c r="G106" t="s">
        <v>172</v>
      </c>
      <c r="H106" t="s">
        <v>207</v>
      </c>
      <c r="I106" t="s">
        <v>226</v>
      </c>
      <c r="J106" t="s">
        <v>246</v>
      </c>
      <c r="K106" t="s">
        <v>259</v>
      </c>
      <c r="AK106" t="s">
        <v>355</v>
      </c>
    </row>
    <row r="107" spans="1:37">
      <c r="A107" t="s">
        <v>38</v>
      </c>
      <c r="B107" t="s">
        <v>50</v>
      </c>
      <c r="C107" t="s">
        <v>74</v>
      </c>
      <c r="D107" t="s">
        <v>95</v>
      </c>
      <c r="E107" t="s">
        <v>113</v>
      </c>
      <c r="F107" t="s">
        <v>147</v>
      </c>
      <c r="G107" t="s">
        <v>173</v>
      </c>
      <c r="H107" t="s">
        <v>208</v>
      </c>
      <c r="I107" t="s">
        <v>227</v>
      </c>
      <c r="J107" t="s">
        <v>115</v>
      </c>
      <c r="K107" t="s">
        <v>260</v>
      </c>
      <c r="L107" t="s">
        <v>273</v>
      </c>
      <c r="M107" t="s">
        <v>282</v>
      </c>
      <c r="N107" t="s">
        <v>291</v>
      </c>
      <c r="AK107" t="s">
        <v>355</v>
      </c>
    </row>
    <row r="108" spans="1:37">
      <c r="B108" t="s">
        <v>51</v>
      </c>
      <c r="C108" t="s">
        <v>75</v>
      </c>
      <c r="D108" t="s">
        <v>52</v>
      </c>
      <c r="E108" t="s">
        <v>114</v>
      </c>
      <c r="F108" t="s">
        <v>148</v>
      </c>
      <c r="G108" t="s">
        <v>148</v>
      </c>
      <c r="H108" t="s">
        <v>209</v>
      </c>
      <c r="I108" t="s">
        <v>228</v>
      </c>
      <c r="J108" t="s">
        <v>247</v>
      </c>
      <c r="K108" t="s">
        <v>261</v>
      </c>
      <c r="L108" t="s">
        <v>274</v>
      </c>
      <c r="M108" t="s">
        <v>283</v>
      </c>
      <c r="N108" t="s">
        <v>292</v>
      </c>
      <c r="O108" t="s">
        <v>300</v>
      </c>
      <c r="AK108" t="s">
        <v>355</v>
      </c>
    </row>
    <row r="109" spans="1:37">
      <c r="B109" t="s">
        <v>52</v>
      </c>
      <c r="C109" t="s">
        <v>76</v>
      </c>
      <c r="D109" t="s">
        <v>96</v>
      </c>
      <c r="E109" t="s">
        <v>115</v>
      </c>
      <c r="F109" t="s">
        <v>149</v>
      </c>
      <c r="G109" t="s">
        <v>174</v>
      </c>
      <c r="H109" t="s">
        <v>96</v>
      </c>
      <c r="I109" t="s">
        <v>229</v>
      </c>
      <c r="J109" t="s">
        <v>248</v>
      </c>
      <c r="K109" t="s">
        <v>262</v>
      </c>
      <c r="L109" t="s">
        <v>52</v>
      </c>
      <c r="M109" t="s">
        <v>76</v>
      </c>
      <c r="N109" t="s">
        <v>293</v>
      </c>
      <c r="O109" t="s">
        <v>301</v>
      </c>
      <c r="P109" t="s">
        <v>309</v>
      </c>
      <c r="Q109" t="s">
        <v>315</v>
      </c>
      <c r="R109" t="s">
        <v>228</v>
      </c>
      <c r="S109" t="s">
        <v>328</v>
      </c>
      <c r="T109" t="s">
        <v>149</v>
      </c>
      <c r="U109" t="s">
        <v>337</v>
      </c>
      <c r="V109" t="s">
        <v>341</v>
      </c>
      <c r="W109" t="s">
        <v>345</v>
      </c>
      <c r="X109" t="s">
        <v>350</v>
      </c>
      <c r="AK109" t="s">
        <v>355</v>
      </c>
    </row>
    <row r="110" spans="1:37">
      <c r="B110" t="s">
        <v>53</v>
      </c>
      <c r="C110" t="s">
        <v>77</v>
      </c>
      <c r="D110" t="s">
        <v>97</v>
      </c>
      <c r="E110" t="s">
        <v>116</v>
      </c>
      <c r="F110" t="s">
        <v>150</v>
      </c>
      <c r="G110" t="s">
        <v>175</v>
      </c>
      <c r="H110" t="s">
        <v>210</v>
      </c>
      <c r="I110" t="s">
        <v>230</v>
      </c>
      <c r="J110" t="s">
        <v>249</v>
      </c>
      <c r="K110" t="s">
        <v>263</v>
      </c>
      <c r="L110" t="s">
        <v>275</v>
      </c>
      <c r="M110" t="s">
        <v>284</v>
      </c>
      <c r="N110" t="s">
        <v>294</v>
      </c>
      <c r="O110" t="s">
        <v>302</v>
      </c>
      <c r="P110" t="s">
        <v>310</v>
      </c>
      <c r="Q110" t="s">
        <v>316</v>
      </c>
      <c r="R110" t="s">
        <v>322</v>
      </c>
      <c r="S110" t="s">
        <v>329</v>
      </c>
      <c r="AK110" t="s">
        <v>355</v>
      </c>
    </row>
    <row r="111" spans="1:37">
      <c r="A111" t="s">
        <v>39</v>
      </c>
      <c r="B111" t="s">
        <v>54</v>
      </c>
      <c r="C111" t="s">
        <v>54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323</v>
      </c>
      <c r="S111" t="s">
        <v>330</v>
      </c>
      <c r="AK111" t="s">
        <v>355</v>
      </c>
    </row>
    <row r="112" spans="1:37">
      <c r="B112" t="s">
        <v>55</v>
      </c>
      <c r="C112" t="s">
        <v>78</v>
      </c>
      <c r="D112" t="s">
        <v>55</v>
      </c>
      <c r="E112" t="s">
        <v>78</v>
      </c>
      <c r="F112" t="s">
        <v>55</v>
      </c>
      <c r="G112" t="s">
        <v>78</v>
      </c>
      <c r="H112" t="s">
        <v>55</v>
      </c>
      <c r="I112" t="s">
        <v>78</v>
      </c>
      <c r="J112" t="s">
        <v>55</v>
      </c>
      <c r="K112" t="s">
        <v>78</v>
      </c>
      <c r="L112" t="s">
        <v>55</v>
      </c>
      <c r="M112" t="s">
        <v>78</v>
      </c>
      <c r="N112" t="s">
        <v>55</v>
      </c>
      <c r="O112" t="s">
        <v>78</v>
      </c>
      <c r="P112" t="s">
        <v>55</v>
      </c>
      <c r="Q112" t="s">
        <v>78</v>
      </c>
      <c r="R112" t="s">
        <v>55</v>
      </c>
      <c r="S112" t="s">
        <v>78</v>
      </c>
      <c r="T112" t="s">
        <v>55</v>
      </c>
      <c r="U112" t="s">
        <v>78</v>
      </c>
      <c r="V112" t="s">
        <v>55</v>
      </c>
      <c r="W112" t="s">
        <v>78</v>
      </c>
      <c r="X112" t="s">
        <v>55</v>
      </c>
      <c r="Y112" t="s">
        <v>78</v>
      </c>
      <c r="Z112" t="s">
        <v>55</v>
      </c>
      <c r="AA112" t="s">
        <v>78</v>
      </c>
      <c r="AB112" t="s">
        <v>55</v>
      </c>
      <c r="AC112" t="s">
        <v>78</v>
      </c>
      <c r="AD112" t="s">
        <v>55</v>
      </c>
      <c r="AE112" t="s">
        <v>78</v>
      </c>
      <c r="AF112" t="s">
        <v>55</v>
      </c>
      <c r="AG112" t="s">
        <v>78</v>
      </c>
      <c r="AH112" t="s">
        <v>55</v>
      </c>
      <c r="AI112" t="s">
        <v>78</v>
      </c>
      <c r="AK112" t="s">
        <v>355</v>
      </c>
    </row>
    <row r="113" spans="1:37">
      <c r="B113" t="s">
        <v>56</v>
      </c>
      <c r="C113" t="s">
        <v>56</v>
      </c>
      <c r="D113" t="s">
        <v>56</v>
      </c>
      <c r="E113" t="s">
        <v>56</v>
      </c>
      <c r="F113" t="s">
        <v>56</v>
      </c>
      <c r="G113" t="s">
        <v>176</v>
      </c>
      <c r="H113" t="s">
        <v>211</v>
      </c>
      <c r="I113" t="s">
        <v>231</v>
      </c>
      <c r="J113" t="s">
        <v>250</v>
      </c>
      <c r="K113" t="s">
        <v>264</v>
      </c>
      <c r="L113" t="s">
        <v>276</v>
      </c>
      <c r="M113" t="s">
        <v>285</v>
      </c>
      <c r="N113" t="s">
        <v>295</v>
      </c>
      <c r="O113" t="s">
        <v>303</v>
      </c>
      <c r="P113" t="s">
        <v>56</v>
      </c>
      <c r="Q113" t="s">
        <v>317</v>
      </c>
      <c r="R113" t="s">
        <v>324</v>
      </c>
      <c r="S113" t="s">
        <v>331</v>
      </c>
      <c r="T113" t="s">
        <v>334</v>
      </c>
      <c r="U113" t="s">
        <v>338</v>
      </c>
      <c r="V113" t="s">
        <v>342</v>
      </c>
      <c r="W113" t="s">
        <v>346</v>
      </c>
      <c r="X113" t="s">
        <v>351</v>
      </c>
      <c r="AK113" t="s">
        <v>355</v>
      </c>
    </row>
    <row r="114" spans="1:37">
      <c r="B114" t="s">
        <v>57</v>
      </c>
      <c r="C114" t="s">
        <v>79</v>
      </c>
      <c r="D114" t="s">
        <v>98</v>
      </c>
      <c r="E114" t="s">
        <v>117</v>
      </c>
      <c r="F114" t="s">
        <v>151</v>
      </c>
      <c r="G114" t="s">
        <v>177</v>
      </c>
      <c r="H114" t="s">
        <v>212</v>
      </c>
      <c r="I114" t="s">
        <v>232</v>
      </c>
      <c r="J114" t="s">
        <v>251</v>
      </c>
      <c r="K114" t="s">
        <v>265</v>
      </c>
      <c r="L114" t="s">
        <v>277</v>
      </c>
      <c r="M114" t="s">
        <v>286</v>
      </c>
      <c r="N114" t="s">
        <v>296</v>
      </c>
      <c r="O114" t="s">
        <v>304</v>
      </c>
      <c r="P114" t="s">
        <v>311</v>
      </c>
      <c r="Q114" t="s">
        <v>318</v>
      </c>
      <c r="R114" t="s">
        <v>185</v>
      </c>
      <c r="S114" t="s">
        <v>159</v>
      </c>
      <c r="T114" t="s">
        <v>185</v>
      </c>
      <c r="U114" t="s">
        <v>339</v>
      </c>
      <c r="V114" t="s">
        <v>72</v>
      </c>
      <c r="W114" t="s">
        <v>347</v>
      </c>
      <c r="X114" t="s">
        <v>72</v>
      </c>
      <c r="Y114" t="s">
        <v>96</v>
      </c>
      <c r="AK114" t="s">
        <v>355</v>
      </c>
    </row>
    <row r="115" spans="1:37">
      <c r="B115" t="s">
        <v>58</v>
      </c>
      <c r="C115" t="s">
        <v>80</v>
      </c>
      <c r="D115" t="s">
        <v>99</v>
      </c>
      <c r="E115" t="s">
        <v>118</v>
      </c>
      <c r="F115" t="s">
        <v>152</v>
      </c>
      <c r="G115" t="s">
        <v>178</v>
      </c>
      <c r="H115" t="s">
        <v>213</v>
      </c>
      <c r="I115" t="s">
        <v>233</v>
      </c>
      <c r="J115" t="s">
        <v>252</v>
      </c>
      <c r="K115" t="s">
        <v>266</v>
      </c>
      <c r="L115" t="s">
        <v>278</v>
      </c>
      <c r="M115" t="s">
        <v>287</v>
      </c>
      <c r="N115" t="s">
        <v>297</v>
      </c>
      <c r="O115" t="s">
        <v>305</v>
      </c>
      <c r="P115" t="s">
        <v>312</v>
      </c>
      <c r="Q115" t="s">
        <v>319</v>
      </c>
      <c r="R115">
        <f>&gt;10       ветра      1.1     12   1  2</f>
        <v>0</v>
      </c>
      <c r="AK115" t="s">
        <v>355</v>
      </c>
    </row>
    <row r="116" spans="1:37">
      <c r="A116" t="s">
        <v>40</v>
      </c>
      <c r="B116" t="s">
        <v>59</v>
      </c>
      <c r="C116" t="s">
        <v>81</v>
      </c>
      <c r="D116" t="s">
        <v>100</v>
      </c>
      <c r="E116" t="s">
        <v>119</v>
      </c>
      <c r="F116" t="s">
        <v>153</v>
      </c>
      <c r="G116" t="s">
        <v>179</v>
      </c>
      <c r="H116" t="s">
        <v>214</v>
      </c>
      <c r="I116" t="s">
        <v>234</v>
      </c>
      <c r="AK116" t="s">
        <v>355</v>
      </c>
    </row>
    <row r="117" spans="1:37">
      <c r="A117" t="s">
        <v>40</v>
      </c>
      <c r="B117" t="s">
        <v>60</v>
      </c>
      <c r="C117" t="s">
        <v>82</v>
      </c>
      <c r="D117" t="s">
        <v>101</v>
      </c>
      <c r="E117" t="s">
        <v>120</v>
      </c>
      <c r="F117" t="s">
        <v>154</v>
      </c>
      <c r="G117" t="s">
        <v>180</v>
      </c>
      <c r="H117" t="s">
        <v>215</v>
      </c>
      <c r="I117" t="s">
        <v>235</v>
      </c>
      <c r="J117" t="s">
        <v>253</v>
      </c>
      <c r="K117" t="s">
        <v>267</v>
      </c>
      <c r="L117" t="s">
        <v>279</v>
      </c>
      <c r="M117" t="s">
        <v>288</v>
      </c>
      <c r="N117" t="s">
        <v>100</v>
      </c>
      <c r="O117" t="s">
        <v>306</v>
      </c>
      <c r="P117" t="s">
        <v>313</v>
      </c>
      <c r="Q117" t="s">
        <v>320</v>
      </c>
      <c r="R117" t="s">
        <v>325</v>
      </c>
      <c r="S117" t="s">
        <v>332</v>
      </c>
      <c r="T117" t="s">
        <v>119</v>
      </c>
      <c r="U117" t="s">
        <v>234</v>
      </c>
      <c r="V117" t="s">
        <v>343</v>
      </c>
      <c r="W117" t="s">
        <v>348</v>
      </c>
      <c r="X117" t="s">
        <v>352</v>
      </c>
      <c r="Y117" t="s">
        <v>354</v>
      </c>
      <c r="AK117" t="s">
        <v>355</v>
      </c>
    </row>
    <row r="118" spans="1:37">
      <c r="A118" t="s">
        <v>41</v>
      </c>
      <c r="B118" t="s">
        <v>61</v>
      </c>
      <c r="C118" t="s">
        <v>83</v>
      </c>
      <c r="D118" t="s">
        <v>102</v>
      </c>
      <c r="E118" t="s">
        <v>121</v>
      </c>
      <c r="F118" t="s">
        <v>155</v>
      </c>
      <c r="G118" t="s">
        <v>181</v>
      </c>
      <c r="H118" t="s">
        <v>216</v>
      </c>
      <c r="I118" t="s">
        <v>236</v>
      </c>
      <c r="AK118" t="s">
        <v>355</v>
      </c>
    </row>
    <row r="119" spans="1:37">
      <c r="A119" t="s">
        <v>42</v>
      </c>
      <c r="B119" t="s">
        <v>62</v>
      </c>
      <c r="C119" t="s">
        <v>84</v>
      </c>
      <c r="D119" t="s">
        <v>103</v>
      </c>
      <c r="E119" t="s">
        <v>122</v>
      </c>
      <c r="F119" t="s">
        <v>156</v>
      </c>
      <c r="G119" t="s">
        <v>182</v>
      </c>
      <c r="H119" t="s">
        <v>83</v>
      </c>
      <c r="I119" t="s">
        <v>237</v>
      </c>
      <c r="J119" t="s">
        <v>254</v>
      </c>
      <c r="K119" t="s">
        <v>268</v>
      </c>
      <c r="L119" t="s">
        <v>280</v>
      </c>
      <c r="M119" t="s">
        <v>289</v>
      </c>
      <c r="N119" t="s">
        <v>298</v>
      </c>
      <c r="O119" t="s">
        <v>307</v>
      </c>
      <c r="P119" t="s">
        <v>314</v>
      </c>
      <c r="Q119" t="s">
        <v>216</v>
      </c>
      <c r="R119" t="s">
        <v>326</v>
      </c>
      <c r="S119" t="s">
        <v>333</v>
      </c>
      <c r="T119" t="s">
        <v>335</v>
      </c>
      <c r="U119" t="s">
        <v>340</v>
      </c>
      <c r="V119" t="s">
        <v>344</v>
      </c>
      <c r="W119" t="s">
        <v>349</v>
      </c>
      <c r="AK119" t="s">
        <v>355</v>
      </c>
    </row>
    <row r="120" spans="1:37">
      <c r="A120" t="s">
        <v>43</v>
      </c>
      <c r="B120" t="s">
        <v>63</v>
      </c>
      <c r="C120" t="s">
        <v>85</v>
      </c>
      <c r="D120" t="s">
        <v>104</v>
      </c>
      <c r="E120" t="s">
        <v>123</v>
      </c>
      <c r="F120" t="s">
        <v>157</v>
      </c>
      <c r="G120" t="s">
        <v>183</v>
      </c>
      <c r="AK120" t="s">
        <v>355</v>
      </c>
    </row>
    <row r="121" spans="1:37">
      <c r="A121" t="s">
        <v>44</v>
      </c>
      <c r="B121" t="s">
        <v>64</v>
      </c>
      <c r="C121" t="s">
        <v>86</v>
      </c>
      <c r="D121" t="s">
        <v>105</v>
      </c>
      <c r="E121" t="s">
        <v>124</v>
      </c>
      <c r="F121" t="s">
        <v>158</v>
      </c>
      <c r="G121" t="s">
        <v>184</v>
      </c>
      <c r="AK121" t="s">
        <v>355</v>
      </c>
    </row>
    <row r="122" spans="1:37">
      <c r="A122" t="s">
        <v>45</v>
      </c>
      <c r="B122" t="s">
        <v>65</v>
      </c>
      <c r="C122" t="s">
        <v>87</v>
      </c>
      <c r="D122" t="s">
        <v>106</v>
      </c>
      <c r="E122" t="s">
        <v>125</v>
      </c>
      <c r="F122" t="s">
        <v>159</v>
      </c>
      <c r="G122" t="s">
        <v>185</v>
      </c>
      <c r="H122" t="s">
        <v>159</v>
      </c>
      <c r="I122" t="s">
        <v>185</v>
      </c>
      <c r="J122" t="s">
        <v>255</v>
      </c>
      <c r="AK122" t="s">
        <v>355</v>
      </c>
    </row>
    <row r="123" spans="1:37">
      <c r="A123" t="s">
        <v>46</v>
      </c>
      <c r="B123" t="s">
        <v>66</v>
      </c>
      <c r="C123" t="s">
        <v>88</v>
      </c>
      <c r="D123" t="s">
        <v>76</v>
      </c>
      <c r="E123" t="s">
        <v>126</v>
      </c>
      <c r="F123" t="s">
        <v>160</v>
      </c>
      <c r="G123" t="s">
        <v>186</v>
      </c>
      <c r="H123" t="s">
        <v>217</v>
      </c>
      <c r="I123" t="s">
        <v>238</v>
      </c>
      <c r="J123" t="s">
        <v>256</v>
      </c>
      <c r="K123" t="s">
        <v>265</v>
      </c>
      <c r="L123" t="s">
        <v>281</v>
      </c>
      <c r="M123" t="s">
        <v>290</v>
      </c>
      <c r="N123" t="s">
        <v>299</v>
      </c>
      <c r="O123" t="s">
        <v>308</v>
      </c>
      <c r="P123" t="s">
        <v>228</v>
      </c>
      <c r="Q123" t="s">
        <v>72</v>
      </c>
      <c r="R123" t="s">
        <v>327</v>
      </c>
      <c r="S123" t="s">
        <v>327</v>
      </c>
      <c r="T123" t="s">
        <v>336</v>
      </c>
      <c r="U123" t="s">
        <v>336</v>
      </c>
      <c r="V123" t="s">
        <v>336</v>
      </c>
      <c r="W123" t="s">
        <v>336</v>
      </c>
      <c r="X123" t="s">
        <v>353</v>
      </c>
      <c r="AK123" t="s">
        <v>355</v>
      </c>
    </row>
    <row r="124" spans="1:37">
      <c r="A124" t="s">
        <v>37</v>
      </c>
      <c r="B124" t="s">
        <v>49</v>
      </c>
      <c r="C124" t="s">
        <v>73</v>
      </c>
      <c r="D124" t="s">
        <v>94</v>
      </c>
      <c r="E124" t="s">
        <v>112</v>
      </c>
      <c r="F124" t="s">
        <v>146</v>
      </c>
      <c r="G124" t="s">
        <v>172</v>
      </c>
      <c r="H124" t="s">
        <v>207</v>
      </c>
      <c r="I124" t="s">
        <v>226</v>
      </c>
      <c r="J124" t="s">
        <v>246</v>
      </c>
      <c r="K124" t="s">
        <v>259</v>
      </c>
      <c r="AK124" t="s">
        <v>355</v>
      </c>
    </row>
    <row r="125" spans="1:37">
      <c r="A125" t="s">
        <v>38</v>
      </c>
      <c r="B125" t="s">
        <v>50</v>
      </c>
      <c r="C125" t="s">
        <v>74</v>
      </c>
      <c r="D125" t="s">
        <v>95</v>
      </c>
      <c r="E125" t="s">
        <v>113</v>
      </c>
      <c r="F125" t="s">
        <v>147</v>
      </c>
      <c r="G125" t="s">
        <v>173</v>
      </c>
      <c r="H125" t="s">
        <v>208</v>
      </c>
      <c r="I125" t="s">
        <v>227</v>
      </c>
      <c r="J125" t="s">
        <v>115</v>
      </c>
      <c r="K125" t="s">
        <v>260</v>
      </c>
      <c r="L125" t="s">
        <v>273</v>
      </c>
      <c r="M125" t="s">
        <v>282</v>
      </c>
      <c r="N125" t="s">
        <v>291</v>
      </c>
      <c r="AK125" t="s">
        <v>355</v>
      </c>
    </row>
    <row r="126" spans="1:37">
      <c r="B126" t="s">
        <v>51</v>
      </c>
      <c r="C126" t="s">
        <v>75</v>
      </c>
      <c r="D126" t="s">
        <v>52</v>
      </c>
      <c r="E126" t="s">
        <v>114</v>
      </c>
      <c r="F126" t="s">
        <v>148</v>
      </c>
      <c r="G126" t="s">
        <v>148</v>
      </c>
      <c r="H126" t="s">
        <v>209</v>
      </c>
      <c r="I126" t="s">
        <v>228</v>
      </c>
      <c r="J126" t="s">
        <v>247</v>
      </c>
      <c r="K126" t="s">
        <v>261</v>
      </c>
      <c r="L126" t="s">
        <v>274</v>
      </c>
      <c r="M126" t="s">
        <v>283</v>
      </c>
      <c r="N126" t="s">
        <v>292</v>
      </c>
      <c r="O126" t="s">
        <v>300</v>
      </c>
      <c r="AK126" t="s">
        <v>355</v>
      </c>
    </row>
    <row r="127" spans="1:37">
      <c r="B127" t="s">
        <v>52</v>
      </c>
      <c r="C127" t="s">
        <v>76</v>
      </c>
      <c r="D127" t="s">
        <v>96</v>
      </c>
      <c r="E127" t="s">
        <v>115</v>
      </c>
      <c r="F127" t="s">
        <v>149</v>
      </c>
      <c r="G127" t="s">
        <v>174</v>
      </c>
      <c r="H127" t="s">
        <v>96</v>
      </c>
      <c r="I127" t="s">
        <v>229</v>
      </c>
      <c r="J127" t="s">
        <v>248</v>
      </c>
      <c r="K127" t="s">
        <v>262</v>
      </c>
      <c r="L127" t="s">
        <v>52</v>
      </c>
      <c r="M127" t="s">
        <v>76</v>
      </c>
      <c r="N127" t="s">
        <v>293</v>
      </c>
      <c r="O127" t="s">
        <v>301</v>
      </c>
      <c r="P127" t="s">
        <v>309</v>
      </c>
      <c r="Q127" t="s">
        <v>315</v>
      </c>
      <c r="R127" t="s">
        <v>228</v>
      </c>
      <c r="S127" t="s">
        <v>328</v>
      </c>
      <c r="T127" t="s">
        <v>149</v>
      </c>
      <c r="U127" t="s">
        <v>337</v>
      </c>
      <c r="V127" t="s">
        <v>341</v>
      </c>
      <c r="W127" t="s">
        <v>345</v>
      </c>
      <c r="X127" t="s">
        <v>350</v>
      </c>
      <c r="AK127" t="s">
        <v>355</v>
      </c>
    </row>
    <row r="128" spans="1:37">
      <c r="B128" t="s">
        <v>53</v>
      </c>
      <c r="C128" t="s">
        <v>77</v>
      </c>
      <c r="D128" t="s">
        <v>97</v>
      </c>
      <c r="E128" t="s">
        <v>116</v>
      </c>
      <c r="F128" t="s">
        <v>150</v>
      </c>
      <c r="G128" t="s">
        <v>175</v>
      </c>
      <c r="H128" t="s">
        <v>210</v>
      </c>
      <c r="I128" t="s">
        <v>230</v>
      </c>
      <c r="J128" t="s">
        <v>249</v>
      </c>
      <c r="K128" t="s">
        <v>263</v>
      </c>
      <c r="L128" t="s">
        <v>275</v>
      </c>
      <c r="M128" t="s">
        <v>284</v>
      </c>
      <c r="N128" t="s">
        <v>294</v>
      </c>
      <c r="O128" t="s">
        <v>302</v>
      </c>
      <c r="P128" t="s">
        <v>310</v>
      </c>
      <c r="Q128" t="s">
        <v>316</v>
      </c>
      <c r="R128" t="s">
        <v>322</v>
      </c>
      <c r="S128" t="s">
        <v>329</v>
      </c>
      <c r="AK128" t="s">
        <v>355</v>
      </c>
    </row>
    <row r="129" spans="1:37">
      <c r="A129" t="s">
        <v>39</v>
      </c>
      <c r="B129" t="s">
        <v>54</v>
      </c>
      <c r="C129" t="s">
        <v>54</v>
      </c>
      <c r="D129" t="s">
        <v>54</v>
      </c>
      <c r="E129" t="s">
        <v>54</v>
      </c>
      <c r="F129" t="s">
        <v>54</v>
      </c>
      <c r="G129" t="s">
        <v>54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323</v>
      </c>
      <c r="S129" t="s">
        <v>330</v>
      </c>
      <c r="AK129" t="s">
        <v>355</v>
      </c>
    </row>
    <row r="130" spans="1:37">
      <c r="B130" t="s">
        <v>55</v>
      </c>
      <c r="C130" t="s">
        <v>78</v>
      </c>
      <c r="D130" t="s">
        <v>55</v>
      </c>
      <c r="E130" t="s">
        <v>78</v>
      </c>
      <c r="F130" t="s">
        <v>55</v>
      </c>
      <c r="G130" t="s">
        <v>78</v>
      </c>
      <c r="H130" t="s">
        <v>55</v>
      </c>
      <c r="I130" t="s">
        <v>78</v>
      </c>
      <c r="J130" t="s">
        <v>55</v>
      </c>
      <c r="K130" t="s">
        <v>78</v>
      </c>
      <c r="L130" t="s">
        <v>55</v>
      </c>
      <c r="M130" t="s">
        <v>78</v>
      </c>
      <c r="N130" t="s">
        <v>55</v>
      </c>
      <c r="O130" t="s">
        <v>78</v>
      </c>
      <c r="P130" t="s">
        <v>55</v>
      </c>
      <c r="Q130" t="s">
        <v>78</v>
      </c>
      <c r="R130" t="s">
        <v>55</v>
      </c>
      <c r="S130" t="s">
        <v>78</v>
      </c>
      <c r="T130" t="s">
        <v>55</v>
      </c>
      <c r="U130" t="s">
        <v>78</v>
      </c>
      <c r="V130" t="s">
        <v>55</v>
      </c>
      <c r="W130" t="s">
        <v>78</v>
      </c>
      <c r="X130" t="s">
        <v>55</v>
      </c>
      <c r="Y130" t="s">
        <v>78</v>
      </c>
      <c r="Z130" t="s">
        <v>55</v>
      </c>
      <c r="AA130" t="s">
        <v>78</v>
      </c>
      <c r="AB130" t="s">
        <v>55</v>
      </c>
      <c r="AC130" t="s">
        <v>78</v>
      </c>
      <c r="AD130" t="s">
        <v>55</v>
      </c>
      <c r="AE130" t="s">
        <v>78</v>
      </c>
      <c r="AF130" t="s">
        <v>55</v>
      </c>
      <c r="AG130" t="s">
        <v>78</v>
      </c>
      <c r="AH130" t="s">
        <v>55</v>
      </c>
      <c r="AI130" t="s">
        <v>78</v>
      </c>
      <c r="AK130" t="s">
        <v>355</v>
      </c>
    </row>
    <row r="131" spans="1:37">
      <c r="B131" t="s">
        <v>56</v>
      </c>
      <c r="C131" t="s">
        <v>56</v>
      </c>
      <c r="D131" t="s">
        <v>56</v>
      </c>
      <c r="E131" t="s">
        <v>56</v>
      </c>
      <c r="F131" t="s">
        <v>56</v>
      </c>
      <c r="G131" t="s">
        <v>176</v>
      </c>
      <c r="H131" t="s">
        <v>211</v>
      </c>
      <c r="I131" t="s">
        <v>231</v>
      </c>
      <c r="J131" t="s">
        <v>250</v>
      </c>
      <c r="K131" t="s">
        <v>264</v>
      </c>
      <c r="L131" t="s">
        <v>276</v>
      </c>
      <c r="M131" t="s">
        <v>285</v>
      </c>
      <c r="N131" t="s">
        <v>295</v>
      </c>
      <c r="O131" t="s">
        <v>303</v>
      </c>
      <c r="P131" t="s">
        <v>56</v>
      </c>
      <c r="Q131" t="s">
        <v>317</v>
      </c>
      <c r="R131" t="s">
        <v>324</v>
      </c>
      <c r="S131" t="s">
        <v>331</v>
      </c>
      <c r="T131" t="s">
        <v>334</v>
      </c>
      <c r="U131" t="s">
        <v>338</v>
      </c>
      <c r="V131" t="s">
        <v>342</v>
      </c>
      <c r="W131" t="s">
        <v>346</v>
      </c>
      <c r="X131" t="s">
        <v>351</v>
      </c>
      <c r="AK131" t="s">
        <v>355</v>
      </c>
    </row>
    <row r="132" spans="1:37">
      <c r="B132" t="s">
        <v>57</v>
      </c>
      <c r="C132" t="s">
        <v>79</v>
      </c>
      <c r="D132" t="s">
        <v>98</v>
      </c>
      <c r="E132" t="s">
        <v>117</v>
      </c>
      <c r="F132" t="s">
        <v>151</v>
      </c>
      <c r="G132" t="s">
        <v>177</v>
      </c>
      <c r="H132" t="s">
        <v>212</v>
      </c>
      <c r="I132" t="s">
        <v>232</v>
      </c>
      <c r="J132" t="s">
        <v>251</v>
      </c>
      <c r="K132" t="s">
        <v>265</v>
      </c>
      <c r="L132" t="s">
        <v>277</v>
      </c>
      <c r="M132" t="s">
        <v>286</v>
      </c>
      <c r="N132" t="s">
        <v>296</v>
      </c>
      <c r="O132" t="s">
        <v>304</v>
      </c>
      <c r="P132" t="s">
        <v>311</v>
      </c>
      <c r="Q132" t="s">
        <v>318</v>
      </c>
      <c r="R132" t="s">
        <v>185</v>
      </c>
      <c r="S132" t="s">
        <v>159</v>
      </c>
      <c r="T132" t="s">
        <v>185</v>
      </c>
      <c r="U132" t="s">
        <v>339</v>
      </c>
      <c r="V132" t="s">
        <v>72</v>
      </c>
      <c r="W132" t="s">
        <v>347</v>
      </c>
      <c r="X132" t="s">
        <v>72</v>
      </c>
      <c r="Y132" t="s">
        <v>96</v>
      </c>
      <c r="AK132" t="s">
        <v>355</v>
      </c>
    </row>
    <row r="133" spans="1:37">
      <c r="B133" t="s">
        <v>58</v>
      </c>
      <c r="C133" t="s">
        <v>80</v>
      </c>
      <c r="D133" t="s">
        <v>99</v>
      </c>
      <c r="E133" t="s">
        <v>118</v>
      </c>
      <c r="F133" t="s">
        <v>152</v>
      </c>
      <c r="G133" t="s">
        <v>178</v>
      </c>
      <c r="H133" t="s">
        <v>213</v>
      </c>
      <c r="I133" t="s">
        <v>233</v>
      </c>
      <c r="J133" t="s">
        <v>252</v>
      </c>
      <c r="K133" t="s">
        <v>266</v>
      </c>
      <c r="L133" t="s">
        <v>278</v>
      </c>
      <c r="M133" t="s">
        <v>287</v>
      </c>
      <c r="N133" t="s">
        <v>297</v>
      </c>
      <c r="O133" t="s">
        <v>305</v>
      </c>
      <c r="P133" t="s">
        <v>312</v>
      </c>
      <c r="Q133" t="s">
        <v>319</v>
      </c>
      <c r="R133">
        <f>&gt;10       ветра      1.0     10   1  6</f>
        <v>0</v>
      </c>
      <c r="AK133" t="s">
        <v>355</v>
      </c>
    </row>
    <row r="134" spans="1:37">
      <c r="A134" t="s">
        <v>40</v>
      </c>
      <c r="B134" t="s">
        <v>59</v>
      </c>
      <c r="C134" t="s">
        <v>81</v>
      </c>
      <c r="D134" t="s">
        <v>100</v>
      </c>
      <c r="E134" t="s">
        <v>119</v>
      </c>
      <c r="F134" t="s">
        <v>153</v>
      </c>
      <c r="G134" t="s">
        <v>179</v>
      </c>
      <c r="H134" t="s">
        <v>214</v>
      </c>
      <c r="I134" t="s">
        <v>234</v>
      </c>
      <c r="AK134" t="s">
        <v>355</v>
      </c>
    </row>
    <row r="135" spans="1:37">
      <c r="A135" t="s">
        <v>40</v>
      </c>
      <c r="B135" t="s">
        <v>60</v>
      </c>
      <c r="C135" t="s">
        <v>82</v>
      </c>
      <c r="D135" t="s">
        <v>101</v>
      </c>
      <c r="E135" t="s">
        <v>120</v>
      </c>
      <c r="F135" t="s">
        <v>154</v>
      </c>
      <c r="G135" t="s">
        <v>180</v>
      </c>
      <c r="H135" t="s">
        <v>215</v>
      </c>
      <c r="I135" t="s">
        <v>235</v>
      </c>
      <c r="J135" t="s">
        <v>253</v>
      </c>
      <c r="K135" t="s">
        <v>267</v>
      </c>
      <c r="L135" t="s">
        <v>279</v>
      </c>
      <c r="M135" t="s">
        <v>288</v>
      </c>
      <c r="N135" t="s">
        <v>100</v>
      </c>
      <c r="O135" t="s">
        <v>306</v>
      </c>
      <c r="P135" t="s">
        <v>313</v>
      </c>
      <c r="Q135" t="s">
        <v>320</v>
      </c>
      <c r="R135" t="s">
        <v>325</v>
      </c>
      <c r="S135" t="s">
        <v>332</v>
      </c>
      <c r="T135" t="s">
        <v>119</v>
      </c>
      <c r="U135" t="s">
        <v>234</v>
      </c>
      <c r="V135" t="s">
        <v>343</v>
      </c>
      <c r="W135" t="s">
        <v>348</v>
      </c>
      <c r="X135" t="s">
        <v>352</v>
      </c>
      <c r="Y135" t="s">
        <v>354</v>
      </c>
      <c r="AK135" t="s">
        <v>355</v>
      </c>
    </row>
    <row r="136" spans="1:37">
      <c r="A136" t="s">
        <v>41</v>
      </c>
      <c r="B136" t="s">
        <v>61</v>
      </c>
      <c r="C136" t="s">
        <v>83</v>
      </c>
      <c r="D136" t="s">
        <v>102</v>
      </c>
      <c r="E136" t="s">
        <v>121</v>
      </c>
      <c r="F136" t="s">
        <v>155</v>
      </c>
      <c r="G136" t="s">
        <v>181</v>
      </c>
      <c r="H136" t="s">
        <v>216</v>
      </c>
      <c r="I136" t="s">
        <v>236</v>
      </c>
      <c r="AK136" t="s">
        <v>355</v>
      </c>
    </row>
    <row r="137" spans="1:37">
      <c r="A137" t="s">
        <v>42</v>
      </c>
      <c r="B137" t="s">
        <v>62</v>
      </c>
      <c r="C137" t="s">
        <v>84</v>
      </c>
      <c r="D137" t="s">
        <v>103</v>
      </c>
      <c r="E137" t="s">
        <v>122</v>
      </c>
      <c r="F137" t="s">
        <v>156</v>
      </c>
      <c r="G137" t="s">
        <v>182</v>
      </c>
      <c r="H137" t="s">
        <v>83</v>
      </c>
      <c r="I137" t="s">
        <v>237</v>
      </c>
      <c r="J137" t="s">
        <v>254</v>
      </c>
      <c r="K137" t="s">
        <v>268</v>
      </c>
      <c r="L137" t="s">
        <v>280</v>
      </c>
      <c r="M137" t="s">
        <v>289</v>
      </c>
      <c r="N137" t="s">
        <v>298</v>
      </c>
      <c r="O137" t="s">
        <v>307</v>
      </c>
      <c r="P137" t="s">
        <v>314</v>
      </c>
      <c r="Q137" t="s">
        <v>216</v>
      </c>
      <c r="R137" t="s">
        <v>326</v>
      </c>
      <c r="S137" t="s">
        <v>333</v>
      </c>
      <c r="T137" t="s">
        <v>335</v>
      </c>
      <c r="U137" t="s">
        <v>340</v>
      </c>
      <c r="V137" t="s">
        <v>344</v>
      </c>
      <c r="W137" t="s">
        <v>349</v>
      </c>
      <c r="AK137" t="s">
        <v>355</v>
      </c>
    </row>
    <row r="138" spans="1:37">
      <c r="A138" t="s">
        <v>43</v>
      </c>
      <c r="B138" t="s">
        <v>63</v>
      </c>
      <c r="C138" t="s">
        <v>85</v>
      </c>
      <c r="D138" t="s">
        <v>104</v>
      </c>
      <c r="E138" t="s">
        <v>123</v>
      </c>
      <c r="F138" t="s">
        <v>157</v>
      </c>
      <c r="G138" t="s">
        <v>183</v>
      </c>
      <c r="AK138" t="s">
        <v>355</v>
      </c>
    </row>
    <row r="139" spans="1:37">
      <c r="A139" t="s">
        <v>44</v>
      </c>
      <c r="B139" t="s">
        <v>64</v>
      </c>
      <c r="C139" t="s">
        <v>86</v>
      </c>
      <c r="D139" t="s">
        <v>105</v>
      </c>
      <c r="E139" t="s">
        <v>124</v>
      </c>
      <c r="F139" t="s">
        <v>158</v>
      </c>
      <c r="G139" t="s">
        <v>184</v>
      </c>
      <c r="AK139" t="s">
        <v>355</v>
      </c>
    </row>
    <row r="140" spans="1:37">
      <c r="A140" t="s">
        <v>45</v>
      </c>
      <c r="B140" t="s">
        <v>65</v>
      </c>
      <c r="C140" t="s">
        <v>87</v>
      </c>
      <c r="D140" t="s">
        <v>106</v>
      </c>
      <c r="E140" t="s">
        <v>125</v>
      </c>
      <c r="F140" t="s">
        <v>159</v>
      </c>
      <c r="G140" t="s">
        <v>185</v>
      </c>
      <c r="H140" t="s">
        <v>159</v>
      </c>
      <c r="I140" t="s">
        <v>185</v>
      </c>
      <c r="J140" t="s">
        <v>255</v>
      </c>
      <c r="AK140" t="s">
        <v>355</v>
      </c>
    </row>
    <row r="141" spans="1:37">
      <c r="A141" t="s">
        <v>46</v>
      </c>
      <c r="B141" t="s">
        <v>66</v>
      </c>
      <c r="C141" t="s">
        <v>88</v>
      </c>
      <c r="D141" t="s">
        <v>76</v>
      </c>
      <c r="E141" t="s">
        <v>126</v>
      </c>
      <c r="F141" t="s">
        <v>160</v>
      </c>
      <c r="G141" t="s">
        <v>186</v>
      </c>
      <c r="H141" t="s">
        <v>217</v>
      </c>
      <c r="I141" t="s">
        <v>238</v>
      </c>
      <c r="J141" t="s">
        <v>256</v>
      </c>
      <c r="K141" t="s">
        <v>265</v>
      </c>
      <c r="L141" t="s">
        <v>281</v>
      </c>
      <c r="M141" t="s">
        <v>290</v>
      </c>
      <c r="N141" t="s">
        <v>299</v>
      </c>
      <c r="O141" t="s">
        <v>308</v>
      </c>
      <c r="P141" t="s">
        <v>228</v>
      </c>
      <c r="Q141" t="s">
        <v>72</v>
      </c>
      <c r="R141" t="s">
        <v>327</v>
      </c>
      <c r="S141" t="s">
        <v>327</v>
      </c>
      <c r="T141" t="s">
        <v>336</v>
      </c>
      <c r="U141" t="s">
        <v>336</v>
      </c>
      <c r="V141" t="s">
        <v>336</v>
      </c>
      <c r="W141" t="s">
        <v>336</v>
      </c>
      <c r="X141" t="s">
        <v>353</v>
      </c>
      <c r="AK141" t="s">
        <v>355</v>
      </c>
    </row>
    <row r="142" spans="1:37">
      <c r="B142" t="s">
        <v>67</v>
      </c>
      <c r="C142" t="s">
        <v>89</v>
      </c>
      <c r="D142" t="s">
        <v>107</v>
      </c>
      <c r="AK142" t="s">
        <v>355</v>
      </c>
    </row>
    <row r="143" spans="1:37">
      <c r="B143" t="s">
        <v>68</v>
      </c>
      <c r="C143" t="s">
        <v>90</v>
      </c>
      <c r="D143" t="s">
        <v>108</v>
      </c>
      <c r="AK143" t="s">
        <v>355</v>
      </c>
    </row>
    <row r="144" spans="1:37">
      <c r="A144" t="s">
        <v>47</v>
      </c>
      <c r="B144" t="s">
        <v>69</v>
      </c>
      <c r="C144" t="s">
        <v>91</v>
      </c>
      <c r="D144" t="s">
        <v>109</v>
      </c>
      <c r="E144" t="s">
        <v>109</v>
      </c>
      <c r="F144" t="s">
        <v>109</v>
      </c>
      <c r="G144" t="s">
        <v>109</v>
      </c>
      <c r="H144" t="s">
        <v>109</v>
      </c>
      <c r="I144" t="s">
        <v>239</v>
      </c>
      <c r="AK144" t="s">
        <v>355</v>
      </c>
    </row>
    <row r="145" spans="1:37">
      <c r="B145" t="s">
        <v>70</v>
      </c>
      <c r="C145" t="s">
        <v>92</v>
      </c>
      <c r="D145" t="s">
        <v>110</v>
      </c>
      <c r="E145" t="s">
        <v>127</v>
      </c>
      <c r="F145" t="s">
        <v>161</v>
      </c>
      <c r="G145" t="s">
        <v>187</v>
      </c>
      <c r="H145" t="s">
        <v>218</v>
      </c>
      <c r="AK145" t="s">
        <v>355</v>
      </c>
    </row>
    <row r="146" spans="1:37">
      <c r="B146" t="s">
        <v>71</v>
      </c>
      <c r="C146" t="s">
        <v>93</v>
      </c>
      <c r="D146" t="s">
        <v>111</v>
      </c>
      <c r="E146" t="s">
        <v>128</v>
      </c>
      <c r="F146" t="s">
        <v>162</v>
      </c>
      <c r="G146" t="s">
        <v>188</v>
      </c>
      <c r="H146" t="s">
        <v>219</v>
      </c>
      <c r="I146" t="s">
        <v>240</v>
      </c>
      <c r="J146" t="s">
        <v>257</v>
      </c>
      <c r="K146" t="s">
        <v>269</v>
      </c>
      <c r="L146" t="s">
        <v>109</v>
      </c>
      <c r="M146" t="s">
        <v>109</v>
      </c>
      <c r="N146" t="s">
        <v>109</v>
      </c>
      <c r="O146" t="s">
        <v>109</v>
      </c>
      <c r="P146" t="s">
        <v>109</v>
      </c>
      <c r="Q146" t="s">
        <v>321</v>
      </c>
      <c r="AK146" t="s">
        <v>355</v>
      </c>
    </row>
    <row r="147" spans="1:37">
      <c r="A147" t="s">
        <v>48</v>
      </c>
      <c r="B147" t="s">
        <v>71</v>
      </c>
      <c r="C147" t="s">
        <v>93</v>
      </c>
      <c r="D147" t="s">
        <v>111</v>
      </c>
      <c r="E147" t="s">
        <v>128</v>
      </c>
      <c r="F147" t="s">
        <v>163</v>
      </c>
      <c r="G147" t="s">
        <v>189</v>
      </c>
      <c r="H147" t="s">
        <v>220</v>
      </c>
      <c r="I147" t="s">
        <v>241</v>
      </c>
      <c r="J147" t="s">
        <v>258</v>
      </c>
      <c r="K147" t="s">
        <v>270</v>
      </c>
      <c r="AK147" t="s">
        <v>355</v>
      </c>
    </row>
    <row r="148" spans="1:37">
      <c r="B148" t="s">
        <v>72</v>
      </c>
      <c r="C148" t="s">
        <v>72</v>
      </c>
      <c r="D148" t="s">
        <v>72</v>
      </c>
      <c r="E148" t="s">
        <v>129</v>
      </c>
      <c r="F148" t="s">
        <v>164</v>
      </c>
      <c r="G148" t="s">
        <v>192</v>
      </c>
      <c r="H148" t="s">
        <v>192</v>
      </c>
      <c r="I148" t="s">
        <v>192</v>
      </c>
      <c r="J148" t="s">
        <v>192</v>
      </c>
      <c r="K148" t="s">
        <v>271</v>
      </c>
      <c r="AK148" t="s">
        <v>355</v>
      </c>
    </row>
    <row r="149" spans="1:37">
      <c r="A149" t="s">
        <v>37</v>
      </c>
      <c r="B149" t="s">
        <v>49</v>
      </c>
      <c r="C149" t="s">
        <v>73</v>
      </c>
      <c r="D149" t="s">
        <v>94</v>
      </c>
      <c r="E149" t="s">
        <v>112</v>
      </c>
      <c r="F149" t="s">
        <v>146</v>
      </c>
      <c r="G149" t="s">
        <v>172</v>
      </c>
      <c r="H149" t="s">
        <v>207</v>
      </c>
      <c r="I149" t="s">
        <v>226</v>
      </c>
      <c r="J149" t="s">
        <v>246</v>
      </c>
      <c r="K149" t="s">
        <v>259</v>
      </c>
      <c r="AK149" t="s">
        <v>355</v>
      </c>
    </row>
    <row r="150" spans="1:37">
      <c r="A150" t="s">
        <v>38</v>
      </c>
      <c r="B150" t="s">
        <v>50</v>
      </c>
      <c r="C150" t="s">
        <v>74</v>
      </c>
      <c r="D150" t="s">
        <v>95</v>
      </c>
      <c r="E150" t="s">
        <v>113</v>
      </c>
      <c r="F150" t="s">
        <v>147</v>
      </c>
      <c r="G150" t="s">
        <v>173</v>
      </c>
      <c r="H150" t="s">
        <v>208</v>
      </c>
      <c r="I150" t="s">
        <v>227</v>
      </c>
      <c r="J150" t="s">
        <v>115</v>
      </c>
      <c r="K150" t="s">
        <v>260</v>
      </c>
      <c r="L150" t="s">
        <v>273</v>
      </c>
      <c r="M150" t="s">
        <v>282</v>
      </c>
      <c r="N150" t="s">
        <v>291</v>
      </c>
      <c r="AK150" t="s">
        <v>355</v>
      </c>
    </row>
    <row r="151" spans="1:37">
      <c r="B151" t="s">
        <v>51</v>
      </c>
      <c r="C151" t="s">
        <v>75</v>
      </c>
      <c r="D151" t="s">
        <v>52</v>
      </c>
      <c r="E151" t="s">
        <v>114</v>
      </c>
      <c r="F151" t="s">
        <v>148</v>
      </c>
      <c r="G151" t="s">
        <v>148</v>
      </c>
      <c r="H151" t="s">
        <v>209</v>
      </c>
      <c r="I151" t="s">
        <v>228</v>
      </c>
      <c r="J151" t="s">
        <v>247</v>
      </c>
      <c r="K151" t="s">
        <v>261</v>
      </c>
      <c r="L151" t="s">
        <v>274</v>
      </c>
      <c r="M151" t="s">
        <v>283</v>
      </c>
      <c r="N151" t="s">
        <v>292</v>
      </c>
      <c r="O151" t="s">
        <v>300</v>
      </c>
      <c r="AK151" t="s">
        <v>355</v>
      </c>
    </row>
    <row r="152" spans="1:37">
      <c r="B152" t="s">
        <v>52</v>
      </c>
      <c r="C152" t="s">
        <v>76</v>
      </c>
      <c r="D152" t="s">
        <v>96</v>
      </c>
      <c r="E152" t="s">
        <v>115</v>
      </c>
      <c r="F152" t="s">
        <v>149</v>
      </c>
      <c r="G152" t="s">
        <v>174</v>
      </c>
      <c r="H152" t="s">
        <v>96</v>
      </c>
      <c r="I152" t="s">
        <v>229</v>
      </c>
      <c r="J152" t="s">
        <v>248</v>
      </c>
      <c r="K152" t="s">
        <v>262</v>
      </c>
      <c r="L152" t="s">
        <v>52</v>
      </c>
      <c r="M152" t="s">
        <v>76</v>
      </c>
      <c r="N152" t="s">
        <v>293</v>
      </c>
      <c r="O152" t="s">
        <v>301</v>
      </c>
      <c r="P152" t="s">
        <v>309</v>
      </c>
      <c r="Q152" t="s">
        <v>315</v>
      </c>
      <c r="R152" t="s">
        <v>228</v>
      </c>
      <c r="S152" t="s">
        <v>328</v>
      </c>
      <c r="T152" t="s">
        <v>149</v>
      </c>
      <c r="U152" t="s">
        <v>337</v>
      </c>
      <c r="V152" t="s">
        <v>341</v>
      </c>
      <c r="W152" t="s">
        <v>345</v>
      </c>
      <c r="X152" t="s">
        <v>350</v>
      </c>
      <c r="AK152" t="s">
        <v>355</v>
      </c>
    </row>
    <row r="153" spans="1:37">
      <c r="B153" t="s">
        <v>53</v>
      </c>
      <c r="C153" t="s">
        <v>77</v>
      </c>
      <c r="D153" t="s">
        <v>97</v>
      </c>
      <c r="E153" t="s">
        <v>116</v>
      </c>
      <c r="F153" t="s">
        <v>150</v>
      </c>
      <c r="G153" t="s">
        <v>175</v>
      </c>
      <c r="H153" t="s">
        <v>210</v>
      </c>
      <c r="I153" t="s">
        <v>230</v>
      </c>
      <c r="J153" t="s">
        <v>249</v>
      </c>
      <c r="K153" t="s">
        <v>263</v>
      </c>
      <c r="L153" t="s">
        <v>275</v>
      </c>
      <c r="M153" t="s">
        <v>284</v>
      </c>
      <c r="N153" t="s">
        <v>294</v>
      </c>
      <c r="O153" t="s">
        <v>302</v>
      </c>
      <c r="P153" t="s">
        <v>310</v>
      </c>
      <c r="Q153" t="s">
        <v>316</v>
      </c>
      <c r="R153" t="s">
        <v>322</v>
      </c>
      <c r="S153" t="s">
        <v>329</v>
      </c>
      <c r="AK153" t="s">
        <v>355</v>
      </c>
    </row>
    <row r="154" spans="1:37">
      <c r="A154" t="s">
        <v>39</v>
      </c>
      <c r="B154" t="s">
        <v>54</v>
      </c>
      <c r="C154" t="s">
        <v>54</v>
      </c>
      <c r="D154" t="s">
        <v>54</v>
      </c>
      <c r="E154" t="s">
        <v>54</v>
      </c>
      <c r="F154" t="s">
        <v>54</v>
      </c>
      <c r="G154" t="s">
        <v>54</v>
      </c>
      <c r="H154" t="s">
        <v>54</v>
      </c>
      <c r="I154" t="s">
        <v>54</v>
      </c>
      <c r="J154" t="s">
        <v>54</v>
      </c>
      <c r="K154" t="s">
        <v>54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323</v>
      </c>
      <c r="S154" t="s">
        <v>330</v>
      </c>
      <c r="AK154" t="s">
        <v>355</v>
      </c>
    </row>
    <row r="155" spans="1:37">
      <c r="B155" t="s">
        <v>55</v>
      </c>
      <c r="C155" t="s">
        <v>78</v>
      </c>
      <c r="D155" t="s">
        <v>55</v>
      </c>
      <c r="E155" t="s">
        <v>78</v>
      </c>
      <c r="F155" t="s">
        <v>55</v>
      </c>
      <c r="G155" t="s">
        <v>78</v>
      </c>
      <c r="H155" t="s">
        <v>55</v>
      </c>
      <c r="I155" t="s">
        <v>78</v>
      </c>
      <c r="J155" t="s">
        <v>55</v>
      </c>
      <c r="K155" t="s">
        <v>78</v>
      </c>
      <c r="L155" t="s">
        <v>55</v>
      </c>
      <c r="M155" t="s">
        <v>78</v>
      </c>
      <c r="N155" t="s">
        <v>55</v>
      </c>
      <c r="O155" t="s">
        <v>78</v>
      </c>
      <c r="P155" t="s">
        <v>55</v>
      </c>
      <c r="Q155" t="s">
        <v>78</v>
      </c>
      <c r="R155" t="s">
        <v>55</v>
      </c>
      <c r="S155" t="s">
        <v>78</v>
      </c>
      <c r="T155" t="s">
        <v>55</v>
      </c>
      <c r="U155" t="s">
        <v>78</v>
      </c>
      <c r="V155" t="s">
        <v>55</v>
      </c>
      <c r="W155" t="s">
        <v>78</v>
      </c>
      <c r="X155" t="s">
        <v>55</v>
      </c>
      <c r="Y155" t="s">
        <v>78</v>
      </c>
      <c r="Z155" t="s">
        <v>55</v>
      </c>
      <c r="AA155" t="s">
        <v>78</v>
      </c>
      <c r="AB155" t="s">
        <v>55</v>
      </c>
      <c r="AC155" t="s">
        <v>78</v>
      </c>
      <c r="AD155" t="s">
        <v>55</v>
      </c>
      <c r="AE155" t="s">
        <v>78</v>
      </c>
      <c r="AF155" t="s">
        <v>55</v>
      </c>
      <c r="AG155" t="s">
        <v>78</v>
      </c>
      <c r="AH155" t="s">
        <v>55</v>
      </c>
      <c r="AI155" t="s">
        <v>78</v>
      </c>
      <c r="AK155" t="s">
        <v>355</v>
      </c>
    </row>
    <row r="156" spans="1:37">
      <c r="B156" t="s">
        <v>56</v>
      </c>
      <c r="C156" t="s">
        <v>56</v>
      </c>
      <c r="D156" t="s">
        <v>56</v>
      </c>
      <c r="E156" t="s">
        <v>56</v>
      </c>
      <c r="F156" t="s">
        <v>56</v>
      </c>
      <c r="G156" t="s">
        <v>176</v>
      </c>
      <c r="H156" t="s">
        <v>211</v>
      </c>
      <c r="I156" t="s">
        <v>231</v>
      </c>
      <c r="J156" t="s">
        <v>250</v>
      </c>
      <c r="K156" t="s">
        <v>264</v>
      </c>
      <c r="L156" t="s">
        <v>276</v>
      </c>
      <c r="M156" t="s">
        <v>285</v>
      </c>
      <c r="N156" t="s">
        <v>295</v>
      </c>
      <c r="O156" t="s">
        <v>303</v>
      </c>
      <c r="P156" t="s">
        <v>56</v>
      </c>
      <c r="Q156" t="s">
        <v>317</v>
      </c>
      <c r="R156" t="s">
        <v>324</v>
      </c>
      <c r="S156" t="s">
        <v>331</v>
      </c>
      <c r="T156" t="s">
        <v>334</v>
      </c>
      <c r="U156" t="s">
        <v>338</v>
      </c>
      <c r="V156" t="s">
        <v>342</v>
      </c>
      <c r="W156" t="s">
        <v>346</v>
      </c>
      <c r="X156" t="s">
        <v>351</v>
      </c>
      <c r="AK156" t="s">
        <v>355</v>
      </c>
    </row>
    <row r="157" spans="1:37">
      <c r="B157" t="s">
        <v>57</v>
      </c>
      <c r="C157" t="s">
        <v>79</v>
      </c>
      <c r="D157" t="s">
        <v>98</v>
      </c>
      <c r="E157" t="s">
        <v>117</v>
      </c>
      <c r="F157" t="s">
        <v>151</v>
      </c>
      <c r="G157" t="s">
        <v>177</v>
      </c>
      <c r="H157" t="s">
        <v>212</v>
      </c>
      <c r="I157" t="s">
        <v>232</v>
      </c>
      <c r="J157" t="s">
        <v>251</v>
      </c>
      <c r="K157" t="s">
        <v>265</v>
      </c>
      <c r="L157" t="s">
        <v>277</v>
      </c>
      <c r="M157" t="s">
        <v>286</v>
      </c>
      <c r="N157" t="s">
        <v>296</v>
      </c>
      <c r="O157" t="s">
        <v>304</v>
      </c>
      <c r="P157" t="s">
        <v>311</v>
      </c>
      <c r="Q157" t="s">
        <v>318</v>
      </c>
      <c r="R157" t="s">
        <v>185</v>
      </c>
      <c r="S157" t="s">
        <v>159</v>
      </c>
      <c r="T157" t="s">
        <v>185</v>
      </c>
      <c r="U157" t="s">
        <v>339</v>
      </c>
      <c r="V157" t="s">
        <v>72</v>
      </c>
      <c r="W157" t="s">
        <v>347</v>
      </c>
      <c r="X157" t="s">
        <v>72</v>
      </c>
      <c r="Y157" t="s">
        <v>96</v>
      </c>
      <c r="AK157" t="s">
        <v>355</v>
      </c>
    </row>
    <row r="158" spans="1:37">
      <c r="B158" t="s">
        <v>58</v>
      </c>
      <c r="C158" t="s">
        <v>80</v>
      </c>
      <c r="D158" t="s">
        <v>99</v>
      </c>
      <c r="E158" t="s">
        <v>118</v>
      </c>
      <c r="F158" t="s">
        <v>152</v>
      </c>
      <c r="G158" t="s">
        <v>178</v>
      </c>
      <c r="H158" t="s">
        <v>213</v>
      </c>
      <c r="I158" t="s">
        <v>233</v>
      </c>
      <c r="J158" t="s">
        <v>252</v>
      </c>
      <c r="K158" t="s">
        <v>266</v>
      </c>
      <c r="L158" t="s">
        <v>278</v>
      </c>
      <c r="M158" t="s">
        <v>287</v>
      </c>
      <c r="N158" t="s">
        <v>297</v>
      </c>
      <c r="O158" t="s">
        <v>305</v>
      </c>
      <c r="P158" t="s">
        <v>312</v>
      </c>
      <c r="Q158" t="s">
        <v>319</v>
      </c>
      <c r="R158">
        <f>&gt;10       ветра      2.4     13   1</f>
        <v>0</v>
      </c>
      <c r="AK158" t="s">
        <v>355</v>
      </c>
    </row>
    <row r="159" spans="1:37">
      <c r="A159" t="s">
        <v>40</v>
      </c>
      <c r="B159" t="s">
        <v>59</v>
      </c>
      <c r="C159" t="s">
        <v>81</v>
      </c>
      <c r="D159" t="s">
        <v>100</v>
      </c>
      <c r="E159" t="s">
        <v>119</v>
      </c>
      <c r="F159" t="s">
        <v>153</v>
      </c>
      <c r="G159" t="s">
        <v>179</v>
      </c>
      <c r="H159" t="s">
        <v>214</v>
      </c>
      <c r="I159" t="s">
        <v>234</v>
      </c>
      <c r="AK159" t="s">
        <v>355</v>
      </c>
    </row>
    <row r="160" spans="1:37">
      <c r="A160" t="s">
        <v>40</v>
      </c>
      <c r="B160" t="s">
        <v>60</v>
      </c>
      <c r="C160" t="s">
        <v>82</v>
      </c>
      <c r="D160" t="s">
        <v>101</v>
      </c>
      <c r="E160" t="s">
        <v>120</v>
      </c>
      <c r="F160" t="s">
        <v>154</v>
      </c>
      <c r="G160" t="s">
        <v>180</v>
      </c>
      <c r="H160" t="s">
        <v>215</v>
      </c>
      <c r="I160" t="s">
        <v>235</v>
      </c>
      <c r="J160" t="s">
        <v>253</v>
      </c>
      <c r="K160" t="s">
        <v>267</v>
      </c>
      <c r="L160" t="s">
        <v>279</v>
      </c>
      <c r="M160" t="s">
        <v>288</v>
      </c>
      <c r="N160" t="s">
        <v>100</v>
      </c>
      <c r="O160" t="s">
        <v>306</v>
      </c>
      <c r="P160" t="s">
        <v>313</v>
      </c>
      <c r="Q160" t="s">
        <v>320</v>
      </c>
      <c r="R160" t="s">
        <v>325</v>
      </c>
      <c r="S160" t="s">
        <v>332</v>
      </c>
      <c r="T160" t="s">
        <v>119</v>
      </c>
      <c r="U160" t="s">
        <v>234</v>
      </c>
      <c r="V160" t="s">
        <v>343</v>
      </c>
      <c r="W160" t="s">
        <v>348</v>
      </c>
      <c r="X160" t="s">
        <v>352</v>
      </c>
      <c r="Y160" t="s">
        <v>354</v>
      </c>
      <c r="AK160" t="s">
        <v>355</v>
      </c>
    </row>
    <row r="161" spans="1:37">
      <c r="A161" t="s">
        <v>41</v>
      </c>
      <c r="B161" t="s">
        <v>61</v>
      </c>
      <c r="C161" t="s">
        <v>83</v>
      </c>
      <c r="D161" t="s">
        <v>102</v>
      </c>
      <c r="E161" t="s">
        <v>121</v>
      </c>
      <c r="F161" t="s">
        <v>155</v>
      </c>
      <c r="G161" t="s">
        <v>181</v>
      </c>
      <c r="H161" t="s">
        <v>216</v>
      </c>
      <c r="I161" t="s">
        <v>236</v>
      </c>
      <c r="AK161" t="s">
        <v>355</v>
      </c>
    </row>
    <row r="162" spans="1:37">
      <c r="A162" t="s">
        <v>42</v>
      </c>
      <c r="B162" t="s">
        <v>62</v>
      </c>
      <c r="C162" t="s">
        <v>84</v>
      </c>
      <c r="D162" t="s">
        <v>103</v>
      </c>
      <c r="E162" t="s">
        <v>122</v>
      </c>
      <c r="F162" t="s">
        <v>156</v>
      </c>
      <c r="G162" t="s">
        <v>182</v>
      </c>
      <c r="H162" t="s">
        <v>83</v>
      </c>
      <c r="I162" t="s">
        <v>237</v>
      </c>
      <c r="J162" t="s">
        <v>254</v>
      </c>
      <c r="K162" t="s">
        <v>268</v>
      </c>
      <c r="L162" t="s">
        <v>280</v>
      </c>
      <c r="M162" t="s">
        <v>289</v>
      </c>
      <c r="N162" t="s">
        <v>298</v>
      </c>
      <c r="O162" t="s">
        <v>307</v>
      </c>
      <c r="P162" t="s">
        <v>314</v>
      </c>
      <c r="Q162" t="s">
        <v>216</v>
      </c>
      <c r="R162" t="s">
        <v>326</v>
      </c>
      <c r="S162" t="s">
        <v>333</v>
      </c>
      <c r="T162" t="s">
        <v>335</v>
      </c>
      <c r="U162" t="s">
        <v>340</v>
      </c>
      <c r="V162" t="s">
        <v>344</v>
      </c>
      <c r="W162" t="s">
        <v>349</v>
      </c>
      <c r="AK162" t="s">
        <v>355</v>
      </c>
    </row>
    <row r="163" spans="1:37">
      <c r="A163" t="s">
        <v>43</v>
      </c>
      <c r="B163" t="s">
        <v>63</v>
      </c>
      <c r="C163" t="s">
        <v>85</v>
      </c>
      <c r="D163" t="s">
        <v>104</v>
      </c>
      <c r="E163" t="s">
        <v>123</v>
      </c>
      <c r="F163" t="s">
        <v>157</v>
      </c>
      <c r="G163" t="s">
        <v>183</v>
      </c>
      <c r="AK163" t="s">
        <v>355</v>
      </c>
    </row>
    <row r="164" spans="1:37">
      <c r="A164" t="s">
        <v>44</v>
      </c>
      <c r="B164" t="s">
        <v>64</v>
      </c>
      <c r="C164" t="s">
        <v>86</v>
      </c>
      <c r="D164" t="s">
        <v>105</v>
      </c>
      <c r="E164" t="s">
        <v>124</v>
      </c>
      <c r="F164" t="s">
        <v>158</v>
      </c>
      <c r="G164" t="s">
        <v>184</v>
      </c>
      <c r="AK164" t="s">
        <v>355</v>
      </c>
    </row>
    <row r="165" spans="1:37">
      <c r="A165" t="s">
        <v>45</v>
      </c>
      <c r="B165" t="s">
        <v>65</v>
      </c>
      <c r="C165" t="s">
        <v>87</v>
      </c>
      <c r="D165" t="s">
        <v>106</v>
      </c>
      <c r="E165" t="s">
        <v>125</v>
      </c>
      <c r="F165" t="s">
        <v>159</v>
      </c>
      <c r="G165" t="s">
        <v>185</v>
      </c>
      <c r="H165" t="s">
        <v>159</v>
      </c>
      <c r="I165" t="s">
        <v>185</v>
      </c>
      <c r="J165" t="s">
        <v>255</v>
      </c>
      <c r="AK165" t="s">
        <v>355</v>
      </c>
    </row>
    <row r="166" spans="1:37">
      <c r="A166" t="s">
        <v>46</v>
      </c>
      <c r="B166" t="s">
        <v>66</v>
      </c>
      <c r="C166" t="s">
        <v>88</v>
      </c>
      <c r="D166" t="s">
        <v>76</v>
      </c>
      <c r="E166" t="s">
        <v>126</v>
      </c>
      <c r="F166" t="s">
        <v>160</v>
      </c>
      <c r="G166" t="s">
        <v>186</v>
      </c>
      <c r="H166" t="s">
        <v>217</v>
      </c>
      <c r="I166" t="s">
        <v>238</v>
      </c>
      <c r="J166" t="s">
        <v>256</v>
      </c>
      <c r="K166" t="s">
        <v>265</v>
      </c>
      <c r="L166" t="s">
        <v>281</v>
      </c>
      <c r="M166" t="s">
        <v>290</v>
      </c>
      <c r="N166" t="s">
        <v>299</v>
      </c>
      <c r="O166" t="s">
        <v>308</v>
      </c>
      <c r="P166" t="s">
        <v>228</v>
      </c>
      <c r="Q166" t="s">
        <v>72</v>
      </c>
      <c r="R166" t="s">
        <v>327</v>
      </c>
      <c r="S166" t="s">
        <v>327</v>
      </c>
      <c r="T166" t="s">
        <v>336</v>
      </c>
      <c r="U166" t="s">
        <v>336</v>
      </c>
      <c r="V166" t="s">
        <v>336</v>
      </c>
      <c r="W166" t="s">
        <v>336</v>
      </c>
      <c r="X166" t="s">
        <v>353</v>
      </c>
      <c r="AK166" t="s">
        <v>355</v>
      </c>
    </row>
    <row r="167" spans="1:37">
      <c r="A167" t="s">
        <v>37</v>
      </c>
      <c r="B167" t="s">
        <v>49</v>
      </c>
      <c r="C167" t="s">
        <v>73</v>
      </c>
      <c r="D167" t="s">
        <v>94</v>
      </c>
      <c r="E167" t="s">
        <v>112</v>
      </c>
      <c r="F167" t="s">
        <v>146</v>
      </c>
      <c r="G167" t="s">
        <v>172</v>
      </c>
      <c r="H167" t="s">
        <v>207</v>
      </c>
      <c r="I167" t="s">
        <v>226</v>
      </c>
      <c r="J167" t="s">
        <v>246</v>
      </c>
      <c r="K167" t="s">
        <v>259</v>
      </c>
      <c r="AK167" t="s">
        <v>355</v>
      </c>
    </row>
    <row r="168" spans="1:37">
      <c r="A168" t="s">
        <v>38</v>
      </c>
      <c r="B168" t="s">
        <v>50</v>
      </c>
      <c r="C168" t="s">
        <v>74</v>
      </c>
      <c r="D168" t="s">
        <v>95</v>
      </c>
      <c r="E168" t="s">
        <v>113</v>
      </c>
      <c r="F168" t="s">
        <v>147</v>
      </c>
      <c r="G168" t="s">
        <v>173</v>
      </c>
      <c r="H168" t="s">
        <v>208</v>
      </c>
      <c r="I168" t="s">
        <v>227</v>
      </c>
      <c r="J168" t="s">
        <v>115</v>
      </c>
      <c r="K168" t="s">
        <v>260</v>
      </c>
      <c r="L168" t="s">
        <v>273</v>
      </c>
      <c r="M168" t="s">
        <v>282</v>
      </c>
      <c r="N168" t="s">
        <v>291</v>
      </c>
      <c r="AK168" t="s">
        <v>355</v>
      </c>
    </row>
    <row r="169" spans="1:37">
      <c r="B169" t="s">
        <v>51</v>
      </c>
      <c r="C169" t="s">
        <v>75</v>
      </c>
      <c r="D169" t="s">
        <v>52</v>
      </c>
      <c r="E169" t="s">
        <v>114</v>
      </c>
      <c r="F169" t="s">
        <v>148</v>
      </c>
      <c r="G169" t="s">
        <v>148</v>
      </c>
      <c r="H169" t="s">
        <v>209</v>
      </c>
      <c r="I169" t="s">
        <v>228</v>
      </c>
      <c r="J169" t="s">
        <v>247</v>
      </c>
      <c r="K169" t="s">
        <v>261</v>
      </c>
      <c r="L169" t="s">
        <v>274</v>
      </c>
      <c r="M169" t="s">
        <v>283</v>
      </c>
      <c r="N169" t="s">
        <v>292</v>
      </c>
      <c r="O169" t="s">
        <v>300</v>
      </c>
      <c r="AK169" t="s">
        <v>355</v>
      </c>
    </row>
    <row r="170" spans="1:37">
      <c r="B170" t="s">
        <v>52</v>
      </c>
      <c r="C170" t="s">
        <v>76</v>
      </c>
      <c r="D170" t="s">
        <v>96</v>
      </c>
      <c r="E170" t="s">
        <v>115</v>
      </c>
      <c r="F170" t="s">
        <v>149</v>
      </c>
      <c r="G170" t="s">
        <v>174</v>
      </c>
      <c r="H170" t="s">
        <v>96</v>
      </c>
      <c r="I170" t="s">
        <v>229</v>
      </c>
      <c r="J170" t="s">
        <v>248</v>
      </c>
      <c r="K170" t="s">
        <v>262</v>
      </c>
      <c r="L170" t="s">
        <v>52</v>
      </c>
      <c r="M170" t="s">
        <v>76</v>
      </c>
      <c r="N170" t="s">
        <v>293</v>
      </c>
      <c r="O170" t="s">
        <v>301</v>
      </c>
      <c r="P170" t="s">
        <v>309</v>
      </c>
      <c r="Q170" t="s">
        <v>315</v>
      </c>
      <c r="R170" t="s">
        <v>228</v>
      </c>
      <c r="S170" t="s">
        <v>328</v>
      </c>
      <c r="T170" t="s">
        <v>149</v>
      </c>
      <c r="U170" t="s">
        <v>337</v>
      </c>
      <c r="V170" t="s">
        <v>341</v>
      </c>
      <c r="W170" t="s">
        <v>345</v>
      </c>
      <c r="X170" t="s">
        <v>350</v>
      </c>
      <c r="AK170" t="s">
        <v>355</v>
      </c>
    </row>
    <row r="171" spans="1:37">
      <c r="B171" t="s">
        <v>53</v>
      </c>
      <c r="C171" t="s">
        <v>77</v>
      </c>
      <c r="D171" t="s">
        <v>97</v>
      </c>
      <c r="E171" t="s">
        <v>116</v>
      </c>
      <c r="F171" t="s">
        <v>150</v>
      </c>
      <c r="G171" t="s">
        <v>175</v>
      </c>
      <c r="H171" t="s">
        <v>210</v>
      </c>
      <c r="I171" t="s">
        <v>230</v>
      </c>
      <c r="J171" t="s">
        <v>249</v>
      </c>
      <c r="K171" t="s">
        <v>263</v>
      </c>
      <c r="L171" t="s">
        <v>275</v>
      </c>
      <c r="M171" t="s">
        <v>284</v>
      </c>
      <c r="N171" t="s">
        <v>294</v>
      </c>
      <c r="O171" t="s">
        <v>302</v>
      </c>
      <c r="P171" t="s">
        <v>310</v>
      </c>
      <c r="Q171" t="s">
        <v>316</v>
      </c>
      <c r="R171" t="s">
        <v>322</v>
      </c>
      <c r="S171" t="s">
        <v>329</v>
      </c>
      <c r="AK171" t="s">
        <v>355</v>
      </c>
    </row>
    <row r="172" spans="1:37">
      <c r="A172" t="s">
        <v>39</v>
      </c>
      <c r="B172" t="s">
        <v>54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323</v>
      </c>
      <c r="S172" t="s">
        <v>330</v>
      </c>
      <c r="AK172" t="s">
        <v>355</v>
      </c>
    </row>
    <row r="173" spans="1:37">
      <c r="B173" t="s">
        <v>55</v>
      </c>
      <c r="C173" t="s">
        <v>78</v>
      </c>
      <c r="D173" t="s">
        <v>55</v>
      </c>
      <c r="E173" t="s">
        <v>78</v>
      </c>
      <c r="F173" t="s">
        <v>55</v>
      </c>
      <c r="G173" t="s">
        <v>78</v>
      </c>
      <c r="H173" t="s">
        <v>55</v>
      </c>
      <c r="I173" t="s">
        <v>78</v>
      </c>
      <c r="J173" t="s">
        <v>55</v>
      </c>
      <c r="K173" t="s">
        <v>78</v>
      </c>
      <c r="L173" t="s">
        <v>55</v>
      </c>
      <c r="M173" t="s">
        <v>78</v>
      </c>
      <c r="N173" t="s">
        <v>55</v>
      </c>
      <c r="O173" t="s">
        <v>78</v>
      </c>
      <c r="P173" t="s">
        <v>55</v>
      </c>
      <c r="Q173" t="s">
        <v>78</v>
      </c>
      <c r="R173" t="s">
        <v>55</v>
      </c>
      <c r="S173" t="s">
        <v>78</v>
      </c>
      <c r="T173" t="s">
        <v>55</v>
      </c>
      <c r="U173" t="s">
        <v>78</v>
      </c>
      <c r="V173" t="s">
        <v>55</v>
      </c>
      <c r="W173" t="s">
        <v>78</v>
      </c>
      <c r="X173" t="s">
        <v>55</v>
      </c>
      <c r="Y173" t="s">
        <v>78</v>
      </c>
      <c r="Z173" t="s">
        <v>55</v>
      </c>
      <c r="AA173" t="s">
        <v>78</v>
      </c>
      <c r="AB173" t="s">
        <v>55</v>
      </c>
      <c r="AC173" t="s">
        <v>78</v>
      </c>
      <c r="AD173" t="s">
        <v>55</v>
      </c>
      <c r="AE173" t="s">
        <v>78</v>
      </c>
      <c r="AF173" t="s">
        <v>55</v>
      </c>
      <c r="AG173" t="s">
        <v>78</v>
      </c>
      <c r="AH173" t="s">
        <v>55</v>
      </c>
      <c r="AI173" t="s">
        <v>78</v>
      </c>
      <c r="AK173" t="s">
        <v>355</v>
      </c>
    </row>
    <row r="174" spans="1:37">
      <c r="B174" t="s">
        <v>56</v>
      </c>
      <c r="C174" t="s">
        <v>56</v>
      </c>
      <c r="D174" t="s">
        <v>56</v>
      </c>
      <c r="E174" t="s">
        <v>56</v>
      </c>
      <c r="F174" t="s">
        <v>56</v>
      </c>
      <c r="G174" t="s">
        <v>176</v>
      </c>
      <c r="H174" t="s">
        <v>211</v>
      </c>
      <c r="I174" t="s">
        <v>231</v>
      </c>
      <c r="J174" t="s">
        <v>250</v>
      </c>
      <c r="K174" t="s">
        <v>264</v>
      </c>
      <c r="L174" t="s">
        <v>276</v>
      </c>
      <c r="M174" t="s">
        <v>285</v>
      </c>
      <c r="N174" t="s">
        <v>295</v>
      </c>
      <c r="O174" t="s">
        <v>303</v>
      </c>
      <c r="P174" t="s">
        <v>56</v>
      </c>
      <c r="Q174" t="s">
        <v>317</v>
      </c>
      <c r="R174" t="s">
        <v>324</v>
      </c>
      <c r="S174" t="s">
        <v>331</v>
      </c>
      <c r="T174" t="s">
        <v>334</v>
      </c>
      <c r="U174" t="s">
        <v>338</v>
      </c>
      <c r="V174" t="s">
        <v>342</v>
      </c>
      <c r="W174" t="s">
        <v>346</v>
      </c>
      <c r="X174" t="s">
        <v>351</v>
      </c>
      <c r="AK174" t="s">
        <v>355</v>
      </c>
    </row>
    <row r="175" spans="1:37">
      <c r="B175" t="s">
        <v>57</v>
      </c>
      <c r="C175" t="s">
        <v>79</v>
      </c>
      <c r="D175" t="s">
        <v>98</v>
      </c>
      <c r="E175" t="s">
        <v>117</v>
      </c>
      <c r="F175" t="s">
        <v>151</v>
      </c>
      <c r="G175" t="s">
        <v>177</v>
      </c>
      <c r="H175" t="s">
        <v>212</v>
      </c>
      <c r="I175" t="s">
        <v>232</v>
      </c>
      <c r="J175" t="s">
        <v>251</v>
      </c>
      <c r="K175" t="s">
        <v>265</v>
      </c>
      <c r="L175" t="s">
        <v>277</v>
      </c>
      <c r="M175" t="s">
        <v>286</v>
      </c>
      <c r="N175" t="s">
        <v>296</v>
      </c>
      <c r="O175" t="s">
        <v>304</v>
      </c>
      <c r="P175" t="s">
        <v>311</v>
      </c>
      <c r="Q175" t="s">
        <v>318</v>
      </c>
      <c r="R175" t="s">
        <v>185</v>
      </c>
      <c r="S175" t="s">
        <v>159</v>
      </c>
      <c r="T175" t="s">
        <v>185</v>
      </c>
      <c r="U175" t="s">
        <v>339</v>
      </c>
      <c r="V175" t="s">
        <v>72</v>
      </c>
      <c r="W175" t="s">
        <v>347</v>
      </c>
      <c r="X175" t="s">
        <v>72</v>
      </c>
      <c r="Y175" t="s">
        <v>96</v>
      </c>
      <c r="AK175" t="s">
        <v>355</v>
      </c>
    </row>
    <row r="176" spans="1:37">
      <c r="B176" t="s">
        <v>58</v>
      </c>
      <c r="C176" t="s">
        <v>80</v>
      </c>
      <c r="D176" t="s">
        <v>99</v>
      </c>
      <c r="E176" t="s">
        <v>118</v>
      </c>
      <c r="F176" t="s">
        <v>152</v>
      </c>
      <c r="G176" t="s">
        <v>178</v>
      </c>
      <c r="H176" t="s">
        <v>213</v>
      </c>
      <c r="I176" t="s">
        <v>233</v>
      </c>
      <c r="J176" t="s">
        <v>252</v>
      </c>
      <c r="K176" t="s">
        <v>266</v>
      </c>
      <c r="L176" t="s">
        <v>278</v>
      </c>
      <c r="M176" t="s">
        <v>287</v>
      </c>
      <c r="N176" t="s">
        <v>297</v>
      </c>
      <c r="O176" t="s">
        <v>305</v>
      </c>
      <c r="P176" t="s">
        <v>312</v>
      </c>
      <c r="Q176" t="s">
        <v>319</v>
      </c>
      <c r="R176">
        <f>&gt;10       ветра      1.8     10   6 18</f>
        <v>0</v>
      </c>
      <c r="AK176" t="s">
        <v>355</v>
      </c>
    </row>
    <row r="177" spans="1:37">
      <c r="A177" t="s">
        <v>40</v>
      </c>
      <c r="B177" t="s">
        <v>59</v>
      </c>
      <c r="C177" t="s">
        <v>81</v>
      </c>
      <c r="D177" t="s">
        <v>100</v>
      </c>
      <c r="E177" t="s">
        <v>119</v>
      </c>
      <c r="F177" t="s">
        <v>153</v>
      </c>
      <c r="G177" t="s">
        <v>179</v>
      </c>
      <c r="H177" t="s">
        <v>214</v>
      </c>
      <c r="I177" t="s">
        <v>234</v>
      </c>
      <c r="AK177" t="s">
        <v>355</v>
      </c>
    </row>
    <row r="178" spans="1:37">
      <c r="A178" t="s">
        <v>40</v>
      </c>
      <c r="B178" t="s">
        <v>60</v>
      </c>
      <c r="C178" t="s">
        <v>82</v>
      </c>
      <c r="D178" t="s">
        <v>101</v>
      </c>
      <c r="E178" t="s">
        <v>120</v>
      </c>
      <c r="F178" t="s">
        <v>154</v>
      </c>
      <c r="G178" t="s">
        <v>180</v>
      </c>
      <c r="H178" t="s">
        <v>215</v>
      </c>
      <c r="I178" t="s">
        <v>235</v>
      </c>
      <c r="J178" t="s">
        <v>253</v>
      </c>
      <c r="K178" t="s">
        <v>267</v>
      </c>
      <c r="L178" t="s">
        <v>279</v>
      </c>
      <c r="M178" t="s">
        <v>288</v>
      </c>
      <c r="N178" t="s">
        <v>100</v>
      </c>
      <c r="O178" t="s">
        <v>306</v>
      </c>
      <c r="P178" t="s">
        <v>313</v>
      </c>
      <c r="Q178" t="s">
        <v>320</v>
      </c>
      <c r="R178" t="s">
        <v>325</v>
      </c>
      <c r="S178" t="s">
        <v>332</v>
      </c>
      <c r="T178" t="s">
        <v>119</v>
      </c>
      <c r="U178" t="s">
        <v>234</v>
      </c>
      <c r="V178" t="s">
        <v>343</v>
      </c>
      <c r="W178" t="s">
        <v>348</v>
      </c>
      <c r="X178" t="s">
        <v>352</v>
      </c>
      <c r="Y178" t="s">
        <v>354</v>
      </c>
      <c r="AK178" t="s">
        <v>355</v>
      </c>
    </row>
    <row r="179" spans="1:37">
      <c r="A179" t="s">
        <v>41</v>
      </c>
      <c r="B179" t="s">
        <v>61</v>
      </c>
      <c r="C179" t="s">
        <v>83</v>
      </c>
      <c r="D179" t="s">
        <v>102</v>
      </c>
      <c r="E179" t="s">
        <v>121</v>
      </c>
      <c r="F179" t="s">
        <v>155</v>
      </c>
      <c r="G179" t="s">
        <v>181</v>
      </c>
      <c r="H179" t="s">
        <v>216</v>
      </c>
      <c r="I179" t="s">
        <v>236</v>
      </c>
      <c r="AK179" t="s">
        <v>355</v>
      </c>
    </row>
    <row r="180" spans="1:37">
      <c r="A180" t="s">
        <v>42</v>
      </c>
      <c r="B180" t="s">
        <v>62</v>
      </c>
      <c r="C180" t="s">
        <v>84</v>
      </c>
      <c r="D180" t="s">
        <v>103</v>
      </c>
      <c r="E180" t="s">
        <v>122</v>
      </c>
      <c r="F180" t="s">
        <v>156</v>
      </c>
      <c r="G180" t="s">
        <v>182</v>
      </c>
      <c r="H180" t="s">
        <v>83</v>
      </c>
      <c r="I180" t="s">
        <v>237</v>
      </c>
      <c r="J180" t="s">
        <v>254</v>
      </c>
      <c r="K180" t="s">
        <v>268</v>
      </c>
      <c r="L180" t="s">
        <v>280</v>
      </c>
      <c r="M180" t="s">
        <v>289</v>
      </c>
      <c r="N180" t="s">
        <v>298</v>
      </c>
      <c r="O180" t="s">
        <v>307</v>
      </c>
      <c r="P180" t="s">
        <v>314</v>
      </c>
      <c r="Q180" t="s">
        <v>216</v>
      </c>
      <c r="R180" t="s">
        <v>326</v>
      </c>
      <c r="S180" t="s">
        <v>333</v>
      </c>
      <c r="T180" t="s">
        <v>335</v>
      </c>
      <c r="U180" t="s">
        <v>340</v>
      </c>
      <c r="V180" t="s">
        <v>344</v>
      </c>
      <c r="W180" t="s">
        <v>349</v>
      </c>
      <c r="AK180" t="s">
        <v>355</v>
      </c>
    </row>
    <row r="181" spans="1:37">
      <c r="A181" t="s">
        <v>43</v>
      </c>
      <c r="B181" t="s">
        <v>63</v>
      </c>
      <c r="C181" t="s">
        <v>85</v>
      </c>
      <c r="D181" t="s">
        <v>104</v>
      </c>
      <c r="E181" t="s">
        <v>123</v>
      </c>
      <c r="F181" t="s">
        <v>157</v>
      </c>
      <c r="G181" t="s">
        <v>183</v>
      </c>
      <c r="AK181" t="s">
        <v>355</v>
      </c>
    </row>
    <row r="182" spans="1:37">
      <c r="A182" t="s">
        <v>44</v>
      </c>
      <c r="B182" t="s">
        <v>64</v>
      </c>
      <c r="C182" t="s">
        <v>86</v>
      </c>
      <c r="D182" t="s">
        <v>105</v>
      </c>
      <c r="E182" t="s">
        <v>124</v>
      </c>
      <c r="F182" t="s">
        <v>158</v>
      </c>
      <c r="G182" t="s">
        <v>184</v>
      </c>
      <c r="AK182" t="s">
        <v>355</v>
      </c>
    </row>
    <row r="183" spans="1:37">
      <c r="A183" t="s">
        <v>45</v>
      </c>
      <c r="B183" t="s">
        <v>65</v>
      </c>
      <c r="C183" t="s">
        <v>87</v>
      </c>
      <c r="D183" t="s">
        <v>106</v>
      </c>
      <c r="E183" t="s">
        <v>125</v>
      </c>
      <c r="F183" t="s">
        <v>159</v>
      </c>
      <c r="G183" t="s">
        <v>185</v>
      </c>
      <c r="H183" t="s">
        <v>159</v>
      </c>
      <c r="I183" t="s">
        <v>185</v>
      </c>
      <c r="J183" t="s">
        <v>255</v>
      </c>
      <c r="AK183" t="s">
        <v>355</v>
      </c>
    </row>
    <row r="184" spans="1:37">
      <c r="A184" t="s">
        <v>46</v>
      </c>
      <c r="B184" t="s">
        <v>66</v>
      </c>
      <c r="C184" t="s">
        <v>88</v>
      </c>
      <c r="D184" t="s">
        <v>76</v>
      </c>
      <c r="E184" t="s">
        <v>126</v>
      </c>
      <c r="F184" t="s">
        <v>160</v>
      </c>
      <c r="G184" t="s">
        <v>186</v>
      </c>
      <c r="H184" t="s">
        <v>217</v>
      </c>
      <c r="I184" t="s">
        <v>238</v>
      </c>
      <c r="J184" t="s">
        <v>256</v>
      </c>
      <c r="K184" t="s">
        <v>265</v>
      </c>
      <c r="L184" t="s">
        <v>281</v>
      </c>
      <c r="M184" t="s">
        <v>290</v>
      </c>
      <c r="N184" t="s">
        <v>299</v>
      </c>
      <c r="O184" t="s">
        <v>308</v>
      </c>
      <c r="P184" t="s">
        <v>228</v>
      </c>
      <c r="Q184" t="s">
        <v>72</v>
      </c>
      <c r="R184" t="s">
        <v>327</v>
      </c>
      <c r="S184" t="s">
        <v>327</v>
      </c>
      <c r="T184" t="s">
        <v>336</v>
      </c>
      <c r="U184" t="s">
        <v>336</v>
      </c>
      <c r="V184" t="s">
        <v>336</v>
      </c>
      <c r="W184" t="s">
        <v>336</v>
      </c>
      <c r="X184" t="s">
        <v>353</v>
      </c>
      <c r="AK184" t="s">
        <v>355</v>
      </c>
    </row>
    <row r="185" spans="1:37">
      <c r="A185" t="s">
        <v>37</v>
      </c>
      <c r="B185" t="s">
        <v>49</v>
      </c>
      <c r="C185" t="s">
        <v>73</v>
      </c>
      <c r="D185" t="s">
        <v>94</v>
      </c>
      <c r="E185" t="s">
        <v>112</v>
      </c>
      <c r="F185" t="s">
        <v>146</v>
      </c>
      <c r="G185" t="s">
        <v>172</v>
      </c>
      <c r="H185" t="s">
        <v>207</v>
      </c>
      <c r="I185" t="s">
        <v>226</v>
      </c>
      <c r="J185" t="s">
        <v>246</v>
      </c>
      <c r="K185" t="s">
        <v>259</v>
      </c>
      <c r="AK185" t="s">
        <v>355</v>
      </c>
    </row>
    <row r="186" spans="1:37">
      <c r="A186" t="s">
        <v>38</v>
      </c>
      <c r="B186" t="s">
        <v>50</v>
      </c>
      <c r="C186" t="s">
        <v>74</v>
      </c>
      <c r="D186" t="s">
        <v>95</v>
      </c>
      <c r="E186" t="s">
        <v>113</v>
      </c>
      <c r="F186" t="s">
        <v>147</v>
      </c>
      <c r="G186" t="s">
        <v>173</v>
      </c>
      <c r="H186" t="s">
        <v>208</v>
      </c>
      <c r="I186" t="s">
        <v>227</v>
      </c>
      <c r="J186" t="s">
        <v>115</v>
      </c>
      <c r="K186" t="s">
        <v>260</v>
      </c>
      <c r="L186" t="s">
        <v>273</v>
      </c>
      <c r="M186" t="s">
        <v>282</v>
      </c>
      <c r="N186" t="s">
        <v>291</v>
      </c>
      <c r="AK186" t="s">
        <v>355</v>
      </c>
    </row>
    <row r="187" spans="1:37">
      <c r="B187" t="s">
        <v>51</v>
      </c>
      <c r="C187" t="s">
        <v>75</v>
      </c>
      <c r="D187" t="s">
        <v>52</v>
      </c>
      <c r="E187" t="s">
        <v>114</v>
      </c>
      <c r="F187" t="s">
        <v>148</v>
      </c>
      <c r="G187" t="s">
        <v>148</v>
      </c>
      <c r="H187" t="s">
        <v>209</v>
      </c>
      <c r="I187" t="s">
        <v>228</v>
      </c>
      <c r="J187" t="s">
        <v>247</v>
      </c>
      <c r="K187" t="s">
        <v>261</v>
      </c>
      <c r="L187" t="s">
        <v>274</v>
      </c>
      <c r="M187" t="s">
        <v>283</v>
      </c>
      <c r="N187" t="s">
        <v>292</v>
      </c>
      <c r="O187" t="s">
        <v>300</v>
      </c>
      <c r="AK187" t="s">
        <v>355</v>
      </c>
    </row>
    <row r="188" spans="1:37">
      <c r="B188" t="s">
        <v>52</v>
      </c>
      <c r="C188" t="s">
        <v>76</v>
      </c>
      <c r="D188" t="s">
        <v>96</v>
      </c>
      <c r="E188" t="s">
        <v>115</v>
      </c>
      <c r="F188" t="s">
        <v>149</v>
      </c>
      <c r="G188" t="s">
        <v>174</v>
      </c>
      <c r="H188" t="s">
        <v>96</v>
      </c>
      <c r="I188" t="s">
        <v>229</v>
      </c>
      <c r="J188" t="s">
        <v>248</v>
      </c>
      <c r="K188" t="s">
        <v>262</v>
      </c>
      <c r="L188" t="s">
        <v>52</v>
      </c>
      <c r="M188" t="s">
        <v>76</v>
      </c>
      <c r="N188" t="s">
        <v>293</v>
      </c>
      <c r="O188" t="s">
        <v>301</v>
      </c>
      <c r="P188" t="s">
        <v>309</v>
      </c>
      <c r="Q188" t="s">
        <v>315</v>
      </c>
      <c r="R188" t="s">
        <v>228</v>
      </c>
      <c r="S188" t="s">
        <v>328</v>
      </c>
      <c r="T188" t="s">
        <v>149</v>
      </c>
      <c r="U188" t="s">
        <v>337</v>
      </c>
      <c r="V188" t="s">
        <v>341</v>
      </c>
      <c r="W188" t="s">
        <v>345</v>
      </c>
      <c r="X188" t="s">
        <v>350</v>
      </c>
      <c r="AK188" t="s">
        <v>355</v>
      </c>
    </row>
    <row r="189" spans="1:37">
      <c r="B189" t="s">
        <v>53</v>
      </c>
      <c r="C189" t="s">
        <v>77</v>
      </c>
      <c r="D189" t="s">
        <v>97</v>
      </c>
      <c r="E189" t="s">
        <v>116</v>
      </c>
      <c r="F189" t="s">
        <v>150</v>
      </c>
      <c r="G189" t="s">
        <v>175</v>
      </c>
      <c r="H189" t="s">
        <v>210</v>
      </c>
      <c r="I189" t="s">
        <v>230</v>
      </c>
      <c r="J189" t="s">
        <v>249</v>
      </c>
      <c r="K189" t="s">
        <v>263</v>
      </c>
      <c r="L189" t="s">
        <v>275</v>
      </c>
      <c r="M189" t="s">
        <v>284</v>
      </c>
      <c r="N189" t="s">
        <v>294</v>
      </c>
      <c r="O189" t="s">
        <v>302</v>
      </c>
      <c r="P189" t="s">
        <v>310</v>
      </c>
      <c r="Q189" t="s">
        <v>316</v>
      </c>
      <c r="R189" t="s">
        <v>322</v>
      </c>
      <c r="S189" t="s">
        <v>329</v>
      </c>
      <c r="AK189" t="s">
        <v>355</v>
      </c>
    </row>
    <row r="190" spans="1:37">
      <c r="A190" t="s">
        <v>39</v>
      </c>
      <c r="B190" t="s">
        <v>54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323</v>
      </c>
      <c r="S190" t="s">
        <v>330</v>
      </c>
      <c r="AK190" t="s">
        <v>355</v>
      </c>
    </row>
    <row r="191" spans="1:37">
      <c r="B191" t="s">
        <v>55</v>
      </c>
      <c r="C191" t="s">
        <v>78</v>
      </c>
      <c r="D191" t="s">
        <v>55</v>
      </c>
      <c r="E191" t="s">
        <v>78</v>
      </c>
      <c r="F191" t="s">
        <v>55</v>
      </c>
      <c r="G191" t="s">
        <v>78</v>
      </c>
      <c r="H191" t="s">
        <v>55</v>
      </c>
      <c r="I191" t="s">
        <v>78</v>
      </c>
      <c r="J191" t="s">
        <v>55</v>
      </c>
      <c r="K191" t="s">
        <v>78</v>
      </c>
      <c r="L191" t="s">
        <v>55</v>
      </c>
      <c r="M191" t="s">
        <v>78</v>
      </c>
      <c r="N191" t="s">
        <v>55</v>
      </c>
      <c r="O191" t="s">
        <v>78</v>
      </c>
      <c r="P191" t="s">
        <v>55</v>
      </c>
      <c r="Q191" t="s">
        <v>78</v>
      </c>
      <c r="R191" t="s">
        <v>55</v>
      </c>
      <c r="S191" t="s">
        <v>78</v>
      </c>
      <c r="T191" t="s">
        <v>55</v>
      </c>
      <c r="U191" t="s">
        <v>78</v>
      </c>
      <c r="V191" t="s">
        <v>55</v>
      </c>
      <c r="W191" t="s">
        <v>78</v>
      </c>
      <c r="X191" t="s">
        <v>55</v>
      </c>
      <c r="Y191" t="s">
        <v>78</v>
      </c>
      <c r="Z191" t="s">
        <v>55</v>
      </c>
      <c r="AA191" t="s">
        <v>78</v>
      </c>
      <c r="AB191" t="s">
        <v>55</v>
      </c>
      <c r="AC191" t="s">
        <v>78</v>
      </c>
      <c r="AD191" t="s">
        <v>55</v>
      </c>
      <c r="AE191" t="s">
        <v>78</v>
      </c>
      <c r="AF191" t="s">
        <v>55</v>
      </c>
      <c r="AG191" t="s">
        <v>78</v>
      </c>
      <c r="AH191" t="s">
        <v>55</v>
      </c>
      <c r="AI191" t="s">
        <v>78</v>
      </c>
      <c r="AK191" t="s">
        <v>355</v>
      </c>
    </row>
    <row r="192" spans="1:37">
      <c r="B192" t="s">
        <v>56</v>
      </c>
      <c r="C192" t="s">
        <v>56</v>
      </c>
      <c r="D192" t="s">
        <v>56</v>
      </c>
      <c r="E192" t="s">
        <v>56</v>
      </c>
      <c r="F192" t="s">
        <v>56</v>
      </c>
      <c r="G192" t="s">
        <v>176</v>
      </c>
      <c r="H192" t="s">
        <v>211</v>
      </c>
      <c r="I192" t="s">
        <v>231</v>
      </c>
      <c r="J192" t="s">
        <v>250</v>
      </c>
      <c r="K192" t="s">
        <v>264</v>
      </c>
      <c r="L192" t="s">
        <v>276</v>
      </c>
      <c r="M192" t="s">
        <v>285</v>
      </c>
      <c r="N192" t="s">
        <v>295</v>
      </c>
      <c r="O192" t="s">
        <v>303</v>
      </c>
      <c r="P192" t="s">
        <v>56</v>
      </c>
      <c r="Q192" t="s">
        <v>317</v>
      </c>
      <c r="R192" t="s">
        <v>324</v>
      </c>
      <c r="S192" t="s">
        <v>331</v>
      </c>
      <c r="T192" t="s">
        <v>334</v>
      </c>
      <c r="U192" t="s">
        <v>338</v>
      </c>
      <c r="V192" t="s">
        <v>342</v>
      </c>
      <c r="W192" t="s">
        <v>346</v>
      </c>
      <c r="X192" t="s">
        <v>351</v>
      </c>
      <c r="AK192" t="s">
        <v>355</v>
      </c>
    </row>
    <row r="193" spans="1:37">
      <c r="B193" t="s">
        <v>57</v>
      </c>
      <c r="C193" t="s">
        <v>79</v>
      </c>
      <c r="D193" t="s">
        <v>98</v>
      </c>
      <c r="E193" t="s">
        <v>117</v>
      </c>
      <c r="F193" t="s">
        <v>151</v>
      </c>
      <c r="G193" t="s">
        <v>177</v>
      </c>
      <c r="H193" t="s">
        <v>212</v>
      </c>
      <c r="I193" t="s">
        <v>232</v>
      </c>
      <c r="J193" t="s">
        <v>251</v>
      </c>
      <c r="K193" t="s">
        <v>265</v>
      </c>
      <c r="L193" t="s">
        <v>277</v>
      </c>
      <c r="M193" t="s">
        <v>286</v>
      </c>
      <c r="N193" t="s">
        <v>296</v>
      </c>
      <c r="O193" t="s">
        <v>304</v>
      </c>
      <c r="P193" t="s">
        <v>311</v>
      </c>
      <c r="Q193" t="s">
        <v>318</v>
      </c>
      <c r="R193" t="s">
        <v>185</v>
      </c>
      <c r="S193" t="s">
        <v>159</v>
      </c>
      <c r="T193" t="s">
        <v>185</v>
      </c>
      <c r="U193" t="s">
        <v>339</v>
      </c>
      <c r="V193" t="s">
        <v>72</v>
      </c>
      <c r="W193" t="s">
        <v>347</v>
      </c>
      <c r="X193" t="s">
        <v>72</v>
      </c>
      <c r="Y193" t="s">
        <v>96</v>
      </c>
      <c r="AK193" t="s">
        <v>355</v>
      </c>
    </row>
    <row r="194" spans="1:37">
      <c r="B194" t="s">
        <v>58</v>
      </c>
      <c r="C194" t="s">
        <v>80</v>
      </c>
      <c r="D194" t="s">
        <v>99</v>
      </c>
      <c r="E194" t="s">
        <v>118</v>
      </c>
      <c r="F194" t="s">
        <v>152</v>
      </c>
      <c r="G194" t="s">
        <v>178</v>
      </c>
      <c r="H194" t="s">
        <v>213</v>
      </c>
      <c r="I194" t="s">
        <v>233</v>
      </c>
      <c r="J194" t="s">
        <v>252</v>
      </c>
      <c r="K194" t="s">
        <v>266</v>
      </c>
      <c r="L194" t="s">
        <v>278</v>
      </c>
      <c r="M194" t="s">
        <v>287</v>
      </c>
      <c r="N194" t="s">
        <v>297</v>
      </c>
      <c r="O194" t="s">
        <v>305</v>
      </c>
      <c r="P194" t="s">
        <v>312</v>
      </c>
      <c r="Q194" t="s">
        <v>319</v>
      </c>
      <c r="R194">
        <f>&gt;10       ветра      1.6     14   1</f>
        <v>0</v>
      </c>
      <c r="AK194" t="s">
        <v>355</v>
      </c>
    </row>
    <row r="195" spans="1:37">
      <c r="A195" t="s">
        <v>40</v>
      </c>
      <c r="B195" t="s">
        <v>59</v>
      </c>
      <c r="C195" t="s">
        <v>81</v>
      </c>
      <c r="D195" t="s">
        <v>100</v>
      </c>
      <c r="E195" t="s">
        <v>119</v>
      </c>
      <c r="F195" t="s">
        <v>153</v>
      </c>
      <c r="G195" t="s">
        <v>179</v>
      </c>
      <c r="H195" t="s">
        <v>214</v>
      </c>
      <c r="I195" t="s">
        <v>234</v>
      </c>
      <c r="AK195" t="s">
        <v>355</v>
      </c>
    </row>
    <row r="196" spans="1:37">
      <c r="A196" t="s">
        <v>40</v>
      </c>
      <c r="B196" t="s">
        <v>60</v>
      </c>
      <c r="C196" t="s">
        <v>82</v>
      </c>
      <c r="D196" t="s">
        <v>101</v>
      </c>
      <c r="E196" t="s">
        <v>120</v>
      </c>
      <c r="F196" t="s">
        <v>154</v>
      </c>
      <c r="G196" t="s">
        <v>180</v>
      </c>
      <c r="H196" t="s">
        <v>215</v>
      </c>
      <c r="I196" t="s">
        <v>235</v>
      </c>
      <c r="J196" t="s">
        <v>253</v>
      </c>
      <c r="K196" t="s">
        <v>267</v>
      </c>
      <c r="L196" t="s">
        <v>279</v>
      </c>
      <c r="M196" t="s">
        <v>288</v>
      </c>
      <c r="N196" t="s">
        <v>100</v>
      </c>
      <c r="O196" t="s">
        <v>306</v>
      </c>
      <c r="P196" t="s">
        <v>313</v>
      </c>
      <c r="Q196" t="s">
        <v>320</v>
      </c>
      <c r="R196" t="s">
        <v>325</v>
      </c>
      <c r="S196" t="s">
        <v>332</v>
      </c>
      <c r="T196" t="s">
        <v>119</v>
      </c>
      <c r="U196" t="s">
        <v>234</v>
      </c>
      <c r="V196" t="s">
        <v>343</v>
      </c>
      <c r="W196" t="s">
        <v>348</v>
      </c>
      <c r="X196" t="s">
        <v>352</v>
      </c>
      <c r="Y196" t="s">
        <v>354</v>
      </c>
      <c r="AK196" t="s">
        <v>355</v>
      </c>
    </row>
    <row r="197" spans="1:37">
      <c r="A197" t="s">
        <v>41</v>
      </c>
      <c r="B197" t="s">
        <v>61</v>
      </c>
      <c r="C197" t="s">
        <v>83</v>
      </c>
      <c r="D197" t="s">
        <v>102</v>
      </c>
      <c r="E197" t="s">
        <v>121</v>
      </c>
      <c r="F197" t="s">
        <v>155</v>
      </c>
      <c r="G197" t="s">
        <v>181</v>
      </c>
      <c r="H197" t="s">
        <v>216</v>
      </c>
      <c r="I197" t="s">
        <v>236</v>
      </c>
      <c r="AK197" t="s">
        <v>355</v>
      </c>
    </row>
    <row r="198" spans="1:37">
      <c r="A198" t="s">
        <v>42</v>
      </c>
      <c r="B198" t="s">
        <v>62</v>
      </c>
      <c r="C198" t="s">
        <v>84</v>
      </c>
      <c r="D198" t="s">
        <v>103</v>
      </c>
      <c r="E198" t="s">
        <v>122</v>
      </c>
      <c r="F198" t="s">
        <v>156</v>
      </c>
      <c r="G198" t="s">
        <v>182</v>
      </c>
      <c r="H198" t="s">
        <v>83</v>
      </c>
      <c r="I198" t="s">
        <v>237</v>
      </c>
      <c r="J198" t="s">
        <v>254</v>
      </c>
      <c r="K198" t="s">
        <v>268</v>
      </c>
      <c r="L198" t="s">
        <v>280</v>
      </c>
      <c r="M198" t="s">
        <v>289</v>
      </c>
      <c r="N198" t="s">
        <v>298</v>
      </c>
      <c r="O198" t="s">
        <v>307</v>
      </c>
      <c r="P198" t="s">
        <v>314</v>
      </c>
      <c r="Q198" t="s">
        <v>216</v>
      </c>
      <c r="R198" t="s">
        <v>326</v>
      </c>
      <c r="S198" t="s">
        <v>333</v>
      </c>
      <c r="T198" t="s">
        <v>335</v>
      </c>
      <c r="U198" t="s">
        <v>340</v>
      </c>
      <c r="V198" t="s">
        <v>344</v>
      </c>
      <c r="W198" t="s">
        <v>349</v>
      </c>
      <c r="AK198" t="s">
        <v>355</v>
      </c>
    </row>
    <row r="199" spans="1:37">
      <c r="A199" t="s">
        <v>43</v>
      </c>
      <c r="B199" t="s">
        <v>63</v>
      </c>
      <c r="C199" t="s">
        <v>85</v>
      </c>
      <c r="D199" t="s">
        <v>104</v>
      </c>
      <c r="E199" t="s">
        <v>123</v>
      </c>
      <c r="F199" t="s">
        <v>157</v>
      </c>
      <c r="G199" t="s">
        <v>183</v>
      </c>
      <c r="AK199" t="s">
        <v>355</v>
      </c>
    </row>
    <row r="200" spans="1:37">
      <c r="A200" t="s">
        <v>44</v>
      </c>
      <c r="B200" t="s">
        <v>64</v>
      </c>
      <c r="C200" t="s">
        <v>86</v>
      </c>
      <c r="D200" t="s">
        <v>105</v>
      </c>
      <c r="E200" t="s">
        <v>124</v>
      </c>
      <c r="F200" t="s">
        <v>158</v>
      </c>
      <c r="G200" t="s">
        <v>184</v>
      </c>
      <c r="AK200" t="s">
        <v>355</v>
      </c>
    </row>
    <row r="201" spans="1:37">
      <c r="A201" t="s">
        <v>45</v>
      </c>
      <c r="B201" t="s">
        <v>65</v>
      </c>
      <c r="C201" t="s">
        <v>87</v>
      </c>
      <c r="D201" t="s">
        <v>106</v>
      </c>
      <c r="E201" t="s">
        <v>125</v>
      </c>
      <c r="F201" t="s">
        <v>159</v>
      </c>
      <c r="G201" t="s">
        <v>185</v>
      </c>
      <c r="H201" t="s">
        <v>159</v>
      </c>
      <c r="I201" t="s">
        <v>185</v>
      </c>
      <c r="J201" t="s">
        <v>255</v>
      </c>
      <c r="AK201" t="s">
        <v>355</v>
      </c>
    </row>
    <row r="202" spans="1:37">
      <c r="A202" t="s">
        <v>46</v>
      </c>
      <c r="B202" t="s">
        <v>66</v>
      </c>
      <c r="C202" t="s">
        <v>88</v>
      </c>
      <c r="D202" t="s">
        <v>76</v>
      </c>
      <c r="E202" t="s">
        <v>126</v>
      </c>
      <c r="F202" t="s">
        <v>160</v>
      </c>
      <c r="G202" t="s">
        <v>186</v>
      </c>
      <c r="H202" t="s">
        <v>217</v>
      </c>
      <c r="I202" t="s">
        <v>238</v>
      </c>
      <c r="J202" t="s">
        <v>256</v>
      </c>
      <c r="K202" t="s">
        <v>265</v>
      </c>
      <c r="L202" t="s">
        <v>281</v>
      </c>
      <c r="M202" t="s">
        <v>290</v>
      </c>
      <c r="N202" t="s">
        <v>299</v>
      </c>
      <c r="O202" t="s">
        <v>308</v>
      </c>
      <c r="P202" t="s">
        <v>228</v>
      </c>
      <c r="Q202" t="s">
        <v>72</v>
      </c>
      <c r="R202" t="s">
        <v>327</v>
      </c>
      <c r="S202" t="s">
        <v>327</v>
      </c>
      <c r="T202" t="s">
        <v>336</v>
      </c>
      <c r="U202" t="s">
        <v>336</v>
      </c>
      <c r="V202" t="s">
        <v>336</v>
      </c>
      <c r="W202" t="s">
        <v>336</v>
      </c>
      <c r="X202" t="s">
        <v>353</v>
      </c>
      <c r="AK202" t="s">
        <v>355</v>
      </c>
    </row>
    <row r="203" spans="1:37">
      <c r="B203" t="s">
        <v>67</v>
      </c>
      <c r="C203" t="s">
        <v>89</v>
      </c>
      <c r="D203" t="s">
        <v>107</v>
      </c>
      <c r="AK203" t="s">
        <v>355</v>
      </c>
    </row>
    <row r="204" spans="1:37">
      <c r="B204" t="s">
        <v>68</v>
      </c>
      <c r="C204" t="s">
        <v>90</v>
      </c>
      <c r="D204" t="s">
        <v>108</v>
      </c>
      <c r="AK204" t="s">
        <v>355</v>
      </c>
    </row>
    <row r="205" spans="1:37">
      <c r="A205" t="s">
        <v>47</v>
      </c>
      <c r="B205" t="s">
        <v>69</v>
      </c>
      <c r="C205" t="s">
        <v>91</v>
      </c>
      <c r="D205" t="s">
        <v>109</v>
      </c>
      <c r="E205" t="s">
        <v>109</v>
      </c>
      <c r="F205" t="s">
        <v>109</v>
      </c>
      <c r="G205" t="s">
        <v>109</v>
      </c>
      <c r="H205" t="s">
        <v>109</v>
      </c>
      <c r="I205" t="s">
        <v>239</v>
      </c>
      <c r="AK205" t="s">
        <v>355</v>
      </c>
    </row>
    <row r="206" spans="1:37">
      <c r="B206" t="s">
        <v>70</v>
      </c>
      <c r="C206" t="s">
        <v>92</v>
      </c>
      <c r="D206" t="s">
        <v>110</v>
      </c>
      <c r="E206" t="s">
        <v>127</v>
      </c>
      <c r="F206" t="s">
        <v>161</v>
      </c>
      <c r="G206" t="s">
        <v>187</v>
      </c>
      <c r="H206" t="s">
        <v>218</v>
      </c>
      <c r="AK206" t="s">
        <v>355</v>
      </c>
    </row>
    <row r="207" spans="1:37">
      <c r="B207" t="s">
        <v>71</v>
      </c>
      <c r="C207" t="s">
        <v>93</v>
      </c>
      <c r="D207" t="s">
        <v>111</v>
      </c>
      <c r="E207" t="s">
        <v>128</v>
      </c>
      <c r="F207" t="s">
        <v>162</v>
      </c>
      <c r="G207" t="s">
        <v>188</v>
      </c>
      <c r="H207" t="s">
        <v>219</v>
      </c>
      <c r="I207" t="s">
        <v>240</v>
      </c>
      <c r="J207" t="s">
        <v>257</v>
      </c>
      <c r="K207" t="s">
        <v>269</v>
      </c>
      <c r="L207" t="s">
        <v>109</v>
      </c>
      <c r="M207" t="s">
        <v>109</v>
      </c>
      <c r="N207" t="s">
        <v>109</v>
      </c>
      <c r="O207" t="s">
        <v>109</v>
      </c>
      <c r="P207" t="s">
        <v>109</v>
      </c>
      <c r="Q207" t="s">
        <v>321</v>
      </c>
      <c r="AK207" t="s">
        <v>355</v>
      </c>
    </row>
    <row r="208" spans="1:37">
      <c r="A208" t="s">
        <v>48</v>
      </c>
      <c r="B208" t="s">
        <v>71</v>
      </c>
      <c r="C208" t="s">
        <v>93</v>
      </c>
      <c r="D208" t="s">
        <v>111</v>
      </c>
      <c r="E208" t="s">
        <v>128</v>
      </c>
      <c r="F208" t="s">
        <v>163</v>
      </c>
      <c r="G208" t="s">
        <v>189</v>
      </c>
      <c r="H208" t="s">
        <v>220</v>
      </c>
      <c r="I208" t="s">
        <v>241</v>
      </c>
      <c r="J208" t="s">
        <v>258</v>
      </c>
      <c r="K208" t="s">
        <v>270</v>
      </c>
      <c r="AK208" t="s">
        <v>355</v>
      </c>
    </row>
    <row r="209" spans="1:37">
      <c r="B209" t="s">
        <v>72</v>
      </c>
      <c r="C209" t="s">
        <v>72</v>
      </c>
      <c r="D209" t="s">
        <v>72</v>
      </c>
      <c r="E209" t="s">
        <v>129</v>
      </c>
      <c r="F209" t="s">
        <v>129</v>
      </c>
      <c r="G209" t="s">
        <v>191</v>
      </c>
      <c r="H209" t="s">
        <v>72</v>
      </c>
      <c r="I209" t="s">
        <v>192</v>
      </c>
      <c r="J209" t="s">
        <v>72</v>
      </c>
      <c r="K209" t="s">
        <v>271</v>
      </c>
      <c r="AK209" t="s">
        <v>355</v>
      </c>
    </row>
    <row r="210" spans="1:37">
      <c r="A210" t="s">
        <v>37</v>
      </c>
      <c r="B210" t="s">
        <v>49</v>
      </c>
      <c r="C210" t="s">
        <v>73</v>
      </c>
      <c r="D210" t="s">
        <v>94</v>
      </c>
      <c r="E210" t="s">
        <v>112</v>
      </c>
      <c r="F210" t="s">
        <v>146</v>
      </c>
      <c r="G210" t="s">
        <v>172</v>
      </c>
      <c r="H210" t="s">
        <v>207</v>
      </c>
      <c r="I210" t="s">
        <v>226</v>
      </c>
      <c r="J210" t="s">
        <v>246</v>
      </c>
      <c r="K210" t="s">
        <v>259</v>
      </c>
      <c r="AK210" t="s">
        <v>355</v>
      </c>
    </row>
    <row r="211" spans="1:37">
      <c r="A211" t="s">
        <v>38</v>
      </c>
      <c r="B211" t="s">
        <v>50</v>
      </c>
      <c r="C211" t="s">
        <v>74</v>
      </c>
      <c r="D211" t="s">
        <v>95</v>
      </c>
      <c r="E211" t="s">
        <v>113</v>
      </c>
      <c r="F211" t="s">
        <v>147</v>
      </c>
      <c r="G211" t="s">
        <v>173</v>
      </c>
      <c r="H211" t="s">
        <v>208</v>
      </c>
      <c r="I211" t="s">
        <v>227</v>
      </c>
      <c r="J211" t="s">
        <v>115</v>
      </c>
      <c r="K211" t="s">
        <v>260</v>
      </c>
      <c r="L211" t="s">
        <v>273</v>
      </c>
      <c r="M211" t="s">
        <v>282</v>
      </c>
      <c r="N211" t="s">
        <v>291</v>
      </c>
      <c r="AK211" t="s">
        <v>355</v>
      </c>
    </row>
    <row r="212" spans="1:37">
      <c r="B212" t="s">
        <v>51</v>
      </c>
      <c r="C212" t="s">
        <v>75</v>
      </c>
      <c r="D212" t="s">
        <v>52</v>
      </c>
      <c r="E212" t="s">
        <v>114</v>
      </c>
      <c r="F212" t="s">
        <v>148</v>
      </c>
      <c r="G212" t="s">
        <v>148</v>
      </c>
      <c r="H212" t="s">
        <v>209</v>
      </c>
      <c r="I212" t="s">
        <v>228</v>
      </c>
      <c r="J212" t="s">
        <v>247</v>
      </c>
      <c r="K212" t="s">
        <v>261</v>
      </c>
      <c r="L212" t="s">
        <v>274</v>
      </c>
      <c r="M212" t="s">
        <v>283</v>
      </c>
      <c r="N212" t="s">
        <v>292</v>
      </c>
      <c r="O212" t="s">
        <v>300</v>
      </c>
      <c r="AK212" t="s">
        <v>355</v>
      </c>
    </row>
    <row r="213" spans="1:37">
      <c r="B213" t="s">
        <v>52</v>
      </c>
      <c r="C213" t="s">
        <v>76</v>
      </c>
      <c r="D213" t="s">
        <v>96</v>
      </c>
      <c r="E213" t="s">
        <v>115</v>
      </c>
      <c r="F213" t="s">
        <v>149</v>
      </c>
      <c r="G213" t="s">
        <v>174</v>
      </c>
      <c r="H213" t="s">
        <v>96</v>
      </c>
      <c r="I213" t="s">
        <v>229</v>
      </c>
      <c r="J213" t="s">
        <v>248</v>
      </c>
      <c r="K213" t="s">
        <v>262</v>
      </c>
      <c r="L213" t="s">
        <v>52</v>
      </c>
      <c r="M213" t="s">
        <v>76</v>
      </c>
      <c r="N213" t="s">
        <v>293</v>
      </c>
      <c r="O213" t="s">
        <v>301</v>
      </c>
      <c r="P213" t="s">
        <v>309</v>
      </c>
      <c r="Q213" t="s">
        <v>315</v>
      </c>
      <c r="R213" t="s">
        <v>228</v>
      </c>
      <c r="S213" t="s">
        <v>328</v>
      </c>
      <c r="T213" t="s">
        <v>149</v>
      </c>
      <c r="U213" t="s">
        <v>337</v>
      </c>
      <c r="V213" t="s">
        <v>341</v>
      </c>
      <c r="W213" t="s">
        <v>345</v>
      </c>
      <c r="X213" t="s">
        <v>350</v>
      </c>
      <c r="AK213" t="s">
        <v>355</v>
      </c>
    </row>
    <row r="214" spans="1:37">
      <c r="B214" t="s">
        <v>53</v>
      </c>
      <c r="C214" t="s">
        <v>77</v>
      </c>
      <c r="D214" t="s">
        <v>97</v>
      </c>
      <c r="E214" t="s">
        <v>116</v>
      </c>
      <c r="F214" t="s">
        <v>150</v>
      </c>
      <c r="G214" t="s">
        <v>175</v>
      </c>
      <c r="H214" t="s">
        <v>210</v>
      </c>
      <c r="I214" t="s">
        <v>230</v>
      </c>
      <c r="J214" t="s">
        <v>249</v>
      </c>
      <c r="K214" t="s">
        <v>263</v>
      </c>
      <c r="L214" t="s">
        <v>275</v>
      </c>
      <c r="M214" t="s">
        <v>284</v>
      </c>
      <c r="N214" t="s">
        <v>294</v>
      </c>
      <c r="O214" t="s">
        <v>302</v>
      </c>
      <c r="P214" t="s">
        <v>310</v>
      </c>
      <c r="Q214" t="s">
        <v>316</v>
      </c>
      <c r="R214" t="s">
        <v>322</v>
      </c>
      <c r="S214" t="s">
        <v>329</v>
      </c>
      <c r="AK214" t="s">
        <v>355</v>
      </c>
    </row>
    <row r="215" spans="1:37">
      <c r="A215" t="s">
        <v>39</v>
      </c>
      <c r="B215" t="s">
        <v>54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323</v>
      </c>
      <c r="S215" t="s">
        <v>330</v>
      </c>
      <c r="AK215" t="s">
        <v>355</v>
      </c>
    </row>
    <row r="216" spans="1:37">
      <c r="B216" t="s">
        <v>55</v>
      </c>
      <c r="C216" t="s">
        <v>78</v>
      </c>
      <c r="D216" t="s">
        <v>55</v>
      </c>
      <c r="E216" t="s">
        <v>78</v>
      </c>
      <c r="F216" t="s">
        <v>55</v>
      </c>
      <c r="G216" t="s">
        <v>78</v>
      </c>
      <c r="H216" t="s">
        <v>55</v>
      </c>
      <c r="I216" t="s">
        <v>78</v>
      </c>
      <c r="J216" t="s">
        <v>55</v>
      </c>
      <c r="K216" t="s">
        <v>78</v>
      </c>
      <c r="L216" t="s">
        <v>55</v>
      </c>
      <c r="M216" t="s">
        <v>78</v>
      </c>
      <c r="N216" t="s">
        <v>55</v>
      </c>
      <c r="O216" t="s">
        <v>78</v>
      </c>
      <c r="P216" t="s">
        <v>55</v>
      </c>
      <c r="Q216" t="s">
        <v>78</v>
      </c>
      <c r="R216" t="s">
        <v>55</v>
      </c>
      <c r="S216" t="s">
        <v>78</v>
      </c>
      <c r="T216" t="s">
        <v>55</v>
      </c>
      <c r="U216" t="s">
        <v>78</v>
      </c>
      <c r="V216" t="s">
        <v>55</v>
      </c>
      <c r="W216" t="s">
        <v>78</v>
      </c>
      <c r="X216" t="s">
        <v>55</v>
      </c>
      <c r="Y216" t="s">
        <v>78</v>
      </c>
      <c r="Z216" t="s">
        <v>55</v>
      </c>
      <c r="AA216" t="s">
        <v>78</v>
      </c>
      <c r="AB216" t="s">
        <v>55</v>
      </c>
      <c r="AC216" t="s">
        <v>78</v>
      </c>
      <c r="AD216" t="s">
        <v>55</v>
      </c>
      <c r="AE216" t="s">
        <v>78</v>
      </c>
      <c r="AF216" t="s">
        <v>55</v>
      </c>
      <c r="AG216" t="s">
        <v>78</v>
      </c>
      <c r="AH216" t="s">
        <v>55</v>
      </c>
      <c r="AI216" t="s">
        <v>78</v>
      </c>
      <c r="AK216" t="s">
        <v>355</v>
      </c>
    </row>
    <row r="217" spans="1:37">
      <c r="B217" t="s">
        <v>56</v>
      </c>
      <c r="C217" t="s">
        <v>56</v>
      </c>
      <c r="D217" t="s">
        <v>56</v>
      </c>
      <c r="E217" t="s">
        <v>56</v>
      </c>
      <c r="F217" t="s">
        <v>56</v>
      </c>
      <c r="G217" t="s">
        <v>176</v>
      </c>
      <c r="H217" t="s">
        <v>211</v>
      </c>
      <c r="I217" t="s">
        <v>231</v>
      </c>
      <c r="J217" t="s">
        <v>250</v>
      </c>
      <c r="K217" t="s">
        <v>264</v>
      </c>
      <c r="L217" t="s">
        <v>276</v>
      </c>
      <c r="M217" t="s">
        <v>285</v>
      </c>
      <c r="N217" t="s">
        <v>295</v>
      </c>
      <c r="O217" t="s">
        <v>303</v>
      </c>
      <c r="P217" t="s">
        <v>56</v>
      </c>
      <c r="Q217" t="s">
        <v>317</v>
      </c>
      <c r="R217" t="s">
        <v>324</v>
      </c>
      <c r="S217" t="s">
        <v>331</v>
      </c>
      <c r="T217" t="s">
        <v>334</v>
      </c>
      <c r="U217" t="s">
        <v>338</v>
      </c>
      <c r="V217" t="s">
        <v>342</v>
      </c>
      <c r="W217" t="s">
        <v>346</v>
      </c>
      <c r="X217" t="s">
        <v>351</v>
      </c>
      <c r="AK217" t="s">
        <v>355</v>
      </c>
    </row>
    <row r="218" spans="1:37">
      <c r="B218" t="s">
        <v>57</v>
      </c>
      <c r="C218" t="s">
        <v>79</v>
      </c>
      <c r="D218" t="s">
        <v>98</v>
      </c>
      <c r="E218" t="s">
        <v>117</v>
      </c>
      <c r="F218" t="s">
        <v>151</v>
      </c>
      <c r="G218" t="s">
        <v>177</v>
      </c>
      <c r="H218" t="s">
        <v>212</v>
      </c>
      <c r="I218" t="s">
        <v>232</v>
      </c>
      <c r="J218" t="s">
        <v>251</v>
      </c>
      <c r="K218" t="s">
        <v>265</v>
      </c>
      <c r="L218" t="s">
        <v>277</v>
      </c>
      <c r="M218" t="s">
        <v>286</v>
      </c>
      <c r="N218" t="s">
        <v>296</v>
      </c>
      <c r="O218" t="s">
        <v>304</v>
      </c>
      <c r="P218" t="s">
        <v>311</v>
      </c>
      <c r="Q218" t="s">
        <v>318</v>
      </c>
      <c r="R218" t="s">
        <v>185</v>
      </c>
      <c r="S218" t="s">
        <v>159</v>
      </c>
      <c r="T218" t="s">
        <v>185</v>
      </c>
      <c r="U218" t="s">
        <v>339</v>
      </c>
      <c r="V218" t="s">
        <v>72</v>
      </c>
      <c r="W218" t="s">
        <v>347</v>
      </c>
      <c r="X218" t="s">
        <v>72</v>
      </c>
      <c r="Y218" t="s">
        <v>96</v>
      </c>
      <c r="AK218" t="s">
        <v>355</v>
      </c>
    </row>
    <row r="219" spans="1:37">
      <c r="B219" t="s">
        <v>58</v>
      </c>
      <c r="C219" t="s">
        <v>80</v>
      </c>
      <c r="D219" t="s">
        <v>99</v>
      </c>
      <c r="E219" t="s">
        <v>118</v>
      </c>
      <c r="F219" t="s">
        <v>152</v>
      </c>
      <c r="G219" t="s">
        <v>178</v>
      </c>
      <c r="H219" t="s">
        <v>213</v>
      </c>
      <c r="I219" t="s">
        <v>233</v>
      </c>
      <c r="J219" t="s">
        <v>252</v>
      </c>
      <c r="K219" t="s">
        <v>266</v>
      </c>
      <c r="L219" t="s">
        <v>278</v>
      </c>
      <c r="M219" t="s">
        <v>287</v>
      </c>
      <c r="N219" t="s">
        <v>297</v>
      </c>
      <c r="O219" t="s">
        <v>305</v>
      </c>
      <c r="P219" t="s">
        <v>312</v>
      </c>
      <c r="Q219" t="s">
        <v>319</v>
      </c>
      <c r="R219">
        <f>&gt;10       ветра      2.1     10  15 20</f>
        <v>0</v>
      </c>
      <c r="AK219" t="s">
        <v>355</v>
      </c>
    </row>
    <row r="220" spans="1:37">
      <c r="A220" t="s">
        <v>40</v>
      </c>
      <c r="B220" t="s">
        <v>59</v>
      </c>
      <c r="C220" t="s">
        <v>81</v>
      </c>
      <c r="D220" t="s">
        <v>100</v>
      </c>
      <c r="E220" t="s">
        <v>119</v>
      </c>
      <c r="F220" t="s">
        <v>153</v>
      </c>
      <c r="G220" t="s">
        <v>179</v>
      </c>
      <c r="H220" t="s">
        <v>214</v>
      </c>
      <c r="I220" t="s">
        <v>234</v>
      </c>
      <c r="AK220" t="s">
        <v>355</v>
      </c>
    </row>
    <row r="221" spans="1:37">
      <c r="A221" t="s">
        <v>40</v>
      </c>
      <c r="B221" t="s">
        <v>60</v>
      </c>
      <c r="C221" t="s">
        <v>82</v>
      </c>
      <c r="D221" t="s">
        <v>101</v>
      </c>
      <c r="E221" t="s">
        <v>120</v>
      </c>
      <c r="F221" t="s">
        <v>154</v>
      </c>
      <c r="G221" t="s">
        <v>180</v>
      </c>
      <c r="H221" t="s">
        <v>215</v>
      </c>
      <c r="I221" t="s">
        <v>235</v>
      </c>
      <c r="J221" t="s">
        <v>253</v>
      </c>
      <c r="K221" t="s">
        <v>267</v>
      </c>
      <c r="L221" t="s">
        <v>279</v>
      </c>
      <c r="M221" t="s">
        <v>288</v>
      </c>
      <c r="N221" t="s">
        <v>100</v>
      </c>
      <c r="O221" t="s">
        <v>306</v>
      </c>
      <c r="P221" t="s">
        <v>313</v>
      </c>
      <c r="Q221" t="s">
        <v>320</v>
      </c>
      <c r="R221" t="s">
        <v>325</v>
      </c>
      <c r="S221" t="s">
        <v>332</v>
      </c>
      <c r="T221" t="s">
        <v>119</v>
      </c>
      <c r="U221" t="s">
        <v>234</v>
      </c>
      <c r="V221" t="s">
        <v>343</v>
      </c>
      <c r="W221" t="s">
        <v>348</v>
      </c>
      <c r="X221" t="s">
        <v>352</v>
      </c>
      <c r="Y221" t="s">
        <v>354</v>
      </c>
      <c r="AK221" t="s">
        <v>355</v>
      </c>
    </row>
    <row r="222" spans="1:37">
      <c r="A222" t="s">
        <v>41</v>
      </c>
      <c r="B222" t="s">
        <v>61</v>
      </c>
      <c r="C222" t="s">
        <v>83</v>
      </c>
      <c r="D222" t="s">
        <v>102</v>
      </c>
      <c r="E222" t="s">
        <v>121</v>
      </c>
      <c r="F222" t="s">
        <v>155</v>
      </c>
      <c r="G222" t="s">
        <v>181</v>
      </c>
      <c r="H222" t="s">
        <v>216</v>
      </c>
      <c r="I222" t="s">
        <v>236</v>
      </c>
      <c r="AK222" t="s">
        <v>355</v>
      </c>
    </row>
    <row r="223" spans="1:37">
      <c r="A223" t="s">
        <v>42</v>
      </c>
      <c r="B223" t="s">
        <v>62</v>
      </c>
      <c r="C223" t="s">
        <v>84</v>
      </c>
      <c r="D223" t="s">
        <v>103</v>
      </c>
      <c r="E223" t="s">
        <v>122</v>
      </c>
      <c r="F223" t="s">
        <v>156</v>
      </c>
      <c r="G223" t="s">
        <v>182</v>
      </c>
      <c r="H223" t="s">
        <v>83</v>
      </c>
      <c r="I223" t="s">
        <v>237</v>
      </c>
      <c r="J223" t="s">
        <v>254</v>
      </c>
      <c r="K223" t="s">
        <v>268</v>
      </c>
      <c r="L223" t="s">
        <v>280</v>
      </c>
      <c r="M223" t="s">
        <v>289</v>
      </c>
      <c r="N223" t="s">
        <v>298</v>
      </c>
      <c r="O223" t="s">
        <v>307</v>
      </c>
      <c r="P223" t="s">
        <v>314</v>
      </c>
      <c r="Q223" t="s">
        <v>216</v>
      </c>
      <c r="R223" t="s">
        <v>326</v>
      </c>
      <c r="S223" t="s">
        <v>333</v>
      </c>
      <c r="T223" t="s">
        <v>335</v>
      </c>
      <c r="U223" t="s">
        <v>340</v>
      </c>
      <c r="V223" t="s">
        <v>344</v>
      </c>
      <c r="W223" t="s">
        <v>349</v>
      </c>
      <c r="AK223" t="s">
        <v>355</v>
      </c>
    </row>
    <row r="224" spans="1:37">
      <c r="A224" t="s">
        <v>43</v>
      </c>
      <c r="B224" t="s">
        <v>63</v>
      </c>
      <c r="C224" t="s">
        <v>85</v>
      </c>
      <c r="D224" t="s">
        <v>104</v>
      </c>
      <c r="E224" t="s">
        <v>123</v>
      </c>
      <c r="F224" t="s">
        <v>157</v>
      </c>
      <c r="G224" t="s">
        <v>183</v>
      </c>
      <c r="AK224" t="s">
        <v>355</v>
      </c>
    </row>
    <row r="225" spans="1:37">
      <c r="A225" t="s">
        <v>44</v>
      </c>
      <c r="B225" t="s">
        <v>64</v>
      </c>
      <c r="C225" t="s">
        <v>86</v>
      </c>
      <c r="D225" t="s">
        <v>105</v>
      </c>
      <c r="E225" t="s">
        <v>124</v>
      </c>
      <c r="F225" t="s">
        <v>158</v>
      </c>
      <c r="G225" t="s">
        <v>184</v>
      </c>
      <c r="AK225" t="s">
        <v>355</v>
      </c>
    </row>
    <row r="226" spans="1:37">
      <c r="A226" t="s">
        <v>45</v>
      </c>
      <c r="B226" t="s">
        <v>65</v>
      </c>
      <c r="C226" t="s">
        <v>87</v>
      </c>
      <c r="D226" t="s">
        <v>106</v>
      </c>
      <c r="E226" t="s">
        <v>125</v>
      </c>
      <c r="F226" t="s">
        <v>159</v>
      </c>
      <c r="G226" t="s">
        <v>185</v>
      </c>
      <c r="H226" t="s">
        <v>159</v>
      </c>
      <c r="I226" t="s">
        <v>185</v>
      </c>
      <c r="J226" t="s">
        <v>255</v>
      </c>
      <c r="AK226" t="s">
        <v>355</v>
      </c>
    </row>
    <row r="227" spans="1:37">
      <c r="A227" t="s">
        <v>46</v>
      </c>
      <c r="B227" t="s">
        <v>66</v>
      </c>
      <c r="C227" t="s">
        <v>88</v>
      </c>
      <c r="D227" t="s">
        <v>76</v>
      </c>
      <c r="E227" t="s">
        <v>126</v>
      </c>
      <c r="F227" t="s">
        <v>160</v>
      </c>
      <c r="G227" t="s">
        <v>186</v>
      </c>
      <c r="H227" t="s">
        <v>217</v>
      </c>
      <c r="I227" t="s">
        <v>238</v>
      </c>
      <c r="J227" t="s">
        <v>256</v>
      </c>
      <c r="K227" t="s">
        <v>265</v>
      </c>
      <c r="L227" t="s">
        <v>281</v>
      </c>
      <c r="M227" t="s">
        <v>290</v>
      </c>
      <c r="N227" t="s">
        <v>299</v>
      </c>
      <c r="O227" t="s">
        <v>308</v>
      </c>
      <c r="P227" t="s">
        <v>228</v>
      </c>
      <c r="Q227" t="s">
        <v>72</v>
      </c>
      <c r="R227" t="s">
        <v>327</v>
      </c>
      <c r="S227" t="s">
        <v>327</v>
      </c>
      <c r="T227" t="s">
        <v>336</v>
      </c>
      <c r="U227" t="s">
        <v>336</v>
      </c>
      <c r="V227" t="s">
        <v>336</v>
      </c>
      <c r="W227" t="s">
        <v>336</v>
      </c>
      <c r="X227" t="s">
        <v>353</v>
      </c>
      <c r="AK227" t="s">
        <v>355</v>
      </c>
    </row>
    <row r="228" spans="1:37">
      <c r="B228" t="s">
        <v>67</v>
      </c>
      <c r="C228" t="s">
        <v>89</v>
      </c>
      <c r="D228" t="s">
        <v>107</v>
      </c>
      <c r="AK228" t="s">
        <v>355</v>
      </c>
    </row>
    <row r="229" spans="1:37">
      <c r="B229" t="s">
        <v>68</v>
      </c>
      <c r="C229" t="s">
        <v>90</v>
      </c>
      <c r="D229" t="s">
        <v>108</v>
      </c>
      <c r="AK229" t="s">
        <v>355</v>
      </c>
    </row>
    <row r="230" spans="1:37">
      <c r="A230" t="s">
        <v>47</v>
      </c>
      <c r="B230" t="s">
        <v>69</v>
      </c>
      <c r="C230" t="s">
        <v>91</v>
      </c>
      <c r="D230" t="s">
        <v>109</v>
      </c>
      <c r="E230" t="s">
        <v>109</v>
      </c>
      <c r="F230" t="s">
        <v>109</v>
      </c>
      <c r="G230" t="s">
        <v>109</v>
      </c>
      <c r="H230" t="s">
        <v>109</v>
      </c>
      <c r="I230" t="s">
        <v>239</v>
      </c>
      <c r="AK230" t="s">
        <v>355</v>
      </c>
    </row>
    <row r="231" spans="1:37">
      <c r="B231" t="s">
        <v>70</v>
      </c>
      <c r="C231" t="s">
        <v>92</v>
      </c>
      <c r="D231" t="s">
        <v>110</v>
      </c>
      <c r="E231" t="s">
        <v>127</v>
      </c>
      <c r="F231" t="s">
        <v>161</v>
      </c>
      <c r="G231" t="s">
        <v>187</v>
      </c>
      <c r="H231" t="s">
        <v>218</v>
      </c>
      <c r="AK231" t="s">
        <v>355</v>
      </c>
    </row>
    <row r="232" spans="1:37">
      <c r="B232" t="s">
        <v>71</v>
      </c>
      <c r="C232" t="s">
        <v>93</v>
      </c>
      <c r="D232" t="s">
        <v>111</v>
      </c>
      <c r="E232" t="s">
        <v>128</v>
      </c>
      <c r="F232" t="s">
        <v>162</v>
      </c>
      <c r="G232" t="s">
        <v>188</v>
      </c>
      <c r="H232" t="s">
        <v>219</v>
      </c>
      <c r="I232" t="s">
        <v>240</v>
      </c>
      <c r="J232" t="s">
        <v>257</v>
      </c>
      <c r="K232" t="s">
        <v>269</v>
      </c>
      <c r="L232" t="s">
        <v>109</v>
      </c>
      <c r="M232" t="s">
        <v>109</v>
      </c>
      <c r="N232" t="s">
        <v>109</v>
      </c>
      <c r="O232" t="s">
        <v>109</v>
      </c>
      <c r="P232" t="s">
        <v>109</v>
      </c>
      <c r="Q232" t="s">
        <v>321</v>
      </c>
      <c r="AK232" t="s">
        <v>355</v>
      </c>
    </row>
    <row r="233" spans="1:37">
      <c r="A233" t="s">
        <v>48</v>
      </c>
      <c r="B233" t="s">
        <v>71</v>
      </c>
      <c r="C233" t="s">
        <v>93</v>
      </c>
      <c r="D233" t="s">
        <v>111</v>
      </c>
      <c r="E233" t="s">
        <v>128</v>
      </c>
      <c r="F233" t="s">
        <v>163</v>
      </c>
      <c r="G233" t="s">
        <v>189</v>
      </c>
      <c r="H233" t="s">
        <v>220</v>
      </c>
      <c r="I233" t="s">
        <v>241</v>
      </c>
      <c r="J233" t="s">
        <v>258</v>
      </c>
      <c r="K233" t="s">
        <v>270</v>
      </c>
      <c r="AK233" t="s">
        <v>355</v>
      </c>
    </row>
    <row r="234" spans="1:37">
      <c r="B234" t="s">
        <v>72</v>
      </c>
      <c r="C234" t="s">
        <v>72</v>
      </c>
      <c r="D234" t="s">
        <v>72</v>
      </c>
      <c r="E234" t="s">
        <v>129</v>
      </c>
      <c r="F234" t="s">
        <v>129</v>
      </c>
      <c r="G234" t="s">
        <v>191</v>
      </c>
      <c r="H234" t="s">
        <v>222</v>
      </c>
      <c r="I234" t="s">
        <v>192</v>
      </c>
      <c r="J234" t="s">
        <v>192</v>
      </c>
      <c r="K234" t="s">
        <v>271</v>
      </c>
      <c r="AK234" t="s">
        <v>355</v>
      </c>
    </row>
    <row r="235" spans="1:37">
      <c r="A235" t="s">
        <v>37</v>
      </c>
      <c r="B235" t="s">
        <v>49</v>
      </c>
      <c r="C235" t="s">
        <v>73</v>
      </c>
      <c r="D235" t="s">
        <v>94</v>
      </c>
      <c r="E235" t="s">
        <v>112</v>
      </c>
      <c r="F235" t="s">
        <v>146</v>
      </c>
      <c r="G235" t="s">
        <v>172</v>
      </c>
      <c r="H235" t="s">
        <v>207</v>
      </c>
      <c r="I235" t="s">
        <v>226</v>
      </c>
      <c r="J235" t="s">
        <v>246</v>
      </c>
      <c r="K235" t="s">
        <v>259</v>
      </c>
      <c r="AK235" t="s">
        <v>355</v>
      </c>
    </row>
    <row r="236" spans="1:37">
      <c r="A236" t="s">
        <v>38</v>
      </c>
      <c r="B236" t="s">
        <v>50</v>
      </c>
      <c r="C236" t="s">
        <v>74</v>
      </c>
      <c r="D236" t="s">
        <v>95</v>
      </c>
      <c r="E236" t="s">
        <v>113</v>
      </c>
      <c r="F236" t="s">
        <v>147</v>
      </c>
      <c r="G236" t="s">
        <v>173</v>
      </c>
      <c r="H236" t="s">
        <v>208</v>
      </c>
      <c r="I236" t="s">
        <v>227</v>
      </c>
      <c r="J236" t="s">
        <v>115</v>
      </c>
      <c r="K236" t="s">
        <v>260</v>
      </c>
      <c r="L236" t="s">
        <v>273</v>
      </c>
      <c r="M236" t="s">
        <v>282</v>
      </c>
      <c r="N236" t="s">
        <v>291</v>
      </c>
      <c r="AK236" t="s">
        <v>355</v>
      </c>
    </row>
    <row r="237" spans="1:37">
      <c r="B237" t="s">
        <v>51</v>
      </c>
      <c r="C237" t="s">
        <v>75</v>
      </c>
      <c r="D237" t="s">
        <v>52</v>
      </c>
      <c r="E237" t="s">
        <v>114</v>
      </c>
      <c r="F237" t="s">
        <v>148</v>
      </c>
      <c r="G237" t="s">
        <v>148</v>
      </c>
      <c r="H237" t="s">
        <v>209</v>
      </c>
      <c r="I237" t="s">
        <v>228</v>
      </c>
      <c r="J237" t="s">
        <v>247</v>
      </c>
      <c r="K237" t="s">
        <v>261</v>
      </c>
      <c r="L237" t="s">
        <v>274</v>
      </c>
      <c r="M237" t="s">
        <v>283</v>
      </c>
      <c r="N237" t="s">
        <v>292</v>
      </c>
      <c r="O237" t="s">
        <v>300</v>
      </c>
      <c r="AK237" t="s">
        <v>355</v>
      </c>
    </row>
    <row r="238" spans="1:37">
      <c r="B238" t="s">
        <v>52</v>
      </c>
      <c r="C238" t="s">
        <v>76</v>
      </c>
      <c r="D238" t="s">
        <v>96</v>
      </c>
      <c r="E238" t="s">
        <v>115</v>
      </c>
      <c r="F238" t="s">
        <v>149</v>
      </c>
      <c r="G238" t="s">
        <v>174</v>
      </c>
      <c r="H238" t="s">
        <v>96</v>
      </c>
      <c r="I238" t="s">
        <v>229</v>
      </c>
      <c r="J238" t="s">
        <v>248</v>
      </c>
      <c r="K238" t="s">
        <v>262</v>
      </c>
      <c r="L238" t="s">
        <v>52</v>
      </c>
      <c r="M238" t="s">
        <v>76</v>
      </c>
      <c r="N238" t="s">
        <v>293</v>
      </c>
      <c r="O238" t="s">
        <v>301</v>
      </c>
      <c r="P238" t="s">
        <v>309</v>
      </c>
      <c r="Q238" t="s">
        <v>315</v>
      </c>
      <c r="R238" t="s">
        <v>228</v>
      </c>
      <c r="S238" t="s">
        <v>328</v>
      </c>
      <c r="T238" t="s">
        <v>149</v>
      </c>
      <c r="U238" t="s">
        <v>337</v>
      </c>
      <c r="V238" t="s">
        <v>341</v>
      </c>
      <c r="W238" t="s">
        <v>345</v>
      </c>
      <c r="X238" t="s">
        <v>350</v>
      </c>
      <c r="AK238" t="s">
        <v>355</v>
      </c>
    </row>
    <row r="239" spans="1:37">
      <c r="B239" t="s">
        <v>53</v>
      </c>
      <c r="C239" t="s">
        <v>77</v>
      </c>
      <c r="D239" t="s">
        <v>97</v>
      </c>
      <c r="E239" t="s">
        <v>116</v>
      </c>
      <c r="F239" t="s">
        <v>150</v>
      </c>
      <c r="G239" t="s">
        <v>175</v>
      </c>
      <c r="H239" t="s">
        <v>210</v>
      </c>
      <c r="I239" t="s">
        <v>230</v>
      </c>
      <c r="J239" t="s">
        <v>249</v>
      </c>
      <c r="K239" t="s">
        <v>263</v>
      </c>
      <c r="L239" t="s">
        <v>275</v>
      </c>
      <c r="M239" t="s">
        <v>284</v>
      </c>
      <c r="N239" t="s">
        <v>294</v>
      </c>
      <c r="O239" t="s">
        <v>302</v>
      </c>
      <c r="P239" t="s">
        <v>310</v>
      </c>
      <c r="Q239" t="s">
        <v>316</v>
      </c>
      <c r="R239" t="s">
        <v>322</v>
      </c>
      <c r="S239" t="s">
        <v>329</v>
      </c>
      <c r="AK239" t="s">
        <v>355</v>
      </c>
    </row>
    <row r="240" spans="1:37">
      <c r="A240" t="s">
        <v>39</v>
      </c>
      <c r="B240" t="s">
        <v>54</v>
      </c>
      <c r="C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323</v>
      </c>
      <c r="S240" t="s">
        <v>330</v>
      </c>
      <c r="AK240" t="s">
        <v>355</v>
      </c>
    </row>
    <row r="241" spans="1:37">
      <c r="B241" t="s">
        <v>55</v>
      </c>
      <c r="C241" t="s">
        <v>78</v>
      </c>
      <c r="D241" t="s">
        <v>55</v>
      </c>
      <c r="E241" t="s">
        <v>78</v>
      </c>
      <c r="F241" t="s">
        <v>55</v>
      </c>
      <c r="G241" t="s">
        <v>78</v>
      </c>
      <c r="H241" t="s">
        <v>55</v>
      </c>
      <c r="I241" t="s">
        <v>78</v>
      </c>
      <c r="J241" t="s">
        <v>55</v>
      </c>
      <c r="K241" t="s">
        <v>78</v>
      </c>
      <c r="L241" t="s">
        <v>55</v>
      </c>
      <c r="M241" t="s">
        <v>78</v>
      </c>
      <c r="N241" t="s">
        <v>55</v>
      </c>
      <c r="O241" t="s">
        <v>78</v>
      </c>
      <c r="P241" t="s">
        <v>55</v>
      </c>
      <c r="Q241" t="s">
        <v>78</v>
      </c>
      <c r="R241" t="s">
        <v>55</v>
      </c>
      <c r="S241" t="s">
        <v>78</v>
      </c>
      <c r="T241" t="s">
        <v>55</v>
      </c>
      <c r="U241" t="s">
        <v>78</v>
      </c>
      <c r="V241" t="s">
        <v>55</v>
      </c>
      <c r="W241" t="s">
        <v>78</v>
      </c>
      <c r="X241" t="s">
        <v>55</v>
      </c>
      <c r="Y241" t="s">
        <v>78</v>
      </c>
      <c r="Z241" t="s">
        <v>55</v>
      </c>
      <c r="AA241" t="s">
        <v>78</v>
      </c>
      <c r="AB241" t="s">
        <v>55</v>
      </c>
      <c r="AC241" t="s">
        <v>78</v>
      </c>
      <c r="AD241" t="s">
        <v>55</v>
      </c>
      <c r="AE241" t="s">
        <v>78</v>
      </c>
      <c r="AF241" t="s">
        <v>55</v>
      </c>
      <c r="AG241" t="s">
        <v>78</v>
      </c>
      <c r="AH241" t="s">
        <v>55</v>
      </c>
      <c r="AI241" t="s">
        <v>78</v>
      </c>
      <c r="AK241" t="s">
        <v>355</v>
      </c>
    </row>
    <row r="242" spans="1:37">
      <c r="B242" t="s">
        <v>56</v>
      </c>
      <c r="C242" t="s">
        <v>56</v>
      </c>
      <c r="D242" t="s">
        <v>56</v>
      </c>
      <c r="E242" t="s">
        <v>56</v>
      </c>
      <c r="F242" t="s">
        <v>56</v>
      </c>
      <c r="G242" t="s">
        <v>176</v>
      </c>
      <c r="H242" t="s">
        <v>211</v>
      </c>
      <c r="I242" t="s">
        <v>231</v>
      </c>
      <c r="J242" t="s">
        <v>250</v>
      </c>
      <c r="K242" t="s">
        <v>264</v>
      </c>
      <c r="L242" t="s">
        <v>276</v>
      </c>
      <c r="M242" t="s">
        <v>285</v>
      </c>
      <c r="N242" t="s">
        <v>295</v>
      </c>
      <c r="O242" t="s">
        <v>303</v>
      </c>
      <c r="P242" t="s">
        <v>56</v>
      </c>
      <c r="Q242" t="s">
        <v>317</v>
      </c>
      <c r="R242" t="s">
        <v>324</v>
      </c>
      <c r="S242" t="s">
        <v>331</v>
      </c>
      <c r="T242" t="s">
        <v>334</v>
      </c>
      <c r="U242" t="s">
        <v>338</v>
      </c>
      <c r="V242" t="s">
        <v>342</v>
      </c>
      <c r="W242" t="s">
        <v>346</v>
      </c>
      <c r="X242" t="s">
        <v>351</v>
      </c>
      <c r="AK242" t="s">
        <v>355</v>
      </c>
    </row>
    <row r="243" spans="1:37">
      <c r="B243" t="s">
        <v>57</v>
      </c>
      <c r="C243" t="s">
        <v>79</v>
      </c>
      <c r="D243" t="s">
        <v>98</v>
      </c>
      <c r="E243" t="s">
        <v>117</v>
      </c>
      <c r="F243" t="s">
        <v>151</v>
      </c>
      <c r="G243" t="s">
        <v>177</v>
      </c>
      <c r="H243" t="s">
        <v>212</v>
      </c>
      <c r="I243" t="s">
        <v>232</v>
      </c>
      <c r="J243" t="s">
        <v>251</v>
      </c>
      <c r="K243" t="s">
        <v>265</v>
      </c>
      <c r="L243" t="s">
        <v>277</v>
      </c>
      <c r="M243" t="s">
        <v>286</v>
      </c>
      <c r="N243" t="s">
        <v>296</v>
      </c>
      <c r="O243" t="s">
        <v>304</v>
      </c>
      <c r="P243" t="s">
        <v>311</v>
      </c>
      <c r="Q243" t="s">
        <v>318</v>
      </c>
      <c r="R243" t="s">
        <v>185</v>
      </c>
      <c r="S243" t="s">
        <v>159</v>
      </c>
      <c r="T243" t="s">
        <v>185</v>
      </c>
      <c r="U243" t="s">
        <v>339</v>
      </c>
      <c r="V243" t="s">
        <v>72</v>
      </c>
      <c r="W243" t="s">
        <v>347</v>
      </c>
      <c r="X243" t="s">
        <v>72</v>
      </c>
      <c r="Y243" t="s">
        <v>96</v>
      </c>
      <c r="AK243" t="s">
        <v>355</v>
      </c>
    </row>
    <row r="244" spans="1:37">
      <c r="B244" t="s">
        <v>58</v>
      </c>
      <c r="C244" t="s">
        <v>80</v>
      </c>
      <c r="D244" t="s">
        <v>99</v>
      </c>
      <c r="E244" t="s">
        <v>118</v>
      </c>
      <c r="F244" t="s">
        <v>152</v>
      </c>
      <c r="G244" t="s">
        <v>178</v>
      </c>
      <c r="H244" t="s">
        <v>213</v>
      </c>
      <c r="I244" t="s">
        <v>233</v>
      </c>
      <c r="J244" t="s">
        <v>252</v>
      </c>
      <c r="K244" t="s">
        <v>266</v>
      </c>
      <c r="L244" t="s">
        <v>278</v>
      </c>
      <c r="M244" t="s">
        <v>287</v>
      </c>
      <c r="N244" t="s">
        <v>297</v>
      </c>
      <c r="O244" t="s">
        <v>305</v>
      </c>
      <c r="P244" t="s">
        <v>312</v>
      </c>
      <c r="Q244" t="s">
        <v>319</v>
      </c>
      <c r="R244">
        <f>&gt;10       ветра      1.1     13   1</f>
        <v>0</v>
      </c>
      <c r="AK244" t="s">
        <v>355</v>
      </c>
    </row>
    <row r="245" spans="1:37">
      <c r="A245" t="s">
        <v>40</v>
      </c>
      <c r="B245" t="s">
        <v>59</v>
      </c>
      <c r="C245" t="s">
        <v>81</v>
      </c>
      <c r="D245" t="s">
        <v>100</v>
      </c>
      <c r="E245" t="s">
        <v>119</v>
      </c>
      <c r="F245" t="s">
        <v>153</v>
      </c>
      <c r="G245" t="s">
        <v>179</v>
      </c>
      <c r="H245" t="s">
        <v>214</v>
      </c>
      <c r="I245" t="s">
        <v>234</v>
      </c>
      <c r="AK245" t="s">
        <v>355</v>
      </c>
    </row>
    <row r="246" spans="1:37">
      <c r="A246" t="s">
        <v>40</v>
      </c>
      <c r="B246" t="s">
        <v>60</v>
      </c>
      <c r="C246" t="s">
        <v>82</v>
      </c>
      <c r="D246" t="s">
        <v>101</v>
      </c>
      <c r="E246" t="s">
        <v>120</v>
      </c>
      <c r="F246" t="s">
        <v>154</v>
      </c>
      <c r="G246" t="s">
        <v>180</v>
      </c>
      <c r="H246" t="s">
        <v>215</v>
      </c>
      <c r="I246" t="s">
        <v>235</v>
      </c>
      <c r="J246" t="s">
        <v>253</v>
      </c>
      <c r="K246" t="s">
        <v>267</v>
      </c>
      <c r="L246" t="s">
        <v>279</v>
      </c>
      <c r="M246" t="s">
        <v>288</v>
      </c>
      <c r="N246" t="s">
        <v>100</v>
      </c>
      <c r="O246" t="s">
        <v>306</v>
      </c>
      <c r="P246" t="s">
        <v>313</v>
      </c>
      <c r="Q246" t="s">
        <v>320</v>
      </c>
      <c r="R246" t="s">
        <v>325</v>
      </c>
      <c r="S246" t="s">
        <v>332</v>
      </c>
      <c r="T246" t="s">
        <v>119</v>
      </c>
      <c r="U246" t="s">
        <v>234</v>
      </c>
      <c r="V246" t="s">
        <v>343</v>
      </c>
      <c r="W246" t="s">
        <v>348</v>
      </c>
      <c r="X246" t="s">
        <v>352</v>
      </c>
      <c r="Y246" t="s">
        <v>354</v>
      </c>
      <c r="AK246" t="s">
        <v>355</v>
      </c>
    </row>
    <row r="247" spans="1:37">
      <c r="A247" t="s">
        <v>41</v>
      </c>
      <c r="B247" t="s">
        <v>61</v>
      </c>
      <c r="C247" t="s">
        <v>83</v>
      </c>
      <c r="D247" t="s">
        <v>102</v>
      </c>
      <c r="E247" t="s">
        <v>121</v>
      </c>
      <c r="F247" t="s">
        <v>155</v>
      </c>
      <c r="G247" t="s">
        <v>181</v>
      </c>
      <c r="H247" t="s">
        <v>216</v>
      </c>
      <c r="I247" t="s">
        <v>236</v>
      </c>
      <c r="AK247" t="s">
        <v>355</v>
      </c>
    </row>
    <row r="248" spans="1:37">
      <c r="A248" t="s">
        <v>42</v>
      </c>
      <c r="B248" t="s">
        <v>62</v>
      </c>
      <c r="C248" t="s">
        <v>84</v>
      </c>
      <c r="D248" t="s">
        <v>103</v>
      </c>
      <c r="E248" t="s">
        <v>122</v>
      </c>
      <c r="F248" t="s">
        <v>156</v>
      </c>
      <c r="G248" t="s">
        <v>182</v>
      </c>
      <c r="H248" t="s">
        <v>83</v>
      </c>
      <c r="I248" t="s">
        <v>237</v>
      </c>
      <c r="J248" t="s">
        <v>254</v>
      </c>
      <c r="K248" t="s">
        <v>268</v>
      </c>
      <c r="L248" t="s">
        <v>280</v>
      </c>
      <c r="M248" t="s">
        <v>289</v>
      </c>
      <c r="N248" t="s">
        <v>298</v>
      </c>
      <c r="O248" t="s">
        <v>307</v>
      </c>
      <c r="P248" t="s">
        <v>314</v>
      </c>
      <c r="Q248" t="s">
        <v>216</v>
      </c>
      <c r="R248" t="s">
        <v>326</v>
      </c>
      <c r="S248" t="s">
        <v>333</v>
      </c>
      <c r="T248" t="s">
        <v>335</v>
      </c>
      <c r="U248" t="s">
        <v>340</v>
      </c>
      <c r="V248" t="s">
        <v>344</v>
      </c>
      <c r="W248" t="s">
        <v>349</v>
      </c>
      <c r="AK248" t="s">
        <v>355</v>
      </c>
    </row>
    <row r="249" spans="1:37">
      <c r="A249" t="s">
        <v>43</v>
      </c>
      <c r="B249" t="s">
        <v>63</v>
      </c>
      <c r="C249" t="s">
        <v>85</v>
      </c>
      <c r="D249" t="s">
        <v>104</v>
      </c>
      <c r="E249" t="s">
        <v>123</v>
      </c>
      <c r="F249" t="s">
        <v>157</v>
      </c>
      <c r="G249" t="s">
        <v>183</v>
      </c>
      <c r="AK249" t="s">
        <v>355</v>
      </c>
    </row>
    <row r="250" spans="1:37">
      <c r="A250" t="s">
        <v>44</v>
      </c>
      <c r="B250" t="s">
        <v>64</v>
      </c>
      <c r="C250" t="s">
        <v>86</v>
      </c>
      <c r="D250" t="s">
        <v>105</v>
      </c>
      <c r="E250" t="s">
        <v>124</v>
      </c>
      <c r="F250" t="s">
        <v>158</v>
      </c>
      <c r="G250" t="s">
        <v>184</v>
      </c>
      <c r="AK250" t="s">
        <v>355</v>
      </c>
    </row>
    <row r="251" spans="1:37">
      <c r="A251" t="s">
        <v>45</v>
      </c>
      <c r="B251" t="s">
        <v>65</v>
      </c>
      <c r="C251" t="s">
        <v>87</v>
      </c>
      <c r="D251" t="s">
        <v>106</v>
      </c>
      <c r="E251" t="s">
        <v>125</v>
      </c>
      <c r="F251" t="s">
        <v>159</v>
      </c>
      <c r="G251" t="s">
        <v>185</v>
      </c>
      <c r="H251" t="s">
        <v>159</v>
      </c>
      <c r="I251" t="s">
        <v>185</v>
      </c>
      <c r="J251" t="s">
        <v>255</v>
      </c>
      <c r="AK251" t="s">
        <v>355</v>
      </c>
    </row>
    <row r="252" spans="1:37">
      <c r="A252" t="s">
        <v>46</v>
      </c>
      <c r="B252" t="s">
        <v>66</v>
      </c>
      <c r="C252" t="s">
        <v>88</v>
      </c>
      <c r="D252" t="s">
        <v>76</v>
      </c>
      <c r="E252" t="s">
        <v>126</v>
      </c>
      <c r="F252" t="s">
        <v>160</v>
      </c>
      <c r="G252" t="s">
        <v>186</v>
      </c>
      <c r="H252" t="s">
        <v>217</v>
      </c>
      <c r="I252" t="s">
        <v>238</v>
      </c>
      <c r="J252" t="s">
        <v>256</v>
      </c>
      <c r="K252" t="s">
        <v>265</v>
      </c>
      <c r="L252" t="s">
        <v>281</v>
      </c>
      <c r="M252" t="s">
        <v>290</v>
      </c>
      <c r="N252" t="s">
        <v>299</v>
      </c>
      <c r="O252" t="s">
        <v>308</v>
      </c>
      <c r="P252" t="s">
        <v>228</v>
      </c>
      <c r="Q252" t="s">
        <v>72</v>
      </c>
      <c r="R252" t="s">
        <v>327</v>
      </c>
      <c r="S252" t="s">
        <v>327</v>
      </c>
      <c r="T252" t="s">
        <v>336</v>
      </c>
      <c r="U252" t="s">
        <v>336</v>
      </c>
      <c r="V252" t="s">
        <v>336</v>
      </c>
      <c r="W252" t="s">
        <v>336</v>
      </c>
      <c r="X252" t="s">
        <v>353</v>
      </c>
      <c r="AK252" t="s">
        <v>355</v>
      </c>
    </row>
    <row r="253" spans="1:37">
      <c r="A253" t="s">
        <v>37</v>
      </c>
      <c r="B253" t="s">
        <v>49</v>
      </c>
      <c r="C253" t="s">
        <v>73</v>
      </c>
      <c r="D253" t="s">
        <v>94</v>
      </c>
      <c r="E253" t="s">
        <v>112</v>
      </c>
      <c r="F253" t="s">
        <v>146</v>
      </c>
      <c r="G253" t="s">
        <v>172</v>
      </c>
      <c r="H253" t="s">
        <v>207</v>
      </c>
      <c r="I253" t="s">
        <v>226</v>
      </c>
      <c r="J253" t="s">
        <v>246</v>
      </c>
      <c r="K253" t="s">
        <v>259</v>
      </c>
      <c r="AK253" t="s">
        <v>355</v>
      </c>
    </row>
    <row r="254" spans="1:37">
      <c r="A254" t="s">
        <v>38</v>
      </c>
      <c r="B254" t="s">
        <v>50</v>
      </c>
      <c r="C254" t="s">
        <v>74</v>
      </c>
      <c r="D254" t="s">
        <v>95</v>
      </c>
      <c r="E254" t="s">
        <v>113</v>
      </c>
      <c r="F254" t="s">
        <v>147</v>
      </c>
      <c r="G254" t="s">
        <v>173</v>
      </c>
      <c r="H254" t="s">
        <v>208</v>
      </c>
      <c r="I254" t="s">
        <v>227</v>
      </c>
      <c r="J254" t="s">
        <v>115</v>
      </c>
      <c r="K254" t="s">
        <v>260</v>
      </c>
      <c r="L254" t="s">
        <v>273</v>
      </c>
      <c r="M254" t="s">
        <v>282</v>
      </c>
      <c r="N254" t="s">
        <v>291</v>
      </c>
      <c r="AK254" t="s">
        <v>355</v>
      </c>
    </row>
    <row r="255" spans="1:37">
      <c r="B255" t="s">
        <v>51</v>
      </c>
      <c r="C255" t="s">
        <v>75</v>
      </c>
      <c r="D255" t="s">
        <v>52</v>
      </c>
      <c r="E255" t="s">
        <v>114</v>
      </c>
      <c r="F255" t="s">
        <v>148</v>
      </c>
      <c r="G255" t="s">
        <v>148</v>
      </c>
      <c r="H255" t="s">
        <v>209</v>
      </c>
      <c r="I255" t="s">
        <v>228</v>
      </c>
      <c r="J255" t="s">
        <v>247</v>
      </c>
      <c r="K255" t="s">
        <v>261</v>
      </c>
      <c r="L255" t="s">
        <v>274</v>
      </c>
      <c r="M255" t="s">
        <v>283</v>
      </c>
      <c r="N255" t="s">
        <v>292</v>
      </c>
      <c r="O255" t="s">
        <v>300</v>
      </c>
      <c r="AK255" t="s">
        <v>355</v>
      </c>
    </row>
    <row r="256" spans="1:37">
      <c r="B256" t="s">
        <v>52</v>
      </c>
      <c r="C256" t="s">
        <v>76</v>
      </c>
      <c r="D256" t="s">
        <v>96</v>
      </c>
      <c r="E256" t="s">
        <v>115</v>
      </c>
      <c r="F256" t="s">
        <v>149</v>
      </c>
      <c r="G256" t="s">
        <v>174</v>
      </c>
      <c r="H256" t="s">
        <v>96</v>
      </c>
      <c r="I256" t="s">
        <v>229</v>
      </c>
      <c r="J256" t="s">
        <v>248</v>
      </c>
      <c r="K256" t="s">
        <v>262</v>
      </c>
      <c r="L256" t="s">
        <v>52</v>
      </c>
      <c r="M256" t="s">
        <v>76</v>
      </c>
      <c r="N256" t="s">
        <v>293</v>
      </c>
      <c r="O256" t="s">
        <v>301</v>
      </c>
      <c r="P256" t="s">
        <v>309</v>
      </c>
      <c r="Q256" t="s">
        <v>315</v>
      </c>
      <c r="R256" t="s">
        <v>228</v>
      </c>
      <c r="S256" t="s">
        <v>328</v>
      </c>
      <c r="T256" t="s">
        <v>149</v>
      </c>
      <c r="U256" t="s">
        <v>337</v>
      </c>
      <c r="V256" t="s">
        <v>341</v>
      </c>
      <c r="W256" t="s">
        <v>345</v>
      </c>
      <c r="X256" t="s">
        <v>350</v>
      </c>
      <c r="AK256" t="s">
        <v>355</v>
      </c>
    </row>
    <row r="257" spans="1:37">
      <c r="B257" t="s">
        <v>53</v>
      </c>
      <c r="C257" t="s">
        <v>77</v>
      </c>
      <c r="D257" t="s">
        <v>97</v>
      </c>
      <c r="E257" t="s">
        <v>116</v>
      </c>
      <c r="F257" t="s">
        <v>150</v>
      </c>
      <c r="G257" t="s">
        <v>175</v>
      </c>
      <c r="H257" t="s">
        <v>210</v>
      </c>
      <c r="I257" t="s">
        <v>230</v>
      </c>
      <c r="J257" t="s">
        <v>249</v>
      </c>
      <c r="K257" t="s">
        <v>263</v>
      </c>
      <c r="L257" t="s">
        <v>275</v>
      </c>
      <c r="M257" t="s">
        <v>284</v>
      </c>
      <c r="N257" t="s">
        <v>294</v>
      </c>
      <c r="O257" t="s">
        <v>302</v>
      </c>
      <c r="P257" t="s">
        <v>310</v>
      </c>
      <c r="Q257" t="s">
        <v>316</v>
      </c>
      <c r="R257" t="s">
        <v>322</v>
      </c>
      <c r="S257" t="s">
        <v>329</v>
      </c>
      <c r="AK257" t="s">
        <v>355</v>
      </c>
    </row>
    <row r="258" spans="1:37">
      <c r="A258" t="s">
        <v>39</v>
      </c>
      <c r="B258" t="s">
        <v>54</v>
      </c>
      <c r="C258" t="s">
        <v>54</v>
      </c>
      <c r="D258" t="s">
        <v>54</v>
      </c>
      <c r="E258" t="s">
        <v>54</v>
      </c>
      <c r="F258" t="s">
        <v>54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323</v>
      </c>
      <c r="S258" t="s">
        <v>330</v>
      </c>
      <c r="AK258" t="s">
        <v>355</v>
      </c>
    </row>
    <row r="259" spans="1:37">
      <c r="B259" t="s">
        <v>55</v>
      </c>
      <c r="C259" t="s">
        <v>78</v>
      </c>
      <c r="D259" t="s">
        <v>55</v>
      </c>
      <c r="E259" t="s">
        <v>78</v>
      </c>
      <c r="F259" t="s">
        <v>55</v>
      </c>
      <c r="G259" t="s">
        <v>78</v>
      </c>
      <c r="H259" t="s">
        <v>55</v>
      </c>
      <c r="I259" t="s">
        <v>78</v>
      </c>
      <c r="J259" t="s">
        <v>55</v>
      </c>
      <c r="K259" t="s">
        <v>78</v>
      </c>
      <c r="L259" t="s">
        <v>55</v>
      </c>
      <c r="M259" t="s">
        <v>78</v>
      </c>
      <c r="N259" t="s">
        <v>55</v>
      </c>
      <c r="O259" t="s">
        <v>78</v>
      </c>
      <c r="P259" t="s">
        <v>55</v>
      </c>
      <c r="Q259" t="s">
        <v>78</v>
      </c>
      <c r="R259" t="s">
        <v>55</v>
      </c>
      <c r="S259" t="s">
        <v>78</v>
      </c>
      <c r="T259" t="s">
        <v>55</v>
      </c>
      <c r="U259" t="s">
        <v>78</v>
      </c>
      <c r="V259" t="s">
        <v>55</v>
      </c>
      <c r="W259" t="s">
        <v>78</v>
      </c>
      <c r="X259" t="s">
        <v>55</v>
      </c>
      <c r="Y259" t="s">
        <v>78</v>
      </c>
      <c r="Z259" t="s">
        <v>55</v>
      </c>
      <c r="AA259" t="s">
        <v>78</v>
      </c>
      <c r="AB259" t="s">
        <v>55</v>
      </c>
      <c r="AC259" t="s">
        <v>78</v>
      </c>
      <c r="AD259" t="s">
        <v>55</v>
      </c>
      <c r="AE259" t="s">
        <v>78</v>
      </c>
      <c r="AF259" t="s">
        <v>55</v>
      </c>
      <c r="AG259" t="s">
        <v>78</v>
      </c>
      <c r="AH259" t="s">
        <v>55</v>
      </c>
      <c r="AI259" t="s">
        <v>78</v>
      </c>
      <c r="AK259" t="s">
        <v>355</v>
      </c>
    </row>
    <row r="260" spans="1:37">
      <c r="B260" t="s">
        <v>56</v>
      </c>
      <c r="C260" t="s">
        <v>56</v>
      </c>
      <c r="D260" t="s">
        <v>56</v>
      </c>
      <c r="E260" t="s">
        <v>56</v>
      </c>
      <c r="F260" t="s">
        <v>56</v>
      </c>
      <c r="G260" t="s">
        <v>176</v>
      </c>
      <c r="H260" t="s">
        <v>211</v>
      </c>
      <c r="I260" t="s">
        <v>231</v>
      </c>
      <c r="J260" t="s">
        <v>250</v>
      </c>
      <c r="K260" t="s">
        <v>264</v>
      </c>
      <c r="L260" t="s">
        <v>276</v>
      </c>
      <c r="M260" t="s">
        <v>285</v>
      </c>
      <c r="N260" t="s">
        <v>295</v>
      </c>
      <c r="O260" t="s">
        <v>303</v>
      </c>
      <c r="P260" t="s">
        <v>56</v>
      </c>
      <c r="Q260" t="s">
        <v>317</v>
      </c>
      <c r="R260" t="s">
        <v>324</v>
      </c>
      <c r="S260" t="s">
        <v>331</v>
      </c>
      <c r="T260" t="s">
        <v>334</v>
      </c>
      <c r="U260" t="s">
        <v>338</v>
      </c>
      <c r="V260" t="s">
        <v>342</v>
      </c>
      <c r="W260" t="s">
        <v>346</v>
      </c>
      <c r="X260" t="s">
        <v>351</v>
      </c>
      <c r="AK260" t="s">
        <v>355</v>
      </c>
    </row>
    <row r="261" spans="1:37">
      <c r="B261" t="s">
        <v>57</v>
      </c>
      <c r="C261" t="s">
        <v>79</v>
      </c>
      <c r="D261" t="s">
        <v>98</v>
      </c>
      <c r="E261" t="s">
        <v>117</v>
      </c>
      <c r="F261" t="s">
        <v>151</v>
      </c>
      <c r="G261" t="s">
        <v>177</v>
      </c>
      <c r="H261" t="s">
        <v>212</v>
      </c>
      <c r="I261" t="s">
        <v>232</v>
      </c>
      <c r="J261" t="s">
        <v>251</v>
      </c>
      <c r="K261" t="s">
        <v>265</v>
      </c>
      <c r="L261" t="s">
        <v>277</v>
      </c>
      <c r="M261" t="s">
        <v>286</v>
      </c>
      <c r="N261" t="s">
        <v>296</v>
      </c>
      <c r="O261" t="s">
        <v>304</v>
      </c>
      <c r="P261" t="s">
        <v>311</v>
      </c>
      <c r="Q261" t="s">
        <v>318</v>
      </c>
      <c r="R261" t="s">
        <v>185</v>
      </c>
      <c r="S261" t="s">
        <v>159</v>
      </c>
      <c r="T261" t="s">
        <v>185</v>
      </c>
      <c r="U261" t="s">
        <v>339</v>
      </c>
      <c r="V261" t="s">
        <v>72</v>
      </c>
      <c r="W261" t="s">
        <v>347</v>
      </c>
      <c r="X261" t="s">
        <v>72</v>
      </c>
      <c r="Y261" t="s">
        <v>96</v>
      </c>
      <c r="AK261" t="s">
        <v>355</v>
      </c>
    </row>
    <row r="262" spans="1:37">
      <c r="B262" t="s">
        <v>58</v>
      </c>
      <c r="C262" t="s">
        <v>80</v>
      </c>
      <c r="D262" t="s">
        <v>99</v>
      </c>
      <c r="E262" t="s">
        <v>118</v>
      </c>
      <c r="F262" t="s">
        <v>152</v>
      </c>
      <c r="G262" t="s">
        <v>178</v>
      </c>
      <c r="H262" t="s">
        <v>213</v>
      </c>
      <c r="I262" t="s">
        <v>233</v>
      </c>
      <c r="J262" t="s">
        <v>252</v>
      </c>
      <c r="K262" t="s">
        <v>266</v>
      </c>
      <c r="L262" t="s">
        <v>278</v>
      </c>
      <c r="M262" t="s">
        <v>287</v>
      </c>
      <c r="N262" t="s">
        <v>297</v>
      </c>
      <c r="O262" t="s">
        <v>305</v>
      </c>
      <c r="P262" t="s">
        <v>312</v>
      </c>
      <c r="Q262" t="s">
        <v>319</v>
      </c>
      <c r="R262">
        <f>&gt;10       ветра      2.3     12   1</f>
        <v>0</v>
      </c>
      <c r="AK262" t="s">
        <v>355</v>
      </c>
    </row>
    <row r="263" spans="1:37">
      <c r="A263" t="s">
        <v>40</v>
      </c>
      <c r="B263" t="s">
        <v>59</v>
      </c>
      <c r="C263" t="s">
        <v>81</v>
      </c>
      <c r="D263" t="s">
        <v>100</v>
      </c>
      <c r="E263" t="s">
        <v>119</v>
      </c>
      <c r="F263" t="s">
        <v>153</v>
      </c>
      <c r="G263" t="s">
        <v>179</v>
      </c>
      <c r="H263" t="s">
        <v>214</v>
      </c>
      <c r="I263" t="s">
        <v>234</v>
      </c>
      <c r="AK263" t="s">
        <v>355</v>
      </c>
    </row>
    <row r="264" spans="1:37">
      <c r="A264" t="s">
        <v>40</v>
      </c>
      <c r="B264" t="s">
        <v>60</v>
      </c>
      <c r="C264" t="s">
        <v>82</v>
      </c>
      <c r="D264" t="s">
        <v>101</v>
      </c>
      <c r="E264" t="s">
        <v>120</v>
      </c>
      <c r="F264" t="s">
        <v>154</v>
      </c>
      <c r="G264" t="s">
        <v>180</v>
      </c>
      <c r="H264" t="s">
        <v>215</v>
      </c>
      <c r="I264" t="s">
        <v>235</v>
      </c>
      <c r="J264" t="s">
        <v>253</v>
      </c>
      <c r="K264" t="s">
        <v>267</v>
      </c>
      <c r="L264" t="s">
        <v>279</v>
      </c>
      <c r="M264" t="s">
        <v>288</v>
      </c>
      <c r="N264" t="s">
        <v>100</v>
      </c>
      <c r="O264" t="s">
        <v>306</v>
      </c>
      <c r="P264" t="s">
        <v>313</v>
      </c>
      <c r="Q264" t="s">
        <v>320</v>
      </c>
      <c r="R264" t="s">
        <v>325</v>
      </c>
      <c r="S264" t="s">
        <v>332</v>
      </c>
      <c r="T264" t="s">
        <v>119</v>
      </c>
      <c r="U264" t="s">
        <v>234</v>
      </c>
      <c r="V264" t="s">
        <v>343</v>
      </c>
      <c r="W264" t="s">
        <v>348</v>
      </c>
      <c r="X264" t="s">
        <v>352</v>
      </c>
      <c r="Y264" t="s">
        <v>354</v>
      </c>
      <c r="AK264" t="s">
        <v>355</v>
      </c>
    </row>
    <row r="265" spans="1:37">
      <c r="A265" t="s">
        <v>41</v>
      </c>
      <c r="B265" t="s">
        <v>61</v>
      </c>
      <c r="C265" t="s">
        <v>83</v>
      </c>
      <c r="D265" t="s">
        <v>102</v>
      </c>
      <c r="E265" t="s">
        <v>121</v>
      </c>
      <c r="F265" t="s">
        <v>155</v>
      </c>
      <c r="G265" t="s">
        <v>181</v>
      </c>
      <c r="H265" t="s">
        <v>216</v>
      </c>
      <c r="I265" t="s">
        <v>236</v>
      </c>
      <c r="AK265" t="s">
        <v>355</v>
      </c>
    </row>
    <row r="266" spans="1:37">
      <c r="A266" t="s">
        <v>42</v>
      </c>
      <c r="B266" t="s">
        <v>62</v>
      </c>
      <c r="C266" t="s">
        <v>84</v>
      </c>
      <c r="D266" t="s">
        <v>103</v>
      </c>
      <c r="E266" t="s">
        <v>122</v>
      </c>
      <c r="F266" t="s">
        <v>156</v>
      </c>
      <c r="G266" t="s">
        <v>182</v>
      </c>
      <c r="H266" t="s">
        <v>83</v>
      </c>
      <c r="I266" t="s">
        <v>237</v>
      </c>
      <c r="J266" t="s">
        <v>254</v>
      </c>
      <c r="K266" t="s">
        <v>268</v>
      </c>
      <c r="L266" t="s">
        <v>280</v>
      </c>
      <c r="M266" t="s">
        <v>289</v>
      </c>
      <c r="N266" t="s">
        <v>298</v>
      </c>
      <c r="O266" t="s">
        <v>307</v>
      </c>
      <c r="P266" t="s">
        <v>314</v>
      </c>
      <c r="Q266" t="s">
        <v>216</v>
      </c>
      <c r="R266" t="s">
        <v>326</v>
      </c>
      <c r="S266" t="s">
        <v>333</v>
      </c>
      <c r="T266" t="s">
        <v>335</v>
      </c>
      <c r="U266" t="s">
        <v>340</v>
      </c>
      <c r="V266" t="s">
        <v>344</v>
      </c>
      <c r="W266" t="s">
        <v>349</v>
      </c>
      <c r="AK266" t="s">
        <v>355</v>
      </c>
    </row>
    <row r="267" spans="1:37">
      <c r="A267" t="s">
        <v>43</v>
      </c>
      <c r="B267" t="s">
        <v>63</v>
      </c>
      <c r="C267" t="s">
        <v>85</v>
      </c>
      <c r="D267" t="s">
        <v>104</v>
      </c>
      <c r="E267" t="s">
        <v>123</v>
      </c>
      <c r="F267" t="s">
        <v>157</v>
      </c>
      <c r="G267" t="s">
        <v>183</v>
      </c>
      <c r="AK267" t="s">
        <v>355</v>
      </c>
    </row>
    <row r="268" spans="1:37">
      <c r="A268" t="s">
        <v>44</v>
      </c>
      <c r="B268" t="s">
        <v>64</v>
      </c>
      <c r="C268" t="s">
        <v>86</v>
      </c>
      <c r="D268" t="s">
        <v>105</v>
      </c>
      <c r="E268" t="s">
        <v>124</v>
      </c>
      <c r="F268" t="s">
        <v>158</v>
      </c>
      <c r="G268" t="s">
        <v>184</v>
      </c>
      <c r="AK268" t="s">
        <v>355</v>
      </c>
    </row>
    <row r="269" spans="1:37">
      <c r="A269" t="s">
        <v>45</v>
      </c>
      <c r="B269" t="s">
        <v>65</v>
      </c>
      <c r="C269" t="s">
        <v>87</v>
      </c>
      <c r="D269" t="s">
        <v>106</v>
      </c>
      <c r="E269" t="s">
        <v>125</v>
      </c>
      <c r="F269" t="s">
        <v>159</v>
      </c>
      <c r="G269" t="s">
        <v>185</v>
      </c>
      <c r="H269" t="s">
        <v>159</v>
      </c>
      <c r="I269" t="s">
        <v>185</v>
      </c>
      <c r="J269" t="s">
        <v>255</v>
      </c>
      <c r="AK269" t="s">
        <v>355</v>
      </c>
    </row>
    <row r="270" spans="1:37">
      <c r="A270" t="s">
        <v>46</v>
      </c>
      <c r="B270" t="s">
        <v>66</v>
      </c>
      <c r="C270" t="s">
        <v>88</v>
      </c>
      <c r="D270" t="s">
        <v>76</v>
      </c>
      <c r="E270" t="s">
        <v>126</v>
      </c>
      <c r="F270" t="s">
        <v>160</v>
      </c>
      <c r="G270" t="s">
        <v>186</v>
      </c>
      <c r="H270" t="s">
        <v>217</v>
      </c>
      <c r="I270" t="s">
        <v>238</v>
      </c>
      <c r="J270" t="s">
        <v>256</v>
      </c>
      <c r="K270" t="s">
        <v>265</v>
      </c>
      <c r="L270" t="s">
        <v>281</v>
      </c>
      <c r="M270" t="s">
        <v>290</v>
      </c>
      <c r="N270" t="s">
        <v>299</v>
      </c>
      <c r="O270" t="s">
        <v>308</v>
      </c>
      <c r="P270" t="s">
        <v>228</v>
      </c>
      <c r="Q270" t="s">
        <v>72</v>
      </c>
      <c r="R270" t="s">
        <v>327</v>
      </c>
      <c r="S270" t="s">
        <v>327</v>
      </c>
      <c r="T270" t="s">
        <v>336</v>
      </c>
      <c r="U270" t="s">
        <v>336</v>
      </c>
      <c r="V270" t="s">
        <v>336</v>
      </c>
      <c r="W270" t="s">
        <v>336</v>
      </c>
      <c r="X270" t="s">
        <v>353</v>
      </c>
      <c r="AK270" t="s">
        <v>355</v>
      </c>
    </row>
    <row r="271" spans="1:37">
      <c r="A271" t="s">
        <v>37</v>
      </c>
      <c r="B271" t="s">
        <v>49</v>
      </c>
      <c r="C271" t="s">
        <v>73</v>
      </c>
      <c r="D271" t="s">
        <v>94</v>
      </c>
      <c r="E271" t="s">
        <v>112</v>
      </c>
      <c r="F271" t="s">
        <v>146</v>
      </c>
      <c r="G271" t="s">
        <v>172</v>
      </c>
      <c r="H271" t="s">
        <v>207</v>
      </c>
      <c r="I271" t="s">
        <v>226</v>
      </c>
      <c r="J271" t="s">
        <v>246</v>
      </c>
      <c r="K271" t="s">
        <v>259</v>
      </c>
      <c r="AK271" t="s">
        <v>355</v>
      </c>
    </row>
    <row r="272" spans="1:37">
      <c r="A272" t="s">
        <v>38</v>
      </c>
      <c r="B272" t="s">
        <v>50</v>
      </c>
      <c r="C272" t="s">
        <v>74</v>
      </c>
      <c r="D272" t="s">
        <v>95</v>
      </c>
      <c r="E272" t="s">
        <v>113</v>
      </c>
      <c r="F272" t="s">
        <v>147</v>
      </c>
      <c r="G272" t="s">
        <v>173</v>
      </c>
      <c r="H272" t="s">
        <v>208</v>
      </c>
      <c r="I272" t="s">
        <v>227</v>
      </c>
      <c r="J272" t="s">
        <v>115</v>
      </c>
      <c r="K272" t="s">
        <v>260</v>
      </c>
      <c r="L272" t="s">
        <v>273</v>
      </c>
      <c r="M272" t="s">
        <v>282</v>
      </c>
      <c r="N272" t="s">
        <v>291</v>
      </c>
      <c r="AK272" t="s">
        <v>355</v>
      </c>
    </row>
    <row r="273" spans="1:37">
      <c r="B273" t="s">
        <v>51</v>
      </c>
      <c r="C273" t="s">
        <v>75</v>
      </c>
      <c r="D273" t="s">
        <v>52</v>
      </c>
      <c r="E273" t="s">
        <v>114</v>
      </c>
      <c r="F273" t="s">
        <v>148</v>
      </c>
      <c r="G273" t="s">
        <v>148</v>
      </c>
      <c r="H273" t="s">
        <v>209</v>
      </c>
      <c r="I273" t="s">
        <v>228</v>
      </c>
      <c r="J273" t="s">
        <v>247</v>
      </c>
      <c r="K273" t="s">
        <v>261</v>
      </c>
      <c r="L273" t="s">
        <v>274</v>
      </c>
      <c r="M273" t="s">
        <v>283</v>
      </c>
      <c r="N273" t="s">
        <v>292</v>
      </c>
      <c r="O273" t="s">
        <v>300</v>
      </c>
      <c r="AK273" t="s">
        <v>355</v>
      </c>
    </row>
    <row r="274" spans="1:37">
      <c r="B274" t="s">
        <v>52</v>
      </c>
      <c r="C274" t="s">
        <v>76</v>
      </c>
      <c r="D274" t="s">
        <v>96</v>
      </c>
      <c r="E274" t="s">
        <v>115</v>
      </c>
      <c r="F274" t="s">
        <v>149</v>
      </c>
      <c r="G274" t="s">
        <v>174</v>
      </c>
      <c r="H274" t="s">
        <v>96</v>
      </c>
      <c r="I274" t="s">
        <v>229</v>
      </c>
      <c r="J274" t="s">
        <v>248</v>
      </c>
      <c r="K274" t="s">
        <v>262</v>
      </c>
      <c r="L274" t="s">
        <v>52</v>
      </c>
      <c r="M274" t="s">
        <v>76</v>
      </c>
      <c r="N274" t="s">
        <v>293</v>
      </c>
      <c r="O274" t="s">
        <v>301</v>
      </c>
      <c r="P274" t="s">
        <v>309</v>
      </c>
      <c r="Q274" t="s">
        <v>315</v>
      </c>
      <c r="R274" t="s">
        <v>228</v>
      </c>
      <c r="S274" t="s">
        <v>328</v>
      </c>
      <c r="T274" t="s">
        <v>149</v>
      </c>
      <c r="U274" t="s">
        <v>337</v>
      </c>
      <c r="V274" t="s">
        <v>341</v>
      </c>
      <c r="W274" t="s">
        <v>345</v>
      </c>
      <c r="X274" t="s">
        <v>350</v>
      </c>
      <c r="AK274" t="s">
        <v>355</v>
      </c>
    </row>
    <row r="275" spans="1:37">
      <c r="B275" t="s">
        <v>53</v>
      </c>
      <c r="C275" t="s">
        <v>77</v>
      </c>
      <c r="D275" t="s">
        <v>97</v>
      </c>
      <c r="E275" t="s">
        <v>116</v>
      </c>
      <c r="F275" t="s">
        <v>150</v>
      </c>
      <c r="G275" t="s">
        <v>175</v>
      </c>
      <c r="H275" t="s">
        <v>210</v>
      </c>
      <c r="I275" t="s">
        <v>230</v>
      </c>
      <c r="J275" t="s">
        <v>249</v>
      </c>
      <c r="K275" t="s">
        <v>263</v>
      </c>
      <c r="L275" t="s">
        <v>275</v>
      </c>
      <c r="M275" t="s">
        <v>284</v>
      </c>
      <c r="N275" t="s">
        <v>294</v>
      </c>
      <c r="O275" t="s">
        <v>302</v>
      </c>
      <c r="P275" t="s">
        <v>310</v>
      </c>
      <c r="Q275" t="s">
        <v>316</v>
      </c>
      <c r="R275" t="s">
        <v>322</v>
      </c>
      <c r="S275" t="s">
        <v>329</v>
      </c>
      <c r="AK275" t="s">
        <v>355</v>
      </c>
    </row>
    <row r="276" spans="1:37">
      <c r="A276" t="s">
        <v>39</v>
      </c>
      <c r="B276" t="s">
        <v>54</v>
      </c>
      <c r="C276" t="s">
        <v>54</v>
      </c>
      <c r="D276" t="s">
        <v>54</v>
      </c>
      <c r="E276" t="s">
        <v>54</v>
      </c>
      <c r="F276" t="s">
        <v>54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323</v>
      </c>
      <c r="S276" t="s">
        <v>330</v>
      </c>
      <c r="AK276" t="s">
        <v>355</v>
      </c>
    </row>
    <row r="277" spans="1:37">
      <c r="B277" t="s">
        <v>55</v>
      </c>
      <c r="C277" t="s">
        <v>78</v>
      </c>
      <c r="D277" t="s">
        <v>55</v>
      </c>
      <c r="E277" t="s">
        <v>78</v>
      </c>
      <c r="F277" t="s">
        <v>55</v>
      </c>
      <c r="G277" t="s">
        <v>78</v>
      </c>
      <c r="H277" t="s">
        <v>55</v>
      </c>
      <c r="I277" t="s">
        <v>78</v>
      </c>
      <c r="J277" t="s">
        <v>55</v>
      </c>
      <c r="K277" t="s">
        <v>78</v>
      </c>
      <c r="L277" t="s">
        <v>55</v>
      </c>
      <c r="M277" t="s">
        <v>78</v>
      </c>
      <c r="N277" t="s">
        <v>55</v>
      </c>
      <c r="O277" t="s">
        <v>78</v>
      </c>
      <c r="P277" t="s">
        <v>55</v>
      </c>
      <c r="Q277" t="s">
        <v>78</v>
      </c>
      <c r="R277" t="s">
        <v>55</v>
      </c>
      <c r="S277" t="s">
        <v>78</v>
      </c>
      <c r="T277" t="s">
        <v>55</v>
      </c>
      <c r="U277" t="s">
        <v>78</v>
      </c>
      <c r="V277" t="s">
        <v>55</v>
      </c>
      <c r="W277" t="s">
        <v>78</v>
      </c>
      <c r="X277" t="s">
        <v>55</v>
      </c>
      <c r="Y277" t="s">
        <v>78</v>
      </c>
      <c r="Z277" t="s">
        <v>55</v>
      </c>
      <c r="AA277" t="s">
        <v>78</v>
      </c>
      <c r="AB277" t="s">
        <v>55</v>
      </c>
      <c r="AC277" t="s">
        <v>78</v>
      </c>
      <c r="AD277" t="s">
        <v>55</v>
      </c>
      <c r="AE277" t="s">
        <v>78</v>
      </c>
      <c r="AF277" t="s">
        <v>55</v>
      </c>
      <c r="AG277" t="s">
        <v>78</v>
      </c>
      <c r="AH277" t="s">
        <v>55</v>
      </c>
      <c r="AI277" t="s">
        <v>78</v>
      </c>
      <c r="AK277" t="s">
        <v>355</v>
      </c>
    </row>
    <row r="278" spans="1:37">
      <c r="B278" t="s">
        <v>56</v>
      </c>
      <c r="C278" t="s">
        <v>56</v>
      </c>
      <c r="D278" t="s">
        <v>56</v>
      </c>
      <c r="E278" t="s">
        <v>56</v>
      </c>
      <c r="F278" t="s">
        <v>56</v>
      </c>
      <c r="G278" t="s">
        <v>176</v>
      </c>
      <c r="H278" t="s">
        <v>211</v>
      </c>
      <c r="I278" t="s">
        <v>231</v>
      </c>
      <c r="J278" t="s">
        <v>250</v>
      </c>
      <c r="K278" t="s">
        <v>264</v>
      </c>
      <c r="L278" t="s">
        <v>276</v>
      </c>
      <c r="M278" t="s">
        <v>285</v>
      </c>
      <c r="N278" t="s">
        <v>295</v>
      </c>
      <c r="O278" t="s">
        <v>303</v>
      </c>
      <c r="P278" t="s">
        <v>56</v>
      </c>
      <c r="Q278" t="s">
        <v>317</v>
      </c>
      <c r="R278" t="s">
        <v>324</v>
      </c>
      <c r="S278" t="s">
        <v>331</v>
      </c>
      <c r="T278" t="s">
        <v>334</v>
      </c>
      <c r="U278" t="s">
        <v>338</v>
      </c>
      <c r="V278" t="s">
        <v>342</v>
      </c>
      <c r="W278" t="s">
        <v>346</v>
      </c>
      <c r="X278" t="s">
        <v>351</v>
      </c>
      <c r="AK278" t="s">
        <v>355</v>
      </c>
    </row>
    <row r="279" spans="1:37">
      <c r="B279" t="s">
        <v>57</v>
      </c>
      <c r="C279" t="s">
        <v>79</v>
      </c>
      <c r="D279" t="s">
        <v>98</v>
      </c>
      <c r="E279" t="s">
        <v>117</v>
      </c>
      <c r="F279" t="s">
        <v>151</v>
      </c>
      <c r="G279" t="s">
        <v>177</v>
      </c>
      <c r="H279" t="s">
        <v>212</v>
      </c>
      <c r="I279" t="s">
        <v>232</v>
      </c>
      <c r="J279" t="s">
        <v>251</v>
      </c>
      <c r="K279" t="s">
        <v>265</v>
      </c>
      <c r="L279" t="s">
        <v>277</v>
      </c>
      <c r="M279" t="s">
        <v>286</v>
      </c>
      <c r="N279" t="s">
        <v>296</v>
      </c>
      <c r="O279" t="s">
        <v>304</v>
      </c>
      <c r="P279" t="s">
        <v>311</v>
      </c>
      <c r="Q279" t="s">
        <v>318</v>
      </c>
      <c r="R279" t="s">
        <v>185</v>
      </c>
      <c r="S279" t="s">
        <v>159</v>
      </c>
      <c r="T279" t="s">
        <v>185</v>
      </c>
      <c r="U279" t="s">
        <v>339</v>
      </c>
      <c r="V279" t="s">
        <v>72</v>
      </c>
      <c r="W279" t="s">
        <v>347</v>
      </c>
      <c r="X279" t="s">
        <v>72</v>
      </c>
      <c r="Y279" t="s">
        <v>96</v>
      </c>
      <c r="AK279" t="s">
        <v>355</v>
      </c>
    </row>
    <row r="280" spans="1:37">
      <c r="B280" t="s">
        <v>58</v>
      </c>
      <c r="C280" t="s">
        <v>80</v>
      </c>
      <c r="D280" t="s">
        <v>99</v>
      </c>
      <c r="E280" t="s">
        <v>118</v>
      </c>
      <c r="F280" t="s">
        <v>152</v>
      </c>
      <c r="G280" t="s">
        <v>178</v>
      </c>
      <c r="H280" t="s">
        <v>213</v>
      </c>
      <c r="I280" t="s">
        <v>233</v>
      </c>
      <c r="J280" t="s">
        <v>252</v>
      </c>
      <c r="K280" t="s">
        <v>266</v>
      </c>
      <c r="L280" t="s">
        <v>278</v>
      </c>
      <c r="M280" t="s">
        <v>287</v>
      </c>
      <c r="N280" t="s">
        <v>297</v>
      </c>
      <c r="O280" t="s">
        <v>305</v>
      </c>
      <c r="P280" t="s">
        <v>312</v>
      </c>
      <c r="Q280" t="s">
        <v>319</v>
      </c>
      <c r="R280">
        <f>&gt;10       ветра      1.4     11   1</f>
        <v>0</v>
      </c>
      <c r="AK280" t="s">
        <v>355</v>
      </c>
    </row>
    <row r="281" spans="1:37">
      <c r="A281" t="s">
        <v>40</v>
      </c>
      <c r="B281" t="s">
        <v>59</v>
      </c>
      <c r="C281" t="s">
        <v>81</v>
      </c>
      <c r="D281" t="s">
        <v>100</v>
      </c>
      <c r="E281" t="s">
        <v>119</v>
      </c>
      <c r="F281" t="s">
        <v>153</v>
      </c>
      <c r="G281" t="s">
        <v>179</v>
      </c>
      <c r="H281" t="s">
        <v>214</v>
      </c>
      <c r="I281" t="s">
        <v>234</v>
      </c>
      <c r="AK281" t="s">
        <v>355</v>
      </c>
    </row>
    <row r="282" spans="1:37">
      <c r="A282" t="s">
        <v>40</v>
      </c>
      <c r="B282" t="s">
        <v>60</v>
      </c>
      <c r="C282" t="s">
        <v>82</v>
      </c>
      <c r="D282" t="s">
        <v>101</v>
      </c>
      <c r="E282" t="s">
        <v>120</v>
      </c>
      <c r="F282" t="s">
        <v>154</v>
      </c>
      <c r="G282" t="s">
        <v>180</v>
      </c>
      <c r="H282" t="s">
        <v>215</v>
      </c>
      <c r="I282" t="s">
        <v>235</v>
      </c>
      <c r="J282" t="s">
        <v>253</v>
      </c>
      <c r="K282" t="s">
        <v>267</v>
      </c>
      <c r="L282" t="s">
        <v>279</v>
      </c>
      <c r="M282" t="s">
        <v>288</v>
      </c>
      <c r="N282" t="s">
        <v>100</v>
      </c>
      <c r="O282" t="s">
        <v>306</v>
      </c>
      <c r="P282" t="s">
        <v>313</v>
      </c>
      <c r="Q282" t="s">
        <v>320</v>
      </c>
      <c r="R282" t="s">
        <v>325</v>
      </c>
      <c r="S282" t="s">
        <v>332</v>
      </c>
      <c r="T282" t="s">
        <v>119</v>
      </c>
      <c r="U282" t="s">
        <v>234</v>
      </c>
      <c r="V282" t="s">
        <v>343</v>
      </c>
      <c r="W282" t="s">
        <v>348</v>
      </c>
      <c r="X282" t="s">
        <v>352</v>
      </c>
      <c r="Y282" t="s">
        <v>354</v>
      </c>
      <c r="AK282" t="s">
        <v>355</v>
      </c>
    </row>
    <row r="283" spans="1:37">
      <c r="A283" t="s">
        <v>41</v>
      </c>
      <c r="B283" t="s">
        <v>61</v>
      </c>
      <c r="C283" t="s">
        <v>83</v>
      </c>
      <c r="D283" t="s">
        <v>102</v>
      </c>
      <c r="E283" t="s">
        <v>121</v>
      </c>
      <c r="F283" t="s">
        <v>155</v>
      </c>
      <c r="G283" t="s">
        <v>181</v>
      </c>
      <c r="H283" t="s">
        <v>216</v>
      </c>
      <c r="I283" t="s">
        <v>236</v>
      </c>
      <c r="AK283" t="s">
        <v>355</v>
      </c>
    </row>
    <row r="284" spans="1:37">
      <c r="A284" t="s">
        <v>42</v>
      </c>
      <c r="B284" t="s">
        <v>62</v>
      </c>
      <c r="C284" t="s">
        <v>84</v>
      </c>
      <c r="D284" t="s">
        <v>103</v>
      </c>
      <c r="E284" t="s">
        <v>122</v>
      </c>
      <c r="F284" t="s">
        <v>156</v>
      </c>
      <c r="G284" t="s">
        <v>182</v>
      </c>
      <c r="H284" t="s">
        <v>83</v>
      </c>
      <c r="I284" t="s">
        <v>237</v>
      </c>
      <c r="J284" t="s">
        <v>254</v>
      </c>
      <c r="K284" t="s">
        <v>268</v>
      </c>
      <c r="L284" t="s">
        <v>280</v>
      </c>
      <c r="M284" t="s">
        <v>289</v>
      </c>
      <c r="N284" t="s">
        <v>298</v>
      </c>
      <c r="O284" t="s">
        <v>307</v>
      </c>
      <c r="P284" t="s">
        <v>314</v>
      </c>
      <c r="Q284" t="s">
        <v>216</v>
      </c>
      <c r="R284" t="s">
        <v>326</v>
      </c>
      <c r="S284" t="s">
        <v>333</v>
      </c>
      <c r="T284" t="s">
        <v>335</v>
      </c>
      <c r="U284" t="s">
        <v>340</v>
      </c>
      <c r="V284" t="s">
        <v>344</v>
      </c>
      <c r="W284" t="s">
        <v>349</v>
      </c>
      <c r="AK284" t="s">
        <v>355</v>
      </c>
    </row>
    <row r="285" spans="1:37">
      <c r="A285" t="s">
        <v>43</v>
      </c>
      <c r="B285" t="s">
        <v>63</v>
      </c>
      <c r="C285" t="s">
        <v>85</v>
      </c>
      <c r="D285" t="s">
        <v>104</v>
      </c>
      <c r="E285" t="s">
        <v>123</v>
      </c>
      <c r="F285" t="s">
        <v>157</v>
      </c>
      <c r="G285" t="s">
        <v>183</v>
      </c>
      <c r="AK285" t="s">
        <v>355</v>
      </c>
    </row>
    <row r="286" spans="1:37">
      <c r="A286" t="s">
        <v>44</v>
      </c>
      <c r="B286" t="s">
        <v>64</v>
      </c>
      <c r="C286" t="s">
        <v>86</v>
      </c>
      <c r="D286" t="s">
        <v>105</v>
      </c>
      <c r="E286" t="s">
        <v>124</v>
      </c>
      <c r="F286" t="s">
        <v>158</v>
      </c>
      <c r="G286" t="s">
        <v>184</v>
      </c>
      <c r="AK286" t="s">
        <v>355</v>
      </c>
    </row>
    <row r="287" spans="1:37">
      <c r="A287" t="s">
        <v>45</v>
      </c>
      <c r="B287" t="s">
        <v>65</v>
      </c>
      <c r="C287" t="s">
        <v>87</v>
      </c>
      <c r="D287" t="s">
        <v>106</v>
      </c>
      <c r="E287" t="s">
        <v>125</v>
      </c>
      <c r="F287" t="s">
        <v>159</v>
      </c>
      <c r="G287" t="s">
        <v>185</v>
      </c>
      <c r="H287" t="s">
        <v>159</v>
      </c>
      <c r="I287" t="s">
        <v>185</v>
      </c>
      <c r="J287" t="s">
        <v>255</v>
      </c>
      <c r="AK287" t="s">
        <v>355</v>
      </c>
    </row>
    <row r="288" spans="1:37">
      <c r="A288" t="s">
        <v>46</v>
      </c>
      <c r="B288" t="s">
        <v>66</v>
      </c>
      <c r="C288" t="s">
        <v>88</v>
      </c>
      <c r="D288" t="s">
        <v>76</v>
      </c>
      <c r="E288" t="s">
        <v>126</v>
      </c>
      <c r="F288" t="s">
        <v>160</v>
      </c>
      <c r="G288" t="s">
        <v>186</v>
      </c>
      <c r="H288" t="s">
        <v>217</v>
      </c>
      <c r="I288" t="s">
        <v>238</v>
      </c>
      <c r="J288" t="s">
        <v>256</v>
      </c>
      <c r="K288" t="s">
        <v>265</v>
      </c>
      <c r="L288" t="s">
        <v>281</v>
      </c>
      <c r="M288" t="s">
        <v>290</v>
      </c>
      <c r="N288" t="s">
        <v>299</v>
      </c>
      <c r="O288" t="s">
        <v>308</v>
      </c>
      <c r="P288" t="s">
        <v>228</v>
      </c>
      <c r="Q288" t="s">
        <v>72</v>
      </c>
      <c r="R288" t="s">
        <v>327</v>
      </c>
      <c r="S288" t="s">
        <v>327</v>
      </c>
      <c r="T288" t="s">
        <v>336</v>
      </c>
      <c r="U288" t="s">
        <v>336</v>
      </c>
      <c r="V288" t="s">
        <v>336</v>
      </c>
      <c r="W288" t="s">
        <v>336</v>
      </c>
      <c r="X288" t="s">
        <v>353</v>
      </c>
      <c r="AK288" t="s">
        <v>355</v>
      </c>
    </row>
    <row r="289" spans="1:37">
      <c r="A289" t="s">
        <v>37</v>
      </c>
      <c r="B289" t="s">
        <v>49</v>
      </c>
      <c r="C289" t="s">
        <v>73</v>
      </c>
      <c r="D289" t="s">
        <v>94</v>
      </c>
      <c r="E289" t="s">
        <v>112</v>
      </c>
      <c r="F289" t="s">
        <v>146</v>
      </c>
      <c r="G289" t="s">
        <v>172</v>
      </c>
      <c r="H289" t="s">
        <v>207</v>
      </c>
      <c r="I289" t="s">
        <v>226</v>
      </c>
      <c r="J289" t="s">
        <v>246</v>
      </c>
      <c r="K289" t="s">
        <v>259</v>
      </c>
      <c r="AK289" t="s">
        <v>355</v>
      </c>
    </row>
    <row r="290" spans="1:37">
      <c r="A290" t="s">
        <v>38</v>
      </c>
      <c r="B290" t="s">
        <v>50</v>
      </c>
      <c r="C290" t="s">
        <v>74</v>
      </c>
      <c r="D290" t="s">
        <v>95</v>
      </c>
      <c r="E290" t="s">
        <v>113</v>
      </c>
      <c r="F290" t="s">
        <v>147</v>
      </c>
      <c r="G290" t="s">
        <v>173</v>
      </c>
      <c r="H290" t="s">
        <v>208</v>
      </c>
      <c r="I290" t="s">
        <v>227</v>
      </c>
      <c r="J290" t="s">
        <v>115</v>
      </c>
      <c r="K290" t="s">
        <v>260</v>
      </c>
      <c r="L290" t="s">
        <v>273</v>
      </c>
      <c r="M290" t="s">
        <v>282</v>
      </c>
      <c r="N290" t="s">
        <v>291</v>
      </c>
      <c r="AK290" t="s">
        <v>355</v>
      </c>
    </row>
    <row r="291" spans="1:37">
      <c r="B291" t="s">
        <v>51</v>
      </c>
      <c r="C291" t="s">
        <v>75</v>
      </c>
      <c r="D291" t="s">
        <v>52</v>
      </c>
      <c r="E291" t="s">
        <v>114</v>
      </c>
      <c r="F291" t="s">
        <v>148</v>
      </c>
      <c r="G291" t="s">
        <v>148</v>
      </c>
      <c r="H291" t="s">
        <v>209</v>
      </c>
      <c r="I291" t="s">
        <v>228</v>
      </c>
      <c r="J291" t="s">
        <v>247</v>
      </c>
      <c r="K291" t="s">
        <v>261</v>
      </c>
      <c r="L291" t="s">
        <v>274</v>
      </c>
      <c r="M291" t="s">
        <v>283</v>
      </c>
      <c r="N291" t="s">
        <v>292</v>
      </c>
      <c r="O291" t="s">
        <v>300</v>
      </c>
      <c r="AK291" t="s">
        <v>355</v>
      </c>
    </row>
    <row r="292" spans="1:37">
      <c r="B292" t="s">
        <v>52</v>
      </c>
      <c r="C292" t="s">
        <v>76</v>
      </c>
      <c r="D292" t="s">
        <v>96</v>
      </c>
      <c r="E292" t="s">
        <v>115</v>
      </c>
      <c r="F292" t="s">
        <v>149</v>
      </c>
      <c r="G292" t="s">
        <v>174</v>
      </c>
      <c r="H292" t="s">
        <v>96</v>
      </c>
      <c r="I292" t="s">
        <v>229</v>
      </c>
      <c r="J292" t="s">
        <v>248</v>
      </c>
      <c r="K292" t="s">
        <v>262</v>
      </c>
      <c r="L292" t="s">
        <v>52</v>
      </c>
      <c r="M292" t="s">
        <v>76</v>
      </c>
      <c r="N292" t="s">
        <v>293</v>
      </c>
      <c r="O292" t="s">
        <v>301</v>
      </c>
      <c r="P292" t="s">
        <v>309</v>
      </c>
      <c r="Q292" t="s">
        <v>315</v>
      </c>
      <c r="R292" t="s">
        <v>228</v>
      </c>
      <c r="S292" t="s">
        <v>328</v>
      </c>
      <c r="T292" t="s">
        <v>149</v>
      </c>
      <c r="U292" t="s">
        <v>337</v>
      </c>
      <c r="V292" t="s">
        <v>341</v>
      </c>
      <c r="W292" t="s">
        <v>345</v>
      </c>
      <c r="X292" t="s">
        <v>350</v>
      </c>
      <c r="AK292" t="s">
        <v>355</v>
      </c>
    </row>
    <row r="293" spans="1:37">
      <c r="B293" t="s">
        <v>53</v>
      </c>
      <c r="C293" t="s">
        <v>77</v>
      </c>
      <c r="D293" t="s">
        <v>97</v>
      </c>
      <c r="E293" t="s">
        <v>116</v>
      </c>
      <c r="F293" t="s">
        <v>150</v>
      </c>
      <c r="G293" t="s">
        <v>175</v>
      </c>
      <c r="H293" t="s">
        <v>210</v>
      </c>
      <c r="I293" t="s">
        <v>230</v>
      </c>
      <c r="J293" t="s">
        <v>249</v>
      </c>
      <c r="K293" t="s">
        <v>263</v>
      </c>
      <c r="L293" t="s">
        <v>275</v>
      </c>
      <c r="M293" t="s">
        <v>284</v>
      </c>
      <c r="N293" t="s">
        <v>294</v>
      </c>
      <c r="O293" t="s">
        <v>302</v>
      </c>
      <c r="P293" t="s">
        <v>310</v>
      </c>
      <c r="Q293" t="s">
        <v>316</v>
      </c>
      <c r="R293" t="s">
        <v>322</v>
      </c>
      <c r="S293" t="s">
        <v>329</v>
      </c>
      <c r="AK293" t="s">
        <v>355</v>
      </c>
    </row>
    <row r="294" spans="1:37">
      <c r="A294" t="s">
        <v>39</v>
      </c>
      <c r="B294" t="s">
        <v>54</v>
      </c>
      <c r="C294" t="s">
        <v>54</v>
      </c>
      <c r="D294" t="s">
        <v>54</v>
      </c>
      <c r="E294" t="s">
        <v>54</v>
      </c>
      <c r="F294" t="s">
        <v>54</v>
      </c>
      <c r="G294" t="s">
        <v>54</v>
      </c>
      <c r="H294" t="s">
        <v>54</v>
      </c>
      <c r="I294" t="s">
        <v>54</v>
      </c>
      <c r="J294" t="s">
        <v>54</v>
      </c>
      <c r="K294" t="s">
        <v>54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323</v>
      </c>
      <c r="S294" t="s">
        <v>330</v>
      </c>
      <c r="AK294" t="s">
        <v>355</v>
      </c>
    </row>
    <row r="295" spans="1:37">
      <c r="B295" t="s">
        <v>55</v>
      </c>
      <c r="C295" t="s">
        <v>78</v>
      </c>
      <c r="D295" t="s">
        <v>55</v>
      </c>
      <c r="E295" t="s">
        <v>78</v>
      </c>
      <c r="F295" t="s">
        <v>55</v>
      </c>
      <c r="G295" t="s">
        <v>78</v>
      </c>
      <c r="H295" t="s">
        <v>55</v>
      </c>
      <c r="I295" t="s">
        <v>78</v>
      </c>
      <c r="J295" t="s">
        <v>55</v>
      </c>
      <c r="K295" t="s">
        <v>78</v>
      </c>
      <c r="L295" t="s">
        <v>55</v>
      </c>
      <c r="M295" t="s">
        <v>78</v>
      </c>
      <c r="N295" t="s">
        <v>55</v>
      </c>
      <c r="O295" t="s">
        <v>78</v>
      </c>
      <c r="P295" t="s">
        <v>55</v>
      </c>
      <c r="Q295" t="s">
        <v>78</v>
      </c>
      <c r="R295" t="s">
        <v>55</v>
      </c>
      <c r="S295" t="s">
        <v>78</v>
      </c>
      <c r="T295" t="s">
        <v>55</v>
      </c>
      <c r="U295" t="s">
        <v>78</v>
      </c>
      <c r="V295" t="s">
        <v>55</v>
      </c>
      <c r="W295" t="s">
        <v>78</v>
      </c>
      <c r="X295" t="s">
        <v>55</v>
      </c>
      <c r="Y295" t="s">
        <v>78</v>
      </c>
      <c r="Z295" t="s">
        <v>55</v>
      </c>
      <c r="AA295" t="s">
        <v>78</v>
      </c>
      <c r="AB295" t="s">
        <v>55</v>
      </c>
      <c r="AC295" t="s">
        <v>78</v>
      </c>
      <c r="AD295" t="s">
        <v>55</v>
      </c>
      <c r="AE295" t="s">
        <v>78</v>
      </c>
      <c r="AF295" t="s">
        <v>55</v>
      </c>
      <c r="AG295" t="s">
        <v>78</v>
      </c>
      <c r="AH295" t="s">
        <v>55</v>
      </c>
      <c r="AI295" t="s">
        <v>78</v>
      </c>
      <c r="AK295" t="s">
        <v>355</v>
      </c>
    </row>
    <row r="296" spans="1:37">
      <c r="B296" t="s">
        <v>56</v>
      </c>
      <c r="C296" t="s">
        <v>56</v>
      </c>
      <c r="D296" t="s">
        <v>56</v>
      </c>
      <c r="E296" t="s">
        <v>56</v>
      </c>
      <c r="F296" t="s">
        <v>56</v>
      </c>
      <c r="G296" t="s">
        <v>176</v>
      </c>
      <c r="H296" t="s">
        <v>211</v>
      </c>
      <c r="I296" t="s">
        <v>231</v>
      </c>
      <c r="J296" t="s">
        <v>250</v>
      </c>
      <c r="K296" t="s">
        <v>264</v>
      </c>
      <c r="L296" t="s">
        <v>276</v>
      </c>
      <c r="M296" t="s">
        <v>285</v>
      </c>
      <c r="N296" t="s">
        <v>295</v>
      </c>
      <c r="O296" t="s">
        <v>303</v>
      </c>
      <c r="P296" t="s">
        <v>56</v>
      </c>
      <c r="Q296" t="s">
        <v>317</v>
      </c>
      <c r="R296" t="s">
        <v>324</v>
      </c>
      <c r="S296" t="s">
        <v>331</v>
      </c>
      <c r="T296" t="s">
        <v>334</v>
      </c>
      <c r="U296" t="s">
        <v>338</v>
      </c>
      <c r="V296" t="s">
        <v>342</v>
      </c>
      <c r="W296" t="s">
        <v>346</v>
      </c>
      <c r="X296" t="s">
        <v>351</v>
      </c>
      <c r="AK296" t="s">
        <v>355</v>
      </c>
    </row>
    <row r="297" spans="1:37">
      <c r="B297" t="s">
        <v>57</v>
      </c>
      <c r="C297" t="s">
        <v>79</v>
      </c>
      <c r="D297" t="s">
        <v>98</v>
      </c>
      <c r="E297" t="s">
        <v>117</v>
      </c>
      <c r="F297" t="s">
        <v>151</v>
      </c>
      <c r="G297" t="s">
        <v>177</v>
      </c>
      <c r="H297" t="s">
        <v>212</v>
      </c>
      <c r="I297" t="s">
        <v>232</v>
      </c>
      <c r="J297" t="s">
        <v>251</v>
      </c>
      <c r="K297" t="s">
        <v>265</v>
      </c>
      <c r="L297" t="s">
        <v>277</v>
      </c>
      <c r="M297" t="s">
        <v>286</v>
      </c>
      <c r="N297" t="s">
        <v>296</v>
      </c>
      <c r="O297" t="s">
        <v>304</v>
      </c>
      <c r="P297" t="s">
        <v>311</v>
      </c>
      <c r="Q297" t="s">
        <v>318</v>
      </c>
      <c r="R297" t="s">
        <v>185</v>
      </c>
      <c r="S297" t="s">
        <v>159</v>
      </c>
      <c r="T297" t="s">
        <v>185</v>
      </c>
      <c r="U297" t="s">
        <v>339</v>
      </c>
      <c r="V297" t="s">
        <v>72</v>
      </c>
      <c r="W297" t="s">
        <v>347</v>
      </c>
      <c r="X297" t="s">
        <v>72</v>
      </c>
      <c r="Y297" t="s">
        <v>96</v>
      </c>
      <c r="AK297" t="s">
        <v>355</v>
      </c>
    </row>
    <row r="298" spans="1:37">
      <c r="B298" t="s">
        <v>58</v>
      </c>
      <c r="C298" t="s">
        <v>80</v>
      </c>
      <c r="D298" t="s">
        <v>99</v>
      </c>
      <c r="E298" t="s">
        <v>118</v>
      </c>
      <c r="F298" t="s">
        <v>152</v>
      </c>
      <c r="G298" t="s">
        <v>178</v>
      </c>
      <c r="H298" t="s">
        <v>213</v>
      </c>
      <c r="I298" t="s">
        <v>233</v>
      </c>
      <c r="J298" t="s">
        <v>252</v>
      </c>
      <c r="K298" t="s">
        <v>266</v>
      </c>
      <c r="L298" t="s">
        <v>278</v>
      </c>
      <c r="M298" t="s">
        <v>287</v>
      </c>
      <c r="N298" t="s">
        <v>297</v>
      </c>
      <c r="O298" t="s">
        <v>305</v>
      </c>
      <c r="P298" t="s">
        <v>312</v>
      </c>
      <c r="Q298" t="s">
        <v>319</v>
      </c>
      <c r="R298">
        <f>&gt;10       ветра      0.7      8   2 21</f>
        <v>0</v>
      </c>
      <c r="AK298" t="s">
        <v>355</v>
      </c>
    </row>
    <row r="299" spans="1:37">
      <c r="A299" t="s">
        <v>40</v>
      </c>
      <c r="B299" t="s">
        <v>59</v>
      </c>
      <c r="C299" t="s">
        <v>81</v>
      </c>
      <c r="D299" t="s">
        <v>100</v>
      </c>
      <c r="E299" t="s">
        <v>119</v>
      </c>
      <c r="F299" t="s">
        <v>153</v>
      </c>
      <c r="G299" t="s">
        <v>179</v>
      </c>
      <c r="H299" t="s">
        <v>214</v>
      </c>
      <c r="I299" t="s">
        <v>234</v>
      </c>
      <c r="AK299" t="s">
        <v>355</v>
      </c>
    </row>
    <row r="300" spans="1:37">
      <c r="A300" t="s">
        <v>40</v>
      </c>
      <c r="B300" t="s">
        <v>60</v>
      </c>
      <c r="C300" t="s">
        <v>82</v>
      </c>
      <c r="D300" t="s">
        <v>101</v>
      </c>
      <c r="E300" t="s">
        <v>120</v>
      </c>
      <c r="F300" t="s">
        <v>154</v>
      </c>
      <c r="G300" t="s">
        <v>180</v>
      </c>
      <c r="H300" t="s">
        <v>215</v>
      </c>
      <c r="I300" t="s">
        <v>235</v>
      </c>
      <c r="J300" t="s">
        <v>253</v>
      </c>
      <c r="K300" t="s">
        <v>267</v>
      </c>
      <c r="L300" t="s">
        <v>279</v>
      </c>
      <c r="M300" t="s">
        <v>288</v>
      </c>
      <c r="N300" t="s">
        <v>100</v>
      </c>
      <c r="O300" t="s">
        <v>306</v>
      </c>
      <c r="P300" t="s">
        <v>313</v>
      </c>
      <c r="Q300" t="s">
        <v>320</v>
      </c>
      <c r="R300" t="s">
        <v>325</v>
      </c>
      <c r="S300" t="s">
        <v>332</v>
      </c>
      <c r="T300" t="s">
        <v>119</v>
      </c>
      <c r="U300" t="s">
        <v>234</v>
      </c>
      <c r="V300" t="s">
        <v>343</v>
      </c>
      <c r="W300" t="s">
        <v>348</v>
      </c>
      <c r="X300" t="s">
        <v>352</v>
      </c>
      <c r="Y300" t="s">
        <v>354</v>
      </c>
      <c r="AK300" t="s">
        <v>355</v>
      </c>
    </row>
    <row r="301" spans="1:37">
      <c r="A301" t="s">
        <v>41</v>
      </c>
      <c r="B301" t="s">
        <v>61</v>
      </c>
      <c r="C301" t="s">
        <v>83</v>
      </c>
      <c r="D301" t="s">
        <v>102</v>
      </c>
      <c r="E301" t="s">
        <v>121</v>
      </c>
      <c r="F301" t="s">
        <v>155</v>
      </c>
      <c r="G301" t="s">
        <v>181</v>
      </c>
      <c r="H301" t="s">
        <v>216</v>
      </c>
      <c r="I301" t="s">
        <v>236</v>
      </c>
      <c r="AK301" t="s">
        <v>355</v>
      </c>
    </row>
    <row r="302" spans="1:37">
      <c r="A302" t="s">
        <v>42</v>
      </c>
      <c r="B302" t="s">
        <v>62</v>
      </c>
      <c r="C302" t="s">
        <v>84</v>
      </c>
      <c r="D302" t="s">
        <v>103</v>
      </c>
      <c r="E302" t="s">
        <v>122</v>
      </c>
      <c r="F302" t="s">
        <v>156</v>
      </c>
      <c r="G302" t="s">
        <v>182</v>
      </c>
      <c r="H302" t="s">
        <v>83</v>
      </c>
      <c r="I302" t="s">
        <v>237</v>
      </c>
      <c r="J302" t="s">
        <v>254</v>
      </c>
      <c r="K302" t="s">
        <v>268</v>
      </c>
      <c r="L302" t="s">
        <v>280</v>
      </c>
      <c r="M302" t="s">
        <v>289</v>
      </c>
      <c r="N302" t="s">
        <v>298</v>
      </c>
      <c r="O302" t="s">
        <v>307</v>
      </c>
      <c r="P302" t="s">
        <v>314</v>
      </c>
      <c r="Q302" t="s">
        <v>216</v>
      </c>
      <c r="R302" t="s">
        <v>326</v>
      </c>
      <c r="S302" t="s">
        <v>333</v>
      </c>
      <c r="T302" t="s">
        <v>335</v>
      </c>
      <c r="U302" t="s">
        <v>340</v>
      </c>
      <c r="V302" t="s">
        <v>344</v>
      </c>
      <c r="W302" t="s">
        <v>349</v>
      </c>
      <c r="AK302" t="s">
        <v>355</v>
      </c>
    </row>
    <row r="303" spans="1:37">
      <c r="A303" t="s">
        <v>43</v>
      </c>
      <c r="B303" t="s">
        <v>63</v>
      </c>
      <c r="C303" t="s">
        <v>85</v>
      </c>
      <c r="D303" t="s">
        <v>104</v>
      </c>
      <c r="E303" t="s">
        <v>123</v>
      </c>
      <c r="F303" t="s">
        <v>157</v>
      </c>
      <c r="G303" t="s">
        <v>183</v>
      </c>
      <c r="AK303" t="s">
        <v>355</v>
      </c>
    </row>
    <row r="304" spans="1:37">
      <c r="A304" t="s">
        <v>44</v>
      </c>
      <c r="B304" t="s">
        <v>64</v>
      </c>
      <c r="C304" t="s">
        <v>86</v>
      </c>
      <c r="D304" t="s">
        <v>105</v>
      </c>
      <c r="E304" t="s">
        <v>124</v>
      </c>
      <c r="F304" t="s">
        <v>158</v>
      </c>
      <c r="G304" t="s">
        <v>184</v>
      </c>
      <c r="AK304" t="s">
        <v>355</v>
      </c>
    </row>
    <row r="305" spans="1:37">
      <c r="A305" t="s">
        <v>45</v>
      </c>
      <c r="B305" t="s">
        <v>65</v>
      </c>
      <c r="C305" t="s">
        <v>87</v>
      </c>
      <c r="D305" t="s">
        <v>106</v>
      </c>
      <c r="E305" t="s">
        <v>125</v>
      </c>
      <c r="F305" t="s">
        <v>159</v>
      </c>
      <c r="G305" t="s">
        <v>185</v>
      </c>
      <c r="H305" t="s">
        <v>159</v>
      </c>
      <c r="I305" t="s">
        <v>185</v>
      </c>
      <c r="J305" t="s">
        <v>255</v>
      </c>
      <c r="AK305" t="s">
        <v>355</v>
      </c>
    </row>
    <row r="306" spans="1:37">
      <c r="A306" t="s">
        <v>46</v>
      </c>
      <c r="B306" t="s">
        <v>66</v>
      </c>
      <c r="C306" t="s">
        <v>88</v>
      </c>
      <c r="D306" t="s">
        <v>76</v>
      </c>
      <c r="E306" t="s">
        <v>126</v>
      </c>
      <c r="F306" t="s">
        <v>160</v>
      </c>
      <c r="G306" t="s">
        <v>186</v>
      </c>
      <c r="H306" t="s">
        <v>217</v>
      </c>
      <c r="I306" t="s">
        <v>238</v>
      </c>
      <c r="J306" t="s">
        <v>256</v>
      </c>
      <c r="K306" t="s">
        <v>265</v>
      </c>
      <c r="L306" t="s">
        <v>281</v>
      </c>
      <c r="M306" t="s">
        <v>290</v>
      </c>
      <c r="N306" t="s">
        <v>299</v>
      </c>
      <c r="O306" t="s">
        <v>308</v>
      </c>
      <c r="P306" t="s">
        <v>228</v>
      </c>
      <c r="Q306" t="s">
        <v>72</v>
      </c>
      <c r="R306" t="s">
        <v>327</v>
      </c>
      <c r="S306" t="s">
        <v>327</v>
      </c>
      <c r="T306" t="s">
        <v>336</v>
      </c>
      <c r="U306" t="s">
        <v>336</v>
      </c>
      <c r="V306" t="s">
        <v>336</v>
      </c>
      <c r="W306" t="s">
        <v>336</v>
      </c>
      <c r="X306" t="s">
        <v>353</v>
      </c>
      <c r="AK306" t="s">
        <v>355</v>
      </c>
    </row>
    <row r="307" spans="1:37">
      <c r="B307" t="s">
        <v>67</v>
      </c>
      <c r="C307" t="s">
        <v>89</v>
      </c>
      <c r="D307" t="s">
        <v>107</v>
      </c>
      <c r="AK307" t="s">
        <v>355</v>
      </c>
    </row>
    <row r="308" spans="1:37">
      <c r="B308" t="s">
        <v>68</v>
      </c>
      <c r="C308" t="s">
        <v>90</v>
      </c>
      <c r="D308" t="s">
        <v>108</v>
      </c>
      <c r="AK308" t="s">
        <v>355</v>
      </c>
    </row>
    <row r="309" spans="1:37">
      <c r="A309" t="s">
        <v>47</v>
      </c>
      <c r="B309" t="s">
        <v>69</v>
      </c>
      <c r="C309" t="s">
        <v>91</v>
      </c>
      <c r="D309" t="s">
        <v>109</v>
      </c>
      <c r="E309" t="s">
        <v>109</v>
      </c>
      <c r="F309" t="s">
        <v>109</v>
      </c>
      <c r="G309" t="s">
        <v>109</v>
      </c>
      <c r="H309" t="s">
        <v>109</v>
      </c>
      <c r="I309" t="s">
        <v>239</v>
      </c>
      <c r="AK309" t="s">
        <v>355</v>
      </c>
    </row>
    <row r="310" spans="1:37">
      <c r="B310" t="s">
        <v>70</v>
      </c>
      <c r="C310" t="s">
        <v>92</v>
      </c>
      <c r="D310" t="s">
        <v>110</v>
      </c>
      <c r="E310" t="s">
        <v>127</v>
      </c>
      <c r="F310" t="s">
        <v>161</v>
      </c>
      <c r="G310" t="s">
        <v>187</v>
      </c>
      <c r="H310" t="s">
        <v>218</v>
      </c>
      <c r="AK310" t="s">
        <v>355</v>
      </c>
    </row>
    <row r="311" spans="1:37">
      <c r="B311" t="s">
        <v>71</v>
      </c>
      <c r="C311" t="s">
        <v>93</v>
      </c>
      <c r="D311" t="s">
        <v>111</v>
      </c>
      <c r="E311" t="s">
        <v>128</v>
      </c>
      <c r="F311" t="s">
        <v>162</v>
      </c>
      <c r="G311" t="s">
        <v>188</v>
      </c>
      <c r="H311" t="s">
        <v>219</v>
      </c>
      <c r="I311" t="s">
        <v>240</v>
      </c>
      <c r="J311" t="s">
        <v>257</v>
      </c>
      <c r="K311" t="s">
        <v>269</v>
      </c>
      <c r="L311" t="s">
        <v>109</v>
      </c>
      <c r="M311" t="s">
        <v>109</v>
      </c>
      <c r="N311" t="s">
        <v>109</v>
      </c>
      <c r="O311" t="s">
        <v>109</v>
      </c>
      <c r="P311" t="s">
        <v>109</v>
      </c>
      <c r="Q311" t="s">
        <v>321</v>
      </c>
      <c r="AK311" t="s">
        <v>355</v>
      </c>
    </row>
    <row r="312" spans="1:37">
      <c r="A312" t="s">
        <v>48</v>
      </c>
      <c r="B312" t="s">
        <v>71</v>
      </c>
      <c r="C312" t="s">
        <v>93</v>
      </c>
      <c r="D312" t="s">
        <v>111</v>
      </c>
      <c r="E312" t="s">
        <v>128</v>
      </c>
      <c r="F312" t="s">
        <v>163</v>
      </c>
      <c r="G312" t="s">
        <v>189</v>
      </c>
      <c r="H312" t="s">
        <v>220</v>
      </c>
      <c r="I312" t="s">
        <v>241</v>
      </c>
      <c r="J312" t="s">
        <v>258</v>
      </c>
      <c r="K312" t="s">
        <v>270</v>
      </c>
      <c r="AK312" t="s">
        <v>355</v>
      </c>
    </row>
    <row r="313" spans="1:37">
      <c r="B313" t="s">
        <v>72</v>
      </c>
      <c r="C313" t="s">
        <v>72</v>
      </c>
      <c r="D313" t="s">
        <v>72</v>
      </c>
      <c r="E313" t="s">
        <v>129</v>
      </c>
      <c r="F313" t="s">
        <v>129</v>
      </c>
      <c r="G313" t="s">
        <v>193</v>
      </c>
      <c r="H313" t="s">
        <v>192</v>
      </c>
      <c r="I313" t="s">
        <v>192</v>
      </c>
      <c r="J313" t="s">
        <v>192</v>
      </c>
      <c r="K313" t="s">
        <v>271</v>
      </c>
      <c r="AK313" t="s">
        <v>355</v>
      </c>
    </row>
    <row r="314" spans="1:37">
      <c r="A314" t="s">
        <v>37</v>
      </c>
      <c r="B314" t="s">
        <v>49</v>
      </c>
      <c r="C314" t="s">
        <v>73</v>
      </c>
      <c r="D314" t="s">
        <v>94</v>
      </c>
      <c r="E314" t="s">
        <v>112</v>
      </c>
      <c r="F314" t="s">
        <v>146</v>
      </c>
      <c r="G314" t="s">
        <v>172</v>
      </c>
      <c r="H314" t="s">
        <v>207</v>
      </c>
      <c r="I314" t="s">
        <v>226</v>
      </c>
      <c r="J314" t="s">
        <v>246</v>
      </c>
      <c r="K314" t="s">
        <v>259</v>
      </c>
      <c r="AK314" t="s">
        <v>355</v>
      </c>
    </row>
    <row r="315" spans="1:37">
      <c r="A315" t="s">
        <v>38</v>
      </c>
      <c r="B315" t="s">
        <v>50</v>
      </c>
      <c r="C315" t="s">
        <v>74</v>
      </c>
      <c r="D315" t="s">
        <v>95</v>
      </c>
      <c r="E315" t="s">
        <v>113</v>
      </c>
      <c r="F315" t="s">
        <v>147</v>
      </c>
      <c r="G315" t="s">
        <v>173</v>
      </c>
      <c r="H315" t="s">
        <v>208</v>
      </c>
      <c r="I315" t="s">
        <v>227</v>
      </c>
      <c r="J315" t="s">
        <v>115</v>
      </c>
      <c r="K315" t="s">
        <v>260</v>
      </c>
      <c r="L315" t="s">
        <v>273</v>
      </c>
      <c r="M315" t="s">
        <v>282</v>
      </c>
      <c r="N315" t="s">
        <v>291</v>
      </c>
      <c r="AK315" t="s">
        <v>355</v>
      </c>
    </row>
    <row r="316" spans="1:37">
      <c r="B316" t="s">
        <v>51</v>
      </c>
      <c r="C316" t="s">
        <v>75</v>
      </c>
      <c r="D316" t="s">
        <v>52</v>
      </c>
      <c r="E316" t="s">
        <v>114</v>
      </c>
      <c r="F316" t="s">
        <v>148</v>
      </c>
      <c r="G316" t="s">
        <v>148</v>
      </c>
      <c r="H316" t="s">
        <v>209</v>
      </c>
      <c r="I316" t="s">
        <v>228</v>
      </c>
      <c r="J316" t="s">
        <v>247</v>
      </c>
      <c r="K316" t="s">
        <v>261</v>
      </c>
      <c r="L316" t="s">
        <v>274</v>
      </c>
      <c r="M316" t="s">
        <v>283</v>
      </c>
      <c r="N316" t="s">
        <v>292</v>
      </c>
      <c r="O316" t="s">
        <v>300</v>
      </c>
      <c r="AK316" t="s">
        <v>355</v>
      </c>
    </row>
    <row r="317" spans="1:37">
      <c r="B317" t="s">
        <v>52</v>
      </c>
      <c r="C317" t="s">
        <v>76</v>
      </c>
      <c r="D317" t="s">
        <v>96</v>
      </c>
      <c r="E317" t="s">
        <v>115</v>
      </c>
      <c r="F317" t="s">
        <v>149</v>
      </c>
      <c r="G317" t="s">
        <v>174</v>
      </c>
      <c r="H317" t="s">
        <v>96</v>
      </c>
      <c r="I317" t="s">
        <v>229</v>
      </c>
      <c r="J317" t="s">
        <v>248</v>
      </c>
      <c r="K317" t="s">
        <v>262</v>
      </c>
      <c r="L317" t="s">
        <v>52</v>
      </c>
      <c r="M317" t="s">
        <v>76</v>
      </c>
      <c r="N317" t="s">
        <v>293</v>
      </c>
      <c r="O317" t="s">
        <v>301</v>
      </c>
      <c r="P317" t="s">
        <v>309</v>
      </c>
      <c r="Q317" t="s">
        <v>315</v>
      </c>
      <c r="R317" t="s">
        <v>228</v>
      </c>
      <c r="S317" t="s">
        <v>328</v>
      </c>
      <c r="T317" t="s">
        <v>149</v>
      </c>
      <c r="U317" t="s">
        <v>337</v>
      </c>
      <c r="V317" t="s">
        <v>341</v>
      </c>
      <c r="W317" t="s">
        <v>345</v>
      </c>
      <c r="X317" t="s">
        <v>350</v>
      </c>
      <c r="AK317" t="s">
        <v>355</v>
      </c>
    </row>
    <row r="318" spans="1:37">
      <c r="B318" t="s">
        <v>53</v>
      </c>
      <c r="C318" t="s">
        <v>77</v>
      </c>
      <c r="D318" t="s">
        <v>97</v>
      </c>
      <c r="E318" t="s">
        <v>116</v>
      </c>
      <c r="F318" t="s">
        <v>150</v>
      </c>
      <c r="G318" t="s">
        <v>175</v>
      </c>
      <c r="H318" t="s">
        <v>210</v>
      </c>
      <c r="I318" t="s">
        <v>230</v>
      </c>
      <c r="J318" t="s">
        <v>249</v>
      </c>
      <c r="K318" t="s">
        <v>263</v>
      </c>
      <c r="L318" t="s">
        <v>275</v>
      </c>
      <c r="M318" t="s">
        <v>284</v>
      </c>
      <c r="N318" t="s">
        <v>294</v>
      </c>
      <c r="O318" t="s">
        <v>302</v>
      </c>
      <c r="P318" t="s">
        <v>310</v>
      </c>
      <c r="Q318" t="s">
        <v>316</v>
      </c>
      <c r="R318" t="s">
        <v>322</v>
      </c>
      <c r="S318" t="s">
        <v>329</v>
      </c>
      <c r="AK318" t="s">
        <v>355</v>
      </c>
    </row>
    <row r="319" spans="1:37">
      <c r="A319" t="s">
        <v>39</v>
      </c>
      <c r="B319" t="s">
        <v>54</v>
      </c>
      <c r="C319" t="s">
        <v>54</v>
      </c>
      <c r="D319" t="s">
        <v>54</v>
      </c>
      <c r="E319" t="s">
        <v>54</v>
      </c>
      <c r="F319" t="s">
        <v>54</v>
      </c>
      <c r="G319" t="s">
        <v>54</v>
      </c>
      <c r="H319" t="s">
        <v>54</v>
      </c>
      <c r="I319" t="s">
        <v>54</v>
      </c>
      <c r="J319" t="s">
        <v>54</v>
      </c>
      <c r="K319" t="s">
        <v>54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 t="s">
        <v>323</v>
      </c>
      <c r="S319" t="s">
        <v>330</v>
      </c>
      <c r="AK319" t="s">
        <v>355</v>
      </c>
    </row>
    <row r="320" spans="1:37">
      <c r="B320" t="s">
        <v>55</v>
      </c>
      <c r="C320" t="s">
        <v>78</v>
      </c>
      <c r="D320" t="s">
        <v>55</v>
      </c>
      <c r="E320" t="s">
        <v>78</v>
      </c>
      <c r="F320" t="s">
        <v>55</v>
      </c>
      <c r="G320" t="s">
        <v>78</v>
      </c>
      <c r="H320" t="s">
        <v>55</v>
      </c>
      <c r="I320" t="s">
        <v>78</v>
      </c>
      <c r="J320" t="s">
        <v>55</v>
      </c>
      <c r="K320" t="s">
        <v>78</v>
      </c>
      <c r="L320" t="s">
        <v>55</v>
      </c>
      <c r="M320" t="s">
        <v>78</v>
      </c>
      <c r="N320" t="s">
        <v>55</v>
      </c>
      <c r="O320" t="s">
        <v>78</v>
      </c>
      <c r="P320" t="s">
        <v>55</v>
      </c>
      <c r="Q320" t="s">
        <v>78</v>
      </c>
      <c r="R320" t="s">
        <v>55</v>
      </c>
      <c r="S320" t="s">
        <v>78</v>
      </c>
      <c r="T320" t="s">
        <v>55</v>
      </c>
      <c r="U320" t="s">
        <v>78</v>
      </c>
      <c r="V320" t="s">
        <v>55</v>
      </c>
      <c r="W320" t="s">
        <v>78</v>
      </c>
      <c r="X320" t="s">
        <v>55</v>
      </c>
      <c r="Y320" t="s">
        <v>78</v>
      </c>
      <c r="Z320" t="s">
        <v>55</v>
      </c>
      <c r="AA320" t="s">
        <v>78</v>
      </c>
      <c r="AB320" t="s">
        <v>55</v>
      </c>
      <c r="AC320" t="s">
        <v>78</v>
      </c>
      <c r="AD320" t="s">
        <v>55</v>
      </c>
      <c r="AE320" t="s">
        <v>78</v>
      </c>
      <c r="AF320" t="s">
        <v>55</v>
      </c>
      <c r="AG320" t="s">
        <v>78</v>
      </c>
      <c r="AH320" t="s">
        <v>55</v>
      </c>
      <c r="AI320" t="s">
        <v>78</v>
      </c>
      <c r="AK320" t="s">
        <v>355</v>
      </c>
    </row>
    <row r="321" spans="1:37">
      <c r="B321" t="s">
        <v>56</v>
      </c>
      <c r="C321" t="s">
        <v>56</v>
      </c>
      <c r="D321" t="s">
        <v>56</v>
      </c>
      <c r="E321" t="s">
        <v>56</v>
      </c>
      <c r="F321" t="s">
        <v>56</v>
      </c>
      <c r="G321" t="s">
        <v>176</v>
      </c>
      <c r="H321" t="s">
        <v>211</v>
      </c>
      <c r="I321" t="s">
        <v>231</v>
      </c>
      <c r="J321" t="s">
        <v>250</v>
      </c>
      <c r="K321" t="s">
        <v>264</v>
      </c>
      <c r="L321" t="s">
        <v>276</v>
      </c>
      <c r="M321" t="s">
        <v>285</v>
      </c>
      <c r="N321" t="s">
        <v>295</v>
      </c>
      <c r="O321" t="s">
        <v>303</v>
      </c>
      <c r="P321" t="s">
        <v>56</v>
      </c>
      <c r="Q321" t="s">
        <v>317</v>
      </c>
      <c r="R321" t="s">
        <v>324</v>
      </c>
      <c r="S321" t="s">
        <v>331</v>
      </c>
      <c r="T321" t="s">
        <v>334</v>
      </c>
      <c r="U321" t="s">
        <v>338</v>
      </c>
      <c r="V321" t="s">
        <v>342</v>
      </c>
      <c r="W321" t="s">
        <v>346</v>
      </c>
      <c r="X321" t="s">
        <v>351</v>
      </c>
      <c r="AK321" t="s">
        <v>355</v>
      </c>
    </row>
    <row r="322" spans="1:37">
      <c r="B322" t="s">
        <v>57</v>
      </c>
      <c r="C322" t="s">
        <v>79</v>
      </c>
      <c r="D322" t="s">
        <v>98</v>
      </c>
      <c r="E322" t="s">
        <v>117</v>
      </c>
      <c r="F322" t="s">
        <v>151</v>
      </c>
      <c r="G322" t="s">
        <v>177</v>
      </c>
      <c r="H322" t="s">
        <v>212</v>
      </c>
      <c r="I322" t="s">
        <v>232</v>
      </c>
      <c r="J322" t="s">
        <v>251</v>
      </c>
      <c r="K322" t="s">
        <v>265</v>
      </c>
      <c r="L322" t="s">
        <v>277</v>
      </c>
      <c r="M322" t="s">
        <v>286</v>
      </c>
      <c r="N322" t="s">
        <v>296</v>
      </c>
      <c r="O322" t="s">
        <v>304</v>
      </c>
      <c r="P322" t="s">
        <v>311</v>
      </c>
      <c r="Q322" t="s">
        <v>318</v>
      </c>
      <c r="R322" t="s">
        <v>185</v>
      </c>
      <c r="S322" t="s">
        <v>159</v>
      </c>
      <c r="T322" t="s">
        <v>185</v>
      </c>
      <c r="U322" t="s">
        <v>339</v>
      </c>
      <c r="V322" t="s">
        <v>72</v>
      </c>
      <c r="W322" t="s">
        <v>347</v>
      </c>
      <c r="X322" t="s">
        <v>72</v>
      </c>
      <c r="Y322" t="s">
        <v>96</v>
      </c>
      <c r="AK322" t="s">
        <v>355</v>
      </c>
    </row>
    <row r="323" spans="1:37">
      <c r="B323" t="s">
        <v>58</v>
      </c>
      <c r="C323" t="s">
        <v>80</v>
      </c>
      <c r="D323" t="s">
        <v>99</v>
      </c>
      <c r="E323" t="s">
        <v>118</v>
      </c>
      <c r="F323" t="s">
        <v>152</v>
      </c>
      <c r="G323" t="s">
        <v>178</v>
      </c>
      <c r="H323" t="s">
        <v>213</v>
      </c>
      <c r="I323" t="s">
        <v>233</v>
      </c>
      <c r="J323" t="s">
        <v>252</v>
      </c>
      <c r="K323" t="s">
        <v>266</v>
      </c>
      <c r="L323" t="s">
        <v>278</v>
      </c>
      <c r="M323" t="s">
        <v>287</v>
      </c>
      <c r="N323" t="s">
        <v>297</v>
      </c>
      <c r="O323" t="s">
        <v>305</v>
      </c>
      <c r="P323" t="s">
        <v>312</v>
      </c>
      <c r="Q323" t="s">
        <v>319</v>
      </c>
      <c r="R323">
        <f>&gt;10       ветра      1.0      8   1  2</f>
        <v>0</v>
      </c>
      <c r="AK323" t="s">
        <v>355</v>
      </c>
    </row>
    <row r="324" spans="1:37">
      <c r="A324" t="s">
        <v>40</v>
      </c>
      <c r="B324" t="s">
        <v>59</v>
      </c>
      <c r="C324" t="s">
        <v>81</v>
      </c>
      <c r="D324" t="s">
        <v>100</v>
      </c>
      <c r="E324" t="s">
        <v>119</v>
      </c>
      <c r="F324" t="s">
        <v>153</v>
      </c>
      <c r="G324" t="s">
        <v>179</v>
      </c>
      <c r="H324" t="s">
        <v>214</v>
      </c>
      <c r="I324" t="s">
        <v>234</v>
      </c>
      <c r="AK324" t="s">
        <v>355</v>
      </c>
    </row>
    <row r="325" spans="1:37">
      <c r="A325" t="s">
        <v>40</v>
      </c>
      <c r="B325" t="s">
        <v>60</v>
      </c>
      <c r="C325" t="s">
        <v>82</v>
      </c>
      <c r="D325" t="s">
        <v>101</v>
      </c>
      <c r="E325" t="s">
        <v>120</v>
      </c>
      <c r="F325" t="s">
        <v>154</v>
      </c>
      <c r="G325" t="s">
        <v>180</v>
      </c>
      <c r="H325" t="s">
        <v>215</v>
      </c>
      <c r="I325" t="s">
        <v>235</v>
      </c>
      <c r="J325" t="s">
        <v>253</v>
      </c>
      <c r="K325" t="s">
        <v>267</v>
      </c>
      <c r="L325" t="s">
        <v>279</v>
      </c>
      <c r="M325" t="s">
        <v>288</v>
      </c>
      <c r="N325" t="s">
        <v>100</v>
      </c>
      <c r="O325" t="s">
        <v>306</v>
      </c>
      <c r="P325" t="s">
        <v>313</v>
      </c>
      <c r="Q325" t="s">
        <v>320</v>
      </c>
      <c r="R325" t="s">
        <v>325</v>
      </c>
      <c r="S325" t="s">
        <v>332</v>
      </c>
      <c r="T325" t="s">
        <v>119</v>
      </c>
      <c r="U325" t="s">
        <v>234</v>
      </c>
      <c r="V325" t="s">
        <v>343</v>
      </c>
      <c r="W325" t="s">
        <v>348</v>
      </c>
      <c r="X325" t="s">
        <v>352</v>
      </c>
      <c r="Y325" t="s">
        <v>354</v>
      </c>
      <c r="AK325" t="s">
        <v>355</v>
      </c>
    </row>
    <row r="326" spans="1:37">
      <c r="A326" t="s">
        <v>41</v>
      </c>
      <c r="B326" t="s">
        <v>61</v>
      </c>
      <c r="C326" t="s">
        <v>83</v>
      </c>
      <c r="D326" t="s">
        <v>102</v>
      </c>
      <c r="E326" t="s">
        <v>121</v>
      </c>
      <c r="F326" t="s">
        <v>155</v>
      </c>
      <c r="G326" t="s">
        <v>181</v>
      </c>
      <c r="H326" t="s">
        <v>216</v>
      </c>
      <c r="I326" t="s">
        <v>236</v>
      </c>
      <c r="AK326" t="s">
        <v>355</v>
      </c>
    </row>
    <row r="327" spans="1:37">
      <c r="A327" t="s">
        <v>42</v>
      </c>
      <c r="B327" t="s">
        <v>62</v>
      </c>
      <c r="C327" t="s">
        <v>84</v>
      </c>
      <c r="D327" t="s">
        <v>103</v>
      </c>
      <c r="E327" t="s">
        <v>122</v>
      </c>
      <c r="F327" t="s">
        <v>156</v>
      </c>
      <c r="G327" t="s">
        <v>182</v>
      </c>
      <c r="H327" t="s">
        <v>83</v>
      </c>
      <c r="I327" t="s">
        <v>237</v>
      </c>
      <c r="J327" t="s">
        <v>254</v>
      </c>
      <c r="K327" t="s">
        <v>268</v>
      </c>
      <c r="L327" t="s">
        <v>280</v>
      </c>
      <c r="M327" t="s">
        <v>289</v>
      </c>
      <c r="N327" t="s">
        <v>298</v>
      </c>
      <c r="O327" t="s">
        <v>307</v>
      </c>
      <c r="P327" t="s">
        <v>314</v>
      </c>
      <c r="Q327" t="s">
        <v>216</v>
      </c>
      <c r="R327" t="s">
        <v>326</v>
      </c>
      <c r="S327" t="s">
        <v>333</v>
      </c>
      <c r="T327" t="s">
        <v>335</v>
      </c>
      <c r="U327" t="s">
        <v>340</v>
      </c>
      <c r="V327" t="s">
        <v>344</v>
      </c>
      <c r="W327" t="s">
        <v>349</v>
      </c>
      <c r="AK327" t="s">
        <v>355</v>
      </c>
    </row>
    <row r="328" spans="1:37">
      <c r="A328" t="s">
        <v>43</v>
      </c>
      <c r="B328" t="s">
        <v>63</v>
      </c>
      <c r="C328" t="s">
        <v>85</v>
      </c>
      <c r="D328" t="s">
        <v>104</v>
      </c>
      <c r="E328" t="s">
        <v>123</v>
      </c>
      <c r="F328" t="s">
        <v>157</v>
      </c>
      <c r="G328" t="s">
        <v>183</v>
      </c>
      <c r="AK328" t="s">
        <v>355</v>
      </c>
    </row>
    <row r="329" spans="1:37">
      <c r="A329" t="s">
        <v>44</v>
      </c>
      <c r="B329" t="s">
        <v>64</v>
      </c>
      <c r="C329" t="s">
        <v>86</v>
      </c>
      <c r="D329" t="s">
        <v>105</v>
      </c>
      <c r="E329" t="s">
        <v>124</v>
      </c>
      <c r="F329" t="s">
        <v>158</v>
      </c>
      <c r="G329" t="s">
        <v>184</v>
      </c>
      <c r="AK329" t="s">
        <v>355</v>
      </c>
    </row>
    <row r="330" spans="1:37">
      <c r="A330" t="s">
        <v>45</v>
      </c>
      <c r="B330" t="s">
        <v>65</v>
      </c>
      <c r="C330" t="s">
        <v>87</v>
      </c>
      <c r="D330" t="s">
        <v>106</v>
      </c>
      <c r="E330" t="s">
        <v>125</v>
      </c>
      <c r="F330" t="s">
        <v>159</v>
      </c>
      <c r="G330" t="s">
        <v>185</v>
      </c>
      <c r="H330" t="s">
        <v>159</v>
      </c>
      <c r="I330" t="s">
        <v>185</v>
      </c>
      <c r="J330" t="s">
        <v>255</v>
      </c>
      <c r="AK330" t="s">
        <v>355</v>
      </c>
    </row>
    <row r="331" spans="1:37">
      <c r="A331" t="s">
        <v>46</v>
      </c>
      <c r="B331" t="s">
        <v>66</v>
      </c>
      <c r="C331" t="s">
        <v>88</v>
      </c>
      <c r="D331" t="s">
        <v>76</v>
      </c>
      <c r="E331" t="s">
        <v>126</v>
      </c>
      <c r="F331" t="s">
        <v>160</v>
      </c>
      <c r="G331" t="s">
        <v>186</v>
      </c>
      <c r="H331" t="s">
        <v>217</v>
      </c>
      <c r="I331" t="s">
        <v>238</v>
      </c>
      <c r="J331" t="s">
        <v>256</v>
      </c>
      <c r="K331" t="s">
        <v>265</v>
      </c>
      <c r="L331" t="s">
        <v>281</v>
      </c>
      <c r="M331" t="s">
        <v>290</v>
      </c>
      <c r="N331" t="s">
        <v>299</v>
      </c>
      <c r="O331" t="s">
        <v>308</v>
      </c>
      <c r="P331" t="s">
        <v>228</v>
      </c>
      <c r="Q331" t="s">
        <v>72</v>
      </c>
      <c r="R331" t="s">
        <v>327</v>
      </c>
      <c r="S331" t="s">
        <v>327</v>
      </c>
      <c r="T331" t="s">
        <v>336</v>
      </c>
      <c r="U331" t="s">
        <v>336</v>
      </c>
      <c r="V331" t="s">
        <v>336</v>
      </c>
      <c r="W331" t="s">
        <v>336</v>
      </c>
      <c r="X331" t="s">
        <v>353</v>
      </c>
      <c r="AK331" t="s">
        <v>355</v>
      </c>
    </row>
    <row r="332" spans="1:37">
      <c r="A332" t="s">
        <v>37</v>
      </c>
      <c r="B332" t="s">
        <v>49</v>
      </c>
      <c r="C332" t="s">
        <v>73</v>
      </c>
      <c r="D332" t="s">
        <v>94</v>
      </c>
      <c r="E332" t="s">
        <v>112</v>
      </c>
      <c r="F332" t="s">
        <v>146</v>
      </c>
      <c r="G332" t="s">
        <v>172</v>
      </c>
      <c r="H332" t="s">
        <v>207</v>
      </c>
      <c r="I332" t="s">
        <v>226</v>
      </c>
      <c r="J332" t="s">
        <v>246</v>
      </c>
      <c r="K332" t="s">
        <v>259</v>
      </c>
      <c r="AK332" t="s">
        <v>355</v>
      </c>
    </row>
    <row r="333" spans="1:37">
      <c r="A333" t="s">
        <v>38</v>
      </c>
      <c r="B333" t="s">
        <v>50</v>
      </c>
      <c r="C333" t="s">
        <v>74</v>
      </c>
      <c r="D333" t="s">
        <v>95</v>
      </c>
      <c r="E333" t="s">
        <v>113</v>
      </c>
      <c r="F333" t="s">
        <v>147</v>
      </c>
      <c r="G333" t="s">
        <v>173</v>
      </c>
      <c r="H333" t="s">
        <v>208</v>
      </c>
      <c r="I333" t="s">
        <v>227</v>
      </c>
      <c r="J333" t="s">
        <v>115</v>
      </c>
      <c r="K333" t="s">
        <v>260</v>
      </c>
      <c r="L333" t="s">
        <v>273</v>
      </c>
      <c r="M333" t="s">
        <v>282</v>
      </c>
      <c r="N333" t="s">
        <v>291</v>
      </c>
      <c r="AK333" t="s">
        <v>355</v>
      </c>
    </row>
    <row r="334" spans="1:37">
      <c r="B334" t="s">
        <v>51</v>
      </c>
      <c r="C334" t="s">
        <v>75</v>
      </c>
      <c r="D334" t="s">
        <v>52</v>
      </c>
      <c r="E334" t="s">
        <v>114</v>
      </c>
      <c r="F334" t="s">
        <v>148</v>
      </c>
      <c r="G334" t="s">
        <v>148</v>
      </c>
      <c r="H334" t="s">
        <v>209</v>
      </c>
      <c r="I334" t="s">
        <v>228</v>
      </c>
      <c r="J334" t="s">
        <v>247</v>
      </c>
      <c r="K334" t="s">
        <v>261</v>
      </c>
      <c r="L334" t="s">
        <v>274</v>
      </c>
      <c r="M334" t="s">
        <v>283</v>
      </c>
      <c r="N334" t="s">
        <v>292</v>
      </c>
      <c r="O334" t="s">
        <v>300</v>
      </c>
      <c r="AK334" t="s">
        <v>355</v>
      </c>
    </row>
    <row r="335" spans="1:37">
      <c r="B335" t="s">
        <v>52</v>
      </c>
      <c r="C335" t="s">
        <v>76</v>
      </c>
      <c r="D335" t="s">
        <v>96</v>
      </c>
      <c r="E335" t="s">
        <v>115</v>
      </c>
      <c r="F335" t="s">
        <v>149</v>
      </c>
      <c r="G335" t="s">
        <v>174</v>
      </c>
      <c r="H335" t="s">
        <v>96</v>
      </c>
      <c r="I335" t="s">
        <v>229</v>
      </c>
      <c r="J335" t="s">
        <v>248</v>
      </c>
      <c r="K335" t="s">
        <v>262</v>
      </c>
      <c r="L335" t="s">
        <v>52</v>
      </c>
      <c r="M335" t="s">
        <v>76</v>
      </c>
      <c r="N335" t="s">
        <v>293</v>
      </c>
      <c r="O335" t="s">
        <v>301</v>
      </c>
      <c r="P335" t="s">
        <v>309</v>
      </c>
      <c r="Q335" t="s">
        <v>315</v>
      </c>
      <c r="R335" t="s">
        <v>228</v>
      </c>
      <c r="S335" t="s">
        <v>328</v>
      </c>
      <c r="T335" t="s">
        <v>149</v>
      </c>
      <c r="U335" t="s">
        <v>337</v>
      </c>
      <c r="V335" t="s">
        <v>341</v>
      </c>
      <c r="W335" t="s">
        <v>345</v>
      </c>
      <c r="X335" t="s">
        <v>350</v>
      </c>
      <c r="AK335" t="s">
        <v>355</v>
      </c>
    </row>
    <row r="336" spans="1:37">
      <c r="B336" t="s">
        <v>53</v>
      </c>
      <c r="C336" t="s">
        <v>77</v>
      </c>
      <c r="D336" t="s">
        <v>97</v>
      </c>
      <c r="E336" t="s">
        <v>116</v>
      </c>
      <c r="F336" t="s">
        <v>150</v>
      </c>
      <c r="G336" t="s">
        <v>175</v>
      </c>
      <c r="H336" t="s">
        <v>210</v>
      </c>
      <c r="I336" t="s">
        <v>230</v>
      </c>
      <c r="J336" t="s">
        <v>249</v>
      </c>
      <c r="K336" t="s">
        <v>263</v>
      </c>
      <c r="L336" t="s">
        <v>275</v>
      </c>
      <c r="M336" t="s">
        <v>284</v>
      </c>
      <c r="N336" t="s">
        <v>294</v>
      </c>
      <c r="O336" t="s">
        <v>302</v>
      </c>
      <c r="P336" t="s">
        <v>310</v>
      </c>
      <c r="Q336" t="s">
        <v>316</v>
      </c>
      <c r="R336" t="s">
        <v>322</v>
      </c>
      <c r="S336" t="s">
        <v>329</v>
      </c>
      <c r="AK336" t="s">
        <v>355</v>
      </c>
    </row>
    <row r="337" spans="1:37">
      <c r="A337" t="s">
        <v>39</v>
      </c>
      <c r="B337" t="s">
        <v>54</v>
      </c>
      <c r="C337" t="s">
        <v>54</v>
      </c>
      <c r="D337" t="s">
        <v>54</v>
      </c>
      <c r="E337" t="s">
        <v>54</v>
      </c>
      <c r="F337" t="s">
        <v>54</v>
      </c>
      <c r="G337" t="s">
        <v>54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323</v>
      </c>
      <c r="S337" t="s">
        <v>330</v>
      </c>
      <c r="AK337" t="s">
        <v>355</v>
      </c>
    </row>
    <row r="338" spans="1:37">
      <c r="B338" t="s">
        <v>55</v>
      </c>
      <c r="C338" t="s">
        <v>78</v>
      </c>
      <c r="D338" t="s">
        <v>55</v>
      </c>
      <c r="E338" t="s">
        <v>78</v>
      </c>
      <c r="F338" t="s">
        <v>55</v>
      </c>
      <c r="G338" t="s">
        <v>78</v>
      </c>
      <c r="H338" t="s">
        <v>55</v>
      </c>
      <c r="I338" t="s">
        <v>78</v>
      </c>
      <c r="J338" t="s">
        <v>55</v>
      </c>
      <c r="K338" t="s">
        <v>78</v>
      </c>
      <c r="L338" t="s">
        <v>55</v>
      </c>
      <c r="M338" t="s">
        <v>78</v>
      </c>
      <c r="N338" t="s">
        <v>55</v>
      </c>
      <c r="O338" t="s">
        <v>78</v>
      </c>
      <c r="P338" t="s">
        <v>55</v>
      </c>
      <c r="Q338" t="s">
        <v>78</v>
      </c>
      <c r="R338" t="s">
        <v>55</v>
      </c>
      <c r="S338" t="s">
        <v>78</v>
      </c>
      <c r="T338" t="s">
        <v>55</v>
      </c>
      <c r="U338" t="s">
        <v>78</v>
      </c>
      <c r="V338" t="s">
        <v>55</v>
      </c>
      <c r="W338" t="s">
        <v>78</v>
      </c>
      <c r="X338" t="s">
        <v>55</v>
      </c>
      <c r="Y338" t="s">
        <v>78</v>
      </c>
      <c r="Z338" t="s">
        <v>55</v>
      </c>
      <c r="AA338" t="s">
        <v>78</v>
      </c>
      <c r="AB338" t="s">
        <v>55</v>
      </c>
      <c r="AC338" t="s">
        <v>78</v>
      </c>
      <c r="AD338" t="s">
        <v>55</v>
      </c>
      <c r="AE338" t="s">
        <v>78</v>
      </c>
      <c r="AF338" t="s">
        <v>55</v>
      </c>
      <c r="AG338" t="s">
        <v>78</v>
      </c>
      <c r="AH338" t="s">
        <v>55</v>
      </c>
      <c r="AI338" t="s">
        <v>78</v>
      </c>
      <c r="AK338" t="s">
        <v>355</v>
      </c>
    </row>
    <row r="339" spans="1:37">
      <c r="B339" t="s">
        <v>56</v>
      </c>
      <c r="C339" t="s">
        <v>56</v>
      </c>
      <c r="D339" t="s">
        <v>56</v>
      </c>
      <c r="E339" t="s">
        <v>56</v>
      </c>
      <c r="F339" t="s">
        <v>56</v>
      </c>
      <c r="G339" t="s">
        <v>176</v>
      </c>
      <c r="H339" t="s">
        <v>211</v>
      </c>
      <c r="I339" t="s">
        <v>231</v>
      </c>
      <c r="J339" t="s">
        <v>250</v>
      </c>
      <c r="K339" t="s">
        <v>264</v>
      </c>
      <c r="L339" t="s">
        <v>276</v>
      </c>
      <c r="M339" t="s">
        <v>285</v>
      </c>
      <c r="N339" t="s">
        <v>295</v>
      </c>
      <c r="O339" t="s">
        <v>303</v>
      </c>
      <c r="P339" t="s">
        <v>56</v>
      </c>
      <c r="Q339" t="s">
        <v>317</v>
      </c>
      <c r="R339" t="s">
        <v>324</v>
      </c>
      <c r="S339" t="s">
        <v>331</v>
      </c>
      <c r="T339" t="s">
        <v>334</v>
      </c>
      <c r="U339" t="s">
        <v>338</v>
      </c>
      <c r="V339" t="s">
        <v>342</v>
      </c>
      <c r="W339" t="s">
        <v>346</v>
      </c>
      <c r="X339" t="s">
        <v>351</v>
      </c>
      <c r="AK339" t="s">
        <v>355</v>
      </c>
    </row>
    <row r="340" spans="1:37">
      <c r="B340" t="s">
        <v>57</v>
      </c>
      <c r="C340" t="s">
        <v>79</v>
      </c>
      <c r="D340" t="s">
        <v>98</v>
      </c>
      <c r="E340" t="s">
        <v>117</v>
      </c>
      <c r="F340" t="s">
        <v>151</v>
      </c>
      <c r="G340" t="s">
        <v>177</v>
      </c>
      <c r="H340" t="s">
        <v>212</v>
      </c>
      <c r="I340" t="s">
        <v>232</v>
      </c>
      <c r="J340" t="s">
        <v>251</v>
      </c>
      <c r="K340" t="s">
        <v>265</v>
      </c>
      <c r="L340" t="s">
        <v>277</v>
      </c>
      <c r="M340" t="s">
        <v>286</v>
      </c>
      <c r="N340" t="s">
        <v>296</v>
      </c>
      <c r="O340" t="s">
        <v>304</v>
      </c>
      <c r="P340" t="s">
        <v>311</v>
      </c>
      <c r="Q340" t="s">
        <v>318</v>
      </c>
      <c r="R340" t="s">
        <v>185</v>
      </c>
      <c r="S340" t="s">
        <v>159</v>
      </c>
      <c r="T340" t="s">
        <v>185</v>
      </c>
      <c r="U340" t="s">
        <v>339</v>
      </c>
      <c r="V340" t="s">
        <v>72</v>
      </c>
      <c r="W340" t="s">
        <v>347</v>
      </c>
      <c r="X340" t="s">
        <v>72</v>
      </c>
      <c r="Y340" t="s">
        <v>96</v>
      </c>
      <c r="AK340" t="s">
        <v>355</v>
      </c>
    </row>
    <row r="341" spans="1:37">
      <c r="B341" t="s">
        <v>58</v>
      </c>
      <c r="C341" t="s">
        <v>80</v>
      </c>
      <c r="D341" t="s">
        <v>99</v>
      </c>
      <c r="E341" t="s">
        <v>118</v>
      </c>
      <c r="F341" t="s">
        <v>152</v>
      </c>
      <c r="G341" t="s">
        <v>178</v>
      </c>
      <c r="H341" t="s">
        <v>213</v>
      </c>
      <c r="I341" t="s">
        <v>233</v>
      </c>
      <c r="J341" t="s">
        <v>252</v>
      </c>
      <c r="K341" t="s">
        <v>266</v>
      </c>
      <c r="L341" t="s">
        <v>278</v>
      </c>
      <c r="M341" t="s">
        <v>287</v>
      </c>
      <c r="N341" t="s">
        <v>297</v>
      </c>
      <c r="O341" t="s">
        <v>305</v>
      </c>
      <c r="P341" t="s">
        <v>312</v>
      </c>
      <c r="Q341" t="s">
        <v>319</v>
      </c>
      <c r="R341">
        <f>&gt;10       ветра      1.5     14   2</f>
        <v>0</v>
      </c>
      <c r="AK341" t="s">
        <v>355</v>
      </c>
    </row>
    <row r="342" spans="1:37">
      <c r="A342" t="s">
        <v>40</v>
      </c>
      <c r="B342" t="s">
        <v>59</v>
      </c>
      <c r="C342" t="s">
        <v>81</v>
      </c>
      <c r="D342" t="s">
        <v>100</v>
      </c>
      <c r="E342" t="s">
        <v>119</v>
      </c>
      <c r="F342" t="s">
        <v>153</v>
      </c>
      <c r="G342" t="s">
        <v>179</v>
      </c>
      <c r="H342" t="s">
        <v>214</v>
      </c>
      <c r="I342" t="s">
        <v>234</v>
      </c>
      <c r="AK342" t="s">
        <v>355</v>
      </c>
    </row>
    <row r="343" spans="1:37">
      <c r="A343" t="s">
        <v>40</v>
      </c>
      <c r="B343" t="s">
        <v>60</v>
      </c>
      <c r="C343" t="s">
        <v>82</v>
      </c>
      <c r="D343" t="s">
        <v>101</v>
      </c>
      <c r="E343" t="s">
        <v>120</v>
      </c>
      <c r="F343" t="s">
        <v>154</v>
      </c>
      <c r="G343" t="s">
        <v>180</v>
      </c>
      <c r="H343" t="s">
        <v>215</v>
      </c>
      <c r="I343" t="s">
        <v>235</v>
      </c>
      <c r="J343" t="s">
        <v>253</v>
      </c>
      <c r="K343" t="s">
        <v>267</v>
      </c>
      <c r="L343" t="s">
        <v>279</v>
      </c>
      <c r="M343" t="s">
        <v>288</v>
      </c>
      <c r="N343" t="s">
        <v>100</v>
      </c>
      <c r="O343" t="s">
        <v>306</v>
      </c>
      <c r="P343" t="s">
        <v>313</v>
      </c>
      <c r="Q343" t="s">
        <v>320</v>
      </c>
      <c r="R343" t="s">
        <v>325</v>
      </c>
      <c r="S343" t="s">
        <v>332</v>
      </c>
      <c r="T343" t="s">
        <v>119</v>
      </c>
      <c r="U343" t="s">
        <v>234</v>
      </c>
      <c r="V343" t="s">
        <v>343</v>
      </c>
      <c r="W343" t="s">
        <v>348</v>
      </c>
      <c r="X343" t="s">
        <v>352</v>
      </c>
      <c r="Y343" t="s">
        <v>354</v>
      </c>
      <c r="AK343" t="s">
        <v>355</v>
      </c>
    </row>
    <row r="344" spans="1:37">
      <c r="A344" t="s">
        <v>41</v>
      </c>
      <c r="B344" t="s">
        <v>61</v>
      </c>
      <c r="C344" t="s">
        <v>83</v>
      </c>
      <c r="D344" t="s">
        <v>102</v>
      </c>
      <c r="E344" t="s">
        <v>121</v>
      </c>
      <c r="F344" t="s">
        <v>155</v>
      </c>
      <c r="G344" t="s">
        <v>181</v>
      </c>
      <c r="H344" t="s">
        <v>216</v>
      </c>
      <c r="I344" t="s">
        <v>236</v>
      </c>
      <c r="AK344" t="s">
        <v>355</v>
      </c>
    </row>
    <row r="345" spans="1:37">
      <c r="A345" t="s">
        <v>42</v>
      </c>
      <c r="B345" t="s">
        <v>62</v>
      </c>
      <c r="C345" t="s">
        <v>84</v>
      </c>
      <c r="D345" t="s">
        <v>103</v>
      </c>
      <c r="E345" t="s">
        <v>122</v>
      </c>
      <c r="F345" t="s">
        <v>156</v>
      </c>
      <c r="G345" t="s">
        <v>182</v>
      </c>
      <c r="H345" t="s">
        <v>83</v>
      </c>
      <c r="I345" t="s">
        <v>237</v>
      </c>
      <c r="J345" t="s">
        <v>254</v>
      </c>
      <c r="K345" t="s">
        <v>268</v>
      </c>
      <c r="L345" t="s">
        <v>280</v>
      </c>
      <c r="M345" t="s">
        <v>289</v>
      </c>
      <c r="N345" t="s">
        <v>298</v>
      </c>
      <c r="O345" t="s">
        <v>307</v>
      </c>
      <c r="P345" t="s">
        <v>314</v>
      </c>
      <c r="Q345" t="s">
        <v>216</v>
      </c>
      <c r="R345" t="s">
        <v>326</v>
      </c>
      <c r="S345" t="s">
        <v>333</v>
      </c>
      <c r="T345" t="s">
        <v>335</v>
      </c>
      <c r="U345" t="s">
        <v>340</v>
      </c>
      <c r="V345" t="s">
        <v>344</v>
      </c>
      <c r="W345" t="s">
        <v>349</v>
      </c>
      <c r="AK345" t="s">
        <v>355</v>
      </c>
    </row>
    <row r="346" spans="1:37">
      <c r="A346" t="s">
        <v>43</v>
      </c>
      <c r="B346" t="s">
        <v>63</v>
      </c>
      <c r="C346" t="s">
        <v>85</v>
      </c>
      <c r="D346" t="s">
        <v>104</v>
      </c>
      <c r="E346" t="s">
        <v>123</v>
      </c>
      <c r="F346" t="s">
        <v>157</v>
      </c>
      <c r="G346" t="s">
        <v>183</v>
      </c>
      <c r="AK346" t="s">
        <v>355</v>
      </c>
    </row>
    <row r="347" spans="1:37">
      <c r="A347" t="s">
        <v>44</v>
      </c>
      <c r="B347" t="s">
        <v>64</v>
      </c>
      <c r="C347" t="s">
        <v>86</v>
      </c>
      <c r="D347" t="s">
        <v>105</v>
      </c>
      <c r="E347" t="s">
        <v>124</v>
      </c>
      <c r="F347" t="s">
        <v>158</v>
      </c>
      <c r="G347" t="s">
        <v>184</v>
      </c>
      <c r="AK347" t="s">
        <v>355</v>
      </c>
    </row>
    <row r="348" spans="1:37">
      <c r="A348" t="s">
        <v>45</v>
      </c>
      <c r="B348" t="s">
        <v>65</v>
      </c>
      <c r="C348" t="s">
        <v>87</v>
      </c>
      <c r="D348" t="s">
        <v>106</v>
      </c>
      <c r="E348" t="s">
        <v>125</v>
      </c>
      <c r="F348" t="s">
        <v>159</v>
      </c>
      <c r="G348" t="s">
        <v>185</v>
      </c>
      <c r="H348" t="s">
        <v>159</v>
      </c>
      <c r="I348" t="s">
        <v>185</v>
      </c>
      <c r="J348" t="s">
        <v>255</v>
      </c>
      <c r="AK348" t="s">
        <v>355</v>
      </c>
    </row>
    <row r="349" spans="1:37">
      <c r="A349" t="s">
        <v>46</v>
      </c>
      <c r="B349" t="s">
        <v>66</v>
      </c>
      <c r="C349" t="s">
        <v>88</v>
      </c>
      <c r="D349" t="s">
        <v>76</v>
      </c>
      <c r="E349" t="s">
        <v>126</v>
      </c>
      <c r="F349" t="s">
        <v>160</v>
      </c>
      <c r="G349" t="s">
        <v>186</v>
      </c>
      <c r="H349" t="s">
        <v>217</v>
      </c>
      <c r="I349" t="s">
        <v>238</v>
      </c>
      <c r="J349" t="s">
        <v>256</v>
      </c>
      <c r="K349" t="s">
        <v>265</v>
      </c>
      <c r="L349" t="s">
        <v>281</v>
      </c>
      <c r="M349" t="s">
        <v>290</v>
      </c>
      <c r="N349" t="s">
        <v>299</v>
      </c>
      <c r="O349" t="s">
        <v>308</v>
      </c>
      <c r="P349" t="s">
        <v>228</v>
      </c>
      <c r="Q349" t="s">
        <v>72</v>
      </c>
      <c r="R349" t="s">
        <v>327</v>
      </c>
      <c r="S349" t="s">
        <v>327</v>
      </c>
      <c r="T349" t="s">
        <v>336</v>
      </c>
      <c r="U349" t="s">
        <v>336</v>
      </c>
      <c r="V349" t="s">
        <v>336</v>
      </c>
      <c r="W349" t="s">
        <v>336</v>
      </c>
      <c r="X349" t="s">
        <v>353</v>
      </c>
      <c r="AK349" t="s">
        <v>355</v>
      </c>
    </row>
    <row r="350" spans="1:37">
      <c r="B350" t="s">
        <v>67</v>
      </c>
      <c r="C350" t="s">
        <v>89</v>
      </c>
      <c r="D350" t="s">
        <v>107</v>
      </c>
      <c r="AK350" t="s">
        <v>355</v>
      </c>
    </row>
    <row r="351" spans="1:37">
      <c r="B351" t="s">
        <v>68</v>
      </c>
      <c r="C351" t="s">
        <v>90</v>
      </c>
      <c r="D351" t="s">
        <v>108</v>
      </c>
      <c r="AK351" t="s">
        <v>355</v>
      </c>
    </row>
    <row r="352" spans="1:37">
      <c r="A352" t="s">
        <v>47</v>
      </c>
      <c r="B352" t="s">
        <v>69</v>
      </c>
      <c r="C352" t="s">
        <v>91</v>
      </c>
      <c r="D352" t="s">
        <v>109</v>
      </c>
      <c r="E352" t="s">
        <v>109</v>
      </c>
      <c r="F352" t="s">
        <v>109</v>
      </c>
      <c r="G352" t="s">
        <v>109</v>
      </c>
      <c r="H352" t="s">
        <v>109</v>
      </c>
      <c r="I352" t="s">
        <v>239</v>
      </c>
      <c r="AK352" t="s">
        <v>355</v>
      </c>
    </row>
    <row r="353" spans="1:37">
      <c r="B353" t="s">
        <v>70</v>
      </c>
      <c r="C353" t="s">
        <v>92</v>
      </c>
      <c r="D353" t="s">
        <v>110</v>
      </c>
      <c r="E353" t="s">
        <v>127</v>
      </c>
      <c r="F353" t="s">
        <v>161</v>
      </c>
      <c r="G353" t="s">
        <v>187</v>
      </c>
      <c r="H353" t="s">
        <v>218</v>
      </c>
      <c r="AK353" t="s">
        <v>355</v>
      </c>
    </row>
    <row r="354" spans="1:37">
      <c r="B354" t="s">
        <v>71</v>
      </c>
      <c r="C354" t="s">
        <v>93</v>
      </c>
      <c r="D354" t="s">
        <v>111</v>
      </c>
      <c r="E354" t="s">
        <v>128</v>
      </c>
      <c r="F354" t="s">
        <v>162</v>
      </c>
      <c r="G354" t="s">
        <v>188</v>
      </c>
      <c r="H354" t="s">
        <v>219</v>
      </c>
      <c r="I354" t="s">
        <v>240</v>
      </c>
      <c r="J354" t="s">
        <v>257</v>
      </c>
      <c r="K354" t="s">
        <v>269</v>
      </c>
      <c r="L354" t="s">
        <v>109</v>
      </c>
      <c r="M354" t="s">
        <v>109</v>
      </c>
      <c r="N354" t="s">
        <v>109</v>
      </c>
      <c r="O354" t="s">
        <v>109</v>
      </c>
      <c r="P354" t="s">
        <v>109</v>
      </c>
      <c r="Q354" t="s">
        <v>321</v>
      </c>
      <c r="AK354" t="s">
        <v>355</v>
      </c>
    </row>
    <row r="355" spans="1:37">
      <c r="A355" t="s">
        <v>48</v>
      </c>
      <c r="B355" t="s">
        <v>71</v>
      </c>
      <c r="C355" t="s">
        <v>93</v>
      </c>
      <c r="D355" t="s">
        <v>111</v>
      </c>
      <c r="E355" t="s">
        <v>128</v>
      </c>
      <c r="F355" t="s">
        <v>163</v>
      </c>
      <c r="G355" t="s">
        <v>189</v>
      </c>
      <c r="H355" t="s">
        <v>220</v>
      </c>
      <c r="I355" t="s">
        <v>241</v>
      </c>
      <c r="J355" t="s">
        <v>258</v>
      </c>
      <c r="K355" t="s">
        <v>270</v>
      </c>
      <c r="AK355" t="s">
        <v>355</v>
      </c>
    </row>
    <row r="356" spans="1:37">
      <c r="B356" t="s">
        <v>72</v>
      </c>
      <c r="C356" t="s">
        <v>72</v>
      </c>
      <c r="D356" t="s">
        <v>72</v>
      </c>
      <c r="E356" t="s">
        <v>129</v>
      </c>
      <c r="F356" t="s">
        <v>129</v>
      </c>
      <c r="G356" t="s">
        <v>191</v>
      </c>
      <c r="H356" t="s">
        <v>223</v>
      </c>
      <c r="I356" t="s">
        <v>192</v>
      </c>
      <c r="J356" t="s">
        <v>192</v>
      </c>
      <c r="K356" t="s">
        <v>272</v>
      </c>
      <c r="AK356" t="s">
        <v>355</v>
      </c>
    </row>
    <row r="357" spans="1:37">
      <c r="A357" t="s">
        <v>37</v>
      </c>
      <c r="B357" t="s">
        <v>49</v>
      </c>
      <c r="C357" t="s">
        <v>73</v>
      </c>
      <c r="D357" t="s">
        <v>94</v>
      </c>
      <c r="E357" t="s">
        <v>112</v>
      </c>
      <c r="F357" t="s">
        <v>146</v>
      </c>
      <c r="G357" t="s">
        <v>172</v>
      </c>
      <c r="H357" t="s">
        <v>207</v>
      </c>
      <c r="I357" t="s">
        <v>226</v>
      </c>
      <c r="J357" t="s">
        <v>246</v>
      </c>
      <c r="K357" t="s">
        <v>259</v>
      </c>
      <c r="AK357" t="s">
        <v>355</v>
      </c>
    </row>
    <row r="358" spans="1:37">
      <c r="A358" t="s">
        <v>38</v>
      </c>
      <c r="B358" t="s">
        <v>50</v>
      </c>
      <c r="C358" t="s">
        <v>74</v>
      </c>
      <c r="D358" t="s">
        <v>95</v>
      </c>
      <c r="E358" t="s">
        <v>113</v>
      </c>
      <c r="F358" t="s">
        <v>147</v>
      </c>
      <c r="G358" t="s">
        <v>173</v>
      </c>
      <c r="H358" t="s">
        <v>208</v>
      </c>
      <c r="I358" t="s">
        <v>227</v>
      </c>
      <c r="J358" t="s">
        <v>115</v>
      </c>
      <c r="K358" t="s">
        <v>260</v>
      </c>
      <c r="L358" t="s">
        <v>273</v>
      </c>
      <c r="M358" t="s">
        <v>282</v>
      </c>
      <c r="N358" t="s">
        <v>291</v>
      </c>
      <c r="AK358" t="s">
        <v>355</v>
      </c>
    </row>
    <row r="359" spans="1:37">
      <c r="B359" t="s">
        <v>51</v>
      </c>
      <c r="C359" t="s">
        <v>75</v>
      </c>
      <c r="D359" t="s">
        <v>52</v>
      </c>
      <c r="E359" t="s">
        <v>114</v>
      </c>
      <c r="F359" t="s">
        <v>148</v>
      </c>
      <c r="G359" t="s">
        <v>148</v>
      </c>
      <c r="H359" t="s">
        <v>209</v>
      </c>
      <c r="I359" t="s">
        <v>228</v>
      </c>
      <c r="J359" t="s">
        <v>247</v>
      </c>
      <c r="K359" t="s">
        <v>261</v>
      </c>
      <c r="L359" t="s">
        <v>274</v>
      </c>
      <c r="M359" t="s">
        <v>283</v>
      </c>
      <c r="N359" t="s">
        <v>292</v>
      </c>
      <c r="O359" t="s">
        <v>300</v>
      </c>
      <c r="AK359" t="s">
        <v>355</v>
      </c>
    </row>
    <row r="360" spans="1:37">
      <c r="B360" t="s">
        <v>52</v>
      </c>
      <c r="C360" t="s">
        <v>76</v>
      </c>
      <c r="D360" t="s">
        <v>96</v>
      </c>
      <c r="E360" t="s">
        <v>115</v>
      </c>
      <c r="F360" t="s">
        <v>149</v>
      </c>
      <c r="G360" t="s">
        <v>174</v>
      </c>
      <c r="H360" t="s">
        <v>96</v>
      </c>
      <c r="I360" t="s">
        <v>229</v>
      </c>
      <c r="J360" t="s">
        <v>248</v>
      </c>
      <c r="K360" t="s">
        <v>262</v>
      </c>
      <c r="L360" t="s">
        <v>52</v>
      </c>
      <c r="M360" t="s">
        <v>76</v>
      </c>
      <c r="N360" t="s">
        <v>293</v>
      </c>
      <c r="O360" t="s">
        <v>301</v>
      </c>
      <c r="P360" t="s">
        <v>309</v>
      </c>
      <c r="Q360" t="s">
        <v>315</v>
      </c>
      <c r="R360" t="s">
        <v>228</v>
      </c>
      <c r="S360" t="s">
        <v>328</v>
      </c>
      <c r="T360" t="s">
        <v>149</v>
      </c>
      <c r="U360" t="s">
        <v>337</v>
      </c>
      <c r="V360" t="s">
        <v>341</v>
      </c>
      <c r="W360" t="s">
        <v>345</v>
      </c>
      <c r="X360" t="s">
        <v>350</v>
      </c>
      <c r="AK360" t="s">
        <v>355</v>
      </c>
    </row>
    <row r="361" spans="1:37">
      <c r="B361" t="s">
        <v>53</v>
      </c>
      <c r="C361" t="s">
        <v>77</v>
      </c>
      <c r="D361" t="s">
        <v>97</v>
      </c>
      <c r="E361" t="s">
        <v>116</v>
      </c>
      <c r="F361" t="s">
        <v>150</v>
      </c>
      <c r="G361" t="s">
        <v>175</v>
      </c>
      <c r="H361" t="s">
        <v>210</v>
      </c>
      <c r="I361" t="s">
        <v>230</v>
      </c>
      <c r="J361" t="s">
        <v>249</v>
      </c>
      <c r="K361" t="s">
        <v>263</v>
      </c>
      <c r="L361" t="s">
        <v>275</v>
      </c>
      <c r="M361" t="s">
        <v>284</v>
      </c>
      <c r="N361" t="s">
        <v>294</v>
      </c>
      <c r="O361" t="s">
        <v>302</v>
      </c>
      <c r="P361" t="s">
        <v>310</v>
      </c>
      <c r="Q361" t="s">
        <v>316</v>
      </c>
      <c r="R361" t="s">
        <v>322</v>
      </c>
      <c r="S361" t="s">
        <v>329</v>
      </c>
      <c r="AK361" t="s">
        <v>355</v>
      </c>
    </row>
    <row r="362" spans="1:37">
      <c r="A362" t="s">
        <v>39</v>
      </c>
      <c r="B362" t="s">
        <v>54</v>
      </c>
      <c r="C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323</v>
      </c>
      <c r="S362" t="s">
        <v>330</v>
      </c>
      <c r="AK362" t="s">
        <v>355</v>
      </c>
    </row>
    <row r="363" spans="1:37">
      <c r="B363" t="s">
        <v>55</v>
      </c>
      <c r="C363" t="s">
        <v>78</v>
      </c>
      <c r="D363" t="s">
        <v>55</v>
      </c>
      <c r="E363" t="s">
        <v>78</v>
      </c>
      <c r="F363" t="s">
        <v>55</v>
      </c>
      <c r="G363" t="s">
        <v>78</v>
      </c>
      <c r="H363" t="s">
        <v>55</v>
      </c>
      <c r="I363" t="s">
        <v>78</v>
      </c>
      <c r="J363" t="s">
        <v>55</v>
      </c>
      <c r="K363" t="s">
        <v>78</v>
      </c>
      <c r="L363" t="s">
        <v>55</v>
      </c>
      <c r="M363" t="s">
        <v>78</v>
      </c>
      <c r="N363" t="s">
        <v>55</v>
      </c>
      <c r="O363" t="s">
        <v>78</v>
      </c>
      <c r="P363" t="s">
        <v>55</v>
      </c>
      <c r="Q363" t="s">
        <v>78</v>
      </c>
      <c r="R363" t="s">
        <v>55</v>
      </c>
      <c r="S363" t="s">
        <v>78</v>
      </c>
      <c r="T363" t="s">
        <v>55</v>
      </c>
      <c r="U363" t="s">
        <v>78</v>
      </c>
      <c r="V363" t="s">
        <v>55</v>
      </c>
      <c r="W363" t="s">
        <v>78</v>
      </c>
      <c r="X363" t="s">
        <v>55</v>
      </c>
      <c r="Y363" t="s">
        <v>78</v>
      </c>
      <c r="Z363" t="s">
        <v>55</v>
      </c>
      <c r="AA363" t="s">
        <v>78</v>
      </c>
      <c r="AB363" t="s">
        <v>55</v>
      </c>
      <c r="AC363" t="s">
        <v>78</v>
      </c>
      <c r="AD363" t="s">
        <v>55</v>
      </c>
      <c r="AE363" t="s">
        <v>78</v>
      </c>
      <c r="AF363" t="s">
        <v>55</v>
      </c>
      <c r="AG363" t="s">
        <v>78</v>
      </c>
      <c r="AH363" t="s">
        <v>55</v>
      </c>
      <c r="AI363" t="s">
        <v>78</v>
      </c>
      <c r="AK363" t="s">
        <v>355</v>
      </c>
    </row>
    <row r="364" spans="1:37">
      <c r="B364" t="s">
        <v>56</v>
      </c>
      <c r="C364" t="s">
        <v>56</v>
      </c>
      <c r="D364" t="s">
        <v>56</v>
      </c>
      <c r="E364" t="s">
        <v>56</v>
      </c>
      <c r="F364" t="s">
        <v>56</v>
      </c>
      <c r="G364" t="s">
        <v>176</v>
      </c>
      <c r="H364" t="s">
        <v>211</v>
      </c>
      <c r="I364" t="s">
        <v>231</v>
      </c>
      <c r="J364" t="s">
        <v>250</v>
      </c>
      <c r="K364" t="s">
        <v>264</v>
      </c>
      <c r="L364" t="s">
        <v>276</v>
      </c>
      <c r="M364" t="s">
        <v>285</v>
      </c>
      <c r="N364" t="s">
        <v>295</v>
      </c>
      <c r="O364" t="s">
        <v>303</v>
      </c>
      <c r="P364" t="s">
        <v>56</v>
      </c>
      <c r="Q364" t="s">
        <v>317</v>
      </c>
      <c r="R364" t="s">
        <v>324</v>
      </c>
      <c r="S364" t="s">
        <v>331</v>
      </c>
      <c r="T364" t="s">
        <v>334</v>
      </c>
      <c r="U364" t="s">
        <v>338</v>
      </c>
      <c r="V364" t="s">
        <v>342</v>
      </c>
      <c r="W364" t="s">
        <v>346</v>
      </c>
      <c r="X364" t="s">
        <v>351</v>
      </c>
      <c r="AK364" t="s">
        <v>355</v>
      </c>
    </row>
    <row r="365" spans="1:37">
      <c r="B365" t="s">
        <v>57</v>
      </c>
      <c r="C365" t="s">
        <v>79</v>
      </c>
      <c r="D365" t="s">
        <v>98</v>
      </c>
      <c r="E365" t="s">
        <v>117</v>
      </c>
      <c r="F365" t="s">
        <v>151</v>
      </c>
      <c r="G365" t="s">
        <v>177</v>
      </c>
      <c r="H365" t="s">
        <v>212</v>
      </c>
      <c r="I365" t="s">
        <v>232</v>
      </c>
      <c r="J365" t="s">
        <v>251</v>
      </c>
      <c r="K365" t="s">
        <v>265</v>
      </c>
      <c r="L365" t="s">
        <v>277</v>
      </c>
      <c r="M365" t="s">
        <v>286</v>
      </c>
      <c r="N365" t="s">
        <v>296</v>
      </c>
      <c r="O365" t="s">
        <v>304</v>
      </c>
      <c r="P365" t="s">
        <v>311</v>
      </c>
      <c r="Q365" t="s">
        <v>318</v>
      </c>
      <c r="R365" t="s">
        <v>185</v>
      </c>
      <c r="S365" t="s">
        <v>159</v>
      </c>
      <c r="T365" t="s">
        <v>185</v>
      </c>
      <c r="U365" t="s">
        <v>339</v>
      </c>
      <c r="V365" t="s">
        <v>72</v>
      </c>
      <c r="W365" t="s">
        <v>347</v>
      </c>
      <c r="X365" t="s">
        <v>72</v>
      </c>
      <c r="Y365" t="s">
        <v>96</v>
      </c>
      <c r="AK365" t="s">
        <v>355</v>
      </c>
    </row>
    <row r="366" spans="1:37">
      <c r="B366" t="s">
        <v>58</v>
      </c>
      <c r="C366" t="s">
        <v>80</v>
      </c>
      <c r="D366" t="s">
        <v>99</v>
      </c>
      <c r="E366" t="s">
        <v>118</v>
      </c>
      <c r="F366" t="s">
        <v>152</v>
      </c>
      <c r="G366" t="s">
        <v>178</v>
      </c>
      <c r="H366" t="s">
        <v>213</v>
      </c>
      <c r="I366" t="s">
        <v>233</v>
      </c>
      <c r="J366" t="s">
        <v>252</v>
      </c>
      <c r="K366" t="s">
        <v>266</v>
      </c>
      <c r="L366" t="s">
        <v>278</v>
      </c>
      <c r="M366" t="s">
        <v>287</v>
      </c>
      <c r="N366" t="s">
        <v>297</v>
      </c>
      <c r="O366" t="s">
        <v>305</v>
      </c>
      <c r="P366" t="s">
        <v>312</v>
      </c>
      <c r="Q366" t="s">
        <v>319</v>
      </c>
      <c r="R366">
        <f>&gt;10       ветра      2.2     11   2</f>
        <v>0</v>
      </c>
      <c r="AK366" t="s">
        <v>355</v>
      </c>
    </row>
    <row r="367" spans="1:37">
      <c r="A367" t="s">
        <v>40</v>
      </c>
      <c r="B367" t="s">
        <v>59</v>
      </c>
      <c r="C367" t="s">
        <v>81</v>
      </c>
      <c r="D367" t="s">
        <v>100</v>
      </c>
      <c r="E367" t="s">
        <v>119</v>
      </c>
      <c r="F367" t="s">
        <v>153</v>
      </c>
      <c r="G367" t="s">
        <v>179</v>
      </c>
      <c r="H367" t="s">
        <v>214</v>
      </c>
      <c r="I367" t="s">
        <v>234</v>
      </c>
      <c r="AK367" t="s">
        <v>355</v>
      </c>
    </row>
    <row r="368" spans="1:37">
      <c r="A368" t="s">
        <v>40</v>
      </c>
      <c r="B368" t="s">
        <v>60</v>
      </c>
      <c r="C368" t="s">
        <v>82</v>
      </c>
      <c r="D368" t="s">
        <v>101</v>
      </c>
      <c r="E368" t="s">
        <v>120</v>
      </c>
      <c r="F368" t="s">
        <v>154</v>
      </c>
      <c r="G368" t="s">
        <v>180</v>
      </c>
      <c r="H368" t="s">
        <v>215</v>
      </c>
      <c r="I368" t="s">
        <v>235</v>
      </c>
      <c r="J368" t="s">
        <v>253</v>
      </c>
      <c r="K368" t="s">
        <v>267</v>
      </c>
      <c r="L368" t="s">
        <v>279</v>
      </c>
      <c r="M368" t="s">
        <v>288</v>
      </c>
      <c r="N368" t="s">
        <v>100</v>
      </c>
      <c r="O368" t="s">
        <v>306</v>
      </c>
      <c r="P368" t="s">
        <v>313</v>
      </c>
      <c r="Q368" t="s">
        <v>320</v>
      </c>
      <c r="R368" t="s">
        <v>325</v>
      </c>
      <c r="S368" t="s">
        <v>332</v>
      </c>
      <c r="T368" t="s">
        <v>119</v>
      </c>
      <c r="U368" t="s">
        <v>234</v>
      </c>
      <c r="V368" t="s">
        <v>343</v>
      </c>
      <c r="W368" t="s">
        <v>348</v>
      </c>
      <c r="X368" t="s">
        <v>352</v>
      </c>
      <c r="Y368" t="s">
        <v>354</v>
      </c>
      <c r="AK368" t="s">
        <v>355</v>
      </c>
    </row>
    <row r="369" spans="1:37">
      <c r="A369" t="s">
        <v>41</v>
      </c>
      <c r="B369" t="s">
        <v>61</v>
      </c>
      <c r="C369" t="s">
        <v>83</v>
      </c>
      <c r="D369" t="s">
        <v>102</v>
      </c>
      <c r="E369" t="s">
        <v>121</v>
      </c>
      <c r="F369" t="s">
        <v>155</v>
      </c>
      <c r="G369" t="s">
        <v>181</v>
      </c>
      <c r="H369" t="s">
        <v>216</v>
      </c>
      <c r="I369" t="s">
        <v>236</v>
      </c>
      <c r="AK369" t="s">
        <v>355</v>
      </c>
    </row>
    <row r="370" spans="1:37">
      <c r="A370" t="s">
        <v>42</v>
      </c>
      <c r="B370" t="s">
        <v>62</v>
      </c>
      <c r="C370" t="s">
        <v>84</v>
      </c>
      <c r="D370" t="s">
        <v>103</v>
      </c>
      <c r="E370" t="s">
        <v>122</v>
      </c>
      <c r="F370" t="s">
        <v>156</v>
      </c>
      <c r="G370" t="s">
        <v>182</v>
      </c>
      <c r="H370" t="s">
        <v>83</v>
      </c>
      <c r="I370" t="s">
        <v>237</v>
      </c>
      <c r="J370" t="s">
        <v>254</v>
      </c>
      <c r="K370" t="s">
        <v>268</v>
      </c>
      <c r="L370" t="s">
        <v>280</v>
      </c>
      <c r="M370" t="s">
        <v>289</v>
      </c>
      <c r="N370" t="s">
        <v>298</v>
      </c>
      <c r="O370" t="s">
        <v>307</v>
      </c>
      <c r="P370" t="s">
        <v>314</v>
      </c>
      <c r="Q370" t="s">
        <v>216</v>
      </c>
      <c r="R370" t="s">
        <v>326</v>
      </c>
      <c r="S370" t="s">
        <v>333</v>
      </c>
      <c r="T370" t="s">
        <v>335</v>
      </c>
      <c r="U370" t="s">
        <v>340</v>
      </c>
      <c r="V370" t="s">
        <v>344</v>
      </c>
      <c r="W370" t="s">
        <v>349</v>
      </c>
      <c r="AK370" t="s">
        <v>355</v>
      </c>
    </row>
    <row r="371" spans="1:37">
      <c r="A371" t="s">
        <v>43</v>
      </c>
      <c r="B371" t="s">
        <v>63</v>
      </c>
      <c r="C371" t="s">
        <v>85</v>
      </c>
      <c r="D371" t="s">
        <v>104</v>
      </c>
      <c r="E371" t="s">
        <v>123</v>
      </c>
      <c r="F371" t="s">
        <v>157</v>
      </c>
      <c r="G371" t="s">
        <v>183</v>
      </c>
      <c r="AK371" t="s">
        <v>355</v>
      </c>
    </row>
    <row r="372" spans="1:37">
      <c r="A372" t="s">
        <v>44</v>
      </c>
      <c r="B372" t="s">
        <v>64</v>
      </c>
      <c r="C372" t="s">
        <v>86</v>
      </c>
      <c r="D372" t="s">
        <v>105</v>
      </c>
      <c r="E372" t="s">
        <v>124</v>
      </c>
      <c r="F372" t="s">
        <v>158</v>
      </c>
      <c r="G372" t="s">
        <v>184</v>
      </c>
      <c r="AK372" t="s">
        <v>355</v>
      </c>
    </row>
    <row r="373" spans="1:37">
      <c r="A373" t="s">
        <v>45</v>
      </c>
      <c r="B373" t="s">
        <v>65</v>
      </c>
      <c r="C373" t="s">
        <v>87</v>
      </c>
      <c r="D373" t="s">
        <v>106</v>
      </c>
      <c r="E373" t="s">
        <v>125</v>
      </c>
      <c r="F373" t="s">
        <v>159</v>
      </c>
      <c r="G373" t="s">
        <v>185</v>
      </c>
      <c r="H373" t="s">
        <v>159</v>
      </c>
      <c r="I373" t="s">
        <v>185</v>
      </c>
      <c r="J373" t="s">
        <v>255</v>
      </c>
      <c r="AK373" t="s">
        <v>355</v>
      </c>
    </row>
    <row r="374" spans="1:37">
      <c r="A374" t="s">
        <v>46</v>
      </c>
      <c r="B374" t="s">
        <v>66</v>
      </c>
      <c r="C374" t="s">
        <v>88</v>
      </c>
      <c r="D374" t="s">
        <v>76</v>
      </c>
      <c r="E374" t="s">
        <v>126</v>
      </c>
      <c r="F374" t="s">
        <v>160</v>
      </c>
      <c r="G374" t="s">
        <v>186</v>
      </c>
      <c r="H374" t="s">
        <v>217</v>
      </c>
      <c r="I374" t="s">
        <v>238</v>
      </c>
      <c r="J374" t="s">
        <v>256</v>
      </c>
      <c r="K374" t="s">
        <v>265</v>
      </c>
      <c r="L374" t="s">
        <v>281</v>
      </c>
      <c r="M374" t="s">
        <v>290</v>
      </c>
      <c r="N374" t="s">
        <v>299</v>
      </c>
      <c r="O374" t="s">
        <v>308</v>
      </c>
      <c r="P374" t="s">
        <v>228</v>
      </c>
      <c r="Q374" t="s">
        <v>72</v>
      </c>
      <c r="R374" t="s">
        <v>327</v>
      </c>
      <c r="S374" t="s">
        <v>327</v>
      </c>
      <c r="T374" t="s">
        <v>336</v>
      </c>
      <c r="U374" t="s">
        <v>336</v>
      </c>
      <c r="V374" t="s">
        <v>336</v>
      </c>
      <c r="W374" t="s">
        <v>336</v>
      </c>
      <c r="X374" t="s">
        <v>353</v>
      </c>
      <c r="AK374" t="s">
        <v>355</v>
      </c>
    </row>
    <row r="375" spans="1:37">
      <c r="B375" t="s">
        <v>67</v>
      </c>
      <c r="C375" t="s">
        <v>89</v>
      </c>
      <c r="D375" t="s">
        <v>107</v>
      </c>
      <c r="AK375" t="s">
        <v>355</v>
      </c>
    </row>
    <row r="376" spans="1:37">
      <c r="B376" t="s">
        <v>68</v>
      </c>
      <c r="C376" t="s">
        <v>90</v>
      </c>
      <c r="D376" t="s">
        <v>108</v>
      </c>
      <c r="AK376" t="s">
        <v>355</v>
      </c>
    </row>
    <row r="377" spans="1:37">
      <c r="A377" t="s">
        <v>47</v>
      </c>
      <c r="B377" t="s">
        <v>69</v>
      </c>
      <c r="C377" t="s">
        <v>91</v>
      </c>
      <c r="D377" t="s">
        <v>109</v>
      </c>
      <c r="E377" t="s">
        <v>109</v>
      </c>
      <c r="F377" t="s">
        <v>109</v>
      </c>
      <c r="G377" t="s">
        <v>109</v>
      </c>
      <c r="H377" t="s">
        <v>109</v>
      </c>
      <c r="I377" t="s">
        <v>239</v>
      </c>
      <c r="AK377" t="s">
        <v>355</v>
      </c>
    </row>
    <row r="378" spans="1:37">
      <c r="B378" t="s">
        <v>70</v>
      </c>
      <c r="C378" t="s">
        <v>92</v>
      </c>
      <c r="D378" t="s">
        <v>110</v>
      </c>
      <c r="E378" t="s">
        <v>127</v>
      </c>
      <c r="F378" t="s">
        <v>161</v>
      </c>
      <c r="G378" t="s">
        <v>187</v>
      </c>
      <c r="H378" t="s">
        <v>218</v>
      </c>
      <c r="AK378" t="s">
        <v>355</v>
      </c>
    </row>
    <row r="379" spans="1:37">
      <c r="B379" t="s">
        <v>71</v>
      </c>
      <c r="C379" t="s">
        <v>93</v>
      </c>
      <c r="D379" t="s">
        <v>111</v>
      </c>
      <c r="E379" t="s">
        <v>128</v>
      </c>
      <c r="F379" t="s">
        <v>162</v>
      </c>
      <c r="G379" t="s">
        <v>188</v>
      </c>
      <c r="H379" t="s">
        <v>219</v>
      </c>
      <c r="I379" t="s">
        <v>240</v>
      </c>
      <c r="J379" t="s">
        <v>257</v>
      </c>
      <c r="K379" t="s">
        <v>269</v>
      </c>
      <c r="L379" t="s">
        <v>109</v>
      </c>
      <c r="M379" t="s">
        <v>109</v>
      </c>
      <c r="N379" t="s">
        <v>109</v>
      </c>
      <c r="O379" t="s">
        <v>109</v>
      </c>
      <c r="P379" t="s">
        <v>109</v>
      </c>
      <c r="Q379" t="s">
        <v>321</v>
      </c>
      <c r="AK379" t="s">
        <v>355</v>
      </c>
    </row>
    <row r="380" spans="1:37">
      <c r="A380" t="s">
        <v>48</v>
      </c>
      <c r="B380" t="s">
        <v>71</v>
      </c>
      <c r="C380" t="s">
        <v>93</v>
      </c>
      <c r="D380" t="s">
        <v>111</v>
      </c>
      <c r="E380" t="s">
        <v>128</v>
      </c>
      <c r="F380" t="s">
        <v>163</v>
      </c>
      <c r="G380" t="s">
        <v>189</v>
      </c>
      <c r="H380" t="s">
        <v>220</v>
      </c>
      <c r="I380" t="s">
        <v>241</v>
      </c>
      <c r="J380" t="s">
        <v>258</v>
      </c>
      <c r="K380" t="s">
        <v>270</v>
      </c>
      <c r="AK380" t="s">
        <v>355</v>
      </c>
    </row>
    <row r="381" spans="1:37">
      <c r="B381" t="s">
        <v>72</v>
      </c>
      <c r="C381" t="s">
        <v>72</v>
      </c>
      <c r="D381" t="s">
        <v>72</v>
      </c>
      <c r="E381" t="s">
        <v>129</v>
      </c>
      <c r="F381" t="s">
        <v>129</v>
      </c>
      <c r="G381" t="s">
        <v>194</v>
      </c>
      <c r="H381" t="s">
        <v>192</v>
      </c>
      <c r="I381" t="s">
        <v>192</v>
      </c>
      <c r="J381" t="s">
        <v>192</v>
      </c>
      <c r="K381" t="s">
        <v>271</v>
      </c>
      <c r="AK381" t="s">
        <v>355</v>
      </c>
    </row>
    <row r="382" spans="1:37">
      <c r="A382" t="s">
        <v>37</v>
      </c>
      <c r="B382" t="s">
        <v>49</v>
      </c>
      <c r="C382" t="s">
        <v>73</v>
      </c>
      <c r="D382" t="s">
        <v>94</v>
      </c>
      <c r="E382" t="s">
        <v>112</v>
      </c>
      <c r="F382" t="s">
        <v>146</v>
      </c>
      <c r="G382" t="s">
        <v>172</v>
      </c>
      <c r="H382" t="s">
        <v>207</v>
      </c>
      <c r="I382" t="s">
        <v>226</v>
      </c>
      <c r="J382" t="s">
        <v>246</v>
      </c>
      <c r="K382" t="s">
        <v>259</v>
      </c>
      <c r="AK382" t="s">
        <v>355</v>
      </c>
    </row>
    <row r="383" spans="1:37">
      <c r="A383" t="s">
        <v>38</v>
      </c>
      <c r="B383" t="s">
        <v>50</v>
      </c>
      <c r="C383" t="s">
        <v>74</v>
      </c>
      <c r="D383" t="s">
        <v>95</v>
      </c>
      <c r="E383" t="s">
        <v>113</v>
      </c>
      <c r="F383" t="s">
        <v>147</v>
      </c>
      <c r="G383" t="s">
        <v>173</v>
      </c>
      <c r="H383" t="s">
        <v>208</v>
      </c>
      <c r="I383" t="s">
        <v>227</v>
      </c>
      <c r="J383" t="s">
        <v>115</v>
      </c>
      <c r="K383" t="s">
        <v>260</v>
      </c>
      <c r="L383" t="s">
        <v>273</v>
      </c>
      <c r="M383" t="s">
        <v>282</v>
      </c>
      <c r="N383" t="s">
        <v>291</v>
      </c>
      <c r="AK383" t="s">
        <v>355</v>
      </c>
    </row>
    <row r="384" spans="1:37">
      <c r="B384" t="s">
        <v>51</v>
      </c>
      <c r="C384" t="s">
        <v>75</v>
      </c>
      <c r="D384" t="s">
        <v>52</v>
      </c>
      <c r="E384" t="s">
        <v>114</v>
      </c>
      <c r="F384" t="s">
        <v>148</v>
      </c>
      <c r="G384" t="s">
        <v>148</v>
      </c>
      <c r="H384" t="s">
        <v>209</v>
      </c>
      <c r="I384" t="s">
        <v>228</v>
      </c>
      <c r="J384" t="s">
        <v>247</v>
      </c>
      <c r="K384" t="s">
        <v>261</v>
      </c>
      <c r="L384" t="s">
        <v>274</v>
      </c>
      <c r="M384" t="s">
        <v>283</v>
      </c>
      <c r="N384" t="s">
        <v>292</v>
      </c>
      <c r="O384" t="s">
        <v>300</v>
      </c>
      <c r="AK384" t="s">
        <v>355</v>
      </c>
    </row>
    <row r="385" spans="1:37">
      <c r="B385" t="s">
        <v>52</v>
      </c>
      <c r="C385" t="s">
        <v>76</v>
      </c>
      <c r="D385" t="s">
        <v>96</v>
      </c>
      <c r="E385" t="s">
        <v>115</v>
      </c>
      <c r="F385" t="s">
        <v>149</v>
      </c>
      <c r="G385" t="s">
        <v>174</v>
      </c>
      <c r="H385" t="s">
        <v>96</v>
      </c>
      <c r="I385" t="s">
        <v>229</v>
      </c>
      <c r="J385" t="s">
        <v>248</v>
      </c>
      <c r="K385" t="s">
        <v>262</v>
      </c>
      <c r="L385" t="s">
        <v>52</v>
      </c>
      <c r="M385" t="s">
        <v>76</v>
      </c>
      <c r="N385" t="s">
        <v>293</v>
      </c>
      <c r="O385" t="s">
        <v>301</v>
      </c>
      <c r="P385" t="s">
        <v>309</v>
      </c>
      <c r="Q385" t="s">
        <v>315</v>
      </c>
      <c r="R385" t="s">
        <v>228</v>
      </c>
      <c r="S385" t="s">
        <v>328</v>
      </c>
      <c r="T385" t="s">
        <v>149</v>
      </c>
      <c r="U385" t="s">
        <v>337</v>
      </c>
      <c r="V385" t="s">
        <v>341</v>
      </c>
      <c r="W385" t="s">
        <v>345</v>
      </c>
      <c r="X385" t="s">
        <v>350</v>
      </c>
      <c r="AK385" t="s">
        <v>355</v>
      </c>
    </row>
    <row r="386" spans="1:37">
      <c r="B386" t="s">
        <v>53</v>
      </c>
      <c r="C386" t="s">
        <v>77</v>
      </c>
      <c r="D386" t="s">
        <v>97</v>
      </c>
      <c r="E386" t="s">
        <v>116</v>
      </c>
      <c r="F386" t="s">
        <v>150</v>
      </c>
      <c r="G386" t="s">
        <v>175</v>
      </c>
      <c r="H386" t="s">
        <v>210</v>
      </c>
      <c r="I386" t="s">
        <v>230</v>
      </c>
      <c r="J386" t="s">
        <v>249</v>
      </c>
      <c r="K386" t="s">
        <v>263</v>
      </c>
      <c r="L386" t="s">
        <v>275</v>
      </c>
      <c r="M386" t="s">
        <v>284</v>
      </c>
      <c r="N386" t="s">
        <v>294</v>
      </c>
      <c r="O386" t="s">
        <v>302</v>
      </c>
      <c r="P386" t="s">
        <v>310</v>
      </c>
      <c r="Q386" t="s">
        <v>316</v>
      </c>
      <c r="R386" t="s">
        <v>322</v>
      </c>
      <c r="S386" t="s">
        <v>329</v>
      </c>
      <c r="AK386" t="s">
        <v>355</v>
      </c>
    </row>
    <row r="387" spans="1:37">
      <c r="A387" t="s">
        <v>39</v>
      </c>
      <c r="B387" t="s">
        <v>54</v>
      </c>
      <c r="C387" t="s">
        <v>54</v>
      </c>
      <c r="D387" t="s">
        <v>54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323</v>
      </c>
      <c r="S387" t="s">
        <v>330</v>
      </c>
      <c r="AK387" t="s">
        <v>355</v>
      </c>
    </row>
    <row r="388" spans="1:37">
      <c r="B388" t="s">
        <v>55</v>
      </c>
      <c r="C388" t="s">
        <v>78</v>
      </c>
      <c r="D388" t="s">
        <v>55</v>
      </c>
      <c r="E388" t="s">
        <v>78</v>
      </c>
      <c r="F388" t="s">
        <v>55</v>
      </c>
      <c r="G388" t="s">
        <v>78</v>
      </c>
      <c r="H388" t="s">
        <v>55</v>
      </c>
      <c r="I388" t="s">
        <v>78</v>
      </c>
      <c r="J388" t="s">
        <v>55</v>
      </c>
      <c r="K388" t="s">
        <v>78</v>
      </c>
      <c r="L388" t="s">
        <v>55</v>
      </c>
      <c r="M388" t="s">
        <v>78</v>
      </c>
      <c r="N388" t="s">
        <v>55</v>
      </c>
      <c r="O388" t="s">
        <v>78</v>
      </c>
      <c r="P388" t="s">
        <v>55</v>
      </c>
      <c r="Q388" t="s">
        <v>78</v>
      </c>
      <c r="R388" t="s">
        <v>55</v>
      </c>
      <c r="S388" t="s">
        <v>78</v>
      </c>
      <c r="T388" t="s">
        <v>55</v>
      </c>
      <c r="U388" t="s">
        <v>78</v>
      </c>
      <c r="V388" t="s">
        <v>55</v>
      </c>
      <c r="W388" t="s">
        <v>78</v>
      </c>
      <c r="X388" t="s">
        <v>55</v>
      </c>
      <c r="Y388" t="s">
        <v>78</v>
      </c>
      <c r="Z388" t="s">
        <v>55</v>
      </c>
      <c r="AA388" t="s">
        <v>78</v>
      </c>
      <c r="AB388" t="s">
        <v>55</v>
      </c>
      <c r="AC388" t="s">
        <v>78</v>
      </c>
      <c r="AD388" t="s">
        <v>55</v>
      </c>
      <c r="AE388" t="s">
        <v>78</v>
      </c>
      <c r="AF388" t="s">
        <v>55</v>
      </c>
      <c r="AG388" t="s">
        <v>78</v>
      </c>
      <c r="AH388" t="s">
        <v>55</v>
      </c>
      <c r="AI388" t="s">
        <v>78</v>
      </c>
      <c r="AK388" t="s">
        <v>355</v>
      </c>
    </row>
    <row r="389" spans="1:37">
      <c r="B389" t="s">
        <v>56</v>
      </c>
      <c r="C389" t="s">
        <v>56</v>
      </c>
      <c r="D389" t="s">
        <v>56</v>
      </c>
      <c r="E389" t="s">
        <v>56</v>
      </c>
      <c r="F389" t="s">
        <v>56</v>
      </c>
      <c r="G389" t="s">
        <v>176</v>
      </c>
      <c r="H389" t="s">
        <v>211</v>
      </c>
      <c r="I389" t="s">
        <v>231</v>
      </c>
      <c r="J389" t="s">
        <v>250</v>
      </c>
      <c r="K389" t="s">
        <v>264</v>
      </c>
      <c r="L389" t="s">
        <v>276</v>
      </c>
      <c r="M389" t="s">
        <v>285</v>
      </c>
      <c r="N389" t="s">
        <v>295</v>
      </c>
      <c r="O389" t="s">
        <v>303</v>
      </c>
      <c r="P389" t="s">
        <v>56</v>
      </c>
      <c r="Q389" t="s">
        <v>317</v>
      </c>
      <c r="R389" t="s">
        <v>324</v>
      </c>
      <c r="S389" t="s">
        <v>331</v>
      </c>
      <c r="T389" t="s">
        <v>334</v>
      </c>
      <c r="U389" t="s">
        <v>338</v>
      </c>
      <c r="V389" t="s">
        <v>342</v>
      </c>
      <c r="W389" t="s">
        <v>346</v>
      </c>
      <c r="X389" t="s">
        <v>351</v>
      </c>
      <c r="AK389" t="s">
        <v>355</v>
      </c>
    </row>
    <row r="390" spans="1:37">
      <c r="B390" t="s">
        <v>57</v>
      </c>
      <c r="C390" t="s">
        <v>79</v>
      </c>
      <c r="D390" t="s">
        <v>98</v>
      </c>
      <c r="E390" t="s">
        <v>117</v>
      </c>
      <c r="F390" t="s">
        <v>151</v>
      </c>
      <c r="G390" t="s">
        <v>177</v>
      </c>
      <c r="H390" t="s">
        <v>212</v>
      </c>
      <c r="I390" t="s">
        <v>232</v>
      </c>
      <c r="J390" t="s">
        <v>251</v>
      </c>
      <c r="K390" t="s">
        <v>265</v>
      </c>
      <c r="L390" t="s">
        <v>277</v>
      </c>
      <c r="M390" t="s">
        <v>286</v>
      </c>
      <c r="N390" t="s">
        <v>296</v>
      </c>
      <c r="O390" t="s">
        <v>304</v>
      </c>
      <c r="P390" t="s">
        <v>311</v>
      </c>
      <c r="Q390" t="s">
        <v>318</v>
      </c>
      <c r="R390" t="s">
        <v>185</v>
      </c>
      <c r="S390" t="s">
        <v>159</v>
      </c>
      <c r="T390" t="s">
        <v>185</v>
      </c>
      <c r="U390" t="s">
        <v>339</v>
      </c>
      <c r="V390" t="s">
        <v>72</v>
      </c>
      <c r="W390" t="s">
        <v>347</v>
      </c>
      <c r="X390" t="s">
        <v>72</v>
      </c>
      <c r="Y390" t="s">
        <v>96</v>
      </c>
      <c r="AK390" t="s">
        <v>355</v>
      </c>
    </row>
    <row r="391" spans="1:37">
      <c r="B391" t="s">
        <v>58</v>
      </c>
      <c r="C391" t="s">
        <v>80</v>
      </c>
      <c r="D391" t="s">
        <v>99</v>
      </c>
      <c r="E391" t="s">
        <v>118</v>
      </c>
      <c r="F391" t="s">
        <v>152</v>
      </c>
      <c r="G391" t="s">
        <v>178</v>
      </c>
      <c r="H391" t="s">
        <v>213</v>
      </c>
      <c r="I391" t="s">
        <v>233</v>
      </c>
      <c r="J391" t="s">
        <v>252</v>
      </c>
      <c r="K391" t="s">
        <v>266</v>
      </c>
      <c r="L391" t="s">
        <v>278</v>
      </c>
      <c r="M391" t="s">
        <v>287</v>
      </c>
      <c r="N391" t="s">
        <v>297</v>
      </c>
      <c r="O391" t="s">
        <v>305</v>
      </c>
      <c r="P391" t="s">
        <v>312</v>
      </c>
      <c r="Q391" t="s">
        <v>319</v>
      </c>
      <c r="R391">
        <f>&gt;10       ветра      1.1     18   1</f>
        <v>0</v>
      </c>
      <c r="AK391" t="s">
        <v>355</v>
      </c>
    </row>
    <row r="392" spans="1:37">
      <c r="A392" t="s">
        <v>40</v>
      </c>
      <c r="B392" t="s">
        <v>59</v>
      </c>
      <c r="C392" t="s">
        <v>81</v>
      </c>
      <c r="D392" t="s">
        <v>100</v>
      </c>
      <c r="E392" t="s">
        <v>119</v>
      </c>
      <c r="F392" t="s">
        <v>153</v>
      </c>
      <c r="G392" t="s">
        <v>179</v>
      </c>
      <c r="H392" t="s">
        <v>214</v>
      </c>
      <c r="I392" t="s">
        <v>234</v>
      </c>
      <c r="AK392" t="s">
        <v>355</v>
      </c>
    </row>
    <row r="393" spans="1:37">
      <c r="A393" t="s">
        <v>40</v>
      </c>
      <c r="B393" t="s">
        <v>60</v>
      </c>
      <c r="C393" t="s">
        <v>82</v>
      </c>
      <c r="D393" t="s">
        <v>101</v>
      </c>
      <c r="E393" t="s">
        <v>120</v>
      </c>
      <c r="F393" t="s">
        <v>154</v>
      </c>
      <c r="G393" t="s">
        <v>180</v>
      </c>
      <c r="H393" t="s">
        <v>215</v>
      </c>
      <c r="I393" t="s">
        <v>235</v>
      </c>
      <c r="J393" t="s">
        <v>253</v>
      </c>
      <c r="K393" t="s">
        <v>267</v>
      </c>
      <c r="L393" t="s">
        <v>279</v>
      </c>
      <c r="M393" t="s">
        <v>288</v>
      </c>
      <c r="N393" t="s">
        <v>100</v>
      </c>
      <c r="O393" t="s">
        <v>306</v>
      </c>
      <c r="P393" t="s">
        <v>313</v>
      </c>
      <c r="Q393" t="s">
        <v>320</v>
      </c>
      <c r="R393" t="s">
        <v>325</v>
      </c>
      <c r="S393" t="s">
        <v>332</v>
      </c>
      <c r="T393" t="s">
        <v>119</v>
      </c>
      <c r="U393" t="s">
        <v>234</v>
      </c>
      <c r="V393" t="s">
        <v>343</v>
      </c>
      <c r="W393" t="s">
        <v>348</v>
      </c>
      <c r="X393" t="s">
        <v>352</v>
      </c>
      <c r="Y393" t="s">
        <v>354</v>
      </c>
      <c r="AK393" t="s">
        <v>355</v>
      </c>
    </row>
    <row r="394" spans="1:37">
      <c r="A394" t="s">
        <v>41</v>
      </c>
      <c r="B394" t="s">
        <v>61</v>
      </c>
      <c r="C394" t="s">
        <v>83</v>
      </c>
      <c r="D394" t="s">
        <v>102</v>
      </c>
      <c r="E394" t="s">
        <v>121</v>
      </c>
      <c r="F394" t="s">
        <v>155</v>
      </c>
      <c r="G394" t="s">
        <v>181</v>
      </c>
      <c r="H394" t="s">
        <v>216</v>
      </c>
      <c r="I394" t="s">
        <v>236</v>
      </c>
      <c r="AK394" t="s">
        <v>355</v>
      </c>
    </row>
    <row r="395" spans="1:37">
      <c r="A395" t="s">
        <v>42</v>
      </c>
      <c r="B395" t="s">
        <v>62</v>
      </c>
      <c r="C395" t="s">
        <v>84</v>
      </c>
      <c r="D395" t="s">
        <v>103</v>
      </c>
      <c r="E395" t="s">
        <v>122</v>
      </c>
      <c r="F395" t="s">
        <v>156</v>
      </c>
      <c r="G395" t="s">
        <v>182</v>
      </c>
      <c r="H395" t="s">
        <v>83</v>
      </c>
      <c r="I395" t="s">
        <v>237</v>
      </c>
      <c r="J395" t="s">
        <v>254</v>
      </c>
      <c r="K395" t="s">
        <v>268</v>
      </c>
      <c r="L395" t="s">
        <v>280</v>
      </c>
      <c r="M395" t="s">
        <v>289</v>
      </c>
      <c r="N395" t="s">
        <v>298</v>
      </c>
      <c r="O395" t="s">
        <v>307</v>
      </c>
      <c r="P395" t="s">
        <v>314</v>
      </c>
      <c r="Q395" t="s">
        <v>216</v>
      </c>
      <c r="R395" t="s">
        <v>326</v>
      </c>
      <c r="S395" t="s">
        <v>333</v>
      </c>
      <c r="T395" t="s">
        <v>335</v>
      </c>
      <c r="U395" t="s">
        <v>340</v>
      </c>
      <c r="V395" t="s">
        <v>344</v>
      </c>
      <c r="W395" t="s">
        <v>349</v>
      </c>
      <c r="AK395" t="s">
        <v>355</v>
      </c>
    </row>
    <row r="396" spans="1:37">
      <c r="A396" t="s">
        <v>43</v>
      </c>
      <c r="B396" t="s">
        <v>63</v>
      </c>
      <c r="C396" t="s">
        <v>85</v>
      </c>
      <c r="D396" t="s">
        <v>104</v>
      </c>
      <c r="E396" t="s">
        <v>123</v>
      </c>
      <c r="F396" t="s">
        <v>157</v>
      </c>
      <c r="G396" t="s">
        <v>183</v>
      </c>
      <c r="AK396" t="s">
        <v>355</v>
      </c>
    </row>
    <row r="397" spans="1:37">
      <c r="A397" t="s">
        <v>44</v>
      </c>
      <c r="B397" t="s">
        <v>64</v>
      </c>
      <c r="C397" t="s">
        <v>86</v>
      </c>
      <c r="D397" t="s">
        <v>105</v>
      </c>
      <c r="E397" t="s">
        <v>124</v>
      </c>
      <c r="F397" t="s">
        <v>158</v>
      </c>
      <c r="G397" t="s">
        <v>184</v>
      </c>
      <c r="AK397" t="s">
        <v>355</v>
      </c>
    </row>
    <row r="398" spans="1:37">
      <c r="A398" t="s">
        <v>45</v>
      </c>
      <c r="B398" t="s">
        <v>65</v>
      </c>
      <c r="C398" t="s">
        <v>87</v>
      </c>
      <c r="D398" t="s">
        <v>106</v>
      </c>
      <c r="E398" t="s">
        <v>125</v>
      </c>
      <c r="F398" t="s">
        <v>159</v>
      </c>
      <c r="G398" t="s">
        <v>185</v>
      </c>
      <c r="H398" t="s">
        <v>159</v>
      </c>
      <c r="I398" t="s">
        <v>185</v>
      </c>
      <c r="J398" t="s">
        <v>255</v>
      </c>
      <c r="AK398" t="s">
        <v>355</v>
      </c>
    </row>
    <row r="399" spans="1:37">
      <c r="A399" t="s">
        <v>46</v>
      </c>
      <c r="B399" t="s">
        <v>66</v>
      </c>
      <c r="C399" t="s">
        <v>88</v>
      </c>
      <c r="D399" t="s">
        <v>76</v>
      </c>
      <c r="E399" t="s">
        <v>126</v>
      </c>
      <c r="F399" t="s">
        <v>160</v>
      </c>
      <c r="G399" t="s">
        <v>186</v>
      </c>
      <c r="H399" t="s">
        <v>217</v>
      </c>
      <c r="I399" t="s">
        <v>238</v>
      </c>
      <c r="J399" t="s">
        <v>256</v>
      </c>
      <c r="K399" t="s">
        <v>265</v>
      </c>
      <c r="L399" t="s">
        <v>281</v>
      </c>
      <c r="M399" t="s">
        <v>290</v>
      </c>
      <c r="N399" t="s">
        <v>299</v>
      </c>
      <c r="O399" t="s">
        <v>308</v>
      </c>
      <c r="P399" t="s">
        <v>228</v>
      </c>
      <c r="Q399" t="s">
        <v>72</v>
      </c>
      <c r="R399" t="s">
        <v>327</v>
      </c>
      <c r="S399" t="s">
        <v>327</v>
      </c>
      <c r="T399" t="s">
        <v>336</v>
      </c>
      <c r="U399" t="s">
        <v>336</v>
      </c>
      <c r="V399" t="s">
        <v>336</v>
      </c>
      <c r="W399" t="s">
        <v>336</v>
      </c>
      <c r="X399" t="s">
        <v>353</v>
      </c>
      <c r="AK399" t="s">
        <v>355</v>
      </c>
    </row>
    <row r="400" spans="1:37">
      <c r="A400" t="s">
        <v>37</v>
      </c>
      <c r="B400" t="s">
        <v>49</v>
      </c>
      <c r="C400" t="s">
        <v>73</v>
      </c>
      <c r="D400" t="s">
        <v>94</v>
      </c>
      <c r="E400" t="s">
        <v>112</v>
      </c>
      <c r="F400" t="s">
        <v>146</v>
      </c>
      <c r="G400" t="s">
        <v>172</v>
      </c>
      <c r="H400" t="s">
        <v>207</v>
      </c>
      <c r="I400" t="s">
        <v>226</v>
      </c>
      <c r="J400" t="s">
        <v>246</v>
      </c>
      <c r="K400" t="s">
        <v>259</v>
      </c>
      <c r="AK400" t="s">
        <v>355</v>
      </c>
    </row>
    <row r="401" spans="1:37">
      <c r="A401" t="s">
        <v>38</v>
      </c>
      <c r="B401" t="s">
        <v>50</v>
      </c>
      <c r="C401" t="s">
        <v>74</v>
      </c>
      <c r="D401" t="s">
        <v>95</v>
      </c>
      <c r="E401" t="s">
        <v>113</v>
      </c>
      <c r="F401" t="s">
        <v>147</v>
      </c>
      <c r="G401" t="s">
        <v>173</v>
      </c>
      <c r="H401" t="s">
        <v>208</v>
      </c>
      <c r="I401" t="s">
        <v>227</v>
      </c>
      <c r="J401" t="s">
        <v>115</v>
      </c>
      <c r="K401" t="s">
        <v>260</v>
      </c>
      <c r="L401" t="s">
        <v>273</v>
      </c>
      <c r="M401" t="s">
        <v>282</v>
      </c>
      <c r="N401" t="s">
        <v>291</v>
      </c>
      <c r="AK401" t="s">
        <v>355</v>
      </c>
    </row>
    <row r="402" spans="1:37">
      <c r="B402" t="s">
        <v>51</v>
      </c>
      <c r="C402" t="s">
        <v>75</v>
      </c>
      <c r="D402" t="s">
        <v>52</v>
      </c>
      <c r="E402" t="s">
        <v>114</v>
      </c>
      <c r="F402" t="s">
        <v>148</v>
      </c>
      <c r="G402" t="s">
        <v>148</v>
      </c>
      <c r="H402" t="s">
        <v>209</v>
      </c>
      <c r="I402" t="s">
        <v>228</v>
      </c>
      <c r="J402" t="s">
        <v>247</v>
      </c>
      <c r="K402" t="s">
        <v>261</v>
      </c>
      <c r="L402" t="s">
        <v>274</v>
      </c>
      <c r="M402" t="s">
        <v>283</v>
      </c>
      <c r="N402" t="s">
        <v>292</v>
      </c>
      <c r="O402" t="s">
        <v>300</v>
      </c>
      <c r="AK402" t="s">
        <v>355</v>
      </c>
    </row>
    <row r="403" spans="1:37">
      <c r="B403" t="s">
        <v>52</v>
      </c>
      <c r="C403" t="s">
        <v>76</v>
      </c>
      <c r="D403" t="s">
        <v>96</v>
      </c>
      <c r="E403" t="s">
        <v>115</v>
      </c>
      <c r="F403" t="s">
        <v>149</v>
      </c>
      <c r="G403" t="s">
        <v>174</v>
      </c>
      <c r="H403" t="s">
        <v>96</v>
      </c>
      <c r="I403" t="s">
        <v>229</v>
      </c>
      <c r="J403" t="s">
        <v>248</v>
      </c>
      <c r="K403" t="s">
        <v>262</v>
      </c>
      <c r="L403" t="s">
        <v>52</v>
      </c>
      <c r="M403" t="s">
        <v>76</v>
      </c>
      <c r="N403" t="s">
        <v>293</v>
      </c>
      <c r="O403" t="s">
        <v>301</v>
      </c>
      <c r="P403" t="s">
        <v>309</v>
      </c>
      <c r="Q403" t="s">
        <v>315</v>
      </c>
      <c r="R403" t="s">
        <v>228</v>
      </c>
      <c r="S403" t="s">
        <v>328</v>
      </c>
      <c r="T403" t="s">
        <v>149</v>
      </c>
      <c r="U403" t="s">
        <v>337</v>
      </c>
      <c r="V403" t="s">
        <v>341</v>
      </c>
      <c r="W403" t="s">
        <v>345</v>
      </c>
      <c r="X403" t="s">
        <v>350</v>
      </c>
      <c r="AK403" t="s">
        <v>355</v>
      </c>
    </row>
    <row r="404" spans="1:37">
      <c r="B404" t="s">
        <v>53</v>
      </c>
      <c r="C404" t="s">
        <v>77</v>
      </c>
      <c r="D404" t="s">
        <v>97</v>
      </c>
      <c r="E404" t="s">
        <v>116</v>
      </c>
      <c r="F404" t="s">
        <v>150</v>
      </c>
      <c r="G404" t="s">
        <v>175</v>
      </c>
      <c r="H404" t="s">
        <v>210</v>
      </c>
      <c r="I404" t="s">
        <v>230</v>
      </c>
      <c r="J404" t="s">
        <v>249</v>
      </c>
      <c r="K404" t="s">
        <v>263</v>
      </c>
      <c r="L404" t="s">
        <v>275</v>
      </c>
      <c r="M404" t="s">
        <v>284</v>
      </c>
      <c r="N404" t="s">
        <v>294</v>
      </c>
      <c r="O404" t="s">
        <v>302</v>
      </c>
      <c r="P404" t="s">
        <v>310</v>
      </c>
      <c r="Q404" t="s">
        <v>316</v>
      </c>
      <c r="R404" t="s">
        <v>322</v>
      </c>
      <c r="S404" t="s">
        <v>329</v>
      </c>
      <c r="AK404" t="s">
        <v>355</v>
      </c>
    </row>
    <row r="405" spans="1:37">
      <c r="A405" t="s">
        <v>39</v>
      </c>
      <c r="B405" t="s">
        <v>54</v>
      </c>
      <c r="C405" t="s">
        <v>54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323</v>
      </c>
      <c r="S405" t="s">
        <v>330</v>
      </c>
      <c r="AK405" t="s">
        <v>355</v>
      </c>
    </row>
    <row r="406" spans="1:37">
      <c r="B406" t="s">
        <v>55</v>
      </c>
      <c r="C406" t="s">
        <v>78</v>
      </c>
      <c r="D406" t="s">
        <v>55</v>
      </c>
      <c r="E406" t="s">
        <v>78</v>
      </c>
      <c r="F406" t="s">
        <v>55</v>
      </c>
      <c r="G406" t="s">
        <v>78</v>
      </c>
      <c r="H406" t="s">
        <v>55</v>
      </c>
      <c r="I406" t="s">
        <v>78</v>
      </c>
      <c r="J406" t="s">
        <v>55</v>
      </c>
      <c r="K406" t="s">
        <v>78</v>
      </c>
      <c r="L406" t="s">
        <v>55</v>
      </c>
      <c r="M406" t="s">
        <v>78</v>
      </c>
      <c r="N406" t="s">
        <v>55</v>
      </c>
      <c r="O406" t="s">
        <v>78</v>
      </c>
      <c r="P406" t="s">
        <v>55</v>
      </c>
      <c r="Q406" t="s">
        <v>78</v>
      </c>
      <c r="R406" t="s">
        <v>55</v>
      </c>
      <c r="S406" t="s">
        <v>78</v>
      </c>
      <c r="T406" t="s">
        <v>55</v>
      </c>
      <c r="U406" t="s">
        <v>78</v>
      </c>
      <c r="V406" t="s">
        <v>55</v>
      </c>
      <c r="W406" t="s">
        <v>78</v>
      </c>
      <c r="X406" t="s">
        <v>55</v>
      </c>
      <c r="Y406" t="s">
        <v>78</v>
      </c>
      <c r="Z406" t="s">
        <v>55</v>
      </c>
      <c r="AA406" t="s">
        <v>78</v>
      </c>
      <c r="AB406" t="s">
        <v>55</v>
      </c>
      <c r="AC406" t="s">
        <v>78</v>
      </c>
      <c r="AD406" t="s">
        <v>55</v>
      </c>
      <c r="AE406" t="s">
        <v>78</v>
      </c>
      <c r="AF406" t="s">
        <v>55</v>
      </c>
      <c r="AG406" t="s">
        <v>78</v>
      </c>
      <c r="AH406" t="s">
        <v>55</v>
      </c>
      <c r="AI406" t="s">
        <v>78</v>
      </c>
      <c r="AK406" t="s">
        <v>355</v>
      </c>
    </row>
    <row r="407" spans="1:37">
      <c r="B407" t="s">
        <v>56</v>
      </c>
      <c r="C407" t="s">
        <v>56</v>
      </c>
      <c r="D407" t="s">
        <v>56</v>
      </c>
      <c r="E407" t="s">
        <v>56</v>
      </c>
      <c r="F407" t="s">
        <v>56</v>
      </c>
      <c r="G407" t="s">
        <v>176</v>
      </c>
      <c r="H407" t="s">
        <v>211</v>
      </c>
      <c r="I407" t="s">
        <v>231</v>
      </c>
      <c r="J407" t="s">
        <v>250</v>
      </c>
      <c r="K407" t="s">
        <v>264</v>
      </c>
      <c r="L407" t="s">
        <v>276</v>
      </c>
      <c r="M407" t="s">
        <v>285</v>
      </c>
      <c r="N407" t="s">
        <v>295</v>
      </c>
      <c r="O407" t="s">
        <v>303</v>
      </c>
      <c r="P407" t="s">
        <v>56</v>
      </c>
      <c r="Q407" t="s">
        <v>317</v>
      </c>
      <c r="R407" t="s">
        <v>324</v>
      </c>
      <c r="S407" t="s">
        <v>331</v>
      </c>
      <c r="T407" t="s">
        <v>334</v>
      </c>
      <c r="U407" t="s">
        <v>338</v>
      </c>
      <c r="V407" t="s">
        <v>342</v>
      </c>
      <c r="W407" t="s">
        <v>346</v>
      </c>
      <c r="X407" t="s">
        <v>351</v>
      </c>
      <c r="AK407" t="s">
        <v>355</v>
      </c>
    </row>
    <row r="408" spans="1:37">
      <c r="B408" t="s">
        <v>57</v>
      </c>
      <c r="C408" t="s">
        <v>79</v>
      </c>
      <c r="D408" t="s">
        <v>98</v>
      </c>
      <c r="E408" t="s">
        <v>117</v>
      </c>
      <c r="F408" t="s">
        <v>151</v>
      </c>
      <c r="G408" t="s">
        <v>177</v>
      </c>
      <c r="H408" t="s">
        <v>212</v>
      </c>
      <c r="I408" t="s">
        <v>232</v>
      </c>
      <c r="J408" t="s">
        <v>251</v>
      </c>
      <c r="K408" t="s">
        <v>265</v>
      </c>
      <c r="L408" t="s">
        <v>277</v>
      </c>
      <c r="M408" t="s">
        <v>286</v>
      </c>
      <c r="N408" t="s">
        <v>296</v>
      </c>
      <c r="O408" t="s">
        <v>304</v>
      </c>
      <c r="P408" t="s">
        <v>311</v>
      </c>
      <c r="Q408" t="s">
        <v>318</v>
      </c>
      <c r="R408" t="s">
        <v>185</v>
      </c>
      <c r="S408" t="s">
        <v>159</v>
      </c>
      <c r="T408" t="s">
        <v>185</v>
      </c>
      <c r="U408" t="s">
        <v>339</v>
      </c>
      <c r="V408" t="s">
        <v>72</v>
      </c>
      <c r="W408" t="s">
        <v>347</v>
      </c>
      <c r="X408" t="s">
        <v>72</v>
      </c>
      <c r="Y408" t="s">
        <v>96</v>
      </c>
      <c r="AK408" t="s">
        <v>355</v>
      </c>
    </row>
    <row r="409" spans="1:37">
      <c r="B409" t="s">
        <v>58</v>
      </c>
      <c r="C409" t="s">
        <v>80</v>
      </c>
      <c r="D409" t="s">
        <v>99</v>
      </c>
      <c r="E409" t="s">
        <v>118</v>
      </c>
      <c r="F409" t="s">
        <v>152</v>
      </c>
      <c r="G409" t="s">
        <v>178</v>
      </c>
      <c r="H409" t="s">
        <v>213</v>
      </c>
      <c r="I409" t="s">
        <v>233</v>
      </c>
      <c r="J409" t="s">
        <v>252</v>
      </c>
      <c r="K409" t="s">
        <v>266</v>
      </c>
      <c r="L409" t="s">
        <v>278</v>
      </c>
      <c r="M409" t="s">
        <v>287</v>
      </c>
      <c r="N409" t="s">
        <v>297</v>
      </c>
      <c r="O409" t="s">
        <v>305</v>
      </c>
      <c r="P409" t="s">
        <v>312</v>
      </c>
      <c r="Q409" t="s">
        <v>319</v>
      </c>
      <c r="R409">
        <f>&gt;10       ветра      1.3     10  15</f>
        <v>0</v>
      </c>
      <c r="AK409" t="s">
        <v>355</v>
      </c>
    </row>
    <row r="410" spans="1:37">
      <c r="A410" t="s">
        <v>40</v>
      </c>
      <c r="B410" t="s">
        <v>59</v>
      </c>
      <c r="C410" t="s">
        <v>81</v>
      </c>
      <c r="D410" t="s">
        <v>100</v>
      </c>
      <c r="E410" t="s">
        <v>119</v>
      </c>
      <c r="F410" t="s">
        <v>153</v>
      </c>
      <c r="G410" t="s">
        <v>179</v>
      </c>
      <c r="H410" t="s">
        <v>214</v>
      </c>
      <c r="I410" t="s">
        <v>234</v>
      </c>
      <c r="AK410" t="s">
        <v>355</v>
      </c>
    </row>
    <row r="411" spans="1:37">
      <c r="A411" t="s">
        <v>40</v>
      </c>
      <c r="B411" t="s">
        <v>60</v>
      </c>
      <c r="C411" t="s">
        <v>82</v>
      </c>
      <c r="D411" t="s">
        <v>101</v>
      </c>
      <c r="E411" t="s">
        <v>120</v>
      </c>
      <c r="F411" t="s">
        <v>154</v>
      </c>
      <c r="G411" t="s">
        <v>180</v>
      </c>
      <c r="H411" t="s">
        <v>215</v>
      </c>
      <c r="I411" t="s">
        <v>235</v>
      </c>
      <c r="J411" t="s">
        <v>253</v>
      </c>
      <c r="K411" t="s">
        <v>267</v>
      </c>
      <c r="L411" t="s">
        <v>279</v>
      </c>
      <c r="M411" t="s">
        <v>288</v>
      </c>
      <c r="N411" t="s">
        <v>100</v>
      </c>
      <c r="O411" t="s">
        <v>306</v>
      </c>
      <c r="P411" t="s">
        <v>313</v>
      </c>
      <c r="Q411" t="s">
        <v>320</v>
      </c>
      <c r="R411" t="s">
        <v>325</v>
      </c>
      <c r="S411" t="s">
        <v>332</v>
      </c>
      <c r="T411" t="s">
        <v>119</v>
      </c>
      <c r="U411" t="s">
        <v>234</v>
      </c>
      <c r="V411" t="s">
        <v>343</v>
      </c>
      <c r="W411" t="s">
        <v>348</v>
      </c>
      <c r="X411" t="s">
        <v>352</v>
      </c>
      <c r="Y411" t="s">
        <v>354</v>
      </c>
      <c r="AK411" t="s">
        <v>355</v>
      </c>
    </row>
    <row r="412" spans="1:37">
      <c r="A412" t="s">
        <v>41</v>
      </c>
      <c r="B412" t="s">
        <v>61</v>
      </c>
      <c r="C412" t="s">
        <v>83</v>
      </c>
      <c r="D412" t="s">
        <v>102</v>
      </c>
      <c r="E412" t="s">
        <v>121</v>
      </c>
      <c r="F412" t="s">
        <v>155</v>
      </c>
      <c r="G412" t="s">
        <v>181</v>
      </c>
      <c r="H412" t="s">
        <v>216</v>
      </c>
      <c r="I412" t="s">
        <v>236</v>
      </c>
      <c r="AK412" t="s">
        <v>355</v>
      </c>
    </row>
    <row r="413" spans="1:37">
      <c r="A413" t="s">
        <v>42</v>
      </c>
      <c r="B413" t="s">
        <v>62</v>
      </c>
      <c r="C413" t="s">
        <v>84</v>
      </c>
      <c r="D413" t="s">
        <v>103</v>
      </c>
      <c r="E413" t="s">
        <v>122</v>
      </c>
      <c r="F413" t="s">
        <v>156</v>
      </c>
      <c r="G413" t="s">
        <v>182</v>
      </c>
      <c r="H413" t="s">
        <v>83</v>
      </c>
      <c r="I413" t="s">
        <v>237</v>
      </c>
      <c r="J413" t="s">
        <v>254</v>
      </c>
      <c r="K413" t="s">
        <v>268</v>
      </c>
      <c r="L413" t="s">
        <v>280</v>
      </c>
      <c r="M413" t="s">
        <v>289</v>
      </c>
      <c r="N413" t="s">
        <v>298</v>
      </c>
      <c r="O413" t="s">
        <v>307</v>
      </c>
      <c r="P413" t="s">
        <v>314</v>
      </c>
      <c r="Q413" t="s">
        <v>216</v>
      </c>
      <c r="R413" t="s">
        <v>326</v>
      </c>
      <c r="S413" t="s">
        <v>333</v>
      </c>
      <c r="T413" t="s">
        <v>335</v>
      </c>
      <c r="U413" t="s">
        <v>340</v>
      </c>
      <c r="V413" t="s">
        <v>344</v>
      </c>
      <c r="W413" t="s">
        <v>349</v>
      </c>
      <c r="AK413" t="s">
        <v>355</v>
      </c>
    </row>
    <row r="414" spans="1:37">
      <c r="A414" t="s">
        <v>43</v>
      </c>
      <c r="B414" t="s">
        <v>63</v>
      </c>
      <c r="C414" t="s">
        <v>85</v>
      </c>
      <c r="D414" t="s">
        <v>104</v>
      </c>
      <c r="E414" t="s">
        <v>123</v>
      </c>
      <c r="F414" t="s">
        <v>157</v>
      </c>
      <c r="G414" t="s">
        <v>183</v>
      </c>
      <c r="AK414" t="s">
        <v>355</v>
      </c>
    </row>
    <row r="415" spans="1:37">
      <c r="A415" t="s">
        <v>44</v>
      </c>
      <c r="B415" t="s">
        <v>64</v>
      </c>
      <c r="C415" t="s">
        <v>86</v>
      </c>
      <c r="D415" t="s">
        <v>105</v>
      </c>
      <c r="E415" t="s">
        <v>124</v>
      </c>
      <c r="F415" t="s">
        <v>158</v>
      </c>
      <c r="G415" t="s">
        <v>184</v>
      </c>
      <c r="AK415" t="s">
        <v>355</v>
      </c>
    </row>
    <row r="416" spans="1:37">
      <c r="A416" t="s">
        <v>45</v>
      </c>
      <c r="B416" t="s">
        <v>65</v>
      </c>
      <c r="C416" t="s">
        <v>87</v>
      </c>
      <c r="D416" t="s">
        <v>106</v>
      </c>
      <c r="E416" t="s">
        <v>125</v>
      </c>
      <c r="F416" t="s">
        <v>159</v>
      </c>
      <c r="G416" t="s">
        <v>185</v>
      </c>
      <c r="H416" t="s">
        <v>159</v>
      </c>
      <c r="I416" t="s">
        <v>185</v>
      </c>
      <c r="J416" t="s">
        <v>255</v>
      </c>
      <c r="AK416" t="s">
        <v>355</v>
      </c>
    </row>
    <row r="417" spans="1:37">
      <c r="A417" t="s">
        <v>46</v>
      </c>
      <c r="B417" t="s">
        <v>66</v>
      </c>
      <c r="C417" t="s">
        <v>88</v>
      </c>
      <c r="D417" t="s">
        <v>76</v>
      </c>
      <c r="E417" t="s">
        <v>126</v>
      </c>
      <c r="F417" t="s">
        <v>160</v>
      </c>
      <c r="G417" t="s">
        <v>186</v>
      </c>
      <c r="H417" t="s">
        <v>217</v>
      </c>
      <c r="I417" t="s">
        <v>238</v>
      </c>
      <c r="J417" t="s">
        <v>256</v>
      </c>
      <c r="K417" t="s">
        <v>265</v>
      </c>
      <c r="L417" t="s">
        <v>281</v>
      </c>
      <c r="M417" t="s">
        <v>290</v>
      </c>
      <c r="N417" t="s">
        <v>299</v>
      </c>
      <c r="O417" t="s">
        <v>308</v>
      </c>
      <c r="P417" t="s">
        <v>228</v>
      </c>
      <c r="Q417" t="s">
        <v>72</v>
      </c>
      <c r="R417" t="s">
        <v>327</v>
      </c>
      <c r="S417" t="s">
        <v>327</v>
      </c>
      <c r="T417" t="s">
        <v>336</v>
      </c>
      <c r="U417" t="s">
        <v>336</v>
      </c>
      <c r="V417" t="s">
        <v>336</v>
      </c>
      <c r="W417" t="s">
        <v>336</v>
      </c>
      <c r="X417" t="s">
        <v>353</v>
      </c>
      <c r="AK417" t="s">
        <v>355</v>
      </c>
    </row>
    <row r="418" spans="1:37">
      <c r="A418" t="s">
        <v>37</v>
      </c>
      <c r="B418" t="s">
        <v>49</v>
      </c>
      <c r="C418" t="s">
        <v>73</v>
      </c>
      <c r="D418" t="s">
        <v>94</v>
      </c>
      <c r="E418" t="s">
        <v>112</v>
      </c>
      <c r="F418" t="s">
        <v>146</v>
      </c>
      <c r="G418" t="s">
        <v>172</v>
      </c>
      <c r="H418" t="s">
        <v>207</v>
      </c>
      <c r="I418" t="s">
        <v>226</v>
      </c>
      <c r="J418" t="s">
        <v>246</v>
      </c>
      <c r="K418" t="s">
        <v>259</v>
      </c>
      <c r="AK418" t="s">
        <v>355</v>
      </c>
    </row>
    <row r="419" spans="1:37">
      <c r="A419" t="s">
        <v>38</v>
      </c>
      <c r="B419" t="s">
        <v>50</v>
      </c>
      <c r="C419" t="s">
        <v>74</v>
      </c>
      <c r="D419" t="s">
        <v>95</v>
      </c>
      <c r="E419" t="s">
        <v>113</v>
      </c>
      <c r="F419" t="s">
        <v>147</v>
      </c>
      <c r="G419" t="s">
        <v>173</v>
      </c>
      <c r="H419" t="s">
        <v>208</v>
      </c>
      <c r="I419" t="s">
        <v>227</v>
      </c>
      <c r="J419" t="s">
        <v>115</v>
      </c>
      <c r="K419" t="s">
        <v>260</v>
      </c>
      <c r="L419" t="s">
        <v>273</v>
      </c>
      <c r="M419" t="s">
        <v>282</v>
      </c>
      <c r="N419" t="s">
        <v>291</v>
      </c>
      <c r="AK419" t="s">
        <v>355</v>
      </c>
    </row>
    <row r="420" spans="1:37">
      <c r="B420" t="s">
        <v>51</v>
      </c>
      <c r="C420" t="s">
        <v>75</v>
      </c>
      <c r="D420" t="s">
        <v>52</v>
      </c>
      <c r="E420" t="s">
        <v>114</v>
      </c>
      <c r="F420" t="s">
        <v>148</v>
      </c>
      <c r="G420" t="s">
        <v>148</v>
      </c>
      <c r="H420" t="s">
        <v>209</v>
      </c>
      <c r="I420" t="s">
        <v>228</v>
      </c>
      <c r="J420" t="s">
        <v>247</v>
      </c>
      <c r="K420" t="s">
        <v>261</v>
      </c>
      <c r="L420" t="s">
        <v>274</v>
      </c>
      <c r="M420" t="s">
        <v>283</v>
      </c>
      <c r="N420" t="s">
        <v>292</v>
      </c>
      <c r="O420" t="s">
        <v>300</v>
      </c>
      <c r="AK420" t="s">
        <v>355</v>
      </c>
    </row>
    <row r="421" spans="1:37">
      <c r="B421" t="s">
        <v>52</v>
      </c>
      <c r="C421" t="s">
        <v>76</v>
      </c>
      <c r="D421" t="s">
        <v>96</v>
      </c>
      <c r="E421" t="s">
        <v>115</v>
      </c>
      <c r="F421" t="s">
        <v>149</v>
      </c>
      <c r="G421" t="s">
        <v>174</v>
      </c>
      <c r="H421" t="s">
        <v>96</v>
      </c>
      <c r="I421" t="s">
        <v>229</v>
      </c>
      <c r="J421" t="s">
        <v>248</v>
      </c>
      <c r="K421" t="s">
        <v>262</v>
      </c>
      <c r="L421" t="s">
        <v>52</v>
      </c>
      <c r="M421" t="s">
        <v>76</v>
      </c>
      <c r="N421" t="s">
        <v>293</v>
      </c>
      <c r="O421" t="s">
        <v>301</v>
      </c>
      <c r="P421" t="s">
        <v>309</v>
      </c>
      <c r="Q421" t="s">
        <v>315</v>
      </c>
      <c r="R421" t="s">
        <v>228</v>
      </c>
      <c r="S421" t="s">
        <v>328</v>
      </c>
      <c r="T421" t="s">
        <v>149</v>
      </c>
      <c r="U421" t="s">
        <v>337</v>
      </c>
      <c r="V421" t="s">
        <v>341</v>
      </c>
      <c r="W421" t="s">
        <v>345</v>
      </c>
      <c r="X421" t="s">
        <v>350</v>
      </c>
      <c r="AK421" t="s">
        <v>355</v>
      </c>
    </row>
    <row r="422" spans="1:37">
      <c r="B422" t="s">
        <v>53</v>
      </c>
      <c r="C422" t="s">
        <v>77</v>
      </c>
      <c r="D422" t="s">
        <v>97</v>
      </c>
      <c r="E422" t="s">
        <v>116</v>
      </c>
      <c r="F422" t="s">
        <v>150</v>
      </c>
      <c r="G422" t="s">
        <v>175</v>
      </c>
      <c r="H422" t="s">
        <v>210</v>
      </c>
      <c r="I422" t="s">
        <v>230</v>
      </c>
      <c r="J422" t="s">
        <v>249</v>
      </c>
      <c r="K422" t="s">
        <v>263</v>
      </c>
      <c r="L422" t="s">
        <v>275</v>
      </c>
      <c r="M422" t="s">
        <v>284</v>
      </c>
      <c r="N422" t="s">
        <v>294</v>
      </c>
      <c r="O422" t="s">
        <v>302</v>
      </c>
      <c r="P422" t="s">
        <v>310</v>
      </c>
      <c r="Q422" t="s">
        <v>316</v>
      </c>
      <c r="R422" t="s">
        <v>322</v>
      </c>
      <c r="S422" t="s">
        <v>329</v>
      </c>
      <c r="AK422" t="s">
        <v>355</v>
      </c>
    </row>
    <row r="423" spans="1:37">
      <c r="A423" t="s">
        <v>39</v>
      </c>
      <c r="B423" t="s">
        <v>54</v>
      </c>
      <c r="C423" t="s">
        <v>54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323</v>
      </c>
      <c r="S423" t="s">
        <v>330</v>
      </c>
      <c r="AK423" t="s">
        <v>355</v>
      </c>
    </row>
    <row r="424" spans="1:37">
      <c r="B424" t="s">
        <v>55</v>
      </c>
      <c r="C424" t="s">
        <v>78</v>
      </c>
      <c r="D424" t="s">
        <v>55</v>
      </c>
      <c r="E424" t="s">
        <v>78</v>
      </c>
      <c r="F424" t="s">
        <v>55</v>
      </c>
      <c r="G424" t="s">
        <v>78</v>
      </c>
      <c r="H424" t="s">
        <v>55</v>
      </c>
      <c r="I424" t="s">
        <v>78</v>
      </c>
      <c r="J424" t="s">
        <v>55</v>
      </c>
      <c r="K424" t="s">
        <v>78</v>
      </c>
      <c r="L424" t="s">
        <v>55</v>
      </c>
      <c r="M424" t="s">
        <v>78</v>
      </c>
      <c r="N424" t="s">
        <v>55</v>
      </c>
      <c r="O424" t="s">
        <v>78</v>
      </c>
      <c r="P424" t="s">
        <v>55</v>
      </c>
      <c r="Q424" t="s">
        <v>78</v>
      </c>
      <c r="R424" t="s">
        <v>55</v>
      </c>
      <c r="S424" t="s">
        <v>78</v>
      </c>
      <c r="T424" t="s">
        <v>55</v>
      </c>
      <c r="U424" t="s">
        <v>78</v>
      </c>
      <c r="V424" t="s">
        <v>55</v>
      </c>
      <c r="W424" t="s">
        <v>78</v>
      </c>
      <c r="X424" t="s">
        <v>55</v>
      </c>
      <c r="Y424" t="s">
        <v>78</v>
      </c>
      <c r="Z424" t="s">
        <v>55</v>
      </c>
      <c r="AA424" t="s">
        <v>78</v>
      </c>
      <c r="AB424" t="s">
        <v>55</v>
      </c>
      <c r="AC424" t="s">
        <v>78</v>
      </c>
      <c r="AD424" t="s">
        <v>55</v>
      </c>
      <c r="AE424" t="s">
        <v>78</v>
      </c>
      <c r="AF424" t="s">
        <v>55</v>
      </c>
      <c r="AG424" t="s">
        <v>78</v>
      </c>
      <c r="AH424" t="s">
        <v>55</v>
      </c>
      <c r="AI424" t="s">
        <v>78</v>
      </c>
      <c r="AK424" t="s">
        <v>355</v>
      </c>
    </row>
    <row r="425" spans="1:37">
      <c r="B425" t="s">
        <v>56</v>
      </c>
      <c r="C425" t="s">
        <v>56</v>
      </c>
      <c r="D425" t="s">
        <v>56</v>
      </c>
      <c r="E425" t="s">
        <v>56</v>
      </c>
      <c r="F425" t="s">
        <v>56</v>
      </c>
      <c r="G425" t="s">
        <v>176</v>
      </c>
      <c r="H425" t="s">
        <v>211</v>
      </c>
      <c r="I425" t="s">
        <v>231</v>
      </c>
      <c r="J425" t="s">
        <v>250</v>
      </c>
      <c r="K425" t="s">
        <v>264</v>
      </c>
      <c r="L425" t="s">
        <v>276</v>
      </c>
      <c r="M425" t="s">
        <v>285</v>
      </c>
      <c r="N425" t="s">
        <v>295</v>
      </c>
      <c r="O425" t="s">
        <v>303</v>
      </c>
      <c r="P425" t="s">
        <v>56</v>
      </c>
      <c r="Q425" t="s">
        <v>317</v>
      </c>
      <c r="R425" t="s">
        <v>324</v>
      </c>
      <c r="S425" t="s">
        <v>331</v>
      </c>
      <c r="T425" t="s">
        <v>334</v>
      </c>
      <c r="U425" t="s">
        <v>338</v>
      </c>
      <c r="V425" t="s">
        <v>342</v>
      </c>
      <c r="W425" t="s">
        <v>346</v>
      </c>
      <c r="X425" t="s">
        <v>351</v>
      </c>
      <c r="AK425" t="s">
        <v>355</v>
      </c>
    </row>
    <row r="426" spans="1:37">
      <c r="B426" t="s">
        <v>57</v>
      </c>
      <c r="C426" t="s">
        <v>79</v>
      </c>
      <c r="D426" t="s">
        <v>98</v>
      </c>
      <c r="E426" t="s">
        <v>117</v>
      </c>
      <c r="F426" t="s">
        <v>151</v>
      </c>
      <c r="G426" t="s">
        <v>177</v>
      </c>
      <c r="H426" t="s">
        <v>212</v>
      </c>
      <c r="I426" t="s">
        <v>232</v>
      </c>
      <c r="J426" t="s">
        <v>251</v>
      </c>
      <c r="K426" t="s">
        <v>265</v>
      </c>
      <c r="L426" t="s">
        <v>277</v>
      </c>
      <c r="M426" t="s">
        <v>286</v>
      </c>
      <c r="N426" t="s">
        <v>296</v>
      </c>
      <c r="O426" t="s">
        <v>304</v>
      </c>
      <c r="P426" t="s">
        <v>311</v>
      </c>
      <c r="Q426" t="s">
        <v>318</v>
      </c>
      <c r="R426" t="s">
        <v>185</v>
      </c>
      <c r="S426" t="s">
        <v>159</v>
      </c>
      <c r="T426" t="s">
        <v>185</v>
      </c>
      <c r="U426" t="s">
        <v>339</v>
      </c>
      <c r="V426" t="s">
        <v>72</v>
      </c>
      <c r="W426" t="s">
        <v>347</v>
      </c>
      <c r="X426" t="s">
        <v>72</v>
      </c>
      <c r="Y426" t="s">
        <v>96</v>
      </c>
      <c r="AK426" t="s">
        <v>355</v>
      </c>
    </row>
    <row r="427" spans="1:37">
      <c r="B427" t="s">
        <v>58</v>
      </c>
      <c r="C427" t="s">
        <v>80</v>
      </c>
      <c r="D427" t="s">
        <v>99</v>
      </c>
      <c r="E427" t="s">
        <v>118</v>
      </c>
      <c r="F427" t="s">
        <v>152</v>
      </c>
      <c r="G427" t="s">
        <v>178</v>
      </c>
      <c r="H427" t="s">
        <v>213</v>
      </c>
      <c r="I427" t="s">
        <v>233</v>
      </c>
      <c r="J427" t="s">
        <v>252</v>
      </c>
      <c r="K427" t="s">
        <v>266</v>
      </c>
      <c r="L427" t="s">
        <v>278</v>
      </c>
      <c r="M427" t="s">
        <v>287</v>
      </c>
      <c r="N427" t="s">
        <v>297</v>
      </c>
      <c r="O427" t="s">
        <v>305</v>
      </c>
      <c r="P427" t="s">
        <v>312</v>
      </c>
      <c r="Q427" t="s">
        <v>319</v>
      </c>
      <c r="R427">
        <f>&gt;10       ветра      1.1     13  20</f>
        <v>0</v>
      </c>
      <c r="AK427" t="s">
        <v>355</v>
      </c>
    </row>
    <row r="428" spans="1:37">
      <c r="A428" t="s">
        <v>40</v>
      </c>
      <c r="B428" t="s">
        <v>59</v>
      </c>
      <c r="C428" t="s">
        <v>81</v>
      </c>
      <c r="D428" t="s">
        <v>100</v>
      </c>
      <c r="E428" t="s">
        <v>119</v>
      </c>
      <c r="F428" t="s">
        <v>153</v>
      </c>
      <c r="G428" t="s">
        <v>179</v>
      </c>
      <c r="H428" t="s">
        <v>214</v>
      </c>
      <c r="I428" t="s">
        <v>234</v>
      </c>
      <c r="AK428" t="s">
        <v>355</v>
      </c>
    </row>
    <row r="429" spans="1:37">
      <c r="A429" t="s">
        <v>40</v>
      </c>
      <c r="B429" t="s">
        <v>60</v>
      </c>
      <c r="C429" t="s">
        <v>82</v>
      </c>
      <c r="D429" t="s">
        <v>101</v>
      </c>
      <c r="E429" t="s">
        <v>120</v>
      </c>
      <c r="F429" t="s">
        <v>154</v>
      </c>
      <c r="G429" t="s">
        <v>180</v>
      </c>
      <c r="H429" t="s">
        <v>215</v>
      </c>
      <c r="I429" t="s">
        <v>235</v>
      </c>
      <c r="J429" t="s">
        <v>253</v>
      </c>
      <c r="K429" t="s">
        <v>267</v>
      </c>
      <c r="L429" t="s">
        <v>279</v>
      </c>
      <c r="M429" t="s">
        <v>288</v>
      </c>
      <c r="N429" t="s">
        <v>100</v>
      </c>
      <c r="O429" t="s">
        <v>306</v>
      </c>
      <c r="P429" t="s">
        <v>313</v>
      </c>
      <c r="Q429" t="s">
        <v>320</v>
      </c>
      <c r="R429" t="s">
        <v>325</v>
      </c>
      <c r="S429" t="s">
        <v>332</v>
      </c>
      <c r="T429" t="s">
        <v>119</v>
      </c>
      <c r="U429" t="s">
        <v>234</v>
      </c>
      <c r="V429" t="s">
        <v>343</v>
      </c>
      <c r="W429" t="s">
        <v>348</v>
      </c>
      <c r="X429" t="s">
        <v>352</v>
      </c>
      <c r="Y429" t="s">
        <v>354</v>
      </c>
      <c r="AK429" t="s">
        <v>355</v>
      </c>
    </row>
    <row r="430" spans="1:37">
      <c r="A430" t="s">
        <v>41</v>
      </c>
      <c r="B430" t="s">
        <v>61</v>
      </c>
      <c r="C430" t="s">
        <v>83</v>
      </c>
      <c r="D430" t="s">
        <v>102</v>
      </c>
      <c r="E430" t="s">
        <v>121</v>
      </c>
      <c r="F430" t="s">
        <v>155</v>
      </c>
      <c r="G430" t="s">
        <v>181</v>
      </c>
      <c r="H430" t="s">
        <v>216</v>
      </c>
      <c r="I430" t="s">
        <v>236</v>
      </c>
      <c r="AK430" t="s">
        <v>355</v>
      </c>
    </row>
    <row r="431" spans="1:37">
      <c r="A431" t="s">
        <v>42</v>
      </c>
      <c r="B431" t="s">
        <v>62</v>
      </c>
      <c r="C431" t="s">
        <v>84</v>
      </c>
      <c r="D431" t="s">
        <v>103</v>
      </c>
      <c r="E431" t="s">
        <v>122</v>
      </c>
      <c r="F431" t="s">
        <v>156</v>
      </c>
      <c r="G431" t="s">
        <v>182</v>
      </c>
      <c r="H431" t="s">
        <v>83</v>
      </c>
      <c r="I431" t="s">
        <v>237</v>
      </c>
      <c r="J431" t="s">
        <v>254</v>
      </c>
      <c r="K431" t="s">
        <v>268</v>
      </c>
      <c r="L431" t="s">
        <v>280</v>
      </c>
      <c r="M431" t="s">
        <v>289</v>
      </c>
      <c r="N431" t="s">
        <v>298</v>
      </c>
      <c r="O431" t="s">
        <v>307</v>
      </c>
      <c r="P431" t="s">
        <v>314</v>
      </c>
      <c r="Q431" t="s">
        <v>216</v>
      </c>
      <c r="R431" t="s">
        <v>326</v>
      </c>
      <c r="S431" t="s">
        <v>333</v>
      </c>
      <c r="T431" t="s">
        <v>335</v>
      </c>
      <c r="U431" t="s">
        <v>340</v>
      </c>
      <c r="V431" t="s">
        <v>344</v>
      </c>
      <c r="W431" t="s">
        <v>349</v>
      </c>
      <c r="AK431" t="s">
        <v>355</v>
      </c>
    </row>
    <row r="432" spans="1:37">
      <c r="A432" t="s">
        <v>43</v>
      </c>
      <c r="B432" t="s">
        <v>63</v>
      </c>
      <c r="C432" t="s">
        <v>85</v>
      </c>
      <c r="D432" t="s">
        <v>104</v>
      </c>
      <c r="E432" t="s">
        <v>123</v>
      </c>
      <c r="F432" t="s">
        <v>157</v>
      </c>
      <c r="G432" t="s">
        <v>183</v>
      </c>
      <c r="AK432" t="s">
        <v>355</v>
      </c>
    </row>
    <row r="433" spans="1:37">
      <c r="A433" t="s">
        <v>44</v>
      </c>
      <c r="B433" t="s">
        <v>64</v>
      </c>
      <c r="C433" t="s">
        <v>86</v>
      </c>
      <c r="D433" t="s">
        <v>105</v>
      </c>
      <c r="E433" t="s">
        <v>124</v>
      </c>
      <c r="F433" t="s">
        <v>158</v>
      </c>
      <c r="G433" t="s">
        <v>184</v>
      </c>
      <c r="AK433" t="s">
        <v>355</v>
      </c>
    </row>
    <row r="434" spans="1:37">
      <c r="A434" t="s">
        <v>45</v>
      </c>
      <c r="B434" t="s">
        <v>65</v>
      </c>
      <c r="C434" t="s">
        <v>87</v>
      </c>
      <c r="D434" t="s">
        <v>106</v>
      </c>
      <c r="E434" t="s">
        <v>125</v>
      </c>
      <c r="F434" t="s">
        <v>159</v>
      </c>
      <c r="G434" t="s">
        <v>185</v>
      </c>
      <c r="H434" t="s">
        <v>159</v>
      </c>
      <c r="I434" t="s">
        <v>185</v>
      </c>
      <c r="J434" t="s">
        <v>255</v>
      </c>
      <c r="AK434" t="s">
        <v>355</v>
      </c>
    </row>
    <row r="435" spans="1:37">
      <c r="A435" t="s">
        <v>46</v>
      </c>
      <c r="B435" t="s">
        <v>66</v>
      </c>
      <c r="C435" t="s">
        <v>88</v>
      </c>
      <c r="D435" t="s">
        <v>76</v>
      </c>
      <c r="E435" t="s">
        <v>126</v>
      </c>
      <c r="F435" t="s">
        <v>160</v>
      </c>
      <c r="G435" t="s">
        <v>186</v>
      </c>
      <c r="H435" t="s">
        <v>217</v>
      </c>
      <c r="I435" t="s">
        <v>238</v>
      </c>
      <c r="J435" t="s">
        <v>256</v>
      </c>
      <c r="K435" t="s">
        <v>265</v>
      </c>
      <c r="L435" t="s">
        <v>281</v>
      </c>
      <c r="M435" t="s">
        <v>290</v>
      </c>
      <c r="N435" t="s">
        <v>299</v>
      </c>
      <c r="O435" t="s">
        <v>308</v>
      </c>
      <c r="P435" t="s">
        <v>228</v>
      </c>
      <c r="Q435" t="s">
        <v>72</v>
      </c>
      <c r="R435" t="s">
        <v>327</v>
      </c>
      <c r="S435" t="s">
        <v>327</v>
      </c>
      <c r="T435" t="s">
        <v>336</v>
      </c>
      <c r="U435" t="s">
        <v>336</v>
      </c>
      <c r="V435" t="s">
        <v>336</v>
      </c>
      <c r="W435" t="s">
        <v>336</v>
      </c>
      <c r="X435" t="s">
        <v>353</v>
      </c>
      <c r="AK435" t="s">
        <v>355</v>
      </c>
    </row>
    <row r="436" spans="1:37">
      <c r="A436" t="s">
        <v>37</v>
      </c>
      <c r="B436" t="s">
        <v>49</v>
      </c>
      <c r="C436" t="s">
        <v>73</v>
      </c>
      <c r="D436" t="s">
        <v>94</v>
      </c>
      <c r="E436" t="s">
        <v>112</v>
      </c>
      <c r="F436" t="s">
        <v>146</v>
      </c>
      <c r="G436" t="s">
        <v>172</v>
      </c>
      <c r="H436" t="s">
        <v>207</v>
      </c>
      <c r="I436" t="s">
        <v>226</v>
      </c>
      <c r="J436" t="s">
        <v>246</v>
      </c>
      <c r="K436" t="s">
        <v>259</v>
      </c>
      <c r="AK436" t="s">
        <v>355</v>
      </c>
    </row>
    <row r="437" spans="1:37">
      <c r="A437" t="s">
        <v>38</v>
      </c>
      <c r="B437" t="s">
        <v>50</v>
      </c>
      <c r="C437" t="s">
        <v>74</v>
      </c>
      <c r="D437" t="s">
        <v>95</v>
      </c>
      <c r="E437" t="s">
        <v>113</v>
      </c>
      <c r="F437" t="s">
        <v>147</v>
      </c>
      <c r="G437" t="s">
        <v>173</v>
      </c>
      <c r="H437" t="s">
        <v>208</v>
      </c>
      <c r="I437" t="s">
        <v>227</v>
      </c>
      <c r="J437" t="s">
        <v>115</v>
      </c>
      <c r="K437" t="s">
        <v>260</v>
      </c>
      <c r="L437" t="s">
        <v>273</v>
      </c>
      <c r="M437" t="s">
        <v>282</v>
      </c>
      <c r="N437" t="s">
        <v>291</v>
      </c>
      <c r="AK437" t="s">
        <v>355</v>
      </c>
    </row>
    <row r="438" spans="1:37">
      <c r="B438" t="s">
        <v>51</v>
      </c>
      <c r="C438" t="s">
        <v>75</v>
      </c>
      <c r="D438" t="s">
        <v>52</v>
      </c>
      <c r="E438" t="s">
        <v>114</v>
      </c>
      <c r="F438" t="s">
        <v>148</v>
      </c>
      <c r="G438" t="s">
        <v>148</v>
      </c>
      <c r="H438" t="s">
        <v>209</v>
      </c>
      <c r="I438" t="s">
        <v>228</v>
      </c>
      <c r="J438" t="s">
        <v>247</v>
      </c>
      <c r="K438" t="s">
        <v>261</v>
      </c>
      <c r="L438" t="s">
        <v>274</v>
      </c>
      <c r="M438" t="s">
        <v>283</v>
      </c>
      <c r="N438" t="s">
        <v>292</v>
      </c>
      <c r="O438" t="s">
        <v>300</v>
      </c>
      <c r="AK438" t="s">
        <v>355</v>
      </c>
    </row>
    <row r="439" spans="1:37">
      <c r="B439" t="s">
        <v>52</v>
      </c>
      <c r="C439" t="s">
        <v>76</v>
      </c>
      <c r="D439" t="s">
        <v>96</v>
      </c>
      <c r="E439" t="s">
        <v>115</v>
      </c>
      <c r="F439" t="s">
        <v>149</v>
      </c>
      <c r="G439" t="s">
        <v>174</v>
      </c>
      <c r="H439" t="s">
        <v>96</v>
      </c>
      <c r="I439" t="s">
        <v>229</v>
      </c>
      <c r="J439" t="s">
        <v>248</v>
      </c>
      <c r="K439" t="s">
        <v>262</v>
      </c>
      <c r="L439" t="s">
        <v>52</v>
      </c>
      <c r="M439" t="s">
        <v>76</v>
      </c>
      <c r="N439" t="s">
        <v>293</v>
      </c>
      <c r="O439" t="s">
        <v>301</v>
      </c>
      <c r="P439" t="s">
        <v>309</v>
      </c>
      <c r="Q439" t="s">
        <v>315</v>
      </c>
      <c r="R439" t="s">
        <v>228</v>
      </c>
      <c r="S439" t="s">
        <v>328</v>
      </c>
      <c r="T439" t="s">
        <v>149</v>
      </c>
      <c r="U439" t="s">
        <v>337</v>
      </c>
      <c r="V439" t="s">
        <v>341</v>
      </c>
      <c r="W439" t="s">
        <v>345</v>
      </c>
      <c r="X439" t="s">
        <v>350</v>
      </c>
      <c r="AK439" t="s">
        <v>355</v>
      </c>
    </row>
    <row r="440" spans="1:37">
      <c r="B440" t="s">
        <v>53</v>
      </c>
      <c r="C440" t="s">
        <v>77</v>
      </c>
      <c r="D440" t="s">
        <v>97</v>
      </c>
      <c r="E440" t="s">
        <v>116</v>
      </c>
      <c r="F440" t="s">
        <v>150</v>
      </c>
      <c r="G440" t="s">
        <v>175</v>
      </c>
      <c r="H440" t="s">
        <v>210</v>
      </c>
      <c r="I440" t="s">
        <v>230</v>
      </c>
      <c r="J440" t="s">
        <v>249</v>
      </c>
      <c r="K440" t="s">
        <v>263</v>
      </c>
      <c r="L440" t="s">
        <v>275</v>
      </c>
      <c r="M440" t="s">
        <v>284</v>
      </c>
      <c r="N440" t="s">
        <v>294</v>
      </c>
      <c r="O440" t="s">
        <v>302</v>
      </c>
      <c r="P440" t="s">
        <v>310</v>
      </c>
      <c r="Q440" t="s">
        <v>316</v>
      </c>
      <c r="R440" t="s">
        <v>322</v>
      </c>
      <c r="S440" t="s">
        <v>329</v>
      </c>
      <c r="AK440" t="s">
        <v>355</v>
      </c>
    </row>
    <row r="441" spans="1:37">
      <c r="A441" t="s">
        <v>39</v>
      </c>
      <c r="B441" t="s">
        <v>54</v>
      </c>
      <c r="C441" t="s">
        <v>54</v>
      </c>
      <c r="D441" t="s">
        <v>54</v>
      </c>
      <c r="E441" t="s">
        <v>54</v>
      </c>
      <c r="F441" t="s">
        <v>54</v>
      </c>
      <c r="G441" t="s">
        <v>54</v>
      </c>
      <c r="H441" t="s">
        <v>54</v>
      </c>
      <c r="I441" t="s">
        <v>54</v>
      </c>
      <c r="J441" t="s">
        <v>54</v>
      </c>
      <c r="K441" t="s">
        <v>54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323</v>
      </c>
      <c r="S441" t="s">
        <v>330</v>
      </c>
      <c r="AK441" t="s">
        <v>355</v>
      </c>
    </row>
    <row r="442" spans="1:37">
      <c r="B442" t="s">
        <v>55</v>
      </c>
      <c r="C442" t="s">
        <v>78</v>
      </c>
      <c r="D442" t="s">
        <v>55</v>
      </c>
      <c r="E442" t="s">
        <v>78</v>
      </c>
      <c r="F442" t="s">
        <v>55</v>
      </c>
      <c r="G442" t="s">
        <v>78</v>
      </c>
      <c r="H442" t="s">
        <v>55</v>
      </c>
      <c r="I442" t="s">
        <v>78</v>
      </c>
      <c r="J442" t="s">
        <v>55</v>
      </c>
      <c r="K442" t="s">
        <v>78</v>
      </c>
      <c r="L442" t="s">
        <v>55</v>
      </c>
      <c r="M442" t="s">
        <v>78</v>
      </c>
      <c r="N442" t="s">
        <v>55</v>
      </c>
      <c r="O442" t="s">
        <v>78</v>
      </c>
      <c r="P442" t="s">
        <v>55</v>
      </c>
      <c r="Q442" t="s">
        <v>78</v>
      </c>
      <c r="R442" t="s">
        <v>55</v>
      </c>
      <c r="S442" t="s">
        <v>78</v>
      </c>
      <c r="T442" t="s">
        <v>55</v>
      </c>
      <c r="U442" t="s">
        <v>78</v>
      </c>
      <c r="V442" t="s">
        <v>55</v>
      </c>
      <c r="W442" t="s">
        <v>78</v>
      </c>
      <c r="X442" t="s">
        <v>55</v>
      </c>
      <c r="Y442" t="s">
        <v>78</v>
      </c>
      <c r="Z442" t="s">
        <v>55</v>
      </c>
      <c r="AA442" t="s">
        <v>78</v>
      </c>
      <c r="AB442" t="s">
        <v>55</v>
      </c>
      <c r="AC442" t="s">
        <v>78</v>
      </c>
      <c r="AD442" t="s">
        <v>55</v>
      </c>
      <c r="AE442" t="s">
        <v>78</v>
      </c>
      <c r="AF442" t="s">
        <v>55</v>
      </c>
      <c r="AG442" t="s">
        <v>78</v>
      </c>
      <c r="AH442" t="s">
        <v>55</v>
      </c>
      <c r="AI442" t="s">
        <v>78</v>
      </c>
      <c r="AK442" t="s">
        <v>355</v>
      </c>
    </row>
    <row r="443" spans="1:37">
      <c r="B443" t="s">
        <v>56</v>
      </c>
      <c r="C443" t="s">
        <v>56</v>
      </c>
      <c r="D443" t="s">
        <v>56</v>
      </c>
      <c r="E443" t="s">
        <v>56</v>
      </c>
      <c r="F443" t="s">
        <v>56</v>
      </c>
      <c r="G443" t="s">
        <v>176</v>
      </c>
      <c r="H443" t="s">
        <v>211</v>
      </c>
      <c r="I443" t="s">
        <v>231</v>
      </c>
      <c r="J443" t="s">
        <v>250</v>
      </c>
      <c r="K443" t="s">
        <v>264</v>
      </c>
      <c r="L443" t="s">
        <v>276</v>
      </c>
      <c r="M443" t="s">
        <v>285</v>
      </c>
      <c r="N443" t="s">
        <v>295</v>
      </c>
      <c r="O443" t="s">
        <v>303</v>
      </c>
      <c r="P443" t="s">
        <v>56</v>
      </c>
      <c r="Q443" t="s">
        <v>317</v>
      </c>
      <c r="R443" t="s">
        <v>324</v>
      </c>
      <c r="S443" t="s">
        <v>331</v>
      </c>
      <c r="T443" t="s">
        <v>334</v>
      </c>
      <c r="U443" t="s">
        <v>338</v>
      </c>
      <c r="V443" t="s">
        <v>342</v>
      </c>
      <c r="W443" t="s">
        <v>346</v>
      </c>
      <c r="X443" t="s">
        <v>351</v>
      </c>
      <c r="AK443" t="s">
        <v>355</v>
      </c>
    </row>
    <row r="444" spans="1:37">
      <c r="B444" t="s">
        <v>57</v>
      </c>
      <c r="C444" t="s">
        <v>79</v>
      </c>
      <c r="D444" t="s">
        <v>98</v>
      </c>
      <c r="E444" t="s">
        <v>117</v>
      </c>
      <c r="F444" t="s">
        <v>151</v>
      </c>
      <c r="G444" t="s">
        <v>177</v>
      </c>
      <c r="H444" t="s">
        <v>212</v>
      </c>
      <c r="I444" t="s">
        <v>232</v>
      </c>
      <c r="J444" t="s">
        <v>251</v>
      </c>
      <c r="K444" t="s">
        <v>265</v>
      </c>
      <c r="L444" t="s">
        <v>277</v>
      </c>
      <c r="M444" t="s">
        <v>286</v>
      </c>
      <c r="N444" t="s">
        <v>296</v>
      </c>
      <c r="O444" t="s">
        <v>304</v>
      </c>
      <c r="P444" t="s">
        <v>311</v>
      </c>
      <c r="Q444" t="s">
        <v>318</v>
      </c>
      <c r="R444" t="s">
        <v>185</v>
      </c>
      <c r="S444" t="s">
        <v>159</v>
      </c>
      <c r="T444" t="s">
        <v>185</v>
      </c>
      <c r="U444" t="s">
        <v>339</v>
      </c>
      <c r="V444" t="s">
        <v>72</v>
      </c>
      <c r="W444" t="s">
        <v>347</v>
      </c>
      <c r="X444" t="s">
        <v>72</v>
      </c>
      <c r="Y444" t="s">
        <v>96</v>
      </c>
      <c r="AK444" t="s">
        <v>355</v>
      </c>
    </row>
    <row r="445" spans="1:37">
      <c r="B445" t="s">
        <v>58</v>
      </c>
      <c r="C445" t="s">
        <v>80</v>
      </c>
      <c r="D445" t="s">
        <v>99</v>
      </c>
      <c r="E445" t="s">
        <v>118</v>
      </c>
      <c r="F445" t="s">
        <v>152</v>
      </c>
      <c r="G445" t="s">
        <v>178</v>
      </c>
      <c r="H445" t="s">
        <v>213</v>
      </c>
      <c r="I445" t="s">
        <v>233</v>
      </c>
      <c r="J445" t="s">
        <v>252</v>
      </c>
      <c r="K445" t="s">
        <v>266</v>
      </c>
      <c r="L445" t="s">
        <v>278</v>
      </c>
      <c r="M445" t="s">
        <v>287</v>
      </c>
      <c r="N445" t="s">
        <v>297</v>
      </c>
      <c r="O445" t="s">
        <v>305</v>
      </c>
      <c r="P445" t="s">
        <v>312</v>
      </c>
      <c r="Q445" t="s">
        <v>319</v>
      </c>
      <c r="R445">
        <f>&gt;10       ветра      1.3     10   1 18</f>
        <v>0</v>
      </c>
      <c r="AK445" t="s">
        <v>355</v>
      </c>
    </row>
    <row r="446" spans="1:37">
      <c r="A446" t="s">
        <v>40</v>
      </c>
      <c r="B446" t="s">
        <v>59</v>
      </c>
      <c r="C446" t="s">
        <v>81</v>
      </c>
      <c r="D446" t="s">
        <v>100</v>
      </c>
      <c r="E446" t="s">
        <v>119</v>
      </c>
      <c r="F446" t="s">
        <v>153</v>
      </c>
      <c r="G446" t="s">
        <v>179</v>
      </c>
      <c r="H446" t="s">
        <v>214</v>
      </c>
      <c r="I446" t="s">
        <v>234</v>
      </c>
      <c r="AK446" t="s">
        <v>355</v>
      </c>
    </row>
    <row r="447" spans="1:37">
      <c r="A447" t="s">
        <v>40</v>
      </c>
      <c r="B447" t="s">
        <v>60</v>
      </c>
      <c r="C447" t="s">
        <v>82</v>
      </c>
      <c r="D447" t="s">
        <v>101</v>
      </c>
      <c r="E447" t="s">
        <v>120</v>
      </c>
      <c r="F447" t="s">
        <v>154</v>
      </c>
      <c r="G447" t="s">
        <v>180</v>
      </c>
      <c r="H447" t="s">
        <v>215</v>
      </c>
      <c r="I447" t="s">
        <v>235</v>
      </c>
      <c r="J447" t="s">
        <v>253</v>
      </c>
      <c r="K447" t="s">
        <v>267</v>
      </c>
      <c r="L447" t="s">
        <v>279</v>
      </c>
      <c r="M447" t="s">
        <v>288</v>
      </c>
      <c r="N447" t="s">
        <v>100</v>
      </c>
      <c r="O447" t="s">
        <v>306</v>
      </c>
      <c r="P447" t="s">
        <v>313</v>
      </c>
      <c r="Q447" t="s">
        <v>320</v>
      </c>
      <c r="R447" t="s">
        <v>325</v>
      </c>
      <c r="S447" t="s">
        <v>332</v>
      </c>
      <c r="T447" t="s">
        <v>119</v>
      </c>
      <c r="U447" t="s">
        <v>234</v>
      </c>
      <c r="V447" t="s">
        <v>343</v>
      </c>
      <c r="W447" t="s">
        <v>348</v>
      </c>
      <c r="X447" t="s">
        <v>352</v>
      </c>
      <c r="Y447" t="s">
        <v>354</v>
      </c>
      <c r="AK447" t="s">
        <v>355</v>
      </c>
    </row>
    <row r="448" spans="1:37">
      <c r="A448" t="s">
        <v>41</v>
      </c>
      <c r="B448" t="s">
        <v>61</v>
      </c>
      <c r="C448" t="s">
        <v>83</v>
      </c>
      <c r="D448" t="s">
        <v>102</v>
      </c>
      <c r="E448" t="s">
        <v>121</v>
      </c>
      <c r="F448" t="s">
        <v>155</v>
      </c>
      <c r="G448" t="s">
        <v>181</v>
      </c>
      <c r="H448" t="s">
        <v>216</v>
      </c>
      <c r="I448" t="s">
        <v>236</v>
      </c>
      <c r="AK448" t="s">
        <v>355</v>
      </c>
    </row>
    <row r="449" spans="1:37">
      <c r="A449" t="s">
        <v>42</v>
      </c>
      <c r="B449" t="s">
        <v>62</v>
      </c>
      <c r="C449" t="s">
        <v>84</v>
      </c>
      <c r="D449" t="s">
        <v>103</v>
      </c>
      <c r="E449" t="s">
        <v>122</v>
      </c>
      <c r="F449" t="s">
        <v>156</v>
      </c>
      <c r="G449" t="s">
        <v>182</v>
      </c>
      <c r="H449" t="s">
        <v>83</v>
      </c>
      <c r="I449" t="s">
        <v>237</v>
      </c>
      <c r="J449" t="s">
        <v>254</v>
      </c>
      <c r="K449" t="s">
        <v>268</v>
      </c>
      <c r="L449" t="s">
        <v>280</v>
      </c>
      <c r="M449" t="s">
        <v>289</v>
      </c>
      <c r="N449" t="s">
        <v>298</v>
      </c>
      <c r="O449" t="s">
        <v>307</v>
      </c>
      <c r="P449" t="s">
        <v>314</v>
      </c>
      <c r="Q449" t="s">
        <v>216</v>
      </c>
      <c r="R449" t="s">
        <v>326</v>
      </c>
      <c r="S449" t="s">
        <v>333</v>
      </c>
      <c r="T449" t="s">
        <v>335</v>
      </c>
      <c r="U449" t="s">
        <v>340</v>
      </c>
      <c r="V449" t="s">
        <v>344</v>
      </c>
      <c r="W449" t="s">
        <v>349</v>
      </c>
      <c r="AK449" t="s">
        <v>355</v>
      </c>
    </row>
    <row r="450" spans="1:37">
      <c r="A450" t="s">
        <v>43</v>
      </c>
      <c r="B450" t="s">
        <v>63</v>
      </c>
      <c r="C450" t="s">
        <v>85</v>
      </c>
      <c r="D450" t="s">
        <v>104</v>
      </c>
      <c r="E450" t="s">
        <v>123</v>
      </c>
      <c r="F450" t="s">
        <v>157</v>
      </c>
      <c r="G450" t="s">
        <v>183</v>
      </c>
      <c r="AK450" t="s">
        <v>355</v>
      </c>
    </row>
    <row r="451" spans="1:37">
      <c r="A451" t="s">
        <v>44</v>
      </c>
      <c r="B451" t="s">
        <v>64</v>
      </c>
      <c r="C451" t="s">
        <v>86</v>
      </c>
      <c r="D451" t="s">
        <v>105</v>
      </c>
      <c r="E451" t="s">
        <v>124</v>
      </c>
      <c r="F451" t="s">
        <v>158</v>
      </c>
      <c r="G451" t="s">
        <v>184</v>
      </c>
      <c r="AK451" t="s">
        <v>355</v>
      </c>
    </row>
    <row r="452" spans="1:37">
      <c r="A452" t="s">
        <v>45</v>
      </c>
      <c r="B452" t="s">
        <v>65</v>
      </c>
      <c r="C452" t="s">
        <v>87</v>
      </c>
      <c r="D452" t="s">
        <v>106</v>
      </c>
      <c r="E452" t="s">
        <v>125</v>
      </c>
      <c r="F452" t="s">
        <v>159</v>
      </c>
      <c r="G452" t="s">
        <v>185</v>
      </c>
      <c r="H452" t="s">
        <v>159</v>
      </c>
      <c r="I452" t="s">
        <v>185</v>
      </c>
      <c r="J452" t="s">
        <v>255</v>
      </c>
      <c r="AK452" t="s">
        <v>355</v>
      </c>
    </row>
    <row r="453" spans="1:37">
      <c r="A453" t="s">
        <v>46</v>
      </c>
      <c r="B453" t="s">
        <v>66</v>
      </c>
      <c r="C453" t="s">
        <v>88</v>
      </c>
      <c r="D453" t="s">
        <v>76</v>
      </c>
      <c r="E453" t="s">
        <v>126</v>
      </c>
      <c r="F453" t="s">
        <v>160</v>
      </c>
      <c r="G453" t="s">
        <v>186</v>
      </c>
      <c r="H453" t="s">
        <v>217</v>
      </c>
      <c r="I453" t="s">
        <v>238</v>
      </c>
      <c r="J453" t="s">
        <v>256</v>
      </c>
      <c r="K453" t="s">
        <v>265</v>
      </c>
      <c r="L453" t="s">
        <v>281</v>
      </c>
      <c r="M453" t="s">
        <v>290</v>
      </c>
      <c r="N453" t="s">
        <v>299</v>
      </c>
      <c r="O453" t="s">
        <v>308</v>
      </c>
      <c r="P453" t="s">
        <v>228</v>
      </c>
      <c r="Q453" t="s">
        <v>72</v>
      </c>
      <c r="R453" t="s">
        <v>327</v>
      </c>
      <c r="S453" t="s">
        <v>327</v>
      </c>
      <c r="T453" t="s">
        <v>336</v>
      </c>
      <c r="U453" t="s">
        <v>336</v>
      </c>
      <c r="V453" t="s">
        <v>336</v>
      </c>
      <c r="W453" t="s">
        <v>336</v>
      </c>
      <c r="X453" t="s">
        <v>353</v>
      </c>
      <c r="AK453" t="s">
        <v>355</v>
      </c>
    </row>
    <row r="454" spans="1:37">
      <c r="A454" t="s">
        <v>37</v>
      </c>
      <c r="B454" t="s">
        <v>49</v>
      </c>
      <c r="C454" t="s">
        <v>73</v>
      </c>
      <c r="D454" t="s">
        <v>94</v>
      </c>
      <c r="E454" t="s">
        <v>112</v>
      </c>
      <c r="F454" t="s">
        <v>146</v>
      </c>
      <c r="G454" t="s">
        <v>172</v>
      </c>
      <c r="H454" t="s">
        <v>207</v>
      </c>
      <c r="I454" t="s">
        <v>226</v>
      </c>
      <c r="J454" t="s">
        <v>246</v>
      </c>
      <c r="K454" t="s">
        <v>259</v>
      </c>
      <c r="AK454" t="s">
        <v>355</v>
      </c>
    </row>
    <row r="455" spans="1:37">
      <c r="A455" t="s">
        <v>38</v>
      </c>
      <c r="B455" t="s">
        <v>50</v>
      </c>
      <c r="C455" t="s">
        <v>74</v>
      </c>
      <c r="D455" t="s">
        <v>95</v>
      </c>
      <c r="E455" t="s">
        <v>113</v>
      </c>
      <c r="F455" t="s">
        <v>147</v>
      </c>
      <c r="G455" t="s">
        <v>173</v>
      </c>
      <c r="H455" t="s">
        <v>208</v>
      </c>
      <c r="I455" t="s">
        <v>227</v>
      </c>
      <c r="J455" t="s">
        <v>115</v>
      </c>
      <c r="K455" t="s">
        <v>260</v>
      </c>
      <c r="L455" t="s">
        <v>273</v>
      </c>
      <c r="M455" t="s">
        <v>282</v>
      </c>
      <c r="N455" t="s">
        <v>291</v>
      </c>
      <c r="AK455" t="s">
        <v>355</v>
      </c>
    </row>
    <row r="456" spans="1:37">
      <c r="B456" t="s">
        <v>51</v>
      </c>
      <c r="C456" t="s">
        <v>75</v>
      </c>
      <c r="D456" t="s">
        <v>52</v>
      </c>
      <c r="E456" t="s">
        <v>114</v>
      </c>
      <c r="F456" t="s">
        <v>148</v>
      </c>
      <c r="G456" t="s">
        <v>148</v>
      </c>
      <c r="H456" t="s">
        <v>209</v>
      </c>
      <c r="I456" t="s">
        <v>228</v>
      </c>
      <c r="J456" t="s">
        <v>247</v>
      </c>
      <c r="K456" t="s">
        <v>261</v>
      </c>
      <c r="L456" t="s">
        <v>274</v>
      </c>
      <c r="M456" t="s">
        <v>283</v>
      </c>
      <c r="N456" t="s">
        <v>292</v>
      </c>
      <c r="O456" t="s">
        <v>300</v>
      </c>
      <c r="AK456" t="s">
        <v>355</v>
      </c>
    </row>
    <row r="457" spans="1:37">
      <c r="B457" t="s">
        <v>52</v>
      </c>
      <c r="C457" t="s">
        <v>76</v>
      </c>
      <c r="D457" t="s">
        <v>96</v>
      </c>
      <c r="E457" t="s">
        <v>115</v>
      </c>
      <c r="F457" t="s">
        <v>149</v>
      </c>
      <c r="G457" t="s">
        <v>174</v>
      </c>
      <c r="H457" t="s">
        <v>96</v>
      </c>
      <c r="I457" t="s">
        <v>229</v>
      </c>
      <c r="J457" t="s">
        <v>248</v>
      </c>
      <c r="K457" t="s">
        <v>262</v>
      </c>
      <c r="L457" t="s">
        <v>52</v>
      </c>
      <c r="M457" t="s">
        <v>76</v>
      </c>
      <c r="N457" t="s">
        <v>293</v>
      </c>
      <c r="O457" t="s">
        <v>301</v>
      </c>
      <c r="P457" t="s">
        <v>309</v>
      </c>
      <c r="Q457" t="s">
        <v>315</v>
      </c>
      <c r="R457" t="s">
        <v>228</v>
      </c>
      <c r="S457" t="s">
        <v>328</v>
      </c>
      <c r="T457" t="s">
        <v>149</v>
      </c>
      <c r="U457" t="s">
        <v>337</v>
      </c>
      <c r="V457" t="s">
        <v>341</v>
      </c>
      <c r="W457" t="s">
        <v>345</v>
      </c>
      <c r="X457" t="s">
        <v>350</v>
      </c>
      <c r="AK457" t="s">
        <v>355</v>
      </c>
    </row>
    <row r="458" spans="1:37">
      <c r="B458" t="s">
        <v>53</v>
      </c>
      <c r="C458" t="s">
        <v>77</v>
      </c>
      <c r="D458" t="s">
        <v>97</v>
      </c>
      <c r="E458" t="s">
        <v>116</v>
      </c>
      <c r="F458" t="s">
        <v>150</v>
      </c>
      <c r="G458" t="s">
        <v>175</v>
      </c>
      <c r="H458" t="s">
        <v>210</v>
      </c>
      <c r="I458" t="s">
        <v>230</v>
      </c>
      <c r="J458" t="s">
        <v>249</v>
      </c>
      <c r="K458" t="s">
        <v>263</v>
      </c>
      <c r="L458" t="s">
        <v>275</v>
      </c>
      <c r="M458" t="s">
        <v>284</v>
      </c>
      <c r="N458" t="s">
        <v>294</v>
      </c>
      <c r="O458" t="s">
        <v>302</v>
      </c>
      <c r="P458" t="s">
        <v>310</v>
      </c>
      <c r="Q458" t="s">
        <v>316</v>
      </c>
      <c r="R458" t="s">
        <v>322</v>
      </c>
      <c r="S458" t="s">
        <v>329</v>
      </c>
      <c r="AK458" t="s">
        <v>355</v>
      </c>
    </row>
    <row r="459" spans="1:37">
      <c r="A459" t="s">
        <v>39</v>
      </c>
      <c r="B459" t="s">
        <v>54</v>
      </c>
      <c r="C459" t="s">
        <v>54</v>
      </c>
      <c r="D459" t="s">
        <v>54</v>
      </c>
      <c r="E459" t="s">
        <v>54</v>
      </c>
      <c r="F459" t="s">
        <v>54</v>
      </c>
      <c r="G459" t="s">
        <v>54</v>
      </c>
      <c r="H459" t="s">
        <v>54</v>
      </c>
      <c r="I459" t="s">
        <v>54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323</v>
      </c>
      <c r="S459" t="s">
        <v>330</v>
      </c>
      <c r="AK459" t="s">
        <v>355</v>
      </c>
    </row>
    <row r="460" spans="1:37">
      <c r="B460" t="s">
        <v>55</v>
      </c>
      <c r="C460" t="s">
        <v>78</v>
      </c>
      <c r="D460" t="s">
        <v>55</v>
      </c>
      <c r="E460" t="s">
        <v>78</v>
      </c>
      <c r="F460" t="s">
        <v>55</v>
      </c>
      <c r="G460" t="s">
        <v>78</v>
      </c>
      <c r="H460" t="s">
        <v>55</v>
      </c>
      <c r="I460" t="s">
        <v>78</v>
      </c>
      <c r="J460" t="s">
        <v>55</v>
      </c>
      <c r="K460" t="s">
        <v>78</v>
      </c>
      <c r="L460" t="s">
        <v>55</v>
      </c>
      <c r="M460" t="s">
        <v>78</v>
      </c>
      <c r="N460" t="s">
        <v>55</v>
      </c>
      <c r="O460" t="s">
        <v>78</v>
      </c>
      <c r="P460" t="s">
        <v>55</v>
      </c>
      <c r="Q460" t="s">
        <v>78</v>
      </c>
      <c r="R460" t="s">
        <v>55</v>
      </c>
      <c r="S460" t="s">
        <v>78</v>
      </c>
      <c r="T460" t="s">
        <v>55</v>
      </c>
      <c r="U460" t="s">
        <v>78</v>
      </c>
      <c r="V460" t="s">
        <v>55</v>
      </c>
      <c r="W460" t="s">
        <v>78</v>
      </c>
      <c r="X460" t="s">
        <v>55</v>
      </c>
      <c r="Y460" t="s">
        <v>78</v>
      </c>
      <c r="Z460" t="s">
        <v>55</v>
      </c>
      <c r="AA460" t="s">
        <v>78</v>
      </c>
      <c r="AB460" t="s">
        <v>55</v>
      </c>
      <c r="AC460" t="s">
        <v>78</v>
      </c>
      <c r="AD460" t="s">
        <v>55</v>
      </c>
      <c r="AE460" t="s">
        <v>78</v>
      </c>
      <c r="AF460" t="s">
        <v>55</v>
      </c>
      <c r="AG460" t="s">
        <v>78</v>
      </c>
      <c r="AH460" t="s">
        <v>55</v>
      </c>
      <c r="AI460" t="s">
        <v>78</v>
      </c>
      <c r="AK460" t="s">
        <v>355</v>
      </c>
    </row>
    <row r="461" spans="1:37">
      <c r="B461" t="s">
        <v>56</v>
      </c>
      <c r="C461" t="s">
        <v>56</v>
      </c>
      <c r="D461" t="s">
        <v>56</v>
      </c>
      <c r="E461" t="s">
        <v>56</v>
      </c>
      <c r="F461" t="s">
        <v>56</v>
      </c>
      <c r="G461" t="s">
        <v>176</v>
      </c>
      <c r="H461" t="s">
        <v>211</v>
      </c>
      <c r="I461" t="s">
        <v>231</v>
      </c>
      <c r="J461" t="s">
        <v>250</v>
      </c>
      <c r="K461" t="s">
        <v>264</v>
      </c>
      <c r="L461" t="s">
        <v>276</v>
      </c>
      <c r="M461" t="s">
        <v>285</v>
      </c>
      <c r="N461" t="s">
        <v>295</v>
      </c>
      <c r="O461" t="s">
        <v>303</v>
      </c>
      <c r="P461" t="s">
        <v>56</v>
      </c>
      <c r="Q461" t="s">
        <v>317</v>
      </c>
      <c r="R461" t="s">
        <v>324</v>
      </c>
      <c r="S461" t="s">
        <v>331</v>
      </c>
      <c r="T461" t="s">
        <v>334</v>
      </c>
      <c r="U461" t="s">
        <v>338</v>
      </c>
      <c r="V461" t="s">
        <v>342</v>
      </c>
      <c r="W461" t="s">
        <v>346</v>
      </c>
      <c r="X461" t="s">
        <v>351</v>
      </c>
      <c r="AK461" t="s">
        <v>355</v>
      </c>
    </row>
    <row r="462" spans="1:37">
      <c r="B462" t="s">
        <v>57</v>
      </c>
      <c r="C462" t="s">
        <v>79</v>
      </c>
      <c r="D462" t="s">
        <v>98</v>
      </c>
      <c r="E462" t="s">
        <v>117</v>
      </c>
      <c r="F462" t="s">
        <v>151</v>
      </c>
      <c r="G462" t="s">
        <v>177</v>
      </c>
      <c r="H462" t="s">
        <v>212</v>
      </c>
      <c r="I462" t="s">
        <v>232</v>
      </c>
      <c r="J462" t="s">
        <v>251</v>
      </c>
      <c r="K462" t="s">
        <v>265</v>
      </c>
      <c r="L462" t="s">
        <v>277</v>
      </c>
      <c r="M462" t="s">
        <v>286</v>
      </c>
      <c r="N462" t="s">
        <v>296</v>
      </c>
      <c r="O462" t="s">
        <v>304</v>
      </c>
      <c r="P462" t="s">
        <v>311</v>
      </c>
      <c r="Q462" t="s">
        <v>318</v>
      </c>
      <c r="R462" t="s">
        <v>185</v>
      </c>
      <c r="S462" t="s">
        <v>159</v>
      </c>
      <c r="T462" t="s">
        <v>185</v>
      </c>
      <c r="U462" t="s">
        <v>339</v>
      </c>
      <c r="V462" t="s">
        <v>72</v>
      </c>
      <c r="W462" t="s">
        <v>347</v>
      </c>
      <c r="X462" t="s">
        <v>72</v>
      </c>
      <c r="Y462" t="s">
        <v>96</v>
      </c>
      <c r="AK462" t="s">
        <v>355</v>
      </c>
    </row>
    <row r="463" spans="1:37">
      <c r="B463" t="s">
        <v>58</v>
      </c>
      <c r="C463" t="s">
        <v>80</v>
      </c>
      <c r="D463" t="s">
        <v>99</v>
      </c>
      <c r="E463" t="s">
        <v>118</v>
      </c>
      <c r="F463" t="s">
        <v>152</v>
      </c>
      <c r="G463" t="s">
        <v>178</v>
      </c>
      <c r="H463" t="s">
        <v>213</v>
      </c>
      <c r="I463" t="s">
        <v>233</v>
      </c>
      <c r="J463" t="s">
        <v>252</v>
      </c>
      <c r="K463" t="s">
        <v>266</v>
      </c>
      <c r="L463" t="s">
        <v>278</v>
      </c>
      <c r="M463" t="s">
        <v>287</v>
      </c>
      <c r="N463" t="s">
        <v>297</v>
      </c>
      <c r="O463" t="s">
        <v>305</v>
      </c>
      <c r="P463" t="s">
        <v>312</v>
      </c>
      <c r="Q463" t="s">
        <v>319</v>
      </c>
      <c r="R463">
        <f>&gt;10       ветра      1.9     11  15</f>
        <v>0</v>
      </c>
      <c r="AK463" t="s">
        <v>355</v>
      </c>
    </row>
    <row r="464" spans="1:37">
      <c r="A464" t="s">
        <v>40</v>
      </c>
      <c r="B464" t="s">
        <v>59</v>
      </c>
      <c r="C464" t="s">
        <v>81</v>
      </c>
      <c r="D464" t="s">
        <v>100</v>
      </c>
      <c r="E464" t="s">
        <v>119</v>
      </c>
      <c r="F464" t="s">
        <v>153</v>
      </c>
      <c r="G464" t="s">
        <v>179</v>
      </c>
      <c r="H464" t="s">
        <v>214</v>
      </c>
      <c r="I464" t="s">
        <v>234</v>
      </c>
      <c r="AK464" t="s">
        <v>355</v>
      </c>
    </row>
    <row r="465" spans="1:37">
      <c r="A465" t="s">
        <v>40</v>
      </c>
      <c r="B465" t="s">
        <v>60</v>
      </c>
      <c r="C465" t="s">
        <v>82</v>
      </c>
      <c r="D465" t="s">
        <v>101</v>
      </c>
      <c r="E465" t="s">
        <v>120</v>
      </c>
      <c r="F465" t="s">
        <v>154</v>
      </c>
      <c r="G465" t="s">
        <v>180</v>
      </c>
      <c r="H465" t="s">
        <v>215</v>
      </c>
      <c r="I465" t="s">
        <v>235</v>
      </c>
      <c r="J465" t="s">
        <v>253</v>
      </c>
      <c r="K465" t="s">
        <v>267</v>
      </c>
      <c r="L465" t="s">
        <v>279</v>
      </c>
      <c r="M465" t="s">
        <v>288</v>
      </c>
      <c r="N465" t="s">
        <v>100</v>
      </c>
      <c r="O465" t="s">
        <v>306</v>
      </c>
      <c r="P465" t="s">
        <v>313</v>
      </c>
      <c r="Q465" t="s">
        <v>320</v>
      </c>
      <c r="R465" t="s">
        <v>325</v>
      </c>
      <c r="S465" t="s">
        <v>332</v>
      </c>
      <c r="T465" t="s">
        <v>119</v>
      </c>
      <c r="U465" t="s">
        <v>234</v>
      </c>
      <c r="V465" t="s">
        <v>343</v>
      </c>
      <c r="W465" t="s">
        <v>348</v>
      </c>
      <c r="X465" t="s">
        <v>352</v>
      </c>
      <c r="Y465" t="s">
        <v>354</v>
      </c>
      <c r="AK465" t="s">
        <v>355</v>
      </c>
    </row>
    <row r="466" spans="1:37">
      <c r="A466" t="s">
        <v>41</v>
      </c>
      <c r="B466" t="s">
        <v>61</v>
      </c>
      <c r="C466" t="s">
        <v>83</v>
      </c>
      <c r="D466" t="s">
        <v>102</v>
      </c>
      <c r="E466" t="s">
        <v>121</v>
      </c>
      <c r="F466" t="s">
        <v>155</v>
      </c>
      <c r="G466" t="s">
        <v>181</v>
      </c>
      <c r="H466" t="s">
        <v>216</v>
      </c>
      <c r="I466" t="s">
        <v>236</v>
      </c>
      <c r="AK466" t="s">
        <v>355</v>
      </c>
    </row>
    <row r="467" spans="1:37">
      <c r="A467" t="s">
        <v>42</v>
      </c>
      <c r="B467" t="s">
        <v>62</v>
      </c>
      <c r="C467" t="s">
        <v>84</v>
      </c>
      <c r="D467" t="s">
        <v>103</v>
      </c>
      <c r="E467" t="s">
        <v>122</v>
      </c>
      <c r="F467" t="s">
        <v>156</v>
      </c>
      <c r="G467" t="s">
        <v>182</v>
      </c>
      <c r="H467" t="s">
        <v>83</v>
      </c>
      <c r="I467" t="s">
        <v>237</v>
      </c>
      <c r="J467" t="s">
        <v>254</v>
      </c>
      <c r="K467" t="s">
        <v>268</v>
      </c>
      <c r="L467" t="s">
        <v>280</v>
      </c>
      <c r="M467" t="s">
        <v>289</v>
      </c>
      <c r="N467" t="s">
        <v>298</v>
      </c>
      <c r="O467" t="s">
        <v>307</v>
      </c>
      <c r="P467" t="s">
        <v>314</v>
      </c>
      <c r="Q467" t="s">
        <v>216</v>
      </c>
      <c r="R467" t="s">
        <v>326</v>
      </c>
      <c r="S467" t="s">
        <v>333</v>
      </c>
      <c r="T467" t="s">
        <v>335</v>
      </c>
      <c r="U467" t="s">
        <v>340</v>
      </c>
      <c r="V467" t="s">
        <v>344</v>
      </c>
      <c r="W467" t="s">
        <v>349</v>
      </c>
      <c r="AK467" t="s">
        <v>355</v>
      </c>
    </row>
    <row r="468" spans="1:37">
      <c r="A468" t="s">
        <v>43</v>
      </c>
      <c r="B468" t="s">
        <v>63</v>
      </c>
      <c r="C468" t="s">
        <v>85</v>
      </c>
      <c r="D468" t="s">
        <v>104</v>
      </c>
      <c r="E468" t="s">
        <v>123</v>
      </c>
      <c r="F468" t="s">
        <v>157</v>
      </c>
      <c r="G468" t="s">
        <v>183</v>
      </c>
      <c r="AK468" t="s">
        <v>355</v>
      </c>
    </row>
    <row r="469" spans="1:37">
      <c r="A469" t="s">
        <v>44</v>
      </c>
      <c r="B469" t="s">
        <v>64</v>
      </c>
      <c r="C469" t="s">
        <v>86</v>
      </c>
      <c r="D469" t="s">
        <v>105</v>
      </c>
      <c r="E469" t="s">
        <v>124</v>
      </c>
      <c r="F469" t="s">
        <v>158</v>
      </c>
      <c r="G469" t="s">
        <v>184</v>
      </c>
      <c r="AK469" t="s">
        <v>355</v>
      </c>
    </row>
    <row r="470" spans="1:37">
      <c r="A470" t="s">
        <v>45</v>
      </c>
      <c r="B470" t="s">
        <v>65</v>
      </c>
      <c r="C470" t="s">
        <v>87</v>
      </c>
      <c r="D470" t="s">
        <v>106</v>
      </c>
      <c r="E470" t="s">
        <v>125</v>
      </c>
      <c r="F470" t="s">
        <v>159</v>
      </c>
      <c r="G470" t="s">
        <v>185</v>
      </c>
      <c r="H470" t="s">
        <v>159</v>
      </c>
      <c r="I470" t="s">
        <v>185</v>
      </c>
      <c r="J470" t="s">
        <v>255</v>
      </c>
      <c r="AK470" t="s">
        <v>355</v>
      </c>
    </row>
    <row r="471" spans="1:37">
      <c r="A471" t="s">
        <v>46</v>
      </c>
      <c r="B471" t="s">
        <v>66</v>
      </c>
      <c r="C471" t="s">
        <v>88</v>
      </c>
      <c r="D471" t="s">
        <v>76</v>
      </c>
      <c r="E471" t="s">
        <v>126</v>
      </c>
      <c r="F471" t="s">
        <v>160</v>
      </c>
      <c r="G471" t="s">
        <v>186</v>
      </c>
      <c r="H471" t="s">
        <v>217</v>
      </c>
      <c r="I471" t="s">
        <v>238</v>
      </c>
      <c r="J471" t="s">
        <v>256</v>
      </c>
      <c r="K471" t="s">
        <v>265</v>
      </c>
      <c r="L471" t="s">
        <v>281</v>
      </c>
      <c r="M471" t="s">
        <v>290</v>
      </c>
      <c r="N471" t="s">
        <v>299</v>
      </c>
      <c r="O471" t="s">
        <v>308</v>
      </c>
      <c r="P471" t="s">
        <v>228</v>
      </c>
      <c r="Q471" t="s">
        <v>72</v>
      </c>
      <c r="R471" t="s">
        <v>327</v>
      </c>
      <c r="S471" t="s">
        <v>327</v>
      </c>
      <c r="T471" t="s">
        <v>336</v>
      </c>
      <c r="U471" t="s">
        <v>336</v>
      </c>
      <c r="V471" t="s">
        <v>336</v>
      </c>
      <c r="W471" t="s">
        <v>336</v>
      </c>
      <c r="X471" t="s">
        <v>353</v>
      </c>
      <c r="AK471" t="s">
        <v>355</v>
      </c>
    </row>
    <row r="472" spans="1:37">
      <c r="A472" t="s">
        <v>37</v>
      </c>
      <c r="B472" t="s">
        <v>49</v>
      </c>
      <c r="C472" t="s">
        <v>73</v>
      </c>
      <c r="D472" t="s">
        <v>94</v>
      </c>
      <c r="E472" t="s">
        <v>112</v>
      </c>
      <c r="F472" t="s">
        <v>146</v>
      </c>
      <c r="G472" t="s">
        <v>172</v>
      </c>
      <c r="H472" t="s">
        <v>207</v>
      </c>
      <c r="I472" t="s">
        <v>226</v>
      </c>
      <c r="J472" t="s">
        <v>246</v>
      </c>
      <c r="K472" t="s">
        <v>259</v>
      </c>
      <c r="AK472" t="s">
        <v>355</v>
      </c>
    </row>
    <row r="473" spans="1:37">
      <c r="A473" t="s">
        <v>38</v>
      </c>
      <c r="B473" t="s">
        <v>50</v>
      </c>
      <c r="C473" t="s">
        <v>74</v>
      </c>
      <c r="D473" t="s">
        <v>95</v>
      </c>
      <c r="E473" t="s">
        <v>113</v>
      </c>
      <c r="F473" t="s">
        <v>147</v>
      </c>
      <c r="G473" t="s">
        <v>173</v>
      </c>
      <c r="H473" t="s">
        <v>208</v>
      </c>
      <c r="I473" t="s">
        <v>227</v>
      </c>
      <c r="J473" t="s">
        <v>115</v>
      </c>
      <c r="K473" t="s">
        <v>260</v>
      </c>
      <c r="L473" t="s">
        <v>273</v>
      </c>
      <c r="M473" t="s">
        <v>282</v>
      </c>
      <c r="N473" t="s">
        <v>291</v>
      </c>
      <c r="AK473" t="s">
        <v>355</v>
      </c>
    </row>
    <row r="474" spans="1:37">
      <c r="B474" t="s">
        <v>51</v>
      </c>
      <c r="C474" t="s">
        <v>75</v>
      </c>
      <c r="D474" t="s">
        <v>52</v>
      </c>
      <c r="E474" t="s">
        <v>114</v>
      </c>
      <c r="F474" t="s">
        <v>148</v>
      </c>
      <c r="G474" t="s">
        <v>148</v>
      </c>
      <c r="H474" t="s">
        <v>209</v>
      </c>
      <c r="I474" t="s">
        <v>228</v>
      </c>
      <c r="J474" t="s">
        <v>247</v>
      </c>
      <c r="K474" t="s">
        <v>261</v>
      </c>
      <c r="L474" t="s">
        <v>274</v>
      </c>
      <c r="M474" t="s">
        <v>283</v>
      </c>
      <c r="N474" t="s">
        <v>292</v>
      </c>
      <c r="O474" t="s">
        <v>300</v>
      </c>
      <c r="AK474" t="s">
        <v>355</v>
      </c>
    </row>
    <row r="475" spans="1:37">
      <c r="B475" t="s">
        <v>52</v>
      </c>
      <c r="C475" t="s">
        <v>76</v>
      </c>
      <c r="D475" t="s">
        <v>96</v>
      </c>
      <c r="E475" t="s">
        <v>115</v>
      </c>
      <c r="F475" t="s">
        <v>149</v>
      </c>
      <c r="G475" t="s">
        <v>174</v>
      </c>
      <c r="H475" t="s">
        <v>96</v>
      </c>
      <c r="I475" t="s">
        <v>229</v>
      </c>
      <c r="J475" t="s">
        <v>248</v>
      </c>
      <c r="K475" t="s">
        <v>262</v>
      </c>
      <c r="L475" t="s">
        <v>52</v>
      </c>
      <c r="M475" t="s">
        <v>76</v>
      </c>
      <c r="N475" t="s">
        <v>293</v>
      </c>
      <c r="O475" t="s">
        <v>301</v>
      </c>
      <c r="P475" t="s">
        <v>309</v>
      </c>
      <c r="Q475" t="s">
        <v>315</v>
      </c>
      <c r="R475" t="s">
        <v>228</v>
      </c>
      <c r="S475" t="s">
        <v>328</v>
      </c>
      <c r="T475" t="s">
        <v>149</v>
      </c>
      <c r="U475" t="s">
        <v>337</v>
      </c>
      <c r="V475" t="s">
        <v>341</v>
      </c>
      <c r="W475" t="s">
        <v>345</v>
      </c>
      <c r="X475" t="s">
        <v>350</v>
      </c>
      <c r="AK475" t="s">
        <v>355</v>
      </c>
    </row>
    <row r="476" spans="1:37">
      <c r="B476" t="s">
        <v>53</v>
      </c>
      <c r="C476" t="s">
        <v>77</v>
      </c>
      <c r="D476" t="s">
        <v>97</v>
      </c>
      <c r="E476" t="s">
        <v>116</v>
      </c>
      <c r="F476" t="s">
        <v>150</v>
      </c>
      <c r="G476" t="s">
        <v>175</v>
      </c>
      <c r="H476" t="s">
        <v>210</v>
      </c>
      <c r="I476" t="s">
        <v>230</v>
      </c>
      <c r="J476" t="s">
        <v>249</v>
      </c>
      <c r="K476" t="s">
        <v>263</v>
      </c>
      <c r="L476" t="s">
        <v>275</v>
      </c>
      <c r="M476" t="s">
        <v>284</v>
      </c>
      <c r="N476" t="s">
        <v>294</v>
      </c>
      <c r="O476" t="s">
        <v>302</v>
      </c>
      <c r="P476" t="s">
        <v>310</v>
      </c>
      <c r="Q476" t="s">
        <v>316</v>
      </c>
      <c r="R476" t="s">
        <v>322</v>
      </c>
      <c r="S476" t="s">
        <v>329</v>
      </c>
      <c r="AK476" t="s">
        <v>355</v>
      </c>
    </row>
    <row r="477" spans="1:37">
      <c r="A477" t="s">
        <v>39</v>
      </c>
      <c r="B477" t="s">
        <v>54</v>
      </c>
      <c r="C477" t="s">
        <v>54</v>
      </c>
      <c r="D477" t="s">
        <v>54</v>
      </c>
      <c r="E477" t="s">
        <v>54</v>
      </c>
      <c r="F477" t="s">
        <v>54</v>
      </c>
      <c r="G477" t="s">
        <v>54</v>
      </c>
      <c r="H477" t="s">
        <v>54</v>
      </c>
      <c r="I477" t="s">
        <v>54</v>
      </c>
      <c r="J477" t="s">
        <v>54</v>
      </c>
      <c r="K477" t="s">
        <v>54</v>
      </c>
      <c r="L477" t="s">
        <v>54</v>
      </c>
      <c r="M477" t="s">
        <v>54</v>
      </c>
      <c r="N477" t="s">
        <v>54</v>
      </c>
      <c r="O477" t="s">
        <v>54</v>
      </c>
      <c r="P477" t="s">
        <v>54</v>
      </c>
      <c r="Q477" t="s">
        <v>54</v>
      </c>
      <c r="R477" t="s">
        <v>323</v>
      </c>
      <c r="S477" t="s">
        <v>330</v>
      </c>
      <c r="AK477" t="s">
        <v>355</v>
      </c>
    </row>
    <row r="478" spans="1:37">
      <c r="B478" t="s">
        <v>55</v>
      </c>
      <c r="C478" t="s">
        <v>78</v>
      </c>
      <c r="D478" t="s">
        <v>55</v>
      </c>
      <c r="E478" t="s">
        <v>78</v>
      </c>
      <c r="F478" t="s">
        <v>55</v>
      </c>
      <c r="G478" t="s">
        <v>78</v>
      </c>
      <c r="H478" t="s">
        <v>55</v>
      </c>
      <c r="I478" t="s">
        <v>78</v>
      </c>
      <c r="J478" t="s">
        <v>55</v>
      </c>
      <c r="K478" t="s">
        <v>78</v>
      </c>
      <c r="L478" t="s">
        <v>55</v>
      </c>
      <c r="M478" t="s">
        <v>78</v>
      </c>
      <c r="N478" t="s">
        <v>55</v>
      </c>
      <c r="O478" t="s">
        <v>78</v>
      </c>
      <c r="P478" t="s">
        <v>55</v>
      </c>
      <c r="Q478" t="s">
        <v>78</v>
      </c>
      <c r="R478" t="s">
        <v>55</v>
      </c>
      <c r="S478" t="s">
        <v>78</v>
      </c>
      <c r="T478" t="s">
        <v>55</v>
      </c>
      <c r="U478" t="s">
        <v>78</v>
      </c>
      <c r="V478" t="s">
        <v>55</v>
      </c>
      <c r="W478" t="s">
        <v>78</v>
      </c>
      <c r="X478" t="s">
        <v>55</v>
      </c>
      <c r="Y478" t="s">
        <v>78</v>
      </c>
      <c r="Z478" t="s">
        <v>55</v>
      </c>
      <c r="AA478" t="s">
        <v>78</v>
      </c>
      <c r="AB478" t="s">
        <v>55</v>
      </c>
      <c r="AC478" t="s">
        <v>78</v>
      </c>
      <c r="AD478" t="s">
        <v>55</v>
      </c>
      <c r="AE478" t="s">
        <v>78</v>
      </c>
      <c r="AF478" t="s">
        <v>55</v>
      </c>
      <c r="AG478" t="s">
        <v>78</v>
      </c>
      <c r="AH478" t="s">
        <v>55</v>
      </c>
      <c r="AI478" t="s">
        <v>78</v>
      </c>
      <c r="AK478" t="s">
        <v>355</v>
      </c>
    </row>
    <row r="479" spans="1:37">
      <c r="B479" t="s">
        <v>56</v>
      </c>
      <c r="C479" t="s">
        <v>56</v>
      </c>
      <c r="D479" t="s">
        <v>56</v>
      </c>
      <c r="E479" t="s">
        <v>56</v>
      </c>
      <c r="F479" t="s">
        <v>56</v>
      </c>
      <c r="G479" t="s">
        <v>176</v>
      </c>
      <c r="H479" t="s">
        <v>211</v>
      </c>
      <c r="I479" t="s">
        <v>231</v>
      </c>
      <c r="J479" t="s">
        <v>250</v>
      </c>
      <c r="K479" t="s">
        <v>264</v>
      </c>
      <c r="L479" t="s">
        <v>276</v>
      </c>
      <c r="M479" t="s">
        <v>285</v>
      </c>
      <c r="N479" t="s">
        <v>295</v>
      </c>
      <c r="O479" t="s">
        <v>303</v>
      </c>
      <c r="P479" t="s">
        <v>56</v>
      </c>
      <c r="Q479" t="s">
        <v>317</v>
      </c>
      <c r="R479" t="s">
        <v>324</v>
      </c>
      <c r="S479" t="s">
        <v>331</v>
      </c>
      <c r="T479" t="s">
        <v>334</v>
      </c>
      <c r="U479" t="s">
        <v>338</v>
      </c>
      <c r="V479" t="s">
        <v>342</v>
      </c>
      <c r="W479" t="s">
        <v>346</v>
      </c>
      <c r="X479" t="s">
        <v>351</v>
      </c>
      <c r="AK479" t="s">
        <v>355</v>
      </c>
    </row>
    <row r="480" spans="1:37">
      <c r="B480" t="s">
        <v>57</v>
      </c>
      <c r="C480" t="s">
        <v>79</v>
      </c>
      <c r="D480" t="s">
        <v>98</v>
      </c>
      <c r="E480" t="s">
        <v>117</v>
      </c>
      <c r="F480" t="s">
        <v>151</v>
      </c>
      <c r="G480" t="s">
        <v>177</v>
      </c>
      <c r="H480" t="s">
        <v>212</v>
      </c>
      <c r="I480" t="s">
        <v>232</v>
      </c>
      <c r="J480" t="s">
        <v>251</v>
      </c>
      <c r="K480" t="s">
        <v>265</v>
      </c>
      <c r="L480" t="s">
        <v>277</v>
      </c>
      <c r="M480" t="s">
        <v>286</v>
      </c>
      <c r="N480" t="s">
        <v>296</v>
      </c>
      <c r="O480" t="s">
        <v>304</v>
      </c>
      <c r="P480" t="s">
        <v>311</v>
      </c>
      <c r="Q480" t="s">
        <v>318</v>
      </c>
      <c r="R480" t="s">
        <v>185</v>
      </c>
      <c r="S480" t="s">
        <v>159</v>
      </c>
      <c r="T480" t="s">
        <v>185</v>
      </c>
      <c r="U480" t="s">
        <v>339</v>
      </c>
      <c r="V480" t="s">
        <v>72</v>
      </c>
      <c r="W480" t="s">
        <v>347</v>
      </c>
      <c r="X480" t="s">
        <v>72</v>
      </c>
      <c r="Y480" t="s">
        <v>96</v>
      </c>
      <c r="AK480" t="s">
        <v>355</v>
      </c>
    </row>
    <row r="481" spans="1:37">
      <c r="B481" t="s">
        <v>58</v>
      </c>
      <c r="C481" t="s">
        <v>80</v>
      </c>
      <c r="D481" t="s">
        <v>99</v>
      </c>
      <c r="E481" t="s">
        <v>118</v>
      </c>
      <c r="F481" t="s">
        <v>152</v>
      </c>
      <c r="G481" t="s">
        <v>178</v>
      </c>
      <c r="H481" t="s">
        <v>213</v>
      </c>
      <c r="I481" t="s">
        <v>233</v>
      </c>
      <c r="J481" t="s">
        <v>252</v>
      </c>
      <c r="K481" t="s">
        <v>266</v>
      </c>
      <c r="L481" t="s">
        <v>278</v>
      </c>
      <c r="M481" t="s">
        <v>287</v>
      </c>
      <c r="N481" t="s">
        <v>297</v>
      </c>
      <c r="O481" t="s">
        <v>305</v>
      </c>
      <c r="P481" t="s">
        <v>312</v>
      </c>
      <c r="Q481" t="s">
        <v>319</v>
      </c>
      <c r="R481">
        <f>&gt;10       ветра      1.5     11   2</f>
        <v>0</v>
      </c>
      <c r="AK481" t="s">
        <v>355</v>
      </c>
    </row>
    <row r="482" spans="1:37">
      <c r="A482" t="s">
        <v>40</v>
      </c>
      <c r="B482" t="s">
        <v>59</v>
      </c>
      <c r="C482" t="s">
        <v>81</v>
      </c>
      <c r="D482" t="s">
        <v>100</v>
      </c>
      <c r="E482" t="s">
        <v>119</v>
      </c>
      <c r="F482" t="s">
        <v>153</v>
      </c>
      <c r="G482" t="s">
        <v>179</v>
      </c>
      <c r="H482" t="s">
        <v>214</v>
      </c>
      <c r="I482" t="s">
        <v>234</v>
      </c>
      <c r="AK482" t="s">
        <v>355</v>
      </c>
    </row>
    <row r="483" spans="1:37">
      <c r="A483" t="s">
        <v>40</v>
      </c>
      <c r="B483" t="s">
        <v>60</v>
      </c>
      <c r="C483" t="s">
        <v>82</v>
      </c>
      <c r="D483" t="s">
        <v>101</v>
      </c>
      <c r="E483" t="s">
        <v>120</v>
      </c>
      <c r="F483" t="s">
        <v>154</v>
      </c>
      <c r="G483" t="s">
        <v>180</v>
      </c>
      <c r="H483" t="s">
        <v>215</v>
      </c>
      <c r="I483" t="s">
        <v>235</v>
      </c>
      <c r="J483" t="s">
        <v>253</v>
      </c>
      <c r="K483" t="s">
        <v>267</v>
      </c>
      <c r="L483" t="s">
        <v>279</v>
      </c>
      <c r="M483" t="s">
        <v>288</v>
      </c>
      <c r="N483" t="s">
        <v>100</v>
      </c>
      <c r="O483" t="s">
        <v>306</v>
      </c>
      <c r="P483" t="s">
        <v>313</v>
      </c>
      <c r="Q483" t="s">
        <v>320</v>
      </c>
      <c r="R483" t="s">
        <v>325</v>
      </c>
      <c r="S483" t="s">
        <v>332</v>
      </c>
      <c r="T483" t="s">
        <v>119</v>
      </c>
      <c r="U483" t="s">
        <v>234</v>
      </c>
      <c r="V483" t="s">
        <v>343</v>
      </c>
      <c r="W483" t="s">
        <v>348</v>
      </c>
      <c r="X483" t="s">
        <v>352</v>
      </c>
      <c r="Y483" t="s">
        <v>354</v>
      </c>
      <c r="AK483" t="s">
        <v>355</v>
      </c>
    </row>
    <row r="484" spans="1:37">
      <c r="A484" t="s">
        <v>41</v>
      </c>
      <c r="B484" t="s">
        <v>61</v>
      </c>
      <c r="C484" t="s">
        <v>83</v>
      </c>
      <c r="D484" t="s">
        <v>102</v>
      </c>
      <c r="E484" t="s">
        <v>121</v>
      </c>
      <c r="F484" t="s">
        <v>155</v>
      </c>
      <c r="G484" t="s">
        <v>181</v>
      </c>
      <c r="H484" t="s">
        <v>216</v>
      </c>
      <c r="I484" t="s">
        <v>236</v>
      </c>
      <c r="AK484" t="s">
        <v>355</v>
      </c>
    </row>
    <row r="485" spans="1:37">
      <c r="A485" t="s">
        <v>42</v>
      </c>
      <c r="B485" t="s">
        <v>62</v>
      </c>
      <c r="C485" t="s">
        <v>84</v>
      </c>
      <c r="D485" t="s">
        <v>103</v>
      </c>
      <c r="E485" t="s">
        <v>122</v>
      </c>
      <c r="F485" t="s">
        <v>156</v>
      </c>
      <c r="G485" t="s">
        <v>182</v>
      </c>
      <c r="H485" t="s">
        <v>83</v>
      </c>
      <c r="I485" t="s">
        <v>237</v>
      </c>
      <c r="J485" t="s">
        <v>254</v>
      </c>
      <c r="K485" t="s">
        <v>268</v>
      </c>
      <c r="L485" t="s">
        <v>280</v>
      </c>
      <c r="M485" t="s">
        <v>289</v>
      </c>
      <c r="N485" t="s">
        <v>298</v>
      </c>
      <c r="O485" t="s">
        <v>307</v>
      </c>
      <c r="P485" t="s">
        <v>314</v>
      </c>
      <c r="Q485" t="s">
        <v>216</v>
      </c>
      <c r="R485" t="s">
        <v>326</v>
      </c>
      <c r="S485" t="s">
        <v>333</v>
      </c>
      <c r="T485" t="s">
        <v>335</v>
      </c>
      <c r="U485" t="s">
        <v>340</v>
      </c>
      <c r="V485" t="s">
        <v>344</v>
      </c>
      <c r="W485" t="s">
        <v>349</v>
      </c>
      <c r="AK485" t="s">
        <v>355</v>
      </c>
    </row>
    <row r="486" spans="1:37">
      <c r="A486" t="s">
        <v>43</v>
      </c>
      <c r="B486" t="s">
        <v>63</v>
      </c>
      <c r="C486" t="s">
        <v>85</v>
      </c>
      <c r="D486" t="s">
        <v>104</v>
      </c>
      <c r="E486" t="s">
        <v>123</v>
      </c>
      <c r="F486" t="s">
        <v>157</v>
      </c>
      <c r="G486" t="s">
        <v>183</v>
      </c>
      <c r="AK486" t="s">
        <v>355</v>
      </c>
    </row>
    <row r="487" spans="1:37">
      <c r="A487" t="s">
        <v>44</v>
      </c>
      <c r="B487" t="s">
        <v>64</v>
      </c>
      <c r="C487" t="s">
        <v>86</v>
      </c>
      <c r="D487" t="s">
        <v>105</v>
      </c>
      <c r="E487" t="s">
        <v>124</v>
      </c>
      <c r="F487" t="s">
        <v>158</v>
      </c>
      <c r="G487" t="s">
        <v>184</v>
      </c>
      <c r="AK487" t="s">
        <v>355</v>
      </c>
    </row>
    <row r="488" spans="1:37">
      <c r="A488" t="s">
        <v>45</v>
      </c>
      <c r="B488" t="s">
        <v>65</v>
      </c>
      <c r="C488" t="s">
        <v>87</v>
      </c>
      <c r="D488" t="s">
        <v>106</v>
      </c>
      <c r="E488" t="s">
        <v>125</v>
      </c>
      <c r="F488" t="s">
        <v>159</v>
      </c>
      <c r="G488" t="s">
        <v>185</v>
      </c>
      <c r="H488" t="s">
        <v>159</v>
      </c>
      <c r="I488" t="s">
        <v>185</v>
      </c>
      <c r="J488" t="s">
        <v>255</v>
      </c>
      <c r="AK488" t="s">
        <v>355</v>
      </c>
    </row>
    <row r="489" spans="1:37">
      <c r="A489" t="s">
        <v>46</v>
      </c>
      <c r="B489" t="s">
        <v>66</v>
      </c>
      <c r="C489" t="s">
        <v>88</v>
      </c>
      <c r="D489" t="s">
        <v>76</v>
      </c>
      <c r="E489" t="s">
        <v>126</v>
      </c>
      <c r="F489" t="s">
        <v>160</v>
      </c>
      <c r="G489" t="s">
        <v>186</v>
      </c>
      <c r="H489" t="s">
        <v>217</v>
      </c>
      <c r="I489" t="s">
        <v>238</v>
      </c>
      <c r="J489" t="s">
        <v>256</v>
      </c>
      <c r="K489" t="s">
        <v>265</v>
      </c>
      <c r="L489" t="s">
        <v>281</v>
      </c>
      <c r="M489" t="s">
        <v>290</v>
      </c>
      <c r="N489" t="s">
        <v>299</v>
      </c>
      <c r="O489" t="s">
        <v>308</v>
      </c>
      <c r="P489" t="s">
        <v>228</v>
      </c>
      <c r="Q489" t="s">
        <v>72</v>
      </c>
      <c r="R489" t="s">
        <v>327</v>
      </c>
      <c r="S489" t="s">
        <v>327</v>
      </c>
      <c r="T489" t="s">
        <v>336</v>
      </c>
      <c r="U489" t="s">
        <v>336</v>
      </c>
      <c r="V489" t="s">
        <v>336</v>
      </c>
      <c r="W489" t="s">
        <v>336</v>
      </c>
      <c r="X489" t="s">
        <v>353</v>
      </c>
      <c r="AK489" t="s">
        <v>355</v>
      </c>
    </row>
    <row r="490" spans="1:37">
      <c r="A490" t="s">
        <v>37</v>
      </c>
      <c r="B490" t="s">
        <v>49</v>
      </c>
      <c r="C490" t="s">
        <v>73</v>
      </c>
      <c r="D490" t="s">
        <v>94</v>
      </c>
      <c r="E490" t="s">
        <v>112</v>
      </c>
      <c r="F490" t="s">
        <v>146</v>
      </c>
      <c r="G490" t="s">
        <v>172</v>
      </c>
      <c r="H490" t="s">
        <v>207</v>
      </c>
      <c r="I490" t="s">
        <v>226</v>
      </c>
      <c r="J490" t="s">
        <v>246</v>
      </c>
      <c r="K490" t="s">
        <v>259</v>
      </c>
      <c r="AK490" t="s">
        <v>355</v>
      </c>
    </row>
    <row r="491" spans="1:37">
      <c r="A491" t="s">
        <v>38</v>
      </c>
      <c r="B491" t="s">
        <v>50</v>
      </c>
      <c r="C491" t="s">
        <v>74</v>
      </c>
      <c r="D491" t="s">
        <v>95</v>
      </c>
      <c r="E491" t="s">
        <v>113</v>
      </c>
      <c r="F491" t="s">
        <v>147</v>
      </c>
      <c r="G491" t="s">
        <v>173</v>
      </c>
      <c r="H491" t="s">
        <v>208</v>
      </c>
      <c r="I491" t="s">
        <v>227</v>
      </c>
      <c r="J491" t="s">
        <v>115</v>
      </c>
      <c r="K491" t="s">
        <v>260</v>
      </c>
      <c r="L491" t="s">
        <v>273</v>
      </c>
      <c r="M491" t="s">
        <v>282</v>
      </c>
      <c r="N491" t="s">
        <v>291</v>
      </c>
      <c r="AK491" t="s">
        <v>355</v>
      </c>
    </row>
    <row r="492" spans="1:37">
      <c r="B492" t="s">
        <v>51</v>
      </c>
      <c r="C492" t="s">
        <v>75</v>
      </c>
      <c r="D492" t="s">
        <v>52</v>
      </c>
      <c r="E492" t="s">
        <v>114</v>
      </c>
      <c r="F492" t="s">
        <v>148</v>
      </c>
      <c r="G492" t="s">
        <v>148</v>
      </c>
      <c r="H492" t="s">
        <v>209</v>
      </c>
      <c r="I492" t="s">
        <v>228</v>
      </c>
      <c r="J492" t="s">
        <v>247</v>
      </c>
      <c r="K492" t="s">
        <v>261</v>
      </c>
      <c r="L492" t="s">
        <v>274</v>
      </c>
      <c r="M492" t="s">
        <v>283</v>
      </c>
      <c r="N492" t="s">
        <v>292</v>
      </c>
      <c r="O492" t="s">
        <v>300</v>
      </c>
      <c r="AK492" t="s">
        <v>355</v>
      </c>
    </row>
    <row r="493" spans="1:37">
      <c r="B493" t="s">
        <v>52</v>
      </c>
      <c r="C493" t="s">
        <v>76</v>
      </c>
      <c r="D493" t="s">
        <v>96</v>
      </c>
      <c r="E493" t="s">
        <v>115</v>
      </c>
      <c r="F493" t="s">
        <v>149</v>
      </c>
      <c r="G493" t="s">
        <v>174</v>
      </c>
      <c r="H493" t="s">
        <v>96</v>
      </c>
      <c r="I493" t="s">
        <v>229</v>
      </c>
      <c r="J493" t="s">
        <v>248</v>
      </c>
      <c r="K493" t="s">
        <v>262</v>
      </c>
      <c r="L493" t="s">
        <v>52</v>
      </c>
      <c r="M493" t="s">
        <v>76</v>
      </c>
      <c r="N493" t="s">
        <v>293</v>
      </c>
      <c r="O493" t="s">
        <v>301</v>
      </c>
      <c r="P493" t="s">
        <v>309</v>
      </c>
      <c r="Q493" t="s">
        <v>315</v>
      </c>
      <c r="R493" t="s">
        <v>228</v>
      </c>
      <c r="S493" t="s">
        <v>328</v>
      </c>
      <c r="T493" t="s">
        <v>149</v>
      </c>
      <c r="U493" t="s">
        <v>337</v>
      </c>
      <c r="V493" t="s">
        <v>341</v>
      </c>
      <c r="W493" t="s">
        <v>345</v>
      </c>
      <c r="X493" t="s">
        <v>350</v>
      </c>
      <c r="AK493" t="s">
        <v>355</v>
      </c>
    </row>
    <row r="494" spans="1:37">
      <c r="B494" t="s">
        <v>53</v>
      </c>
      <c r="C494" t="s">
        <v>77</v>
      </c>
      <c r="D494" t="s">
        <v>97</v>
      </c>
      <c r="E494" t="s">
        <v>116</v>
      </c>
      <c r="F494" t="s">
        <v>150</v>
      </c>
      <c r="G494" t="s">
        <v>175</v>
      </c>
      <c r="H494" t="s">
        <v>210</v>
      </c>
      <c r="I494" t="s">
        <v>230</v>
      </c>
      <c r="J494" t="s">
        <v>249</v>
      </c>
      <c r="K494" t="s">
        <v>263</v>
      </c>
      <c r="L494" t="s">
        <v>275</v>
      </c>
      <c r="M494" t="s">
        <v>284</v>
      </c>
      <c r="N494" t="s">
        <v>294</v>
      </c>
      <c r="O494" t="s">
        <v>302</v>
      </c>
      <c r="P494" t="s">
        <v>310</v>
      </c>
      <c r="Q494" t="s">
        <v>316</v>
      </c>
      <c r="R494" t="s">
        <v>322</v>
      </c>
      <c r="S494" t="s">
        <v>329</v>
      </c>
      <c r="AK494" t="s">
        <v>355</v>
      </c>
    </row>
    <row r="495" spans="1:37">
      <c r="A495" t="s">
        <v>39</v>
      </c>
      <c r="B495" t="s">
        <v>54</v>
      </c>
      <c r="C495" t="s">
        <v>54</v>
      </c>
      <c r="D495" t="s">
        <v>54</v>
      </c>
      <c r="E495" t="s">
        <v>54</v>
      </c>
      <c r="F495" t="s">
        <v>54</v>
      </c>
      <c r="G495" t="s">
        <v>54</v>
      </c>
      <c r="H495" t="s">
        <v>54</v>
      </c>
      <c r="I495" t="s">
        <v>54</v>
      </c>
      <c r="J495" t="s">
        <v>54</v>
      </c>
      <c r="K495" t="s">
        <v>54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323</v>
      </c>
      <c r="S495" t="s">
        <v>330</v>
      </c>
      <c r="AK495" t="s">
        <v>355</v>
      </c>
    </row>
    <row r="496" spans="1:37">
      <c r="B496" t="s">
        <v>55</v>
      </c>
      <c r="C496" t="s">
        <v>78</v>
      </c>
      <c r="D496" t="s">
        <v>55</v>
      </c>
      <c r="E496" t="s">
        <v>78</v>
      </c>
      <c r="F496" t="s">
        <v>55</v>
      </c>
      <c r="G496" t="s">
        <v>78</v>
      </c>
      <c r="H496" t="s">
        <v>55</v>
      </c>
      <c r="I496" t="s">
        <v>78</v>
      </c>
      <c r="J496" t="s">
        <v>55</v>
      </c>
      <c r="K496" t="s">
        <v>78</v>
      </c>
      <c r="L496" t="s">
        <v>55</v>
      </c>
      <c r="M496" t="s">
        <v>78</v>
      </c>
      <c r="N496" t="s">
        <v>55</v>
      </c>
      <c r="O496" t="s">
        <v>78</v>
      </c>
      <c r="P496" t="s">
        <v>55</v>
      </c>
      <c r="Q496" t="s">
        <v>78</v>
      </c>
      <c r="R496" t="s">
        <v>55</v>
      </c>
      <c r="S496" t="s">
        <v>78</v>
      </c>
      <c r="T496" t="s">
        <v>55</v>
      </c>
      <c r="U496" t="s">
        <v>78</v>
      </c>
      <c r="V496" t="s">
        <v>55</v>
      </c>
      <c r="W496" t="s">
        <v>78</v>
      </c>
      <c r="X496" t="s">
        <v>55</v>
      </c>
      <c r="Y496" t="s">
        <v>78</v>
      </c>
      <c r="Z496" t="s">
        <v>55</v>
      </c>
      <c r="AA496" t="s">
        <v>78</v>
      </c>
      <c r="AB496" t="s">
        <v>55</v>
      </c>
      <c r="AC496" t="s">
        <v>78</v>
      </c>
      <c r="AD496" t="s">
        <v>55</v>
      </c>
      <c r="AE496" t="s">
        <v>78</v>
      </c>
      <c r="AF496" t="s">
        <v>55</v>
      </c>
      <c r="AG496" t="s">
        <v>78</v>
      </c>
      <c r="AH496" t="s">
        <v>55</v>
      </c>
      <c r="AI496" t="s">
        <v>78</v>
      </c>
      <c r="AK496" t="s">
        <v>355</v>
      </c>
    </row>
    <row r="497" spans="1:37">
      <c r="B497" t="s">
        <v>56</v>
      </c>
      <c r="C497" t="s">
        <v>56</v>
      </c>
      <c r="D497" t="s">
        <v>56</v>
      </c>
      <c r="E497" t="s">
        <v>56</v>
      </c>
      <c r="F497" t="s">
        <v>56</v>
      </c>
      <c r="G497" t="s">
        <v>176</v>
      </c>
      <c r="H497" t="s">
        <v>211</v>
      </c>
      <c r="I497" t="s">
        <v>231</v>
      </c>
      <c r="J497" t="s">
        <v>250</v>
      </c>
      <c r="K497" t="s">
        <v>264</v>
      </c>
      <c r="L497" t="s">
        <v>276</v>
      </c>
      <c r="M497" t="s">
        <v>285</v>
      </c>
      <c r="N497" t="s">
        <v>295</v>
      </c>
      <c r="O497" t="s">
        <v>303</v>
      </c>
      <c r="P497" t="s">
        <v>56</v>
      </c>
      <c r="Q497" t="s">
        <v>317</v>
      </c>
      <c r="R497" t="s">
        <v>324</v>
      </c>
      <c r="S497" t="s">
        <v>331</v>
      </c>
      <c r="T497" t="s">
        <v>334</v>
      </c>
      <c r="U497" t="s">
        <v>338</v>
      </c>
      <c r="V497" t="s">
        <v>342</v>
      </c>
      <c r="W497" t="s">
        <v>346</v>
      </c>
      <c r="X497" t="s">
        <v>351</v>
      </c>
      <c r="AK497" t="s">
        <v>355</v>
      </c>
    </row>
    <row r="498" spans="1:37">
      <c r="B498" t="s">
        <v>57</v>
      </c>
      <c r="C498" t="s">
        <v>79</v>
      </c>
      <c r="D498" t="s">
        <v>98</v>
      </c>
      <c r="E498" t="s">
        <v>117</v>
      </c>
      <c r="F498" t="s">
        <v>151</v>
      </c>
      <c r="G498" t="s">
        <v>177</v>
      </c>
      <c r="H498" t="s">
        <v>212</v>
      </c>
      <c r="I498" t="s">
        <v>232</v>
      </c>
      <c r="J498" t="s">
        <v>251</v>
      </c>
      <c r="K498" t="s">
        <v>265</v>
      </c>
      <c r="L498" t="s">
        <v>277</v>
      </c>
      <c r="M498" t="s">
        <v>286</v>
      </c>
      <c r="N498" t="s">
        <v>296</v>
      </c>
      <c r="O498" t="s">
        <v>304</v>
      </c>
      <c r="P498" t="s">
        <v>311</v>
      </c>
      <c r="Q498" t="s">
        <v>318</v>
      </c>
      <c r="R498" t="s">
        <v>185</v>
      </c>
      <c r="S498" t="s">
        <v>159</v>
      </c>
      <c r="T498" t="s">
        <v>185</v>
      </c>
      <c r="U498" t="s">
        <v>339</v>
      </c>
      <c r="V498" t="s">
        <v>72</v>
      </c>
      <c r="W498" t="s">
        <v>347</v>
      </c>
      <c r="X498" t="s">
        <v>72</v>
      </c>
      <c r="Y498" t="s">
        <v>96</v>
      </c>
      <c r="AK498" t="s">
        <v>355</v>
      </c>
    </row>
    <row r="499" spans="1:37">
      <c r="B499" t="s">
        <v>58</v>
      </c>
      <c r="C499" t="s">
        <v>80</v>
      </c>
      <c r="D499" t="s">
        <v>99</v>
      </c>
      <c r="E499" t="s">
        <v>118</v>
      </c>
      <c r="F499" t="s">
        <v>152</v>
      </c>
      <c r="G499" t="s">
        <v>178</v>
      </c>
      <c r="H499" t="s">
        <v>213</v>
      </c>
      <c r="I499" t="s">
        <v>233</v>
      </c>
      <c r="J499" t="s">
        <v>252</v>
      </c>
      <c r="K499" t="s">
        <v>266</v>
      </c>
      <c r="L499" t="s">
        <v>278</v>
      </c>
      <c r="M499" t="s">
        <v>287</v>
      </c>
      <c r="N499" t="s">
        <v>297</v>
      </c>
      <c r="O499" t="s">
        <v>305</v>
      </c>
      <c r="P499" t="s">
        <v>312</v>
      </c>
      <c r="Q499" t="s">
        <v>319</v>
      </c>
      <c r="R499">
        <f>&gt;10       ветра      0.1      4   3 24</f>
        <v>0</v>
      </c>
      <c r="AK499" t="s">
        <v>355</v>
      </c>
    </row>
    <row r="500" spans="1:37">
      <c r="A500" t="s">
        <v>40</v>
      </c>
      <c r="B500" t="s">
        <v>59</v>
      </c>
      <c r="C500" t="s">
        <v>81</v>
      </c>
      <c r="D500" t="s">
        <v>100</v>
      </c>
      <c r="E500" t="s">
        <v>119</v>
      </c>
      <c r="F500" t="s">
        <v>153</v>
      </c>
      <c r="G500" t="s">
        <v>179</v>
      </c>
      <c r="H500" t="s">
        <v>214</v>
      </c>
      <c r="I500" t="s">
        <v>234</v>
      </c>
      <c r="AK500" t="s">
        <v>355</v>
      </c>
    </row>
    <row r="501" spans="1:37">
      <c r="A501" t="s">
        <v>40</v>
      </c>
      <c r="B501" t="s">
        <v>60</v>
      </c>
      <c r="C501" t="s">
        <v>82</v>
      </c>
      <c r="D501" t="s">
        <v>101</v>
      </c>
      <c r="E501" t="s">
        <v>120</v>
      </c>
      <c r="F501" t="s">
        <v>154</v>
      </c>
      <c r="G501" t="s">
        <v>180</v>
      </c>
      <c r="H501" t="s">
        <v>215</v>
      </c>
      <c r="I501" t="s">
        <v>235</v>
      </c>
      <c r="J501" t="s">
        <v>253</v>
      </c>
      <c r="K501" t="s">
        <v>267</v>
      </c>
      <c r="L501" t="s">
        <v>279</v>
      </c>
      <c r="M501" t="s">
        <v>288</v>
      </c>
      <c r="N501" t="s">
        <v>100</v>
      </c>
      <c r="O501" t="s">
        <v>306</v>
      </c>
      <c r="P501" t="s">
        <v>313</v>
      </c>
      <c r="Q501" t="s">
        <v>320</v>
      </c>
      <c r="R501" t="s">
        <v>325</v>
      </c>
      <c r="S501" t="s">
        <v>332</v>
      </c>
      <c r="T501" t="s">
        <v>119</v>
      </c>
      <c r="U501" t="s">
        <v>234</v>
      </c>
      <c r="V501" t="s">
        <v>343</v>
      </c>
      <c r="W501" t="s">
        <v>348</v>
      </c>
      <c r="X501" t="s">
        <v>352</v>
      </c>
      <c r="Y501" t="s">
        <v>354</v>
      </c>
      <c r="AK501" t="s">
        <v>355</v>
      </c>
    </row>
    <row r="502" spans="1:37">
      <c r="A502" t="s">
        <v>41</v>
      </c>
      <c r="B502" t="s">
        <v>61</v>
      </c>
      <c r="C502" t="s">
        <v>83</v>
      </c>
      <c r="D502" t="s">
        <v>102</v>
      </c>
      <c r="E502" t="s">
        <v>121</v>
      </c>
      <c r="F502" t="s">
        <v>155</v>
      </c>
      <c r="G502" t="s">
        <v>181</v>
      </c>
      <c r="H502" t="s">
        <v>216</v>
      </c>
      <c r="I502" t="s">
        <v>236</v>
      </c>
      <c r="AK502" t="s">
        <v>355</v>
      </c>
    </row>
    <row r="503" spans="1:37">
      <c r="A503" t="s">
        <v>42</v>
      </c>
      <c r="B503" t="s">
        <v>62</v>
      </c>
      <c r="C503" t="s">
        <v>84</v>
      </c>
      <c r="D503" t="s">
        <v>103</v>
      </c>
      <c r="E503" t="s">
        <v>122</v>
      </c>
      <c r="F503" t="s">
        <v>156</v>
      </c>
      <c r="G503" t="s">
        <v>182</v>
      </c>
      <c r="H503" t="s">
        <v>83</v>
      </c>
      <c r="I503" t="s">
        <v>237</v>
      </c>
      <c r="J503" t="s">
        <v>254</v>
      </c>
      <c r="K503" t="s">
        <v>268</v>
      </c>
      <c r="L503" t="s">
        <v>280</v>
      </c>
      <c r="M503" t="s">
        <v>289</v>
      </c>
      <c r="N503" t="s">
        <v>298</v>
      </c>
      <c r="O503" t="s">
        <v>307</v>
      </c>
      <c r="P503" t="s">
        <v>314</v>
      </c>
      <c r="Q503" t="s">
        <v>216</v>
      </c>
      <c r="R503" t="s">
        <v>326</v>
      </c>
      <c r="S503" t="s">
        <v>333</v>
      </c>
      <c r="T503" t="s">
        <v>335</v>
      </c>
      <c r="U503" t="s">
        <v>340</v>
      </c>
      <c r="V503" t="s">
        <v>344</v>
      </c>
      <c r="W503" t="s">
        <v>349</v>
      </c>
      <c r="AK503" t="s">
        <v>355</v>
      </c>
    </row>
    <row r="504" spans="1:37">
      <c r="A504" t="s">
        <v>43</v>
      </c>
      <c r="B504" t="s">
        <v>63</v>
      </c>
      <c r="C504" t="s">
        <v>85</v>
      </c>
      <c r="D504" t="s">
        <v>104</v>
      </c>
      <c r="E504" t="s">
        <v>123</v>
      </c>
      <c r="F504" t="s">
        <v>157</v>
      </c>
      <c r="G504" t="s">
        <v>183</v>
      </c>
      <c r="AK504" t="s">
        <v>355</v>
      </c>
    </row>
    <row r="505" spans="1:37">
      <c r="A505" t="s">
        <v>44</v>
      </c>
      <c r="B505" t="s">
        <v>64</v>
      </c>
      <c r="C505" t="s">
        <v>86</v>
      </c>
      <c r="D505" t="s">
        <v>105</v>
      </c>
      <c r="E505" t="s">
        <v>124</v>
      </c>
      <c r="F505" t="s">
        <v>158</v>
      </c>
      <c r="G505" t="s">
        <v>184</v>
      </c>
      <c r="AK505" t="s">
        <v>355</v>
      </c>
    </row>
    <row r="506" spans="1:37">
      <c r="A506" t="s">
        <v>45</v>
      </c>
      <c r="B506" t="s">
        <v>65</v>
      </c>
      <c r="C506" t="s">
        <v>87</v>
      </c>
      <c r="D506" t="s">
        <v>106</v>
      </c>
      <c r="E506" t="s">
        <v>125</v>
      </c>
      <c r="F506" t="s">
        <v>159</v>
      </c>
      <c r="G506" t="s">
        <v>185</v>
      </c>
      <c r="H506" t="s">
        <v>159</v>
      </c>
      <c r="I506" t="s">
        <v>185</v>
      </c>
      <c r="J506" t="s">
        <v>255</v>
      </c>
      <c r="AK506" t="s">
        <v>355</v>
      </c>
    </row>
    <row r="507" spans="1:37">
      <c r="A507" t="s">
        <v>46</v>
      </c>
      <c r="B507" t="s">
        <v>66</v>
      </c>
      <c r="C507" t="s">
        <v>88</v>
      </c>
      <c r="D507" t="s">
        <v>76</v>
      </c>
      <c r="E507" t="s">
        <v>126</v>
      </c>
      <c r="F507" t="s">
        <v>160</v>
      </c>
      <c r="G507" t="s">
        <v>186</v>
      </c>
      <c r="H507" t="s">
        <v>217</v>
      </c>
      <c r="I507" t="s">
        <v>238</v>
      </c>
      <c r="J507" t="s">
        <v>256</v>
      </c>
      <c r="K507" t="s">
        <v>265</v>
      </c>
      <c r="L507" t="s">
        <v>281</v>
      </c>
      <c r="M507" t="s">
        <v>290</v>
      </c>
      <c r="N507" t="s">
        <v>299</v>
      </c>
      <c r="O507" t="s">
        <v>308</v>
      </c>
      <c r="P507" t="s">
        <v>228</v>
      </c>
      <c r="Q507" t="s">
        <v>72</v>
      </c>
      <c r="R507" t="s">
        <v>327</v>
      </c>
      <c r="S507" t="s">
        <v>327</v>
      </c>
      <c r="T507" t="s">
        <v>336</v>
      </c>
      <c r="U507" t="s">
        <v>336</v>
      </c>
      <c r="V507" t="s">
        <v>336</v>
      </c>
      <c r="W507" t="s">
        <v>336</v>
      </c>
      <c r="X507" t="s">
        <v>353</v>
      </c>
      <c r="AK507" t="s">
        <v>355</v>
      </c>
    </row>
    <row r="508" spans="1:37">
      <c r="A508" t="s">
        <v>37</v>
      </c>
      <c r="B508" t="s">
        <v>49</v>
      </c>
      <c r="C508" t="s">
        <v>73</v>
      </c>
      <c r="D508" t="s">
        <v>94</v>
      </c>
      <c r="E508" t="s">
        <v>112</v>
      </c>
      <c r="F508" t="s">
        <v>146</v>
      </c>
      <c r="G508" t="s">
        <v>172</v>
      </c>
      <c r="H508" t="s">
        <v>207</v>
      </c>
      <c r="I508" t="s">
        <v>226</v>
      </c>
      <c r="J508" t="s">
        <v>246</v>
      </c>
      <c r="K508" t="s">
        <v>259</v>
      </c>
      <c r="AK508" t="s">
        <v>355</v>
      </c>
    </row>
    <row r="509" spans="1:37">
      <c r="A509" t="s">
        <v>38</v>
      </c>
      <c r="B509" t="s">
        <v>50</v>
      </c>
      <c r="C509" t="s">
        <v>74</v>
      </c>
      <c r="D509" t="s">
        <v>95</v>
      </c>
      <c r="E509" t="s">
        <v>113</v>
      </c>
      <c r="F509" t="s">
        <v>147</v>
      </c>
      <c r="G509" t="s">
        <v>173</v>
      </c>
      <c r="H509" t="s">
        <v>208</v>
      </c>
      <c r="I509" t="s">
        <v>227</v>
      </c>
      <c r="J509" t="s">
        <v>115</v>
      </c>
      <c r="K509" t="s">
        <v>260</v>
      </c>
      <c r="L509" t="s">
        <v>273</v>
      </c>
      <c r="M509" t="s">
        <v>282</v>
      </c>
      <c r="N509" t="s">
        <v>291</v>
      </c>
      <c r="AK509" t="s">
        <v>355</v>
      </c>
    </row>
    <row r="510" spans="1:37">
      <c r="B510" t="s">
        <v>51</v>
      </c>
      <c r="C510" t="s">
        <v>75</v>
      </c>
      <c r="D510" t="s">
        <v>52</v>
      </c>
      <c r="E510" t="s">
        <v>114</v>
      </c>
      <c r="F510" t="s">
        <v>148</v>
      </c>
      <c r="G510" t="s">
        <v>148</v>
      </c>
      <c r="H510" t="s">
        <v>209</v>
      </c>
      <c r="I510" t="s">
        <v>228</v>
      </c>
      <c r="J510" t="s">
        <v>247</v>
      </c>
      <c r="K510" t="s">
        <v>261</v>
      </c>
      <c r="L510" t="s">
        <v>274</v>
      </c>
      <c r="M510" t="s">
        <v>283</v>
      </c>
      <c r="N510" t="s">
        <v>292</v>
      </c>
      <c r="O510" t="s">
        <v>300</v>
      </c>
      <c r="AK510" t="s">
        <v>355</v>
      </c>
    </row>
    <row r="511" spans="1:37">
      <c r="B511" t="s">
        <v>52</v>
      </c>
      <c r="C511" t="s">
        <v>76</v>
      </c>
      <c r="D511" t="s">
        <v>96</v>
      </c>
      <c r="E511" t="s">
        <v>115</v>
      </c>
      <c r="F511" t="s">
        <v>149</v>
      </c>
      <c r="G511" t="s">
        <v>174</v>
      </c>
      <c r="H511" t="s">
        <v>96</v>
      </c>
      <c r="I511" t="s">
        <v>229</v>
      </c>
      <c r="J511" t="s">
        <v>248</v>
      </c>
      <c r="K511" t="s">
        <v>262</v>
      </c>
      <c r="L511" t="s">
        <v>52</v>
      </c>
      <c r="M511" t="s">
        <v>76</v>
      </c>
      <c r="N511" t="s">
        <v>293</v>
      </c>
      <c r="O511" t="s">
        <v>301</v>
      </c>
      <c r="P511" t="s">
        <v>309</v>
      </c>
      <c r="Q511" t="s">
        <v>315</v>
      </c>
      <c r="R511" t="s">
        <v>228</v>
      </c>
      <c r="S511" t="s">
        <v>328</v>
      </c>
      <c r="T511" t="s">
        <v>149</v>
      </c>
      <c r="U511" t="s">
        <v>337</v>
      </c>
      <c r="V511" t="s">
        <v>341</v>
      </c>
      <c r="W511" t="s">
        <v>345</v>
      </c>
      <c r="X511" t="s">
        <v>350</v>
      </c>
      <c r="AK511" t="s">
        <v>355</v>
      </c>
    </row>
    <row r="512" spans="1:37">
      <c r="B512" t="s">
        <v>53</v>
      </c>
      <c r="C512" t="s">
        <v>77</v>
      </c>
      <c r="D512" t="s">
        <v>97</v>
      </c>
      <c r="E512" t="s">
        <v>116</v>
      </c>
      <c r="F512" t="s">
        <v>150</v>
      </c>
      <c r="G512" t="s">
        <v>175</v>
      </c>
      <c r="H512" t="s">
        <v>210</v>
      </c>
      <c r="I512" t="s">
        <v>230</v>
      </c>
      <c r="J512" t="s">
        <v>249</v>
      </c>
      <c r="K512" t="s">
        <v>263</v>
      </c>
      <c r="L512" t="s">
        <v>275</v>
      </c>
      <c r="M512" t="s">
        <v>284</v>
      </c>
      <c r="N512" t="s">
        <v>294</v>
      </c>
      <c r="O512" t="s">
        <v>302</v>
      </c>
      <c r="P512" t="s">
        <v>310</v>
      </c>
      <c r="Q512" t="s">
        <v>316</v>
      </c>
      <c r="R512" t="s">
        <v>322</v>
      </c>
      <c r="S512" t="s">
        <v>329</v>
      </c>
      <c r="AK512" t="s">
        <v>355</v>
      </c>
    </row>
    <row r="513" spans="1:37">
      <c r="A513" t="s">
        <v>39</v>
      </c>
      <c r="B513" t="s">
        <v>54</v>
      </c>
      <c r="C513" t="s">
        <v>54</v>
      </c>
      <c r="D513" t="s">
        <v>54</v>
      </c>
      <c r="E513" t="s">
        <v>54</v>
      </c>
      <c r="F513" t="s">
        <v>54</v>
      </c>
      <c r="G513" t="s">
        <v>54</v>
      </c>
      <c r="H513" t="s">
        <v>54</v>
      </c>
      <c r="I513" t="s">
        <v>54</v>
      </c>
      <c r="J513" t="s">
        <v>54</v>
      </c>
      <c r="K513" t="s">
        <v>54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323</v>
      </c>
      <c r="S513" t="s">
        <v>330</v>
      </c>
      <c r="AK513" t="s">
        <v>355</v>
      </c>
    </row>
    <row r="514" spans="1:37">
      <c r="B514" t="s">
        <v>55</v>
      </c>
      <c r="C514" t="s">
        <v>78</v>
      </c>
      <c r="D514" t="s">
        <v>55</v>
      </c>
      <c r="E514" t="s">
        <v>78</v>
      </c>
      <c r="F514" t="s">
        <v>55</v>
      </c>
      <c r="G514" t="s">
        <v>78</v>
      </c>
      <c r="H514" t="s">
        <v>55</v>
      </c>
      <c r="I514" t="s">
        <v>78</v>
      </c>
      <c r="J514" t="s">
        <v>55</v>
      </c>
      <c r="K514" t="s">
        <v>78</v>
      </c>
      <c r="L514" t="s">
        <v>55</v>
      </c>
      <c r="M514" t="s">
        <v>78</v>
      </c>
      <c r="N514" t="s">
        <v>55</v>
      </c>
      <c r="O514" t="s">
        <v>78</v>
      </c>
      <c r="P514" t="s">
        <v>55</v>
      </c>
      <c r="Q514" t="s">
        <v>78</v>
      </c>
      <c r="R514" t="s">
        <v>55</v>
      </c>
      <c r="S514" t="s">
        <v>78</v>
      </c>
      <c r="T514" t="s">
        <v>55</v>
      </c>
      <c r="U514" t="s">
        <v>78</v>
      </c>
      <c r="V514" t="s">
        <v>55</v>
      </c>
      <c r="W514" t="s">
        <v>78</v>
      </c>
      <c r="X514" t="s">
        <v>55</v>
      </c>
      <c r="Y514" t="s">
        <v>78</v>
      </c>
      <c r="Z514" t="s">
        <v>55</v>
      </c>
      <c r="AA514" t="s">
        <v>78</v>
      </c>
      <c r="AB514" t="s">
        <v>55</v>
      </c>
      <c r="AC514" t="s">
        <v>78</v>
      </c>
      <c r="AD514" t="s">
        <v>55</v>
      </c>
      <c r="AE514" t="s">
        <v>78</v>
      </c>
      <c r="AF514" t="s">
        <v>55</v>
      </c>
      <c r="AG514" t="s">
        <v>78</v>
      </c>
      <c r="AH514" t="s">
        <v>55</v>
      </c>
      <c r="AI514" t="s">
        <v>78</v>
      </c>
      <c r="AK514" t="s">
        <v>355</v>
      </c>
    </row>
    <row r="515" spans="1:37">
      <c r="B515" t="s">
        <v>56</v>
      </c>
      <c r="C515" t="s">
        <v>56</v>
      </c>
      <c r="D515" t="s">
        <v>56</v>
      </c>
      <c r="E515" t="s">
        <v>56</v>
      </c>
      <c r="F515" t="s">
        <v>56</v>
      </c>
      <c r="G515" t="s">
        <v>176</v>
      </c>
      <c r="H515" t="s">
        <v>211</v>
      </c>
      <c r="I515" t="s">
        <v>231</v>
      </c>
      <c r="J515" t="s">
        <v>250</v>
      </c>
      <c r="K515" t="s">
        <v>264</v>
      </c>
      <c r="L515" t="s">
        <v>276</v>
      </c>
      <c r="M515" t="s">
        <v>285</v>
      </c>
      <c r="N515" t="s">
        <v>295</v>
      </c>
      <c r="O515" t="s">
        <v>303</v>
      </c>
      <c r="P515" t="s">
        <v>56</v>
      </c>
      <c r="Q515" t="s">
        <v>317</v>
      </c>
      <c r="R515" t="s">
        <v>324</v>
      </c>
      <c r="S515" t="s">
        <v>331</v>
      </c>
      <c r="T515" t="s">
        <v>334</v>
      </c>
      <c r="U515" t="s">
        <v>338</v>
      </c>
      <c r="V515" t="s">
        <v>342</v>
      </c>
      <c r="W515" t="s">
        <v>346</v>
      </c>
      <c r="X515" t="s">
        <v>351</v>
      </c>
      <c r="AK515" t="s">
        <v>355</v>
      </c>
    </row>
    <row r="516" spans="1:37">
      <c r="B516" t="s">
        <v>57</v>
      </c>
      <c r="C516" t="s">
        <v>79</v>
      </c>
      <c r="D516" t="s">
        <v>98</v>
      </c>
      <c r="E516" t="s">
        <v>117</v>
      </c>
      <c r="F516" t="s">
        <v>151</v>
      </c>
      <c r="G516" t="s">
        <v>177</v>
      </c>
      <c r="H516" t="s">
        <v>212</v>
      </c>
      <c r="I516" t="s">
        <v>232</v>
      </c>
      <c r="J516" t="s">
        <v>251</v>
      </c>
      <c r="K516" t="s">
        <v>265</v>
      </c>
      <c r="L516" t="s">
        <v>277</v>
      </c>
      <c r="M516" t="s">
        <v>286</v>
      </c>
      <c r="N516" t="s">
        <v>296</v>
      </c>
      <c r="O516" t="s">
        <v>304</v>
      </c>
      <c r="P516" t="s">
        <v>311</v>
      </c>
      <c r="Q516" t="s">
        <v>318</v>
      </c>
      <c r="R516" t="s">
        <v>185</v>
      </c>
      <c r="S516" t="s">
        <v>159</v>
      </c>
      <c r="T516" t="s">
        <v>185</v>
      </c>
      <c r="U516" t="s">
        <v>339</v>
      </c>
      <c r="V516" t="s">
        <v>72</v>
      </c>
      <c r="W516" t="s">
        <v>347</v>
      </c>
      <c r="X516" t="s">
        <v>72</v>
      </c>
      <c r="Y516" t="s">
        <v>96</v>
      </c>
      <c r="AK516" t="s">
        <v>355</v>
      </c>
    </row>
    <row r="517" spans="1:37">
      <c r="B517" t="s">
        <v>58</v>
      </c>
      <c r="C517" t="s">
        <v>80</v>
      </c>
      <c r="D517" t="s">
        <v>99</v>
      </c>
      <c r="E517" t="s">
        <v>118</v>
      </c>
      <c r="F517" t="s">
        <v>152</v>
      </c>
      <c r="G517" t="s">
        <v>178</v>
      </c>
      <c r="H517" t="s">
        <v>213</v>
      </c>
      <c r="I517" t="s">
        <v>233</v>
      </c>
      <c r="J517" t="s">
        <v>252</v>
      </c>
      <c r="K517" t="s">
        <v>266</v>
      </c>
      <c r="L517" t="s">
        <v>278</v>
      </c>
      <c r="M517" t="s">
        <v>287</v>
      </c>
      <c r="N517" t="s">
        <v>297</v>
      </c>
      <c r="O517" t="s">
        <v>305</v>
      </c>
      <c r="P517" t="s">
        <v>312</v>
      </c>
      <c r="Q517" t="s">
        <v>319</v>
      </c>
      <c r="R517">
        <f>&gt;10       ветра      0.4     10  22</f>
        <v>0</v>
      </c>
      <c r="AK517" t="s">
        <v>355</v>
      </c>
    </row>
    <row r="518" spans="1:37">
      <c r="A518" t="s">
        <v>40</v>
      </c>
      <c r="B518" t="s">
        <v>59</v>
      </c>
      <c r="C518" t="s">
        <v>81</v>
      </c>
      <c r="D518" t="s">
        <v>100</v>
      </c>
      <c r="E518" t="s">
        <v>119</v>
      </c>
      <c r="F518" t="s">
        <v>153</v>
      </c>
      <c r="G518" t="s">
        <v>179</v>
      </c>
      <c r="H518" t="s">
        <v>214</v>
      </c>
      <c r="I518" t="s">
        <v>234</v>
      </c>
      <c r="AK518" t="s">
        <v>355</v>
      </c>
    </row>
    <row r="519" spans="1:37">
      <c r="A519" t="s">
        <v>40</v>
      </c>
      <c r="B519" t="s">
        <v>60</v>
      </c>
      <c r="C519" t="s">
        <v>82</v>
      </c>
      <c r="D519" t="s">
        <v>101</v>
      </c>
      <c r="E519" t="s">
        <v>120</v>
      </c>
      <c r="F519" t="s">
        <v>154</v>
      </c>
      <c r="G519" t="s">
        <v>180</v>
      </c>
      <c r="H519" t="s">
        <v>215</v>
      </c>
      <c r="I519" t="s">
        <v>235</v>
      </c>
      <c r="J519" t="s">
        <v>253</v>
      </c>
      <c r="K519" t="s">
        <v>267</v>
      </c>
      <c r="L519" t="s">
        <v>279</v>
      </c>
      <c r="M519" t="s">
        <v>288</v>
      </c>
      <c r="N519" t="s">
        <v>100</v>
      </c>
      <c r="O519" t="s">
        <v>306</v>
      </c>
      <c r="P519" t="s">
        <v>313</v>
      </c>
      <c r="Q519" t="s">
        <v>320</v>
      </c>
      <c r="R519" t="s">
        <v>325</v>
      </c>
      <c r="S519" t="s">
        <v>332</v>
      </c>
      <c r="T519" t="s">
        <v>119</v>
      </c>
      <c r="U519" t="s">
        <v>234</v>
      </c>
      <c r="V519" t="s">
        <v>343</v>
      </c>
      <c r="W519" t="s">
        <v>348</v>
      </c>
      <c r="X519" t="s">
        <v>352</v>
      </c>
      <c r="Y519" t="s">
        <v>354</v>
      </c>
      <c r="AK519" t="s">
        <v>355</v>
      </c>
    </row>
    <row r="520" spans="1:37">
      <c r="A520" t="s">
        <v>41</v>
      </c>
      <c r="B520" t="s">
        <v>61</v>
      </c>
      <c r="C520" t="s">
        <v>83</v>
      </c>
      <c r="D520" t="s">
        <v>102</v>
      </c>
      <c r="E520" t="s">
        <v>121</v>
      </c>
      <c r="F520" t="s">
        <v>155</v>
      </c>
      <c r="G520" t="s">
        <v>181</v>
      </c>
      <c r="H520" t="s">
        <v>216</v>
      </c>
      <c r="I520" t="s">
        <v>236</v>
      </c>
      <c r="AK520" t="s">
        <v>355</v>
      </c>
    </row>
    <row r="521" spans="1:37">
      <c r="A521" t="s">
        <v>42</v>
      </c>
      <c r="B521" t="s">
        <v>62</v>
      </c>
      <c r="C521" t="s">
        <v>84</v>
      </c>
      <c r="D521" t="s">
        <v>103</v>
      </c>
      <c r="E521" t="s">
        <v>122</v>
      </c>
      <c r="F521" t="s">
        <v>156</v>
      </c>
      <c r="G521" t="s">
        <v>182</v>
      </c>
      <c r="H521" t="s">
        <v>83</v>
      </c>
      <c r="I521" t="s">
        <v>237</v>
      </c>
      <c r="J521" t="s">
        <v>254</v>
      </c>
      <c r="K521" t="s">
        <v>268</v>
      </c>
      <c r="L521" t="s">
        <v>280</v>
      </c>
      <c r="M521" t="s">
        <v>289</v>
      </c>
      <c r="N521" t="s">
        <v>298</v>
      </c>
      <c r="O521" t="s">
        <v>307</v>
      </c>
      <c r="P521" t="s">
        <v>314</v>
      </c>
      <c r="Q521" t="s">
        <v>216</v>
      </c>
      <c r="R521" t="s">
        <v>326</v>
      </c>
      <c r="S521" t="s">
        <v>333</v>
      </c>
      <c r="T521" t="s">
        <v>335</v>
      </c>
      <c r="U521" t="s">
        <v>340</v>
      </c>
      <c r="V521" t="s">
        <v>344</v>
      </c>
      <c r="W521" t="s">
        <v>349</v>
      </c>
      <c r="AK521" t="s">
        <v>355</v>
      </c>
    </row>
    <row r="522" spans="1:37">
      <c r="A522" t="s">
        <v>43</v>
      </c>
      <c r="B522" t="s">
        <v>63</v>
      </c>
      <c r="C522" t="s">
        <v>85</v>
      </c>
      <c r="D522" t="s">
        <v>104</v>
      </c>
      <c r="E522" t="s">
        <v>123</v>
      </c>
      <c r="F522" t="s">
        <v>157</v>
      </c>
      <c r="G522" t="s">
        <v>183</v>
      </c>
      <c r="AK522" t="s">
        <v>355</v>
      </c>
    </row>
    <row r="523" spans="1:37">
      <c r="A523" t="s">
        <v>44</v>
      </c>
      <c r="B523" t="s">
        <v>64</v>
      </c>
      <c r="C523" t="s">
        <v>86</v>
      </c>
      <c r="D523" t="s">
        <v>105</v>
      </c>
      <c r="E523" t="s">
        <v>124</v>
      </c>
      <c r="F523" t="s">
        <v>158</v>
      </c>
      <c r="G523" t="s">
        <v>184</v>
      </c>
      <c r="AK523" t="s">
        <v>355</v>
      </c>
    </row>
    <row r="524" spans="1:37">
      <c r="A524" t="s">
        <v>45</v>
      </c>
      <c r="B524" t="s">
        <v>65</v>
      </c>
      <c r="C524" t="s">
        <v>87</v>
      </c>
      <c r="D524" t="s">
        <v>106</v>
      </c>
      <c r="E524" t="s">
        <v>125</v>
      </c>
      <c r="F524" t="s">
        <v>159</v>
      </c>
      <c r="G524" t="s">
        <v>185</v>
      </c>
      <c r="H524" t="s">
        <v>159</v>
      </c>
      <c r="I524" t="s">
        <v>185</v>
      </c>
      <c r="J524" t="s">
        <v>255</v>
      </c>
      <c r="AK524" t="s">
        <v>355</v>
      </c>
    </row>
    <row r="525" spans="1:37">
      <c r="A525" t="s">
        <v>46</v>
      </c>
      <c r="B525" t="s">
        <v>66</v>
      </c>
      <c r="C525" t="s">
        <v>88</v>
      </c>
      <c r="D525" t="s">
        <v>76</v>
      </c>
      <c r="E525" t="s">
        <v>126</v>
      </c>
      <c r="F525" t="s">
        <v>160</v>
      </c>
      <c r="G525" t="s">
        <v>186</v>
      </c>
      <c r="H525" t="s">
        <v>217</v>
      </c>
      <c r="I525" t="s">
        <v>238</v>
      </c>
      <c r="J525" t="s">
        <v>256</v>
      </c>
      <c r="K525" t="s">
        <v>265</v>
      </c>
      <c r="L525" t="s">
        <v>281</v>
      </c>
      <c r="M525" t="s">
        <v>290</v>
      </c>
      <c r="N525" t="s">
        <v>299</v>
      </c>
      <c r="O525" t="s">
        <v>308</v>
      </c>
      <c r="P525" t="s">
        <v>228</v>
      </c>
      <c r="Q525" t="s">
        <v>72</v>
      </c>
      <c r="R525" t="s">
        <v>327</v>
      </c>
      <c r="S525" t="s">
        <v>327</v>
      </c>
      <c r="T525" t="s">
        <v>336</v>
      </c>
      <c r="U525" t="s">
        <v>336</v>
      </c>
      <c r="V525" t="s">
        <v>336</v>
      </c>
      <c r="W525" t="s">
        <v>336</v>
      </c>
      <c r="X525" t="s">
        <v>353</v>
      </c>
      <c r="AK525" t="s">
        <v>355</v>
      </c>
    </row>
    <row r="526" spans="1:37">
      <c r="B526" t="s">
        <v>67</v>
      </c>
      <c r="C526" t="s">
        <v>89</v>
      </c>
      <c r="D526" t="s">
        <v>107</v>
      </c>
      <c r="AK526" t="s">
        <v>355</v>
      </c>
    </row>
    <row r="527" spans="1:37">
      <c r="B527" t="s">
        <v>68</v>
      </c>
      <c r="C527" t="s">
        <v>90</v>
      </c>
      <c r="D527" t="s">
        <v>108</v>
      </c>
      <c r="AK527" t="s">
        <v>355</v>
      </c>
    </row>
    <row r="528" spans="1:37">
      <c r="A528" t="s">
        <v>47</v>
      </c>
      <c r="B528" t="s">
        <v>69</v>
      </c>
      <c r="C528" t="s">
        <v>91</v>
      </c>
      <c r="D528" t="s">
        <v>109</v>
      </c>
      <c r="E528" t="s">
        <v>109</v>
      </c>
      <c r="F528" t="s">
        <v>109</v>
      </c>
      <c r="G528" t="s">
        <v>109</v>
      </c>
      <c r="H528" t="s">
        <v>109</v>
      </c>
      <c r="I528" t="s">
        <v>239</v>
      </c>
      <c r="AK528" t="s">
        <v>355</v>
      </c>
    </row>
    <row r="529" spans="1:37">
      <c r="B529" t="s">
        <v>70</v>
      </c>
      <c r="C529" t="s">
        <v>92</v>
      </c>
      <c r="D529" t="s">
        <v>110</v>
      </c>
      <c r="E529" t="s">
        <v>127</v>
      </c>
      <c r="F529" t="s">
        <v>161</v>
      </c>
      <c r="G529" t="s">
        <v>187</v>
      </c>
      <c r="H529" t="s">
        <v>218</v>
      </c>
      <c r="AK529" t="s">
        <v>355</v>
      </c>
    </row>
    <row r="530" spans="1:37">
      <c r="B530" t="s">
        <v>71</v>
      </c>
      <c r="C530" t="s">
        <v>93</v>
      </c>
      <c r="D530" t="s">
        <v>111</v>
      </c>
      <c r="E530" t="s">
        <v>128</v>
      </c>
      <c r="F530" t="s">
        <v>162</v>
      </c>
      <c r="G530" t="s">
        <v>188</v>
      </c>
      <c r="H530" t="s">
        <v>219</v>
      </c>
      <c r="I530" t="s">
        <v>240</v>
      </c>
      <c r="J530" t="s">
        <v>257</v>
      </c>
      <c r="K530" t="s">
        <v>269</v>
      </c>
      <c r="L530" t="s">
        <v>109</v>
      </c>
      <c r="M530" t="s">
        <v>109</v>
      </c>
      <c r="N530" t="s">
        <v>109</v>
      </c>
      <c r="O530" t="s">
        <v>109</v>
      </c>
      <c r="P530" t="s">
        <v>109</v>
      </c>
      <c r="Q530" t="s">
        <v>321</v>
      </c>
      <c r="AK530" t="s">
        <v>355</v>
      </c>
    </row>
    <row r="531" spans="1:37">
      <c r="A531" t="s">
        <v>48</v>
      </c>
      <c r="B531" t="s">
        <v>71</v>
      </c>
      <c r="C531" t="s">
        <v>93</v>
      </c>
      <c r="D531" t="s">
        <v>111</v>
      </c>
      <c r="E531" t="s">
        <v>128</v>
      </c>
      <c r="F531" t="s">
        <v>163</v>
      </c>
      <c r="G531" t="s">
        <v>189</v>
      </c>
      <c r="H531" t="s">
        <v>220</v>
      </c>
      <c r="I531" t="s">
        <v>241</v>
      </c>
      <c r="J531" t="s">
        <v>258</v>
      </c>
      <c r="K531" t="s">
        <v>270</v>
      </c>
      <c r="AK531" t="s">
        <v>355</v>
      </c>
    </row>
    <row r="532" spans="1:37">
      <c r="B532" t="s">
        <v>72</v>
      </c>
      <c r="C532" t="s">
        <v>72</v>
      </c>
      <c r="D532" t="s">
        <v>72</v>
      </c>
      <c r="E532" t="s">
        <v>129</v>
      </c>
      <c r="F532" t="s">
        <v>129</v>
      </c>
      <c r="G532" t="s">
        <v>191</v>
      </c>
      <c r="H532" t="s">
        <v>201</v>
      </c>
      <c r="I532" t="s">
        <v>192</v>
      </c>
      <c r="J532" t="s">
        <v>192</v>
      </c>
      <c r="K532" t="s">
        <v>271</v>
      </c>
      <c r="AK532" t="s">
        <v>355</v>
      </c>
    </row>
    <row r="533" spans="1:37">
      <c r="A533" t="s">
        <v>37</v>
      </c>
      <c r="B533" t="s">
        <v>49</v>
      </c>
      <c r="C533" t="s">
        <v>73</v>
      </c>
      <c r="D533" t="s">
        <v>94</v>
      </c>
      <c r="E533" t="s">
        <v>112</v>
      </c>
      <c r="F533" t="s">
        <v>146</v>
      </c>
      <c r="G533" t="s">
        <v>172</v>
      </c>
      <c r="H533" t="s">
        <v>207</v>
      </c>
      <c r="I533" t="s">
        <v>226</v>
      </c>
      <c r="J533" t="s">
        <v>246</v>
      </c>
      <c r="K533" t="s">
        <v>259</v>
      </c>
      <c r="AK533" t="s">
        <v>355</v>
      </c>
    </row>
    <row r="534" spans="1:37">
      <c r="A534" t="s">
        <v>38</v>
      </c>
      <c r="B534" t="s">
        <v>50</v>
      </c>
      <c r="C534" t="s">
        <v>74</v>
      </c>
      <c r="D534" t="s">
        <v>95</v>
      </c>
      <c r="E534" t="s">
        <v>113</v>
      </c>
      <c r="F534" t="s">
        <v>147</v>
      </c>
      <c r="G534" t="s">
        <v>173</v>
      </c>
      <c r="H534" t="s">
        <v>208</v>
      </c>
      <c r="I534" t="s">
        <v>227</v>
      </c>
      <c r="J534" t="s">
        <v>115</v>
      </c>
      <c r="K534" t="s">
        <v>260</v>
      </c>
      <c r="L534" t="s">
        <v>273</v>
      </c>
      <c r="M534" t="s">
        <v>282</v>
      </c>
      <c r="N534" t="s">
        <v>291</v>
      </c>
      <c r="AK534" t="s">
        <v>355</v>
      </c>
    </row>
    <row r="535" spans="1:37">
      <c r="B535" t="s">
        <v>51</v>
      </c>
      <c r="C535" t="s">
        <v>75</v>
      </c>
      <c r="D535" t="s">
        <v>52</v>
      </c>
      <c r="E535" t="s">
        <v>114</v>
      </c>
      <c r="F535" t="s">
        <v>148</v>
      </c>
      <c r="G535" t="s">
        <v>148</v>
      </c>
      <c r="H535" t="s">
        <v>209</v>
      </c>
      <c r="I535" t="s">
        <v>228</v>
      </c>
      <c r="J535" t="s">
        <v>247</v>
      </c>
      <c r="K535" t="s">
        <v>261</v>
      </c>
      <c r="L535" t="s">
        <v>274</v>
      </c>
      <c r="M535" t="s">
        <v>283</v>
      </c>
      <c r="N535" t="s">
        <v>292</v>
      </c>
      <c r="O535" t="s">
        <v>300</v>
      </c>
      <c r="AK535" t="s">
        <v>355</v>
      </c>
    </row>
    <row r="536" spans="1:37">
      <c r="B536" t="s">
        <v>52</v>
      </c>
      <c r="C536" t="s">
        <v>76</v>
      </c>
      <c r="D536" t="s">
        <v>96</v>
      </c>
      <c r="E536" t="s">
        <v>115</v>
      </c>
      <c r="F536" t="s">
        <v>149</v>
      </c>
      <c r="G536" t="s">
        <v>174</v>
      </c>
      <c r="H536" t="s">
        <v>96</v>
      </c>
      <c r="I536" t="s">
        <v>229</v>
      </c>
      <c r="J536" t="s">
        <v>248</v>
      </c>
      <c r="K536" t="s">
        <v>262</v>
      </c>
      <c r="L536" t="s">
        <v>52</v>
      </c>
      <c r="M536" t="s">
        <v>76</v>
      </c>
      <c r="N536" t="s">
        <v>293</v>
      </c>
      <c r="O536" t="s">
        <v>301</v>
      </c>
      <c r="P536" t="s">
        <v>309</v>
      </c>
      <c r="Q536" t="s">
        <v>315</v>
      </c>
      <c r="R536" t="s">
        <v>228</v>
      </c>
      <c r="S536" t="s">
        <v>328</v>
      </c>
      <c r="T536" t="s">
        <v>149</v>
      </c>
      <c r="U536" t="s">
        <v>337</v>
      </c>
      <c r="V536" t="s">
        <v>341</v>
      </c>
      <c r="W536" t="s">
        <v>345</v>
      </c>
      <c r="X536" t="s">
        <v>350</v>
      </c>
      <c r="AK536" t="s">
        <v>355</v>
      </c>
    </row>
    <row r="537" spans="1:37">
      <c r="B537" t="s">
        <v>53</v>
      </c>
      <c r="C537" t="s">
        <v>77</v>
      </c>
      <c r="D537" t="s">
        <v>97</v>
      </c>
      <c r="E537" t="s">
        <v>116</v>
      </c>
      <c r="F537" t="s">
        <v>150</v>
      </c>
      <c r="G537" t="s">
        <v>175</v>
      </c>
      <c r="H537" t="s">
        <v>210</v>
      </c>
      <c r="I537" t="s">
        <v>230</v>
      </c>
      <c r="J537" t="s">
        <v>249</v>
      </c>
      <c r="K537" t="s">
        <v>263</v>
      </c>
      <c r="L537" t="s">
        <v>275</v>
      </c>
      <c r="M537" t="s">
        <v>284</v>
      </c>
      <c r="N537" t="s">
        <v>294</v>
      </c>
      <c r="O537" t="s">
        <v>302</v>
      </c>
      <c r="P537" t="s">
        <v>310</v>
      </c>
      <c r="Q537" t="s">
        <v>316</v>
      </c>
      <c r="R537" t="s">
        <v>322</v>
      </c>
      <c r="S537" t="s">
        <v>329</v>
      </c>
      <c r="AK537" t="s">
        <v>355</v>
      </c>
    </row>
    <row r="538" spans="1:37">
      <c r="A538" t="s">
        <v>39</v>
      </c>
      <c r="B538" t="s">
        <v>54</v>
      </c>
      <c r="C538" t="s">
        <v>54</v>
      </c>
      <c r="D538" t="s">
        <v>54</v>
      </c>
      <c r="E538" t="s">
        <v>54</v>
      </c>
      <c r="F538" t="s">
        <v>54</v>
      </c>
      <c r="G538" t="s">
        <v>54</v>
      </c>
      <c r="H538" t="s">
        <v>54</v>
      </c>
      <c r="I538" t="s">
        <v>54</v>
      </c>
      <c r="J538" t="s">
        <v>54</v>
      </c>
      <c r="K538" t="s">
        <v>54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323</v>
      </c>
      <c r="S538" t="s">
        <v>330</v>
      </c>
      <c r="AK538" t="s">
        <v>355</v>
      </c>
    </row>
    <row r="539" spans="1:37">
      <c r="B539" t="s">
        <v>55</v>
      </c>
      <c r="C539" t="s">
        <v>78</v>
      </c>
      <c r="D539" t="s">
        <v>55</v>
      </c>
      <c r="E539" t="s">
        <v>78</v>
      </c>
      <c r="F539" t="s">
        <v>55</v>
      </c>
      <c r="G539" t="s">
        <v>78</v>
      </c>
      <c r="H539" t="s">
        <v>55</v>
      </c>
      <c r="I539" t="s">
        <v>78</v>
      </c>
      <c r="J539" t="s">
        <v>55</v>
      </c>
      <c r="K539" t="s">
        <v>78</v>
      </c>
      <c r="L539" t="s">
        <v>55</v>
      </c>
      <c r="M539" t="s">
        <v>78</v>
      </c>
      <c r="N539" t="s">
        <v>55</v>
      </c>
      <c r="O539" t="s">
        <v>78</v>
      </c>
      <c r="P539" t="s">
        <v>55</v>
      </c>
      <c r="Q539" t="s">
        <v>78</v>
      </c>
      <c r="R539" t="s">
        <v>55</v>
      </c>
      <c r="S539" t="s">
        <v>78</v>
      </c>
      <c r="T539" t="s">
        <v>55</v>
      </c>
      <c r="U539" t="s">
        <v>78</v>
      </c>
      <c r="V539" t="s">
        <v>55</v>
      </c>
      <c r="W539" t="s">
        <v>78</v>
      </c>
      <c r="X539" t="s">
        <v>55</v>
      </c>
      <c r="Y539" t="s">
        <v>78</v>
      </c>
      <c r="Z539" t="s">
        <v>55</v>
      </c>
      <c r="AA539" t="s">
        <v>78</v>
      </c>
      <c r="AB539" t="s">
        <v>55</v>
      </c>
      <c r="AC539" t="s">
        <v>78</v>
      </c>
      <c r="AD539" t="s">
        <v>55</v>
      </c>
      <c r="AE539" t="s">
        <v>78</v>
      </c>
      <c r="AF539" t="s">
        <v>55</v>
      </c>
      <c r="AG539" t="s">
        <v>78</v>
      </c>
      <c r="AH539" t="s">
        <v>55</v>
      </c>
      <c r="AI539" t="s">
        <v>78</v>
      </c>
      <c r="AK539" t="s">
        <v>355</v>
      </c>
    </row>
    <row r="540" spans="1:37">
      <c r="B540" t="s">
        <v>56</v>
      </c>
      <c r="C540" t="s">
        <v>56</v>
      </c>
      <c r="D540" t="s">
        <v>56</v>
      </c>
      <c r="E540" t="s">
        <v>56</v>
      </c>
      <c r="F540" t="s">
        <v>56</v>
      </c>
      <c r="G540" t="s">
        <v>176</v>
      </c>
      <c r="H540" t="s">
        <v>211</v>
      </c>
      <c r="I540" t="s">
        <v>231</v>
      </c>
      <c r="J540" t="s">
        <v>250</v>
      </c>
      <c r="K540" t="s">
        <v>264</v>
      </c>
      <c r="L540" t="s">
        <v>276</v>
      </c>
      <c r="M540" t="s">
        <v>285</v>
      </c>
      <c r="N540" t="s">
        <v>295</v>
      </c>
      <c r="O540" t="s">
        <v>303</v>
      </c>
      <c r="P540" t="s">
        <v>56</v>
      </c>
      <c r="Q540" t="s">
        <v>317</v>
      </c>
      <c r="R540" t="s">
        <v>324</v>
      </c>
      <c r="S540" t="s">
        <v>331</v>
      </c>
      <c r="T540" t="s">
        <v>334</v>
      </c>
      <c r="U540" t="s">
        <v>338</v>
      </c>
      <c r="V540" t="s">
        <v>342</v>
      </c>
      <c r="W540" t="s">
        <v>346</v>
      </c>
      <c r="X540" t="s">
        <v>351</v>
      </c>
      <c r="AK540" t="s">
        <v>355</v>
      </c>
    </row>
    <row r="541" spans="1:37">
      <c r="B541" t="s">
        <v>57</v>
      </c>
      <c r="C541" t="s">
        <v>79</v>
      </c>
      <c r="D541" t="s">
        <v>98</v>
      </c>
      <c r="E541" t="s">
        <v>117</v>
      </c>
      <c r="F541" t="s">
        <v>151</v>
      </c>
      <c r="G541" t="s">
        <v>177</v>
      </c>
      <c r="H541" t="s">
        <v>212</v>
      </c>
      <c r="I541" t="s">
        <v>232</v>
      </c>
      <c r="J541" t="s">
        <v>251</v>
      </c>
      <c r="K541" t="s">
        <v>265</v>
      </c>
      <c r="L541" t="s">
        <v>277</v>
      </c>
      <c r="M541" t="s">
        <v>286</v>
      </c>
      <c r="N541" t="s">
        <v>296</v>
      </c>
      <c r="O541" t="s">
        <v>304</v>
      </c>
      <c r="P541" t="s">
        <v>311</v>
      </c>
      <c r="Q541" t="s">
        <v>318</v>
      </c>
      <c r="R541" t="s">
        <v>185</v>
      </c>
      <c r="S541" t="s">
        <v>159</v>
      </c>
      <c r="T541" t="s">
        <v>185</v>
      </c>
      <c r="U541" t="s">
        <v>339</v>
      </c>
      <c r="V541" t="s">
        <v>72</v>
      </c>
      <c r="W541" t="s">
        <v>347</v>
      </c>
      <c r="X541" t="s">
        <v>72</v>
      </c>
      <c r="Y541" t="s">
        <v>96</v>
      </c>
      <c r="AK541" t="s">
        <v>355</v>
      </c>
    </row>
    <row r="542" spans="1:37">
      <c r="B542" t="s">
        <v>58</v>
      </c>
      <c r="C542" t="s">
        <v>80</v>
      </c>
      <c r="D542" t="s">
        <v>99</v>
      </c>
      <c r="E542" t="s">
        <v>118</v>
      </c>
      <c r="F542" t="s">
        <v>152</v>
      </c>
      <c r="G542" t="s">
        <v>178</v>
      </c>
      <c r="H542" t="s">
        <v>213</v>
      </c>
      <c r="I542" t="s">
        <v>233</v>
      </c>
      <c r="J542" t="s">
        <v>252</v>
      </c>
      <c r="K542" t="s">
        <v>266</v>
      </c>
      <c r="L542" t="s">
        <v>278</v>
      </c>
      <c r="M542" t="s">
        <v>287</v>
      </c>
      <c r="N542" t="s">
        <v>297</v>
      </c>
      <c r="O542" t="s">
        <v>305</v>
      </c>
      <c r="P542" t="s">
        <v>312</v>
      </c>
      <c r="Q542" t="s">
        <v>319</v>
      </c>
      <c r="R542">
        <f>&gt;10       ветра      2.6     14  15</f>
        <v>0</v>
      </c>
      <c r="AK542" t="s">
        <v>355</v>
      </c>
    </row>
    <row r="543" spans="1:37">
      <c r="A543" t="s">
        <v>40</v>
      </c>
      <c r="B543" t="s">
        <v>59</v>
      </c>
      <c r="C543" t="s">
        <v>81</v>
      </c>
      <c r="D543" t="s">
        <v>100</v>
      </c>
      <c r="E543" t="s">
        <v>119</v>
      </c>
      <c r="F543" t="s">
        <v>153</v>
      </c>
      <c r="G543" t="s">
        <v>179</v>
      </c>
      <c r="H543" t="s">
        <v>214</v>
      </c>
      <c r="I543" t="s">
        <v>234</v>
      </c>
      <c r="AK543" t="s">
        <v>355</v>
      </c>
    </row>
    <row r="544" spans="1:37">
      <c r="A544" t="s">
        <v>40</v>
      </c>
      <c r="B544" t="s">
        <v>60</v>
      </c>
      <c r="C544" t="s">
        <v>82</v>
      </c>
      <c r="D544" t="s">
        <v>101</v>
      </c>
      <c r="E544" t="s">
        <v>120</v>
      </c>
      <c r="F544" t="s">
        <v>154</v>
      </c>
      <c r="G544" t="s">
        <v>180</v>
      </c>
      <c r="H544" t="s">
        <v>215</v>
      </c>
      <c r="I544" t="s">
        <v>235</v>
      </c>
      <c r="J544" t="s">
        <v>253</v>
      </c>
      <c r="K544" t="s">
        <v>267</v>
      </c>
      <c r="L544" t="s">
        <v>279</v>
      </c>
      <c r="M544" t="s">
        <v>288</v>
      </c>
      <c r="N544" t="s">
        <v>100</v>
      </c>
      <c r="O544" t="s">
        <v>306</v>
      </c>
      <c r="P544" t="s">
        <v>313</v>
      </c>
      <c r="Q544" t="s">
        <v>320</v>
      </c>
      <c r="R544" t="s">
        <v>325</v>
      </c>
      <c r="S544" t="s">
        <v>332</v>
      </c>
      <c r="T544" t="s">
        <v>119</v>
      </c>
      <c r="U544" t="s">
        <v>234</v>
      </c>
      <c r="V544" t="s">
        <v>343</v>
      </c>
      <c r="W544" t="s">
        <v>348</v>
      </c>
      <c r="X544" t="s">
        <v>352</v>
      </c>
      <c r="Y544" t="s">
        <v>354</v>
      </c>
      <c r="AK544" t="s">
        <v>355</v>
      </c>
    </row>
    <row r="545" spans="1:37">
      <c r="A545" t="s">
        <v>41</v>
      </c>
      <c r="B545" t="s">
        <v>61</v>
      </c>
      <c r="C545" t="s">
        <v>83</v>
      </c>
      <c r="D545" t="s">
        <v>102</v>
      </c>
      <c r="E545" t="s">
        <v>121</v>
      </c>
      <c r="F545" t="s">
        <v>155</v>
      </c>
      <c r="G545" t="s">
        <v>181</v>
      </c>
      <c r="H545" t="s">
        <v>216</v>
      </c>
      <c r="I545" t="s">
        <v>236</v>
      </c>
      <c r="AK545" t="s">
        <v>355</v>
      </c>
    </row>
    <row r="546" spans="1:37">
      <c r="A546" t="s">
        <v>42</v>
      </c>
      <c r="B546" t="s">
        <v>62</v>
      </c>
      <c r="C546" t="s">
        <v>84</v>
      </c>
      <c r="D546" t="s">
        <v>103</v>
      </c>
      <c r="E546" t="s">
        <v>122</v>
      </c>
      <c r="F546" t="s">
        <v>156</v>
      </c>
      <c r="G546" t="s">
        <v>182</v>
      </c>
      <c r="H546" t="s">
        <v>83</v>
      </c>
      <c r="I546" t="s">
        <v>237</v>
      </c>
      <c r="J546" t="s">
        <v>254</v>
      </c>
      <c r="K546" t="s">
        <v>268</v>
      </c>
      <c r="L546" t="s">
        <v>280</v>
      </c>
      <c r="M546" t="s">
        <v>289</v>
      </c>
      <c r="N546" t="s">
        <v>298</v>
      </c>
      <c r="O546" t="s">
        <v>307</v>
      </c>
      <c r="P546" t="s">
        <v>314</v>
      </c>
      <c r="Q546" t="s">
        <v>216</v>
      </c>
      <c r="R546" t="s">
        <v>326</v>
      </c>
      <c r="S546" t="s">
        <v>333</v>
      </c>
      <c r="T546" t="s">
        <v>335</v>
      </c>
      <c r="U546" t="s">
        <v>340</v>
      </c>
      <c r="V546" t="s">
        <v>344</v>
      </c>
      <c r="W546" t="s">
        <v>349</v>
      </c>
      <c r="AK546" t="s">
        <v>355</v>
      </c>
    </row>
    <row r="547" spans="1:37">
      <c r="A547" t="s">
        <v>43</v>
      </c>
      <c r="B547" t="s">
        <v>63</v>
      </c>
      <c r="C547" t="s">
        <v>85</v>
      </c>
      <c r="D547" t="s">
        <v>104</v>
      </c>
      <c r="E547" t="s">
        <v>123</v>
      </c>
      <c r="F547" t="s">
        <v>157</v>
      </c>
      <c r="G547" t="s">
        <v>183</v>
      </c>
      <c r="AK547" t="s">
        <v>355</v>
      </c>
    </row>
    <row r="548" spans="1:37">
      <c r="A548" t="s">
        <v>44</v>
      </c>
      <c r="B548" t="s">
        <v>64</v>
      </c>
      <c r="C548" t="s">
        <v>86</v>
      </c>
      <c r="D548" t="s">
        <v>105</v>
      </c>
      <c r="E548" t="s">
        <v>124</v>
      </c>
      <c r="F548" t="s">
        <v>158</v>
      </c>
      <c r="G548" t="s">
        <v>184</v>
      </c>
      <c r="AK548" t="s">
        <v>355</v>
      </c>
    </row>
    <row r="549" spans="1:37">
      <c r="A549" t="s">
        <v>45</v>
      </c>
      <c r="B549" t="s">
        <v>65</v>
      </c>
      <c r="C549" t="s">
        <v>87</v>
      </c>
      <c r="D549" t="s">
        <v>106</v>
      </c>
      <c r="E549" t="s">
        <v>125</v>
      </c>
      <c r="F549" t="s">
        <v>159</v>
      </c>
      <c r="G549" t="s">
        <v>185</v>
      </c>
      <c r="H549" t="s">
        <v>159</v>
      </c>
      <c r="I549" t="s">
        <v>185</v>
      </c>
      <c r="J549" t="s">
        <v>255</v>
      </c>
      <c r="AK549" t="s">
        <v>355</v>
      </c>
    </row>
    <row r="550" spans="1:37">
      <c r="A550" t="s">
        <v>46</v>
      </c>
      <c r="B550" t="s">
        <v>66</v>
      </c>
      <c r="C550" t="s">
        <v>88</v>
      </c>
      <c r="D550" t="s">
        <v>76</v>
      </c>
      <c r="E550" t="s">
        <v>126</v>
      </c>
      <c r="F550" t="s">
        <v>160</v>
      </c>
      <c r="G550" t="s">
        <v>186</v>
      </c>
      <c r="H550" t="s">
        <v>217</v>
      </c>
      <c r="I550" t="s">
        <v>238</v>
      </c>
      <c r="J550" t="s">
        <v>256</v>
      </c>
      <c r="K550" t="s">
        <v>265</v>
      </c>
      <c r="L550" t="s">
        <v>281</v>
      </c>
      <c r="M550" t="s">
        <v>290</v>
      </c>
      <c r="N550" t="s">
        <v>299</v>
      </c>
      <c r="O550" t="s">
        <v>308</v>
      </c>
      <c r="P550" t="s">
        <v>228</v>
      </c>
      <c r="Q550" t="s">
        <v>72</v>
      </c>
      <c r="R550" t="s">
        <v>327</v>
      </c>
      <c r="S550" t="s">
        <v>327</v>
      </c>
      <c r="T550" t="s">
        <v>336</v>
      </c>
      <c r="U550" t="s">
        <v>336</v>
      </c>
      <c r="V550" t="s">
        <v>336</v>
      </c>
      <c r="W550" t="s">
        <v>336</v>
      </c>
      <c r="X550" t="s">
        <v>353</v>
      </c>
      <c r="AK550" t="s">
        <v>355</v>
      </c>
    </row>
    <row r="551" spans="1:37">
      <c r="B551" t="s">
        <v>67</v>
      </c>
      <c r="C551" t="s">
        <v>89</v>
      </c>
      <c r="D551" t="s">
        <v>107</v>
      </c>
      <c r="AK551" t="s">
        <v>355</v>
      </c>
    </row>
    <row r="552" spans="1:37">
      <c r="B552" t="s">
        <v>68</v>
      </c>
      <c r="C552" t="s">
        <v>90</v>
      </c>
      <c r="D552" t="s">
        <v>108</v>
      </c>
      <c r="AK552" t="s">
        <v>355</v>
      </c>
    </row>
    <row r="553" spans="1:37">
      <c r="A553" t="s">
        <v>47</v>
      </c>
      <c r="B553" t="s">
        <v>69</v>
      </c>
      <c r="C553" t="s">
        <v>91</v>
      </c>
      <c r="D553" t="s">
        <v>109</v>
      </c>
      <c r="E553" t="s">
        <v>109</v>
      </c>
      <c r="F553" t="s">
        <v>109</v>
      </c>
      <c r="G553" t="s">
        <v>109</v>
      </c>
      <c r="H553" t="s">
        <v>109</v>
      </c>
      <c r="I553" t="s">
        <v>239</v>
      </c>
      <c r="AK553" t="s">
        <v>355</v>
      </c>
    </row>
    <row r="554" spans="1:37">
      <c r="B554" t="s">
        <v>70</v>
      </c>
      <c r="C554" t="s">
        <v>92</v>
      </c>
      <c r="D554" t="s">
        <v>110</v>
      </c>
      <c r="E554" t="s">
        <v>127</v>
      </c>
      <c r="F554" t="s">
        <v>161</v>
      </c>
      <c r="G554" t="s">
        <v>187</v>
      </c>
      <c r="H554" t="s">
        <v>218</v>
      </c>
      <c r="AK554" t="s">
        <v>355</v>
      </c>
    </row>
    <row r="555" spans="1:37">
      <c r="B555" t="s">
        <v>71</v>
      </c>
      <c r="C555" t="s">
        <v>93</v>
      </c>
      <c r="D555" t="s">
        <v>111</v>
      </c>
      <c r="E555" t="s">
        <v>128</v>
      </c>
      <c r="F555" t="s">
        <v>162</v>
      </c>
      <c r="G555" t="s">
        <v>188</v>
      </c>
      <c r="H555" t="s">
        <v>219</v>
      </c>
      <c r="I555" t="s">
        <v>240</v>
      </c>
      <c r="J555" t="s">
        <v>257</v>
      </c>
      <c r="K555" t="s">
        <v>269</v>
      </c>
      <c r="L555" t="s">
        <v>109</v>
      </c>
      <c r="M555" t="s">
        <v>109</v>
      </c>
      <c r="N555" t="s">
        <v>109</v>
      </c>
      <c r="O555" t="s">
        <v>109</v>
      </c>
      <c r="P555" t="s">
        <v>109</v>
      </c>
      <c r="Q555" t="s">
        <v>321</v>
      </c>
      <c r="AK555" t="s">
        <v>355</v>
      </c>
    </row>
    <row r="556" spans="1:37">
      <c r="A556" t="s">
        <v>48</v>
      </c>
      <c r="B556" t="s">
        <v>71</v>
      </c>
      <c r="C556" t="s">
        <v>93</v>
      </c>
      <c r="D556" t="s">
        <v>111</v>
      </c>
      <c r="E556" t="s">
        <v>128</v>
      </c>
      <c r="F556" t="s">
        <v>163</v>
      </c>
      <c r="G556" t="s">
        <v>189</v>
      </c>
      <c r="H556" t="s">
        <v>220</v>
      </c>
      <c r="I556" t="s">
        <v>241</v>
      </c>
      <c r="J556" t="s">
        <v>258</v>
      </c>
      <c r="K556" t="s">
        <v>270</v>
      </c>
      <c r="AK556" t="s">
        <v>355</v>
      </c>
    </row>
    <row r="557" spans="1:37">
      <c r="B557" t="s">
        <v>72</v>
      </c>
      <c r="C557" t="s">
        <v>72</v>
      </c>
      <c r="D557" t="s">
        <v>72</v>
      </c>
      <c r="E557" t="s">
        <v>129</v>
      </c>
      <c r="F557" t="s">
        <v>129</v>
      </c>
      <c r="G557" t="s">
        <v>191</v>
      </c>
      <c r="H557" t="s">
        <v>202</v>
      </c>
      <c r="I557" t="s">
        <v>192</v>
      </c>
      <c r="J557" t="s">
        <v>192</v>
      </c>
      <c r="K557" t="s">
        <v>271</v>
      </c>
      <c r="AK557" t="s">
        <v>355</v>
      </c>
    </row>
    <row r="558" spans="1:37">
      <c r="A558" t="s">
        <v>37</v>
      </c>
      <c r="B558" t="s">
        <v>49</v>
      </c>
      <c r="C558" t="s">
        <v>73</v>
      </c>
      <c r="D558" t="s">
        <v>94</v>
      </c>
      <c r="E558" t="s">
        <v>112</v>
      </c>
      <c r="F558" t="s">
        <v>146</v>
      </c>
      <c r="G558" t="s">
        <v>172</v>
      </c>
      <c r="H558" t="s">
        <v>207</v>
      </c>
      <c r="I558" t="s">
        <v>226</v>
      </c>
      <c r="J558" t="s">
        <v>246</v>
      </c>
      <c r="K558" t="s">
        <v>259</v>
      </c>
      <c r="AK558" t="s">
        <v>355</v>
      </c>
    </row>
    <row r="559" spans="1:37">
      <c r="A559" t="s">
        <v>38</v>
      </c>
      <c r="B559" t="s">
        <v>50</v>
      </c>
      <c r="C559" t="s">
        <v>74</v>
      </c>
      <c r="D559" t="s">
        <v>95</v>
      </c>
      <c r="E559" t="s">
        <v>113</v>
      </c>
      <c r="F559" t="s">
        <v>147</v>
      </c>
      <c r="G559" t="s">
        <v>173</v>
      </c>
      <c r="H559" t="s">
        <v>208</v>
      </c>
      <c r="I559" t="s">
        <v>227</v>
      </c>
      <c r="J559" t="s">
        <v>115</v>
      </c>
      <c r="K559" t="s">
        <v>260</v>
      </c>
      <c r="L559" t="s">
        <v>273</v>
      </c>
      <c r="M559" t="s">
        <v>282</v>
      </c>
      <c r="N559" t="s">
        <v>291</v>
      </c>
      <c r="AK559" t="s">
        <v>355</v>
      </c>
    </row>
    <row r="560" spans="1:37">
      <c r="B560" t="s">
        <v>51</v>
      </c>
      <c r="C560" t="s">
        <v>75</v>
      </c>
      <c r="D560" t="s">
        <v>52</v>
      </c>
      <c r="E560" t="s">
        <v>114</v>
      </c>
      <c r="F560" t="s">
        <v>148</v>
      </c>
      <c r="G560" t="s">
        <v>148</v>
      </c>
      <c r="H560" t="s">
        <v>209</v>
      </c>
      <c r="I560" t="s">
        <v>228</v>
      </c>
      <c r="J560" t="s">
        <v>247</v>
      </c>
      <c r="K560" t="s">
        <v>261</v>
      </c>
      <c r="L560" t="s">
        <v>274</v>
      </c>
      <c r="M560" t="s">
        <v>283</v>
      </c>
      <c r="N560" t="s">
        <v>292</v>
      </c>
      <c r="O560" t="s">
        <v>300</v>
      </c>
      <c r="AK560" t="s">
        <v>355</v>
      </c>
    </row>
    <row r="561" spans="1:37">
      <c r="B561" t="s">
        <v>52</v>
      </c>
      <c r="C561" t="s">
        <v>76</v>
      </c>
      <c r="D561" t="s">
        <v>96</v>
      </c>
      <c r="E561" t="s">
        <v>115</v>
      </c>
      <c r="F561" t="s">
        <v>149</v>
      </c>
      <c r="G561" t="s">
        <v>174</v>
      </c>
      <c r="H561" t="s">
        <v>96</v>
      </c>
      <c r="I561" t="s">
        <v>229</v>
      </c>
      <c r="J561" t="s">
        <v>248</v>
      </c>
      <c r="K561" t="s">
        <v>262</v>
      </c>
      <c r="L561" t="s">
        <v>52</v>
      </c>
      <c r="M561" t="s">
        <v>76</v>
      </c>
      <c r="N561" t="s">
        <v>293</v>
      </c>
      <c r="O561" t="s">
        <v>301</v>
      </c>
      <c r="P561" t="s">
        <v>309</v>
      </c>
      <c r="Q561" t="s">
        <v>315</v>
      </c>
      <c r="R561" t="s">
        <v>228</v>
      </c>
      <c r="S561" t="s">
        <v>328</v>
      </c>
      <c r="T561" t="s">
        <v>149</v>
      </c>
      <c r="U561" t="s">
        <v>337</v>
      </c>
      <c r="V561" t="s">
        <v>341</v>
      </c>
      <c r="W561" t="s">
        <v>345</v>
      </c>
      <c r="X561" t="s">
        <v>350</v>
      </c>
      <c r="AK561" t="s">
        <v>355</v>
      </c>
    </row>
    <row r="562" spans="1:37">
      <c r="B562" t="s">
        <v>53</v>
      </c>
      <c r="C562" t="s">
        <v>77</v>
      </c>
      <c r="D562" t="s">
        <v>97</v>
      </c>
      <c r="E562" t="s">
        <v>116</v>
      </c>
      <c r="F562" t="s">
        <v>150</v>
      </c>
      <c r="G562" t="s">
        <v>175</v>
      </c>
      <c r="H562" t="s">
        <v>210</v>
      </c>
      <c r="I562" t="s">
        <v>230</v>
      </c>
      <c r="J562" t="s">
        <v>249</v>
      </c>
      <c r="K562" t="s">
        <v>263</v>
      </c>
      <c r="L562" t="s">
        <v>275</v>
      </c>
      <c r="M562" t="s">
        <v>284</v>
      </c>
      <c r="N562" t="s">
        <v>294</v>
      </c>
      <c r="O562" t="s">
        <v>302</v>
      </c>
      <c r="P562" t="s">
        <v>310</v>
      </c>
      <c r="Q562" t="s">
        <v>316</v>
      </c>
      <c r="R562" t="s">
        <v>322</v>
      </c>
      <c r="S562" t="s">
        <v>329</v>
      </c>
      <c r="AK562" t="s">
        <v>355</v>
      </c>
    </row>
    <row r="563" spans="1:37">
      <c r="A563" t="s">
        <v>39</v>
      </c>
      <c r="B563" t="s">
        <v>54</v>
      </c>
      <c r="C563" t="s">
        <v>54</v>
      </c>
      <c r="D563" t="s">
        <v>54</v>
      </c>
      <c r="E563" t="s">
        <v>54</v>
      </c>
      <c r="F563" t="s">
        <v>54</v>
      </c>
      <c r="G563" t="s">
        <v>54</v>
      </c>
      <c r="H563" t="s">
        <v>54</v>
      </c>
      <c r="I563" t="s">
        <v>54</v>
      </c>
      <c r="J563" t="s">
        <v>54</v>
      </c>
      <c r="K563" t="s">
        <v>54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323</v>
      </c>
      <c r="S563" t="s">
        <v>330</v>
      </c>
      <c r="AK563" t="s">
        <v>355</v>
      </c>
    </row>
    <row r="564" spans="1:37">
      <c r="B564" t="s">
        <v>55</v>
      </c>
      <c r="C564" t="s">
        <v>78</v>
      </c>
      <c r="D564" t="s">
        <v>55</v>
      </c>
      <c r="E564" t="s">
        <v>78</v>
      </c>
      <c r="F564" t="s">
        <v>55</v>
      </c>
      <c r="G564" t="s">
        <v>78</v>
      </c>
      <c r="H564" t="s">
        <v>55</v>
      </c>
      <c r="I564" t="s">
        <v>78</v>
      </c>
      <c r="J564" t="s">
        <v>55</v>
      </c>
      <c r="K564" t="s">
        <v>78</v>
      </c>
      <c r="L564" t="s">
        <v>55</v>
      </c>
      <c r="M564" t="s">
        <v>78</v>
      </c>
      <c r="N564" t="s">
        <v>55</v>
      </c>
      <c r="O564" t="s">
        <v>78</v>
      </c>
      <c r="P564" t="s">
        <v>55</v>
      </c>
      <c r="Q564" t="s">
        <v>78</v>
      </c>
      <c r="R564" t="s">
        <v>55</v>
      </c>
      <c r="S564" t="s">
        <v>78</v>
      </c>
      <c r="T564" t="s">
        <v>55</v>
      </c>
      <c r="U564" t="s">
        <v>78</v>
      </c>
      <c r="V564" t="s">
        <v>55</v>
      </c>
      <c r="W564" t="s">
        <v>78</v>
      </c>
      <c r="X564" t="s">
        <v>55</v>
      </c>
      <c r="Y564" t="s">
        <v>78</v>
      </c>
      <c r="Z564" t="s">
        <v>55</v>
      </c>
      <c r="AA564" t="s">
        <v>78</v>
      </c>
      <c r="AB564" t="s">
        <v>55</v>
      </c>
      <c r="AC564" t="s">
        <v>78</v>
      </c>
      <c r="AD564" t="s">
        <v>55</v>
      </c>
      <c r="AE564" t="s">
        <v>78</v>
      </c>
      <c r="AF564" t="s">
        <v>55</v>
      </c>
      <c r="AG564" t="s">
        <v>78</v>
      </c>
      <c r="AH564" t="s">
        <v>55</v>
      </c>
      <c r="AI564" t="s">
        <v>78</v>
      </c>
      <c r="AK564" t="s">
        <v>355</v>
      </c>
    </row>
    <row r="565" spans="1:37">
      <c r="B565" t="s">
        <v>56</v>
      </c>
      <c r="C565" t="s">
        <v>56</v>
      </c>
      <c r="D565" t="s">
        <v>56</v>
      </c>
      <c r="E565" t="s">
        <v>56</v>
      </c>
      <c r="F565" t="s">
        <v>56</v>
      </c>
      <c r="G565" t="s">
        <v>176</v>
      </c>
      <c r="H565" t="s">
        <v>211</v>
      </c>
      <c r="I565" t="s">
        <v>231</v>
      </c>
      <c r="J565" t="s">
        <v>250</v>
      </c>
      <c r="K565" t="s">
        <v>264</v>
      </c>
      <c r="L565" t="s">
        <v>276</v>
      </c>
      <c r="M565" t="s">
        <v>285</v>
      </c>
      <c r="N565" t="s">
        <v>295</v>
      </c>
      <c r="O565" t="s">
        <v>303</v>
      </c>
      <c r="P565" t="s">
        <v>56</v>
      </c>
      <c r="Q565" t="s">
        <v>317</v>
      </c>
      <c r="R565" t="s">
        <v>324</v>
      </c>
      <c r="S565" t="s">
        <v>331</v>
      </c>
      <c r="T565" t="s">
        <v>334</v>
      </c>
      <c r="U565" t="s">
        <v>338</v>
      </c>
      <c r="V565" t="s">
        <v>342</v>
      </c>
      <c r="W565" t="s">
        <v>346</v>
      </c>
      <c r="X565" t="s">
        <v>351</v>
      </c>
      <c r="AK565" t="s">
        <v>355</v>
      </c>
    </row>
    <row r="566" spans="1:37">
      <c r="B566" t="s">
        <v>57</v>
      </c>
      <c r="C566" t="s">
        <v>79</v>
      </c>
      <c r="D566" t="s">
        <v>98</v>
      </c>
      <c r="E566" t="s">
        <v>117</v>
      </c>
      <c r="F566" t="s">
        <v>151</v>
      </c>
      <c r="G566" t="s">
        <v>177</v>
      </c>
      <c r="H566" t="s">
        <v>212</v>
      </c>
      <c r="I566" t="s">
        <v>232</v>
      </c>
      <c r="J566" t="s">
        <v>251</v>
      </c>
      <c r="K566" t="s">
        <v>265</v>
      </c>
      <c r="L566" t="s">
        <v>277</v>
      </c>
      <c r="M566" t="s">
        <v>286</v>
      </c>
      <c r="N566" t="s">
        <v>296</v>
      </c>
      <c r="O566" t="s">
        <v>304</v>
      </c>
      <c r="P566" t="s">
        <v>311</v>
      </c>
      <c r="Q566" t="s">
        <v>318</v>
      </c>
      <c r="R566" t="s">
        <v>185</v>
      </c>
      <c r="S566" t="s">
        <v>159</v>
      </c>
      <c r="T566" t="s">
        <v>185</v>
      </c>
      <c r="U566" t="s">
        <v>339</v>
      </c>
      <c r="V566" t="s">
        <v>72</v>
      </c>
      <c r="W566" t="s">
        <v>347</v>
      </c>
      <c r="X566" t="s">
        <v>72</v>
      </c>
      <c r="Y566" t="s">
        <v>96</v>
      </c>
      <c r="AK566" t="s">
        <v>355</v>
      </c>
    </row>
    <row r="567" spans="1:37">
      <c r="B567" t="s">
        <v>58</v>
      </c>
      <c r="C567" t="s">
        <v>80</v>
      </c>
      <c r="D567" t="s">
        <v>99</v>
      </c>
      <c r="E567" t="s">
        <v>118</v>
      </c>
      <c r="F567" t="s">
        <v>152</v>
      </c>
      <c r="G567" t="s">
        <v>178</v>
      </c>
      <c r="H567" t="s">
        <v>213</v>
      </c>
      <c r="I567" t="s">
        <v>233</v>
      </c>
      <c r="J567" t="s">
        <v>252</v>
      </c>
      <c r="K567" t="s">
        <v>266</v>
      </c>
      <c r="L567" t="s">
        <v>278</v>
      </c>
      <c r="M567" t="s">
        <v>287</v>
      </c>
      <c r="N567" t="s">
        <v>297</v>
      </c>
      <c r="O567" t="s">
        <v>305</v>
      </c>
      <c r="P567" t="s">
        <v>312</v>
      </c>
      <c r="Q567" t="s">
        <v>319</v>
      </c>
      <c r="R567">
        <f>&gt;10       ветра      1.7     14  15</f>
        <v>0</v>
      </c>
      <c r="AK567" t="s">
        <v>355</v>
      </c>
    </row>
    <row r="568" spans="1:37">
      <c r="A568" t="s">
        <v>40</v>
      </c>
      <c r="B568" t="s">
        <v>59</v>
      </c>
      <c r="C568" t="s">
        <v>81</v>
      </c>
      <c r="D568" t="s">
        <v>100</v>
      </c>
      <c r="E568" t="s">
        <v>119</v>
      </c>
      <c r="F568" t="s">
        <v>153</v>
      </c>
      <c r="G568" t="s">
        <v>179</v>
      </c>
      <c r="H568" t="s">
        <v>214</v>
      </c>
      <c r="I568" t="s">
        <v>234</v>
      </c>
      <c r="AK568" t="s">
        <v>355</v>
      </c>
    </row>
    <row r="569" spans="1:37">
      <c r="A569" t="s">
        <v>40</v>
      </c>
      <c r="B569" t="s">
        <v>60</v>
      </c>
      <c r="C569" t="s">
        <v>82</v>
      </c>
      <c r="D569" t="s">
        <v>101</v>
      </c>
      <c r="E569" t="s">
        <v>120</v>
      </c>
      <c r="F569" t="s">
        <v>154</v>
      </c>
      <c r="G569" t="s">
        <v>180</v>
      </c>
      <c r="H569" t="s">
        <v>215</v>
      </c>
      <c r="I569" t="s">
        <v>235</v>
      </c>
      <c r="J569" t="s">
        <v>253</v>
      </c>
      <c r="K569" t="s">
        <v>267</v>
      </c>
      <c r="L569" t="s">
        <v>279</v>
      </c>
      <c r="M569" t="s">
        <v>288</v>
      </c>
      <c r="N569" t="s">
        <v>100</v>
      </c>
      <c r="O569" t="s">
        <v>306</v>
      </c>
      <c r="P569" t="s">
        <v>313</v>
      </c>
      <c r="Q569" t="s">
        <v>320</v>
      </c>
      <c r="R569" t="s">
        <v>325</v>
      </c>
      <c r="S569" t="s">
        <v>332</v>
      </c>
      <c r="T569" t="s">
        <v>119</v>
      </c>
      <c r="U569" t="s">
        <v>234</v>
      </c>
      <c r="V569" t="s">
        <v>343</v>
      </c>
      <c r="W569" t="s">
        <v>348</v>
      </c>
      <c r="X569" t="s">
        <v>352</v>
      </c>
      <c r="Y569" t="s">
        <v>354</v>
      </c>
      <c r="AK569" t="s">
        <v>355</v>
      </c>
    </row>
    <row r="570" spans="1:37">
      <c r="A570" t="s">
        <v>41</v>
      </c>
      <c r="B570" t="s">
        <v>61</v>
      </c>
      <c r="C570" t="s">
        <v>83</v>
      </c>
      <c r="D570" t="s">
        <v>102</v>
      </c>
      <c r="E570" t="s">
        <v>121</v>
      </c>
      <c r="F570" t="s">
        <v>155</v>
      </c>
      <c r="G570" t="s">
        <v>181</v>
      </c>
      <c r="H570" t="s">
        <v>216</v>
      </c>
      <c r="I570" t="s">
        <v>236</v>
      </c>
      <c r="AK570" t="s">
        <v>355</v>
      </c>
    </row>
    <row r="571" spans="1:37">
      <c r="A571" t="s">
        <v>42</v>
      </c>
      <c r="B571" t="s">
        <v>62</v>
      </c>
      <c r="C571" t="s">
        <v>84</v>
      </c>
      <c r="D571" t="s">
        <v>103</v>
      </c>
      <c r="E571" t="s">
        <v>122</v>
      </c>
      <c r="F571" t="s">
        <v>156</v>
      </c>
      <c r="G571" t="s">
        <v>182</v>
      </c>
      <c r="H571" t="s">
        <v>83</v>
      </c>
      <c r="I571" t="s">
        <v>237</v>
      </c>
      <c r="J571" t="s">
        <v>254</v>
      </c>
      <c r="K571" t="s">
        <v>268</v>
      </c>
      <c r="L571" t="s">
        <v>280</v>
      </c>
      <c r="M571" t="s">
        <v>289</v>
      </c>
      <c r="N571" t="s">
        <v>298</v>
      </c>
      <c r="O571" t="s">
        <v>307</v>
      </c>
      <c r="P571" t="s">
        <v>314</v>
      </c>
      <c r="Q571" t="s">
        <v>216</v>
      </c>
      <c r="R571" t="s">
        <v>326</v>
      </c>
      <c r="S571" t="s">
        <v>333</v>
      </c>
      <c r="T571" t="s">
        <v>335</v>
      </c>
      <c r="U571" t="s">
        <v>340</v>
      </c>
      <c r="V571" t="s">
        <v>344</v>
      </c>
      <c r="W571" t="s">
        <v>349</v>
      </c>
      <c r="AK571" t="s">
        <v>355</v>
      </c>
    </row>
    <row r="572" spans="1:37">
      <c r="A572" t="s">
        <v>43</v>
      </c>
      <c r="B572" t="s">
        <v>63</v>
      </c>
      <c r="C572" t="s">
        <v>85</v>
      </c>
      <c r="D572" t="s">
        <v>104</v>
      </c>
      <c r="E572" t="s">
        <v>123</v>
      </c>
      <c r="F572" t="s">
        <v>157</v>
      </c>
      <c r="G572" t="s">
        <v>183</v>
      </c>
      <c r="AK572" t="s">
        <v>355</v>
      </c>
    </row>
    <row r="573" spans="1:37">
      <c r="A573" t="s">
        <v>44</v>
      </c>
      <c r="B573" t="s">
        <v>64</v>
      </c>
      <c r="C573" t="s">
        <v>86</v>
      </c>
      <c r="D573" t="s">
        <v>105</v>
      </c>
      <c r="E573" t="s">
        <v>124</v>
      </c>
      <c r="F573" t="s">
        <v>158</v>
      </c>
      <c r="G573" t="s">
        <v>184</v>
      </c>
      <c r="AK573" t="s">
        <v>355</v>
      </c>
    </row>
    <row r="574" spans="1:37">
      <c r="A574" t="s">
        <v>45</v>
      </c>
      <c r="B574" t="s">
        <v>65</v>
      </c>
      <c r="C574" t="s">
        <v>87</v>
      </c>
      <c r="D574" t="s">
        <v>106</v>
      </c>
      <c r="E574" t="s">
        <v>125</v>
      </c>
      <c r="F574" t="s">
        <v>159</v>
      </c>
      <c r="G574" t="s">
        <v>185</v>
      </c>
      <c r="H574" t="s">
        <v>159</v>
      </c>
      <c r="I574" t="s">
        <v>185</v>
      </c>
      <c r="J574" t="s">
        <v>255</v>
      </c>
      <c r="AK574" t="s">
        <v>355</v>
      </c>
    </row>
    <row r="575" spans="1:37">
      <c r="A575" t="s">
        <v>46</v>
      </c>
      <c r="B575" t="s">
        <v>66</v>
      </c>
      <c r="C575" t="s">
        <v>88</v>
      </c>
      <c r="D575" t="s">
        <v>76</v>
      </c>
      <c r="E575" t="s">
        <v>126</v>
      </c>
      <c r="F575" t="s">
        <v>160</v>
      </c>
      <c r="G575" t="s">
        <v>186</v>
      </c>
      <c r="H575" t="s">
        <v>217</v>
      </c>
      <c r="I575" t="s">
        <v>238</v>
      </c>
      <c r="J575" t="s">
        <v>256</v>
      </c>
      <c r="K575" t="s">
        <v>265</v>
      </c>
      <c r="L575" t="s">
        <v>281</v>
      </c>
      <c r="M575" t="s">
        <v>290</v>
      </c>
      <c r="N575" t="s">
        <v>299</v>
      </c>
      <c r="O575" t="s">
        <v>308</v>
      </c>
      <c r="P575" t="s">
        <v>228</v>
      </c>
      <c r="Q575" t="s">
        <v>72</v>
      </c>
      <c r="R575" t="s">
        <v>327</v>
      </c>
      <c r="S575" t="s">
        <v>327</v>
      </c>
      <c r="T575" t="s">
        <v>336</v>
      </c>
      <c r="U575" t="s">
        <v>336</v>
      </c>
      <c r="V575" t="s">
        <v>336</v>
      </c>
      <c r="W575" t="s">
        <v>336</v>
      </c>
      <c r="X575" t="s">
        <v>353</v>
      </c>
      <c r="AK575" t="s">
        <v>355</v>
      </c>
    </row>
    <row r="576" spans="1:37">
      <c r="A576" t="s">
        <v>37</v>
      </c>
      <c r="B576" t="s">
        <v>49</v>
      </c>
      <c r="C576" t="s">
        <v>73</v>
      </c>
      <c r="D576" t="s">
        <v>94</v>
      </c>
      <c r="E576" t="s">
        <v>112</v>
      </c>
      <c r="F576" t="s">
        <v>146</v>
      </c>
      <c r="G576" t="s">
        <v>172</v>
      </c>
      <c r="H576" t="s">
        <v>207</v>
      </c>
      <c r="I576" t="s">
        <v>226</v>
      </c>
      <c r="J576" t="s">
        <v>246</v>
      </c>
      <c r="K576" t="s">
        <v>259</v>
      </c>
      <c r="AK576" t="s">
        <v>355</v>
      </c>
    </row>
    <row r="577" spans="1:37">
      <c r="A577" t="s">
        <v>38</v>
      </c>
      <c r="B577" t="s">
        <v>50</v>
      </c>
      <c r="C577" t="s">
        <v>74</v>
      </c>
      <c r="D577" t="s">
        <v>95</v>
      </c>
      <c r="E577" t="s">
        <v>113</v>
      </c>
      <c r="F577" t="s">
        <v>147</v>
      </c>
      <c r="G577" t="s">
        <v>173</v>
      </c>
      <c r="H577" t="s">
        <v>208</v>
      </c>
      <c r="I577" t="s">
        <v>227</v>
      </c>
      <c r="J577" t="s">
        <v>115</v>
      </c>
      <c r="K577" t="s">
        <v>260</v>
      </c>
      <c r="L577" t="s">
        <v>273</v>
      </c>
      <c r="M577" t="s">
        <v>282</v>
      </c>
      <c r="N577" t="s">
        <v>291</v>
      </c>
      <c r="AK577" t="s">
        <v>355</v>
      </c>
    </row>
    <row r="578" spans="1:37">
      <c r="B578" t="s">
        <v>51</v>
      </c>
      <c r="C578" t="s">
        <v>75</v>
      </c>
      <c r="D578" t="s">
        <v>52</v>
      </c>
      <c r="E578" t="s">
        <v>114</v>
      </c>
      <c r="F578" t="s">
        <v>148</v>
      </c>
      <c r="G578" t="s">
        <v>148</v>
      </c>
      <c r="H578" t="s">
        <v>209</v>
      </c>
      <c r="I578" t="s">
        <v>228</v>
      </c>
      <c r="J578" t="s">
        <v>247</v>
      </c>
      <c r="K578" t="s">
        <v>261</v>
      </c>
      <c r="L578" t="s">
        <v>274</v>
      </c>
      <c r="M578" t="s">
        <v>283</v>
      </c>
      <c r="N578" t="s">
        <v>292</v>
      </c>
      <c r="O578" t="s">
        <v>300</v>
      </c>
      <c r="AK578" t="s">
        <v>355</v>
      </c>
    </row>
    <row r="579" spans="1:37">
      <c r="B579" t="s">
        <v>52</v>
      </c>
      <c r="C579" t="s">
        <v>76</v>
      </c>
      <c r="D579" t="s">
        <v>96</v>
      </c>
      <c r="E579" t="s">
        <v>115</v>
      </c>
      <c r="F579" t="s">
        <v>149</v>
      </c>
      <c r="G579" t="s">
        <v>174</v>
      </c>
      <c r="H579" t="s">
        <v>96</v>
      </c>
      <c r="I579" t="s">
        <v>229</v>
      </c>
      <c r="J579" t="s">
        <v>248</v>
      </c>
      <c r="K579" t="s">
        <v>262</v>
      </c>
      <c r="L579" t="s">
        <v>52</v>
      </c>
      <c r="M579" t="s">
        <v>76</v>
      </c>
      <c r="N579" t="s">
        <v>293</v>
      </c>
      <c r="O579" t="s">
        <v>301</v>
      </c>
      <c r="P579" t="s">
        <v>309</v>
      </c>
      <c r="Q579" t="s">
        <v>315</v>
      </c>
      <c r="R579" t="s">
        <v>228</v>
      </c>
      <c r="S579" t="s">
        <v>328</v>
      </c>
      <c r="T579" t="s">
        <v>149</v>
      </c>
      <c r="U579" t="s">
        <v>337</v>
      </c>
      <c r="V579" t="s">
        <v>341</v>
      </c>
      <c r="W579" t="s">
        <v>345</v>
      </c>
      <c r="X579" t="s">
        <v>350</v>
      </c>
      <c r="AK579" t="s">
        <v>355</v>
      </c>
    </row>
    <row r="580" spans="1:37">
      <c r="B580" t="s">
        <v>53</v>
      </c>
      <c r="C580" t="s">
        <v>77</v>
      </c>
      <c r="D580" t="s">
        <v>97</v>
      </c>
      <c r="E580" t="s">
        <v>116</v>
      </c>
      <c r="F580" t="s">
        <v>150</v>
      </c>
      <c r="G580" t="s">
        <v>175</v>
      </c>
      <c r="H580" t="s">
        <v>210</v>
      </c>
      <c r="I580" t="s">
        <v>230</v>
      </c>
      <c r="J580" t="s">
        <v>249</v>
      </c>
      <c r="K580" t="s">
        <v>263</v>
      </c>
      <c r="L580" t="s">
        <v>275</v>
      </c>
      <c r="M580" t="s">
        <v>284</v>
      </c>
      <c r="N580" t="s">
        <v>294</v>
      </c>
      <c r="O580" t="s">
        <v>302</v>
      </c>
      <c r="P580" t="s">
        <v>310</v>
      </c>
      <c r="Q580" t="s">
        <v>316</v>
      </c>
      <c r="R580" t="s">
        <v>322</v>
      </c>
      <c r="S580" t="s">
        <v>329</v>
      </c>
      <c r="AK580" t="s">
        <v>355</v>
      </c>
    </row>
    <row r="581" spans="1:37">
      <c r="A581" t="s">
        <v>39</v>
      </c>
      <c r="B581" t="s">
        <v>54</v>
      </c>
      <c r="C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 t="s">
        <v>323</v>
      </c>
      <c r="S581" t="s">
        <v>330</v>
      </c>
      <c r="AK581" t="s">
        <v>355</v>
      </c>
    </row>
    <row r="582" spans="1:37">
      <c r="B582" t="s">
        <v>55</v>
      </c>
      <c r="C582" t="s">
        <v>78</v>
      </c>
      <c r="D582" t="s">
        <v>55</v>
      </c>
      <c r="E582" t="s">
        <v>78</v>
      </c>
      <c r="F582" t="s">
        <v>55</v>
      </c>
      <c r="G582" t="s">
        <v>78</v>
      </c>
      <c r="H582" t="s">
        <v>55</v>
      </c>
      <c r="I582" t="s">
        <v>78</v>
      </c>
      <c r="J582" t="s">
        <v>55</v>
      </c>
      <c r="K582" t="s">
        <v>78</v>
      </c>
      <c r="L582" t="s">
        <v>55</v>
      </c>
      <c r="M582" t="s">
        <v>78</v>
      </c>
      <c r="N582" t="s">
        <v>55</v>
      </c>
      <c r="O582" t="s">
        <v>78</v>
      </c>
      <c r="P582" t="s">
        <v>55</v>
      </c>
      <c r="Q582" t="s">
        <v>78</v>
      </c>
      <c r="R582" t="s">
        <v>55</v>
      </c>
      <c r="S582" t="s">
        <v>78</v>
      </c>
      <c r="T582" t="s">
        <v>55</v>
      </c>
      <c r="U582" t="s">
        <v>78</v>
      </c>
      <c r="V582" t="s">
        <v>55</v>
      </c>
      <c r="W582" t="s">
        <v>78</v>
      </c>
      <c r="X582" t="s">
        <v>55</v>
      </c>
      <c r="Y582" t="s">
        <v>78</v>
      </c>
      <c r="Z582" t="s">
        <v>55</v>
      </c>
      <c r="AA582" t="s">
        <v>78</v>
      </c>
      <c r="AB582" t="s">
        <v>55</v>
      </c>
      <c r="AC582" t="s">
        <v>78</v>
      </c>
      <c r="AD582" t="s">
        <v>55</v>
      </c>
      <c r="AE582" t="s">
        <v>78</v>
      </c>
      <c r="AF582" t="s">
        <v>55</v>
      </c>
      <c r="AG582" t="s">
        <v>78</v>
      </c>
      <c r="AH582" t="s">
        <v>55</v>
      </c>
      <c r="AI582" t="s">
        <v>78</v>
      </c>
      <c r="AK582" t="s">
        <v>355</v>
      </c>
    </row>
    <row r="583" spans="1:37">
      <c r="B583" t="s">
        <v>56</v>
      </c>
      <c r="C583" t="s">
        <v>56</v>
      </c>
      <c r="D583" t="s">
        <v>56</v>
      </c>
      <c r="E583" t="s">
        <v>56</v>
      </c>
      <c r="F583" t="s">
        <v>56</v>
      </c>
      <c r="G583" t="s">
        <v>176</v>
      </c>
      <c r="H583" t="s">
        <v>211</v>
      </c>
      <c r="I583" t="s">
        <v>231</v>
      </c>
      <c r="J583" t="s">
        <v>250</v>
      </c>
      <c r="K583" t="s">
        <v>264</v>
      </c>
      <c r="L583" t="s">
        <v>276</v>
      </c>
      <c r="M583" t="s">
        <v>285</v>
      </c>
      <c r="N583" t="s">
        <v>295</v>
      </c>
      <c r="O583" t="s">
        <v>303</v>
      </c>
      <c r="P583" t="s">
        <v>56</v>
      </c>
      <c r="Q583" t="s">
        <v>317</v>
      </c>
      <c r="R583" t="s">
        <v>324</v>
      </c>
      <c r="S583" t="s">
        <v>331</v>
      </c>
      <c r="T583" t="s">
        <v>334</v>
      </c>
      <c r="U583" t="s">
        <v>338</v>
      </c>
      <c r="V583" t="s">
        <v>342</v>
      </c>
      <c r="W583" t="s">
        <v>346</v>
      </c>
      <c r="X583" t="s">
        <v>351</v>
      </c>
      <c r="AK583" t="s">
        <v>355</v>
      </c>
    </row>
    <row r="584" spans="1:37">
      <c r="B584" t="s">
        <v>57</v>
      </c>
      <c r="C584" t="s">
        <v>79</v>
      </c>
      <c r="D584" t="s">
        <v>98</v>
      </c>
      <c r="E584" t="s">
        <v>117</v>
      </c>
      <c r="F584" t="s">
        <v>151</v>
      </c>
      <c r="G584" t="s">
        <v>177</v>
      </c>
      <c r="H584" t="s">
        <v>212</v>
      </c>
      <c r="I584" t="s">
        <v>232</v>
      </c>
      <c r="J584" t="s">
        <v>251</v>
      </c>
      <c r="K584" t="s">
        <v>265</v>
      </c>
      <c r="L584" t="s">
        <v>277</v>
      </c>
      <c r="M584" t="s">
        <v>286</v>
      </c>
      <c r="N584" t="s">
        <v>296</v>
      </c>
      <c r="O584" t="s">
        <v>304</v>
      </c>
      <c r="P584" t="s">
        <v>311</v>
      </c>
      <c r="Q584" t="s">
        <v>318</v>
      </c>
      <c r="R584" t="s">
        <v>185</v>
      </c>
      <c r="S584" t="s">
        <v>159</v>
      </c>
      <c r="T584" t="s">
        <v>185</v>
      </c>
      <c r="U584" t="s">
        <v>339</v>
      </c>
      <c r="V584" t="s">
        <v>72</v>
      </c>
      <c r="W584" t="s">
        <v>347</v>
      </c>
      <c r="X584" t="s">
        <v>72</v>
      </c>
      <c r="Y584" t="s">
        <v>96</v>
      </c>
      <c r="AK584" t="s">
        <v>355</v>
      </c>
    </row>
    <row r="585" spans="1:37">
      <c r="B585" t="s">
        <v>58</v>
      </c>
      <c r="C585" t="s">
        <v>80</v>
      </c>
      <c r="D585" t="s">
        <v>99</v>
      </c>
      <c r="E585" t="s">
        <v>118</v>
      </c>
      <c r="F585" t="s">
        <v>152</v>
      </c>
      <c r="G585" t="s">
        <v>178</v>
      </c>
      <c r="H585" t="s">
        <v>213</v>
      </c>
      <c r="I585" t="s">
        <v>233</v>
      </c>
      <c r="J585" t="s">
        <v>252</v>
      </c>
      <c r="K585" t="s">
        <v>266</v>
      </c>
      <c r="L585" t="s">
        <v>278</v>
      </c>
      <c r="M585" t="s">
        <v>287</v>
      </c>
      <c r="N585" t="s">
        <v>297</v>
      </c>
      <c r="O585" t="s">
        <v>305</v>
      </c>
      <c r="P585" t="s">
        <v>312</v>
      </c>
      <c r="Q585" t="s">
        <v>319</v>
      </c>
      <c r="R585">
        <f>&gt;10       ветра      0.2      8  16</f>
        <v>0</v>
      </c>
      <c r="AK585" t="s">
        <v>355</v>
      </c>
    </row>
    <row r="586" spans="1:37">
      <c r="A586" t="s">
        <v>40</v>
      </c>
      <c r="B586" t="s">
        <v>59</v>
      </c>
      <c r="C586" t="s">
        <v>81</v>
      </c>
      <c r="D586" t="s">
        <v>100</v>
      </c>
      <c r="E586" t="s">
        <v>119</v>
      </c>
      <c r="F586" t="s">
        <v>153</v>
      </c>
      <c r="G586" t="s">
        <v>179</v>
      </c>
      <c r="H586" t="s">
        <v>214</v>
      </c>
      <c r="I586" t="s">
        <v>234</v>
      </c>
      <c r="AK586" t="s">
        <v>355</v>
      </c>
    </row>
    <row r="587" spans="1:37">
      <c r="A587" t="s">
        <v>40</v>
      </c>
      <c r="B587" t="s">
        <v>60</v>
      </c>
      <c r="C587" t="s">
        <v>82</v>
      </c>
      <c r="D587" t="s">
        <v>101</v>
      </c>
      <c r="E587" t="s">
        <v>120</v>
      </c>
      <c r="F587" t="s">
        <v>154</v>
      </c>
      <c r="G587" t="s">
        <v>180</v>
      </c>
      <c r="H587" t="s">
        <v>215</v>
      </c>
      <c r="I587" t="s">
        <v>235</v>
      </c>
      <c r="J587" t="s">
        <v>253</v>
      </c>
      <c r="K587" t="s">
        <v>267</v>
      </c>
      <c r="L587" t="s">
        <v>279</v>
      </c>
      <c r="M587" t="s">
        <v>288</v>
      </c>
      <c r="N587" t="s">
        <v>100</v>
      </c>
      <c r="O587" t="s">
        <v>306</v>
      </c>
      <c r="P587" t="s">
        <v>313</v>
      </c>
      <c r="Q587" t="s">
        <v>320</v>
      </c>
      <c r="R587" t="s">
        <v>325</v>
      </c>
      <c r="S587" t="s">
        <v>332</v>
      </c>
      <c r="T587" t="s">
        <v>119</v>
      </c>
      <c r="U587" t="s">
        <v>234</v>
      </c>
      <c r="V587" t="s">
        <v>343</v>
      </c>
      <c r="W587" t="s">
        <v>348</v>
      </c>
      <c r="X587" t="s">
        <v>352</v>
      </c>
      <c r="Y587" t="s">
        <v>354</v>
      </c>
      <c r="AK587" t="s">
        <v>355</v>
      </c>
    </row>
    <row r="588" spans="1:37">
      <c r="A588" t="s">
        <v>41</v>
      </c>
      <c r="B588" t="s">
        <v>61</v>
      </c>
      <c r="C588" t="s">
        <v>83</v>
      </c>
      <c r="D588" t="s">
        <v>102</v>
      </c>
      <c r="E588" t="s">
        <v>121</v>
      </c>
      <c r="F588" t="s">
        <v>155</v>
      </c>
      <c r="G588" t="s">
        <v>181</v>
      </c>
      <c r="H588" t="s">
        <v>216</v>
      </c>
      <c r="I588" t="s">
        <v>236</v>
      </c>
      <c r="AK588" t="s">
        <v>355</v>
      </c>
    </row>
    <row r="589" spans="1:37">
      <c r="A589" t="s">
        <v>42</v>
      </c>
      <c r="B589" t="s">
        <v>62</v>
      </c>
      <c r="C589" t="s">
        <v>84</v>
      </c>
      <c r="D589" t="s">
        <v>103</v>
      </c>
      <c r="E589" t="s">
        <v>122</v>
      </c>
      <c r="F589" t="s">
        <v>156</v>
      </c>
      <c r="G589" t="s">
        <v>182</v>
      </c>
      <c r="H589" t="s">
        <v>83</v>
      </c>
      <c r="I589" t="s">
        <v>237</v>
      </c>
      <c r="J589" t="s">
        <v>254</v>
      </c>
      <c r="K589" t="s">
        <v>268</v>
      </c>
      <c r="L589" t="s">
        <v>280</v>
      </c>
      <c r="M589" t="s">
        <v>289</v>
      </c>
      <c r="N589" t="s">
        <v>298</v>
      </c>
      <c r="O589" t="s">
        <v>307</v>
      </c>
      <c r="P589" t="s">
        <v>314</v>
      </c>
      <c r="Q589" t="s">
        <v>216</v>
      </c>
      <c r="R589" t="s">
        <v>326</v>
      </c>
      <c r="S589" t="s">
        <v>333</v>
      </c>
      <c r="T589" t="s">
        <v>335</v>
      </c>
      <c r="U589" t="s">
        <v>340</v>
      </c>
      <c r="V589" t="s">
        <v>344</v>
      </c>
      <c r="W589" t="s">
        <v>349</v>
      </c>
      <c r="AK589" t="s">
        <v>355</v>
      </c>
    </row>
    <row r="590" spans="1:37">
      <c r="A590" t="s">
        <v>43</v>
      </c>
      <c r="B590" t="s">
        <v>63</v>
      </c>
      <c r="C590" t="s">
        <v>85</v>
      </c>
      <c r="D590" t="s">
        <v>104</v>
      </c>
      <c r="E590" t="s">
        <v>123</v>
      </c>
      <c r="F590" t="s">
        <v>157</v>
      </c>
      <c r="G590" t="s">
        <v>183</v>
      </c>
      <c r="AK590" t="s">
        <v>355</v>
      </c>
    </row>
    <row r="591" spans="1:37">
      <c r="A591" t="s">
        <v>44</v>
      </c>
      <c r="B591" t="s">
        <v>64</v>
      </c>
      <c r="C591" t="s">
        <v>86</v>
      </c>
      <c r="D591" t="s">
        <v>105</v>
      </c>
      <c r="E591" t="s">
        <v>124</v>
      </c>
      <c r="F591" t="s">
        <v>158</v>
      </c>
      <c r="G591" t="s">
        <v>184</v>
      </c>
      <c r="AK591" t="s">
        <v>355</v>
      </c>
    </row>
    <row r="592" spans="1:37">
      <c r="A592" t="s">
        <v>45</v>
      </c>
      <c r="B592" t="s">
        <v>65</v>
      </c>
      <c r="C592" t="s">
        <v>87</v>
      </c>
      <c r="D592" t="s">
        <v>106</v>
      </c>
      <c r="E592" t="s">
        <v>125</v>
      </c>
      <c r="F592" t="s">
        <v>159</v>
      </c>
      <c r="G592" t="s">
        <v>185</v>
      </c>
      <c r="H592" t="s">
        <v>159</v>
      </c>
      <c r="I592" t="s">
        <v>185</v>
      </c>
      <c r="J592" t="s">
        <v>255</v>
      </c>
      <c r="AK592" t="s">
        <v>355</v>
      </c>
    </row>
    <row r="593" spans="1:37">
      <c r="A593" t="s">
        <v>46</v>
      </c>
      <c r="B593" t="s">
        <v>66</v>
      </c>
      <c r="C593" t="s">
        <v>88</v>
      </c>
      <c r="D593" t="s">
        <v>76</v>
      </c>
      <c r="E593" t="s">
        <v>126</v>
      </c>
      <c r="F593" t="s">
        <v>160</v>
      </c>
      <c r="G593" t="s">
        <v>186</v>
      </c>
      <c r="H593" t="s">
        <v>217</v>
      </c>
      <c r="I593" t="s">
        <v>238</v>
      </c>
      <c r="J593" t="s">
        <v>256</v>
      </c>
      <c r="K593" t="s">
        <v>265</v>
      </c>
      <c r="L593" t="s">
        <v>281</v>
      </c>
      <c r="M593" t="s">
        <v>290</v>
      </c>
      <c r="N593" t="s">
        <v>299</v>
      </c>
      <c r="O593" t="s">
        <v>308</v>
      </c>
      <c r="P593" t="s">
        <v>228</v>
      </c>
      <c r="Q593" t="s">
        <v>72</v>
      </c>
      <c r="R593" t="s">
        <v>327</v>
      </c>
      <c r="S593" t="s">
        <v>327</v>
      </c>
      <c r="T593" t="s">
        <v>336</v>
      </c>
      <c r="U593" t="s">
        <v>336</v>
      </c>
      <c r="V593" t="s">
        <v>336</v>
      </c>
      <c r="W593" t="s">
        <v>336</v>
      </c>
      <c r="X593" t="s">
        <v>353</v>
      </c>
      <c r="AK593" t="s">
        <v>355</v>
      </c>
    </row>
    <row r="594" spans="1:37">
      <c r="A594" t="s">
        <v>37</v>
      </c>
      <c r="B594" t="s">
        <v>49</v>
      </c>
      <c r="C594" t="s">
        <v>73</v>
      </c>
      <c r="D594" t="s">
        <v>94</v>
      </c>
      <c r="E594" t="s">
        <v>112</v>
      </c>
      <c r="F594" t="s">
        <v>146</v>
      </c>
      <c r="G594" t="s">
        <v>172</v>
      </c>
      <c r="H594" t="s">
        <v>207</v>
      </c>
      <c r="I594" t="s">
        <v>226</v>
      </c>
      <c r="J594" t="s">
        <v>246</v>
      </c>
      <c r="K594" t="s">
        <v>259</v>
      </c>
      <c r="AK594" t="s">
        <v>355</v>
      </c>
    </row>
    <row r="595" spans="1:37">
      <c r="A595" t="s">
        <v>38</v>
      </c>
      <c r="B595" t="s">
        <v>50</v>
      </c>
      <c r="C595" t="s">
        <v>74</v>
      </c>
      <c r="D595" t="s">
        <v>95</v>
      </c>
      <c r="E595" t="s">
        <v>113</v>
      </c>
      <c r="F595" t="s">
        <v>147</v>
      </c>
      <c r="G595" t="s">
        <v>173</v>
      </c>
      <c r="H595" t="s">
        <v>208</v>
      </c>
      <c r="I595" t="s">
        <v>227</v>
      </c>
      <c r="J595" t="s">
        <v>115</v>
      </c>
      <c r="K595" t="s">
        <v>260</v>
      </c>
      <c r="L595" t="s">
        <v>273</v>
      </c>
      <c r="M595" t="s">
        <v>282</v>
      </c>
      <c r="N595" t="s">
        <v>291</v>
      </c>
      <c r="AK595" t="s">
        <v>355</v>
      </c>
    </row>
    <row r="596" spans="1:37">
      <c r="B596" t="s">
        <v>51</v>
      </c>
      <c r="C596" t="s">
        <v>75</v>
      </c>
      <c r="D596" t="s">
        <v>52</v>
      </c>
      <c r="E596" t="s">
        <v>114</v>
      </c>
      <c r="F596" t="s">
        <v>148</v>
      </c>
      <c r="G596" t="s">
        <v>148</v>
      </c>
      <c r="H596" t="s">
        <v>209</v>
      </c>
      <c r="I596" t="s">
        <v>228</v>
      </c>
      <c r="J596" t="s">
        <v>247</v>
      </c>
      <c r="K596" t="s">
        <v>261</v>
      </c>
      <c r="L596" t="s">
        <v>274</v>
      </c>
      <c r="M596" t="s">
        <v>283</v>
      </c>
      <c r="N596" t="s">
        <v>292</v>
      </c>
      <c r="O596" t="s">
        <v>300</v>
      </c>
      <c r="AK596" t="s">
        <v>355</v>
      </c>
    </row>
    <row r="597" spans="1:37">
      <c r="B597" t="s">
        <v>52</v>
      </c>
      <c r="C597" t="s">
        <v>76</v>
      </c>
      <c r="D597" t="s">
        <v>96</v>
      </c>
      <c r="E597" t="s">
        <v>115</v>
      </c>
      <c r="F597" t="s">
        <v>149</v>
      </c>
      <c r="G597" t="s">
        <v>174</v>
      </c>
      <c r="H597" t="s">
        <v>96</v>
      </c>
      <c r="I597" t="s">
        <v>229</v>
      </c>
      <c r="J597" t="s">
        <v>248</v>
      </c>
      <c r="K597" t="s">
        <v>262</v>
      </c>
      <c r="L597" t="s">
        <v>52</v>
      </c>
      <c r="M597" t="s">
        <v>76</v>
      </c>
      <c r="N597" t="s">
        <v>293</v>
      </c>
      <c r="O597" t="s">
        <v>301</v>
      </c>
      <c r="P597" t="s">
        <v>309</v>
      </c>
      <c r="Q597" t="s">
        <v>315</v>
      </c>
      <c r="R597" t="s">
        <v>228</v>
      </c>
      <c r="S597" t="s">
        <v>328</v>
      </c>
      <c r="T597" t="s">
        <v>149</v>
      </c>
      <c r="U597" t="s">
        <v>337</v>
      </c>
      <c r="V597" t="s">
        <v>341</v>
      </c>
      <c r="W597" t="s">
        <v>345</v>
      </c>
      <c r="X597" t="s">
        <v>350</v>
      </c>
      <c r="AK597" t="s">
        <v>355</v>
      </c>
    </row>
    <row r="598" spans="1:37">
      <c r="B598" t="s">
        <v>53</v>
      </c>
      <c r="C598" t="s">
        <v>77</v>
      </c>
      <c r="D598" t="s">
        <v>97</v>
      </c>
      <c r="E598" t="s">
        <v>116</v>
      </c>
      <c r="F598" t="s">
        <v>150</v>
      </c>
      <c r="G598" t="s">
        <v>175</v>
      </c>
      <c r="H598" t="s">
        <v>210</v>
      </c>
      <c r="I598" t="s">
        <v>230</v>
      </c>
      <c r="J598" t="s">
        <v>249</v>
      </c>
      <c r="K598" t="s">
        <v>263</v>
      </c>
      <c r="L598" t="s">
        <v>275</v>
      </c>
      <c r="M598" t="s">
        <v>284</v>
      </c>
      <c r="N598" t="s">
        <v>294</v>
      </c>
      <c r="O598" t="s">
        <v>302</v>
      </c>
      <c r="P598" t="s">
        <v>310</v>
      </c>
      <c r="Q598" t="s">
        <v>316</v>
      </c>
      <c r="R598" t="s">
        <v>322</v>
      </c>
      <c r="S598" t="s">
        <v>329</v>
      </c>
      <c r="AK598" t="s">
        <v>355</v>
      </c>
    </row>
    <row r="599" spans="1:37">
      <c r="A599" t="s">
        <v>39</v>
      </c>
      <c r="B599" t="s">
        <v>54</v>
      </c>
      <c r="C599" t="s">
        <v>54</v>
      </c>
      <c r="D599" t="s">
        <v>54</v>
      </c>
      <c r="E599" t="s">
        <v>54</v>
      </c>
      <c r="F599" t="s">
        <v>54</v>
      </c>
      <c r="G599" t="s">
        <v>54</v>
      </c>
      <c r="H599" t="s">
        <v>54</v>
      </c>
      <c r="I599" t="s">
        <v>54</v>
      </c>
      <c r="J599" t="s">
        <v>54</v>
      </c>
      <c r="K599" t="s">
        <v>54</v>
      </c>
      <c r="L599" t="s">
        <v>54</v>
      </c>
      <c r="M599" t="s">
        <v>54</v>
      </c>
      <c r="N599" t="s">
        <v>54</v>
      </c>
      <c r="O599" t="s">
        <v>54</v>
      </c>
      <c r="P599" t="s">
        <v>54</v>
      </c>
      <c r="Q599" t="s">
        <v>54</v>
      </c>
      <c r="R599" t="s">
        <v>323</v>
      </c>
      <c r="S599" t="s">
        <v>330</v>
      </c>
      <c r="AK599" t="s">
        <v>355</v>
      </c>
    </row>
    <row r="600" spans="1:37">
      <c r="B600" t="s">
        <v>55</v>
      </c>
      <c r="C600" t="s">
        <v>78</v>
      </c>
      <c r="D600" t="s">
        <v>55</v>
      </c>
      <c r="E600" t="s">
        <v>78</v>
      </c>
      <c r="F600" t="s">
        <v>55</v>
      </c>
      <c r="G600" t="s">
        <v>78</v>
      </c>
      <c r="H600" t="s">
        <v>55</v>
      </c>
      <c r="I600" t="s">
        <v>78</v>
      </c>
      <c r="J600" t="s">
        <v>55</v>
      </c>
      <c r="K600" t="s">
        <v>78</v>
      </c>
      <c r="L600" t="s">
        <v>55</v>
      </c>
      <c r="M600" t="s">
        <v>78</v>
      </c>
      <c r="N600" t="s">
        <v>55</v>
      </c>
      <c r="O600" t="s">
        <v>78</v>
      </c>
      <c r="P600" t="s">
        <v>55</v>
      </c>
      <c r="Q600" t="s">
        <v>78</v>
      </c>
      <c r="R600" t="s">
        <v>55</v>
      </c>
      <c r="S600" t="s">
        <v>78</v>
      </c>
      <c r="T600" t="s">
        <v>55</v>
      </c>
      <c r="U600" t="s">
        <v>78</v>
      </c>
      <c r="V600" t="s">
        <v>55</v>
      </c>
      <c r="W600" t="s">
        <v>78</v>
      </c>
      <c r="X600" t="s">
        <v>55</v>
      </c>
      <c r="Y600" t="s">
        <v>78</v>
      </c>
      <c r="Z600" t="s">
        <v>55</v>
      </c>
      <c r="AA600" t="s">
        <v>78</v>
      </c>
      <c r="AB600" t="s">
        <v>55</v>
      </c>
      <c r="AC600" t="s">
        <v>78</v>
      </c>
      <c r="AD600" t="s">
        <v>55</v>
      </c>
      <c r="AE600" t="s">
        <v>78</v>
      </c>
      <c r="AF600" t="s">
        <v>55</v>
      </c>
      <c r="AG600" t="s">
        <v>78</v>
      </c>
      <c r="AH600" t="s">
        <v>55</v>
      </c>
      <c r="AI600" t="s">
        <v>78</v>
      </c>
      <c r="AK600" t="s">
        <v>355</v>
      </c>
    </row>
    <row r="601" spans="1:37">
      <c r="B601" t="s">
        <v>56</v>
      </c>
      <c r="C601" t="s">
        <v>56</v>
      </c>
      <c r="D601" t="s">
        <v>56</v>
      </c>
      <c r="E601" t="s">
        <v>56</v>
      </c>
      <c r="F601" t="s">
        <v>56</v>
      </c>
      <c r="G601" t="s">
        <v>176</v>
      </c>
      <c r="H601" t="s">
        <v>211</v>
      </c>
      <c r="I601" t="s">
        <v>231</v>
      </c>
      <c r="J601" t="s">
        <v>250</v>
      </c>
      <c r="K601" t="s">
        <v>264</v>
      </c>
      <c r="L601" t="s">
        <v>276</v>
      </c>
      <c r="M601" t="s">
        <v>285</v>
      </c>
      <c r="N601" t="s">
        <v>295</v>
      </c>
      <c r="O601" t="s">
        <v>303</v>
      </c>
      <c r="P601" t="s">
        <v>56</v>
      </c>
      <c r="Q601" t="s">
        <v>317</v>
      </c>
      <c r="R601" t="s">
        <v>324</v>
      </c>
      <c r="S601" t="s">
        <v>331</v>
      </c>
      <c r="T601" t="s">
        <v>334</v>
      </c>
      <c r="U601" t="s">
        <v>338</v>
      </c>
      <c r="V601" t="s">
        <v>342</v>
      </c>
      <c r="W601" t="s">
        <v>346</v>
      </c>
      <c r="X601" t="s">
        <v>351</v>
      </c>
      <c r="AK601" t="s">
        <v>355</v>
      </c>
    </row>
    <row r="602" spans="1:37">
      <c r="B602" t="s">
        <v>57</v>
      </c>
      <c r="C602" t="s">
        <v>79</v>
      </c>
      <c r="D602" t="s">
        <v>98</v>
      </c>
      <c r="E602" t="s">
        <v>117</v>
      </c>
      <c r="F602" t="s">
        <v>151</v>
      </c>
      <c r="G602" t="s">
        <v>177</v>
      </c>
      <c r="H602" t="s">
        <v>212</v>
      </c>
      <c r="I602" t="s">
        <v>232</v>
      </c>
      <c r="J602" t="s">
        <v>251</v>
      </c>
      <c r="K602" t="s">
        <v>265</v>
      </c>
      <c r="L602" t="s">
        <v>277</v>
      </c>
      <c r="M602" t="s">
        <v>286</v>
      </c>
      <c r="N602" t="s">
        <v>296</v>
      </c>
      <c r="O602" t="s">
        <v>304</v>
      </c>
      <c r="P602" t="s">
        <v>311</v>
      </c>
      <c r="Q602" t="s">
        <v>318</v>
      </c>
      <c r="R602" t="s">
        <v>185</v>
      </c>
      <c r="S602" t="s">
        <v>159</v>
      </c>
      <c r="T602" t="s">
        <v>185</v>
      </c>
      <c r="U602" t="s">
        <v>339</v>
      </c>
      <c r="V602" t="s">
        <v>72</v>
      </c>
      <c r="W602" t="s">
        <v>347</v>
      </c>
      <c r="X602" t="s">
        <v>72</v>
      </c>
      <c r="Y602" t="s">
        <v>96</v>
      </c>
      <c r="AK602" t="s">
        <v>355</v>
      </c>
    </row>
    <row r="603" spans="1:37">
      <c r="B603" t="s">
        <v>58</v>
      </c>
      <c r="C603" t="s">
        <v>80</v>
      </c>
      <c r="D603" t="s">
        <v>99</v>
      </c>
      <c r="E603" t="s">
        <v>118</v>
      </c>
      <c r="F603" t="s">
        <v>152</v>
      </c>
      <c r="G603" t="s">
        <v>178</v>
      </c>
      <c r="H603" t="s">
        <v>213</v>
      </c>
      <c r="I603" t="s">
        <v>233</v>
      </c>
      <c r="J603" t="s">
        <v>252</v>
      </c>
      <c r="K603" t="s">
        <v>266</v>
      </c>
      <c r="L603" t="s">
        <v>278</v>
      </c>
      <c r="M603" t="s">
        <v>287</v>
      </c>
      <c r="N603" t="s">
        <v>297</v>
      </c>
      <c r="O603" t="s">
        <v>305</v>
      </c>
      <c r="P603" t="s">
        <v>312</v>
      </c>
      <c r="Q603" t="s">
        <v>319</v>
      </c>
      <c r="R603">
        <f>&gt;10       ветра      1.1     13  16</f>
        <v>0</v>
      </c>
      <c r="AK603" t="s">
        <v>355</v>
      </c>
    </row>
    <row r="604" spans="1:37">
      <c r="A604" t="s">
        <v>40</v>
      </c>
      <c r="B604" t="s">
        <v>59</v>
      </c>
      <c r="C604" t="s">
        <v>81</v>
      </c>
      <c r="D604" t="s">
        <v>100</v>
      </c>
      <c r="E604" t="s">
        <v>119</v>
      </c>
      <c r="F604" t="s">
        <v>153</v>
      </c>
      <c r="G604" t="s">
        <v>179</v>
      </c>
      <c r="H604" t="s">
        <v>214</v>
      </c>
      <c r="I604" t="s">
        <v>234</v>
      </c>
      <c r="AK604" t="s">
        <v>355</v>
      </c>
    </row>
    <row r="605" spans="1:37">
      <c r="A605" t="s">
        <v>40</v>
      </c>
      <c r="B605" t="s">
        <v>60</v>
      </c>
      <c r="C605" t="s">
        <v>82</v>
      </c>
      <c r="D605" t="s">
        <v>101</v>
      </c>
      <c r="E605" t="s">
        <v>120</v>
      </c>
      <c r="F605" t="s">
        <v>154</v>
      </c>
      <c r="G605" t="s">
        <v>180</v>
      </c>
      <c r="H605" t="s">
        <v>215</v>
      </c>
      <c r="I605" t="s">
        <v>235</v>
      </c>
      <c r="J605" t="s">
        <v>253</v>
      </c>
      <c r="K605" t="s">
        <v>267</v>
      </c>
      <c r="L605" t="s">
        <v>279</v>
      </c>
      <c r="M605" t="s">
        <v>288</v>
      </c>
      <c r="N605" t="s">
        <v>100</v>
      </c>
      <c r="O605" t="s">
        <v>306</v>
      </c>
      <c r="P605" t="s">
        <v>313</v>
      </c>
      <c r="Q605" t="s">
        <v>320</v>
      </c>
      <c r="R605" t="s">
        <v>325</v>
      </c>
      <c r="S605" t="s">
        <v>332</v>
      </c>
      <c r="T605" t="s">
        <v>119</v>
      </c>
      <c r="U605" t="s">
        <v>234</v>
      </c>
      <c r="V605" t="s">
        <v>343</v>
      </c>
      <c r="W605" t="s">
        <v>348</v>
      </c>
      <c r="X605" t="s">
        <v>352</v>
      </c>
      <c r="Y605" t="s">
        <v>354</v>
      </c>
      <c r="AK605" t="s">
        <v>355</v>
      </c>
    </row>
    <row r="606" spans="1:37">
      <c r="A606" t="s">
        <v>41</v>
      </c>
      <c r="B606" t="s">
        <v>61</v>
      </c>
      <c r="C606" t="s">
        <v>83</v>
      </c>
      <c r="D606" t="s">
        <v>102</v>
      </c>
      <c r="E606" t="s">
        <v>121</v>
      </c>
      <c r="F606" t="s">
        <v>155</v>
      </c>
      <c r="G606" t="s">
        <v>181</v>
      </c>
      <c r="H606" t="s">
        <v>216</v>
      </c>
      <c r="I606" t="s">
        <v>236</v>
      </c>
      <c r="AK606" t="s">
        <v>355</v>
      </c>
    </row>
    <row r="607" spans="1:37">
      <c r="A607" t="s">
        <v>42</v>
      </c>
      <c r="B607" t="s">
        <v>62</v>
      </c>
      <c r="C607" t="s">
        <v>84</v>
      </c>
      <c r="D607" t="s">
        <v>103</v>
      </c>
      <c r="E607" t="s">
        <v>122</v>
      </c>
      <c r="F607" t="s">
        <v>156</v>
      </c>
      <c r="G607" t="s">
        <v>182</v>
      </c>
      <c r="H607" t="s">
        <v>83</v>
      </c>
      <c r="I607" t="s">
        <v>237</v>
      </c>
      <c r="J607" t="s">
        <v>254</v>
      </c>
      <c r="K607" t="s">
        <v>268</v>
      </c>
      <c r="L607" t="s">
        <v>280</v>
      </c>
      <c r="M607" t="s">
        <v>289</v>
      </c>
      <c r="N607" t="s">
        <v>298</v>
      </c>
      <c r="O607" t="s">
        <v>307</v>
      </c>
      <c r="P607" t="s">
        <v>314</v>
      </c>
      <c r="Q607" t="s">
        <v>216</v>
      </c>
      <c r="R607" t="s">
        <v>326</v>
      </c>
      <c r="S607" t="s">
        <v>333</v>
      </c>
      <c r="T607" t="s">
        <v>335</v>
      </c>
      <c r="U607" t="s">
        <v>340</v>
      </c>
      <c r="V607" t="s">
        <v>344</v>
      </c>
      <c r="W607" t="s">
        <v>349</v>
      </c>
      <c r="AK607" t="s">
        <v>355</v>
      </c>
    </row>
    <row r="608" spans="1:37">
      <c r="A608" t="s">
        <v>43</v>
      </c>
      <c r="B608" t="s">
        <v>63</v>
      </c>
      <c r="C608" t="s">
        <v>85</v>
      </c>
      <c r="D608" t="s">
        <v>104</v>
      </c>
      <c r="E608" t="s">
        <v>123</v>
      </c>
      <c r="F608" t="s">
        <v>157</v>
      </c>
      <c r="G608" t="s">
        <v>183</v>
      </c>
      <c r="AK608" t="s">
        <v>355</v>
      </c>
    </row>
    <row r="609" spans="1:37">
      <c r="A609" t="s">
        <v>44</v>
      </c>
      <c r="B609" t="s">
        <v>64</v>
      </c>
      <c r="C609" t="s">
        <v>86</v>
      </c>
      <c r="D609" t="s">
        <v>105</v>
      </c>
      <c r="E609" t="s">
        <v>124</v>
      </c>
      <c r="F609" t="s">
        <v>158</v>
      </c>
      <c r="G609" t="s">
        <v>184</v>
      </c>
      <c r="AK609" t="s">
        <v>355</v>
      </c>
    </row>
    <row r="610" spans="1:37">
      <c r="A610" t="s">
        <v>45</v>
      </c>
      <c r="B610" t="s">
        <v>65</v>
      </c>
      <c r="C610" t="s">
        <v>87</v>
      </c>
      <c r="D610" t="s">
        <v>106</v>
      </c>
      <c r="E610" t="s">
        <v>125</v>
      </c>
      <c r="F610" t="s">
        <v>159</v>
      </c>
      <c r="G610" t="s">
        <v>185</v>
      </c>
      <c r="H610" t="s">
        <v>159</v>
      </c>
      <c r="I610" t="s">
        <v>185</v>
      </c>
      <c r="J610" t="s">
        <v>255</v>
      </c>
      <c r="AK610" t="s">
        <v>355</v>
      </c>
    </row>
    <row r="611" spans="1:37">
      <c r="A611" t="s">
        <v>46</v>
      </c>
      <c r="B611" t="s">
        <v>66</v>
      </c>
      <c r="C611" t="s">
        <v>88</v>
      </c>
      <c r="D611" t="s">
        <v>76</v>
      </c>
      <c r="E611" t="s">
        <v>126</v>
      </c>
      <c r="F611" t="s">
        <v>160</v>
      </c>
      <c r="G611" t="s">
        <v>186</v>
      </c>
      <c r="H611" t="s">
        <v>217</v>
      </c>
      <c r="I611" t="s">
        <v>238</v>
      </c>
      <c r="J611" t="s">
        <v>256</v>
      </c>
      <c r="K611" t="s">
        <v>265</v>
      </c>
      <c r="L611" t="s">
        <v>281</v>
      </c>
      <c r="M611" t="s">
        <v>290</v>
      </c>
      <c r="N611" t="s">
        <v>299</v>
      </c>
      <c r="O611" t="s">
        <v>308</v>
      </c>
      <c r="P611" t="s">
        <v>228</v>
      </c>
      <c r="Q611" t="s">
        <v>72</v>
      </c>
      <c r="R611" t="s">
        <v>327</v>
      </c>
      <c r="S611" t="s">
        <v>327</v>
      </c>
      <c r="T611" t="s">
        <v>336</v>
      </c>
      <c r="U611" t="s">
        <v>336</v>
      </c>
      <c r="V611" t="s">
        <v>336</v>
      </c>
      <c r="W611" t="s">
        <v>336</v>
      </c>
      <c r="X611" t="s">
        <v>353</v>
      </c>
      <c r="AK611" t="s">
        <v>355</v>
      </c>
    </row>
    <row r="612" spans="1:37">
      <c r="B612" t="s">
        <v>67</v>
      </c>
      <c r="C612" t="s">
        <v>89</v>
      </c>
      <c r="D612" t="s">
        <v>107</v>
      </c>
      <c r="AK612" t="s">
        <v>355</v>
      </c>
    </row>
    <row r="613" spans="1:37">
      <c r="B613" t="s">
        <v>68</v>
      </c>
      <c r="C613" t="s">
        <v>90</v>
      </c>
      <c r="D613" t="s">
        <v>108</v>
      </c>
      <c r="AK613" t="s">
        <v>355</v>
      </c>
    </row>
    <row r="614" spans="1:37">
      <c r="A614" t="s">
        <v>47</v>
      </c>
      <c r="B614" t="s">
        <v>69</v>
      </c>
      <c r="C614" t="s">
        <v>91</v>
      </c>
      <c r="D614" t="s">
        <v>109</v>
      </c>
      <c r="E614" t="s">
        <v>109</v>
      </c>
      <c r="F614" t="s">
        <v>109</v>
      </c>
      <c r="G614" t="s">
        <v>109</v>
      </c>
      <c r="H614" t="s">
        <v>109</v>
      </c>
      <c r="I614" t="s">
        <v>239</v>
      </c>
      <c r="AK614" t="s">
        <v>355</v>
      </c>
    </row>
    <row r="615" spans="1:37">
      <c r="B615" t="s">
        <v>70</v>
      </c>
      <c r="C615" t="s">
        <v>92</v>
      </c>
      <c r="D615" t="s">
        <v>110</v>
      </c>
      <c r="E615" t="s">
        <v>127</v>
      </c>
      <c r="F615" t="s">
        <v>161</v>
      </c>
      <c r="G615" t="s">
        <v>187</v>
      </c>
      <c r="H615" t="s">
        <v>218</v>
      </c>
      <c r="AK615" t="s">
        <v>355</v>
      </c>
    </row>
    <row r="616" spans="1:37">
      <c r="B616" t="s">
        <v>71</v>
      </c>
      <c r="C616" t="s">
        <v>93</v>
      </c>
      <c r="D616" t="s">
        <v>111</v>
      </c>
      <c r="E616" t="s">
        <v>128</v>
      </c>
      <c r="F616" t="s">
        <v>162</v>
      </c>
      <c r="G616" t="s">
        <v>188</v>
      </c>
      <c r="H616" t="s">
        <v>219</v>
      </c>
      <c r="I616" t="s">
        <v>240</v>
      </c>
      <c r="J616" t="s">
        <v>257</v>
      </c>
      <c r="K616" t="s">
        <v>269</v>
      </c>
      <c r="L616" t="s">
        <v>109</v>
      </c>
      <c r="M616" t="s">
        <v>109</v>
      </c>
      <c r="N616" t="s">
        <v>109</v>
      </c>
      <c r="O616" t="s">
        <v>109</v>
      </c>
      <c r="P616" t="s">
        <v>109</v>
      </c>
      <c r="Q616" t="s">
        <v>321</v>
      </c>
      <c r="AK616" t="s">
        <v>355</v>
      </c>
    </row>
    <row r="617" spans="1:37">
      <c r="A617" t="s">
        <v>48</v>
      </c>
      <c r="B617" t="s">
        <v>71</v>
      </c>
      <c r="C617" t="s">
        <v>93</v>
      </c>
      <c r="D617" t="s">
        <v>111</v>
      </c>
      <c r="E617" t="s">
        <v>128</v>
      </c>
      <c r="F617" t="s">
        <v>163</v>
      </c>
      <c r="G617" t="s">
        <v>189</v>
      </c>
      <c r="H617" t="s">
        <v>220</v>
      </c>
      <c r="I617" t="s">
        <v>241</v>
      </c>
      <c r="J617" t="s">
        <v>258</v>
      </c>
      <c r="K617" t="s">
        <v>270</v>
      </c>
      <c r="AK617" t="s">
        <v>355</v>
      </c>
    </row>
    <row r="618" spans="1:37">
      <c r="B618" t="s">
        <v>72</v>
      </c>
      <c r="C618" t="s">
        <v>72</v>
      </c>
      <c r="D618" t="s">
        <v>72</v>
      </c>
      <c r="E618" t="s">
        <v>129</v>
      </c>
      <c r="F618" t="s">
        <v>145</v>
      </c>
      <c r="G618" t="s">
        <v>192</v>
      </c>
      <c r="H618" t="s">
        <v>192</v>
      </c>
      <c r="I618" t="s">
        <v>192</v>
      </c>
      <c r="J618" t="s">
        <v>192</v>
      </c>
      <c r="K618" t="s">
        <v>271</v>
      </c>
      <c r="AK618" t="s">
        <v>355</v>
      </c>
    </row>
    <row r="619" spans="1:37">
      <c r="A619" t="s">
        <v>37</v>
      </c>
      <c r="B619" t="s">
        <v>49</v>
      </c>
      <c r="C619" t="s">
        <v>73</v>
      </c>
      <c r="D619" t="s">
        <v>94</v>
      </c>
      <c r="E619" t="s">
        <v>112</v>
      </c>
      <c r="F619" t="s">
        <v>146</v>
      </c>
      <c r="G619" t="s">
        <v>172</v>
      </c>
      <c r="H619" t="s">
        <v>207</v>
      </c>
      <c r="I619" t="s">
        <v>226</v>
      </c>
      <c r="J619" t="s">
        <v>246</v>
      </c>
      <c r="K619" t="s">
        <v>259</v>
      </c>
      <c r="AK619" t="s">
        <v>355</v>
      </c>
    </row>
    <row r="620" spans="1:37">
      <c r="A620" t="s">
        <v>38</v>
      </c>
      <c r="B620" t="s">
        <v>50</v>
      </c>
      <c r="C620" t="s">
        <v>74</v>
      </c>
      <c r="D620" t="s">
        <v>95</v>
      </c>
      <c r="E620" t="s">
        <v>113</v>
      </c>
      <c r="F620" t="s">
        <v>147</v>
      </c>
      <c r="G620" t="s">
        <v>173</v>
      </c>
      <c r="H620" t="s">
        <v>208</v>
      </c>
      <c r="I620" t="s">
        <v>227</v>
      </c>
      <c r="J620" t="s">
        <v>115</v>
      </c>
      <c r="K620" t="s">
        <v>260</v>
      </c>
      <c r="L620" t="s">
        <v>273</v>
      </c>
      <c r="M620" t="s">
        <v>282</v>
      </c>
      <c r="N620" t="s">
        <v>291</v>
      </c>
      <c r="AK620" t="s">
        <v>355</v>
      </c>
    </row>
    <row r="621" spans="1:37">
      <c r="B621" t="s">
        <v>51</v>
      </c>
      <c r="C621" t="s">
        <v>75</v>
      </c>
      <c r="D621" t="s">
        <v>52</v>
      </c>
      <c r="E621" t="s">
        <v>114</v>
      </c>
      <c r="F621" t="s">
        <v>148</v>
      </c>
      <c r="G621" t="s">
        <v>148</v>
      </c>
      <c r="H621" t="s">
        <v>209</v>
      </c>
      <c r="I621" t="s">
        <v>228</v>
      </c>
      <c r="J621" t="s">
        <v>247</v>
      </c>
      <c r="K621" t="s">
        <v>261</v>
      </c>
      <c r="L621" t="s">
        <v>274</v>
      </c>
      <c r="M621" t="s">
        <v>283</v>
      </c>
      <c r="N621" t="s">
        <v>292</v>
      </c>
      <c r="O621" t="s">
        <v>300</v>
      </c>
      <c r="AK621" t="s">
        <v>355</v>
      </c>
    </row>
    <row r="622" spans="1:37">
      <c r="B622" t="s">
        <v>52</v>
      </c>
      <c r="C622" t="s">
        <v>76</v>
      </c>
      <c r="D622" t="s">
        <v>96</v>
      </c>
      <c r="E622" t="s">
        <v>115</v>
      </c>
      <c r="F622" t="s">
        <v>149</v>
      </c>
      <c r="G622" t="s">
        <v>174</v>
      </c>
      <c r="H622" t="s">
        <v>96</v>
      </c>
      <c r="I622" t="s">
        <v>229</v>
      </c>
      <c r="J622" t="s">
        <v>248</v>
      </c>
      <c r="K622" t="s">
        <v>262</v>
      </c>
      <c r="L622" t="s">
        <v>52</v>
      </c>
      <c r="M622" t="s">
        <v>76</v>
      </c>
      <c r="N622" t="s">
        <v>293</v>
      </c>
      <c r="O622" t="s">
        <v>301</v>
      </c>
      <c r="P622" t="s">
        <v>309</v>
      </c>
      <c r="Q622" t="s">
        <v>315</v>
      </c>
      <c r="R622" t="s">
        <v>228</v>
      </c>
      <c r="S622" t="s">
        <v>328</v>
      </c>
      <c r="T622" t="s">
        <v>149</v>
      </c>
      <c r="U622" t="s">
        <v>337</v>
      </c>
      <c r="V622" t="s">
        <v>341</v>
      </c>
      <c r="W622" t="s">
        <v>345</v>
      </c>
      <c r="X622" t="s">
        <v>350</v>
      </c>
      <c r="AK622" t="s">
        <v>355</v>
      </c>
    </row>
    <row r="623" spans="1:37">
      <c r="B623" t="s">
        <v>53</v>
      </c>
      <c r="C623" t="s">
        <v>77</v>
      </c>
      <c r="D623" t="s">
        <v>97</v>
      </c>
      <c r="E623" t="s">
        <v>116</v>
      </c>
      <c r="F623" t="s">
        <v>150</v>
      </c>
      <c r="G623" t="s">
        <v>175</v>
      </c>
      <c r="H623" t="s">
        <v>210</v>
      </c>
      <c r="I623" t="s">
        <v>230</v>
      </c>
      <c r="J623" t="s">
        <v>249</v>
      </c>
      <c r="K623" t="s">
        <v>263</v>
      </c>
      <c r="L623" t="s">
        <v>275</v>
      </c>
      <c r="M623" t="s">
        <v>284</v>
      </c>
      <c r="N623" t="s">
        <v>294</v>
      </c>
      <c r="O623" t="s">
        <v>302</v>
      </c>
      <c r="P623" t="s">
        <v>310</v>
      </c>
      <c r="Q623" t="s">
        <v>316</v>
      </c>
      <c r="R623" t="s">
        <v>322</v>
      </c>
      <c r="S623" t="s">
        <v>329</v>
      </c>
      <c r="AK623" t="s">
        <v>355</v>
      </c>
    </row>
    <row r="624" spans="1:37">
      <c r="A624" t="s">
        <v>39</v>
      </c>
      <c r="B624" t="s">
        <v>54</v>
      </c>
      <c r="C624" t="s">
        <v>54</v>
      </c>
      <c r="D624" t="s">
        <v>54</v>
      </c>
      <c r="E624" t="s">
        <v>54</v>
      </c>
      <c r="F624" t="s">
        <v>54</v>
      </c>
      <c r="G624" t="s">
        <v>54</v>
      </c>
      <c r="H624" t="s">
        <v>54</v>
      </c>
      <c r="I624" t="s">
        <v>54</v>
      </c>
      <c r="J624" t="s">
        <v>54</v>
      </c>
      <c r="K624" t="s">
        <v>54</v>
      </c>
      <c r="L624" t="s">
        <v>54</v>
      </c>
      <c r="M624" t="s">
        <v>54</v>
      </c>
      <c r="N624" t="s">
        <v>54</v>
      </c>
      <c r="O624" t="s">
        <v>54</v>
      </c>
      <c r="P624" t="s">
        <v>54</v>
      </c>
      <c r="Q624" t="s">
        <v>54</v>
      </c>
      <c r="R624" t="s">
        <v>323</v>
      </c>
      <c r="S624" t="s">
        <v>330</v>
      </c>
      <c r="AK624" t="s">
        <v>355</v>
      </c>
    </row>
    <row r="625" spans="1:37">
      <c r="B625" t="s">
        <v>55</v>
      </c>
      <c r="C625" t="s">
        <v>78</v>
      </c>
      <c r="D625" t="s">
        <v>55</v>
      </c>
      <c r="E625" t="s">
        <v>78</v>
      </c>
      <c r="F625" t="s">
        <v>55</v>
      </c>
      <c r="G625" t="s">
        <v>78</v>
      </c>
      <c r="H625" t="s">
        <v>55</v>
      </c>
      <c r="I625" t="s">
        <v>78</v>
      </c>
      <c r="J625" t="s">
        <v>55</v>
      </c>
      <c r="K625" t="s">
        <v>78</v>
      </c>
      <c r="L625" t="s">
        <v>55</v>
      </c>
      <c r="M625" t="s">
        <v>78</v>
      </c>
      <c r="N625" t="s">
        <v>55</v>
      </c>
      <c r="O625" t="s">
        <v>78</v>
      </c>
      <c r="P625" t="s">
        <v>55</v>
      </c>
      <c r="Q625" t="s">
        <v>78</v>
      </c>
      <c r="R625" t="s">
        <v>55</v>
      </c>
      <c r="S625" t="s">
        <v>78</v>
      </c>
      <c r="T625" t="s">
        <v>55</v>
      </c>
      <c r="U625" t="s">
        <v>78</v>
      </c>
      <c r="V625" t="s">
        <v>55</v>
      </c>
      <c r="W625" t="s">
        <v>78</v>
      </c>
      <c r="X625" t="s">
        <v>55</v>
      </c>
      <c r="Y625" t="s">
        <v>78</v>
      </c>
      <c r="Z625" t="s">
        <v>55</v>
      </c>
      <c r="AA625" t="s">
        <v>78</v>
      </c>
      <c r="AB625" t="s">
        <v>55</v>
      </c>
      <c r="AC625" t="s">
        <v>78</v>
      </c>
      <c r="AD625" t="s">
        <v>55</v>
      </c>
      <c r="AE625" t="s">
        <v>78</v>
      </c>
      <c r="AF625" t="s">
        <v>55</v>
      </c>
      <c r="AG625" t="s">
        <v>78</v>
      </c>
      <c r="AH625" t="s">
        <v>55</v>
      </c>
      <c r="AI625" t="s">
        <v>78</v>
      </c>
      <c r="AK625" t="s">
        <v>355</v>
      </c>
    </row>
    <row r="626" spans="1:37">
      <c r="B626" t="s">
        <v>56</v>
      </c>
      <c r="C626" t="s">
        <v>56</v>
      </c>
      <c r="D626" t="s">
        <v>56</v>
      </c>
      <c r="E626" t="s">
        <v>56</v>
      </c>
      <c r="F626" t="s">
        <v>56</v>
      </c>
      <c r="G626" t="s">
        <v>176</v>
      </c>
      <c r="H626" t="s">
        <v>211</v>
      </c>
      <c r="I626" t="s">
        <v>231</v>
      </c>
      <c r="J626" t="s">
        <v>250</v>
      </c>
      <c r="K626" t="s">
        <v>264</v>
      </c>
      <c r="L626" t="s">
        <v>276</v>
      </c>
      <c r="M626" t="s">
        <v>285</v>
      </c>
      <c r="N626" t="s">
        <v>295</v>
      </c>
      <c r="O626" t="s">
        <v>303</v>
      </c>
      <c r="P626" t="s">
        <v>56</v>
      </c>
      <c r="Q626" t="s">
        <v>317</v>
      </c>
      <c r="R626" t="s">
        <v>324</v>
      </c>
      <c r="S626" t="s">
        <v>331</v>
      </c>
      <c r="T626" t="s">
        <v>334</v>
      </c>
      <c r="U626" t="s">
        <v>338</v>
      </c>
      <c r="V626" t="s">
        <v>342</v>
      </c>
      <c r="W626" t="s">
        <v>346</v>
      </c>
      <c r="X626" t="s">
        <v>351</v>
      </c>
      <c r="AK626" t="s">
        <v>355</v>
      </c>
    </row>
    <row r="627" spans="1:37">
      <c r="B627" t="s">
        <v>57</v>
      </c>
      <c r="C627" t="s">
        <v>79</v>
      </c>
      <c r="D627" t="s">
        <v>98</v>
      </c>
      <c r="E627" t="s">
        <v>117</v>
      </c>
      <c r="F627" t="s">
        <v>151</v>
      </c>
      <c r="G627" t="s">
        <v>177</v>
      </c>
      <c r="H627" t="s">
        <v>212</v>
      </c>
      <c r="I627" t="s">
        <v>232</v>
      </c>
      <c r="J627" t="s">
        <v>251</v>
      </c>
      <c r="K627" t="s">
        <v>265</v>
      </c>
      <c r="L627" t="s">
        <v>277</v>
      </c>
      <c r="M627" t="s">
        <v>286</v>
      </c>
      <c r="N627" t="s">
        <v>296</v>
      </c>
      <c r="O627" t="s">
        <v>304</v>
      </c>
      <c r="P627" t="s">
        <v>311</v>
      </c>
      <c r="Q627" t="s">
        <v>318</v>
      </c>
      <c r="R627" t="s">
        <v>185</v>
      </c>
      <c r="S627" t="s">
        <v>159</v>
      </c>
      <c r="T627" t="s">
        <v>185</v>
      </c>
      <c r="U627" t="s">
        <v>339</v>
      </c>
      <c r="V627" t="s">
        <v>72</v>
      </c>
      <c r="W627" t="s">
        <v>347</v>
      </c>
      <c r="X627" t="s">
        <v>72</v>
      </c>
      <c r="Y627" t="s">
        <v>96</v>
      </c>
      <c r="AK627" t="s">
        <v>355</v>
      </c>
    </row>
    <row r="628" spans="1:37">
      <c r="B628" t="s">
        <v>58</v>
      </c>
      <c r="C628" t="s">
        <v>80</v>
      </c>
      <c r="D628" t="s">
        <v>99</v>
      </c>
      <c r="E628" t="s">
        <v>118</v>
      </c>
      <c r="F628" t="s">
        <v>152</v>
      </c>
      <c r="G628" t="s">
        <v>178</v>
      </c>
      <c r="H628" t="s">
        <v>213</v>
      </c>
      <c r="I628" t="s">
        <v>233</v>
      </c>
      <c r="J628" t="s">
        <v>252</v>
      </c>
      <c r="K628" t="s">
        <v>266</v>
      </c>
      <c r="L628" t="s">
        <v>278</v>
      </c>
      <c r="M628" t="s">
        <v>287</v>
      </c>
      <c r="N628" t="s">
        <v>297</v>
      </c>
      <c r="O628" t="s">
        <v>305</v>
      </c>
      <c r="P628" t="s">
        <v>312</v>
      </c>
      <c r="Q628" t="s">
        <v>319</v>
      </c>
      <c r="R628">
        <f>&gt;10       ветра      1.9     13  15 16</f>
        <v>0</v>
      </c>
      <c r="AK628" t="s">
        <v>355</v>
      </c>
    </row>
    <row r="629" spans="1:37">
      <c r="A629" t="s">
        <v>40</v>
      </c>
      <c r="B629" t="s">
        <v>59</v>
      </c>
      <c r="C629" t="s">
        <v>81</v>
      </c>
      <c r="D629" t="s">
        <v>100</v>
      </c>
      <c r="E629" t="s">
        <v>119</v>
      </c>
      <c r="F629" t="s">
        <v>153</v>
      </c>
      <c r="G629" t="s">
        <v>179</v>
      </c>
      <c r="H629" t="s">
        <v>214</v>
      </c>
      <c r="I629" t="s">
        <v>234</v>
      </c>
      <c r="AK629" t="s">
        <v>355</v>
      </c>
    </row>
    <row r="630" spans="1:37">
      <c r="A630" t="s">
        <v>40</v>
      </c>
      <c r="B630" t="s">
        <v>60</v>
      </c>
      <c r="C630" t="s">
        <v>82</v>
      </c>
      <c r="D630" t="s">
        <v>101</v>
      </c>
      <c r="E630" t="s">
        <v>120</v>
      </c>
      <c r="F630" t="s">
        <v>154</v>
      </c>
      <c r="G630" t="s">
        <v>180</v>
      </c>
      <c r="H630" t="s">
        <v>215</v>
      </c>
      <c r="I630" t="s">
        <v>235</v>
      </c>
      <c r="J630" t="s">
        <v>253</v>
      </c>
      <c r="K630" t="s">
        <v>267</v>
      </c>
      <c r="L630" t="s">
        <v>279</v>
      </c>
      <c r="M630" t="s">
        <v>288</v>
      </c>
      <c r="N630" t="s">
        <v>100</v>
      </c>
      <c r="O630" t="s">
        <v>306</v>
      </c>
      <c r="P630" t="s">
        <v>313</v>
      </c>
      <c r="Q630" t="s">
        <v>320</v>
      </c>
      <c r="R630" t="s">
        <v>325</v>
      </c>
      <c r="S630" t="s">
        <v>332</v>
      </c>
      <c r="T630" t="s">
        <v>119</v>
      </c>
      <c r="U630" t="s">
        <v>234</v>
      </c>
      <c r="V630" t="s">
        <v>343</v>
      </c>
      <c r="W630" t="s">
        <v>348</v>
      </c>
      <c r="X630" t="s">
        <v>352</v>
      </c>
      <c r="Y630" t="s">
        <v>354</v>
      </c>
      <c r="AK630" t="s">
        <v>355</v>
      </c>
    </row>
    <row r="631" spans="1:37">
      <c r="A631" t="s">
        <v>41</v>
      </c>
      <c r="B631" t="s">
        <v>61</v>
      </c>
      <c r="C631" t="s">
        <v>83</v>
      </c>
      <c r="D631" t="s">
        <v>102</v>
      </c>
      <c r="E631" t="s">
        <v>121</v>
      </c>
      <c r="F631" t="s">
        <v>155</v>
      </c>
      <c r="G631" t="s">
        <v>181</v>
      </c>
      <c r="H631" t="s">
        <v>216</v>
      </c>
      <c r="I631" t="s">
        <v>236</v>
      </c>
      <c r="AK631" t="s">
        <v>355</v>
      </c>
    </row>
    <row r="632" spans="1:37">
      <c r="A632" t="s">
        <v>42</v>
      </c>
      <c r="B632" t="s">
        <v>62</v>
      </c>
      <c r="C632" t="s">
        <v>84</v>
      </c>
      <c r="D632" t="s">
        <v>103</v>
      </c>
      <c r="E632" t="s">
        <v>122</v>
      </c>
      <c r="F632" t="s">
        <v>156</v>
      </c>
      <c r="G632" t="s">
        <v>182</v>
      </c>
      <c r="H632" t="s">
        <v>83</v>
      </c>
      <c r="I632" t="s">
        <v>237</v>
      </c>
      <c r="J632" t="s">
        <v>254</v>
      </c>
      <c r="K632" t="s">
        <v>268</v>
      </c>
      <c r="L632" t="s">
        <v>280</v>
      </c>
      <c r="M632" t="s">
        <v>289</v>
      </c>
      <c r="N632" t="s">
        <v>298</v>
      </c>
      <c r="O632" t="s">
        <v>307</v>
      </c>
      <c r="P632" t="s">
        <v>314</v>
      </c>
      <c r="Q632" t="s">
        <v>216</v>
      </c>
      <c r="R632" t="s">
        <v>326</v>
      </c>
      <c r="S632" t="s">
        <v>333</v>
      </c>
      <c r="T632" t="s">
        <v>335</v>
      </c>
      <c r="U632" t="s">
        <v>340</v>
      </c>
      <c r="V632" t="s">
        <v>344</v>
      </c>
      <c r="W632" t="s">
        <v>349</v>
      </c>
      <c r="AK632" t="s">
        <v>355</v>
      </c>
    </row>
    <row r="633" spans="1:37">
      <c r="A633" t="s">
        <v>43</v>
      </c>
      <c r="B633" t="s">
        <v>63</v>
      </c>
      <c r="C633" t="s">
        <v>85</v>
      </c>
      <c r="D633" t="s">
        <v>104</v>
      </c>
      <c r="E633" t="s">
        <v>123</v>
      </c>
      <c r="F633" t="s">
        <v>157</v>
      </c>
      <c r="G633" t="s">
        <v>183</v>
      </c>
      <c r="AK633" t="s">
        <v>355</v>
      </c>
    </row>
    <row r="634" spans="1:37">
      <c r="A634" t="s">
        <v>44</v>
      </c>
      <c r="B634" t="s">
        <v>64</v>
      </c>
      <c r="C634" t="s">
        <v>86</v>
      </c>
      <c r="D634" t="s">
        <v>105</v>
      </c>
      <c r="E634" t="s">
        <v>124</v>
      </c>
      <c r="F634" t="s">
        <v>158</v>
      </c>
      <c r="G634" t="s">
        <v>184</v>
      </c>
      <c r="AK634" t="s">
        <v>355</v>
      </c>
    </row>
    <row r="635" spans="1:37">
      <c r="A635" t="s">
        <v>45</v>
      </c>
      <c r="B635" t="s">
        <v>65</v>
      </c>
      <c r="C635" t="s">
        <v>87</v>
      </c>
      <c r="D635" t="s">
        <v>106</v>
      </c>
      <c r="E635" t="s">
        <v>125</v>
      </c>
      <c r="F635" t="s">
        <v>159</v>
      </c>
      <c r="G635" t="s">
        <v>185</v>
      </c>
      <c r="H635" t="s">
        <v>159</v>
      </c>
      <c r="I635" t="s">
        <v>185</v>
      </c>
      <c r="J635" t="s">
        <v>255</v>
      </c>
      <c r="AK635" t="s">
        <v>355</v>
      </c>
    </row>
    <row r="636" spans="1:37">
      <c r="A636" t="s">
        <v>46</v>
      </c>
      <c r="B636" t="s">
        <v>66</v>
      </c>
      <c r="C636" t="s">
        <v>88</v>
      </c>
      <c r="D636" t="s">
        <v>76</v>
      </c>
      <c r="E636" t="s">
        <v>126</v>
      </c>
      <c r="F636" t="s">
        <v>160</v>
      </c>
      <c r="G636" t="s">
        <v>186</v>
      </c>
      <c r="H636" t="s">
        <v>217</v>
      </c>
      <c r="I636" t="s">
        <v>238</v>
      </c>
      <c r="J636" t="s">
        <v>256</v>
      </c>
      <c r="K636" t="s">
        <v>265</v>
      </c>
      <c r="L636" t="s">
        <v>281</v>
      </c>
      <c r="M636" t="s">
        <v>290</v>
      </c>
      <c r="N636" t="s">
        <v>299</v>
      </c>
      <c r="O636" t="s">
        <v>308</v>
      </c>
      <c r="P636" t="s">
        <v>228</v>
      </c>
      <c r="Q636" t="s">
        <v>72</v>
      </c>
      <c r="R636" t="s">
        <v>327</v>
      </c>
      <c r="S636" t="s">
        <v>327</v>
      </c>
      <c r="T636" t="s">
        <v>336</v>
      </c>
      <c r="U636" t="s">
        <v>336</v>
      </c>
      <c r="V636" t="s">
        <v>336</v>
      </c>
      <c r="W636" t="s">
        <v>336</v>
      </c>
      <c r="X636" t="s">
        <v>353</v>
      </c>
      <c r="AK636" t="s">
        <v>355</v>
      </c>
    </row>
    <row r="637" spans="1:37">
      <c r="A637" t="s">
        <v>37</v>
      </c>
      <c r="B637" t="s">
        <v>49</v>
      </c>
      <c r="C637" t="s">
        <v>73</v>
      </c>
      <c r="D637" t="s">
        <v>94</v>
      </c>
      <c r="E637" t="s">
        <v>112</v>
      </c>
      <c r="F637" t="s">
        <v>146</v>
      </c>
      <c r="G637" t="s">
        <v>172</v>
      </c>
      <c r="H637" t="s">
        <v>207</v>
      </c>
      <c r="I637" t="s">
        <v>226</v>
      </c>
      <c r="J637" t="s">
        <v>246</v>
      </c>
      <c r="K637" t="s">
        <v>259</v>
      </c>
      <c r="AK637" t="s">
        <v>356</v>
      </c>
    </row>
    <row r="638" spans="1:37">
      <c r="A638" t="s">
        <v>38</v>
      </c>
      <c r="B638" t="s">
        <v>50</v>
      </c>
      <c r="C638" t="s">
        <v>74</v>
      </c>
      <c r="D638" t="s">
        <v>95</v>
      </c>
      <c r="E638" t="s">
        <v>113</v>
      </c>
      <c r="F638" t="s">
        <v>147</v>
      </c>
      <c r="G638" t="s">
        <v>173</v>
      </c>
      <c r="H638" t="s">
        <v>208</v>
      </c>
      <c r="I638" t="s">
        <v>227</v>
      </c>
      <c r="J638" t="s">
        <v>115</v>
      </c>
      <c r="K638" t="s">
        <v>260</v>
      </c>
      <c r="L638" t="s">
        <v>273</v>
      </c>
      <c r="M638" t="s">
        <v>282</v>
      </c>
      <c r="N638" t="s">
        <v>291</v>
      </c>
      <c r="AK638" t="s">
        <v>356</v>
      </c>
    </row>
    <row r="639" spans="1:37">
      <c r="B639" t="s">
        <v>51</v>
      </c>
      <c r="C639" t="s">
        <v>75</v>
      </c>
      <c r="D639" t="s">
        <v>52</v>
      </c>
      <c r="E639" t="s">
        <v>114</v>
      </c>
      <c r="F639" t="s">
        <v>148</v>
      </c>
      <c r="G639" t="s">
        <v>148</v>
      </c>
      <c r="H639" t="s">
        <v>209</v>
      </c>
      <c r="I639" t="s">
        <v>228</v>
      </c>
      <c r="J639" t="s">
        <v>247</v>
      </c>
      <c r="K639" t="s">
        <v>261</v>
      </c>
      <c r="L639" t="s">
        <v>274</v>
      </c>
      <c r="M639" t="s">
        <v>283</v>
      </c>
      <c r="N639" t="s">
        <v>292</v>
      </c>
      <c r="O639" t="s">
        <v>300</v>
      </c>
      <c r="AK639" t="s">
        <v>356</v>
      </c>
    </row>
    <row r="640" spans="1:37">
      <c r="B640" t="s">
        <v>52</v>
      </c>
      <c r="C640" t="s">
        <v>76</v>
      </c>
      <c r="D640" t="s">
        <v>96</v>
      </c>
      <c r="E640" t="s">
        <v>115</v>
      </c>
      <c r="F640" t="s">
        <v>149</v>
      </c>
      <c r="G640" t="s">
        <v>174</v>
      </c>
      <c r="H640" t="s">
        <v>96</v>
      </c>
      <c r="I640" t="s">
        <v>229</v>
      </c>
      <c r="J640" t="s">
        <v>248</v>
      </c>
      <c r="K640" t="s">
        <v>262</v>
      </c>
      <c r="L640" t="s">
        <v>52</v>
      </c>
      <c r="M640" t="s">
        <v>76</v>
      </c>
      <c r="N640" t="s">
        <v>293</v>
      </c>
      <c r="O640" t="s">
        <v>301</v>
      </c>
      <c r="P640" t="s">
        <v>309</v>
      </c>
      <c r="Q640" t="s">
        <v>315</v>
      </c>
      <c r="R640" t="s">
        <v>228</v>
      </c>
      <c r="S640" t="s">
        <v>328</v>
      </c>
      <c r="T640" t="s">
        <v>149</v>
      </c>
      <c r="U640" t="s">
        <v>337</v>
      </c>
      <c r="V640" t="s">
        <v>341</v>
      </c>
      <c r="W640" t="s">
        <v>345</v>
      </c>
      <c r="X640" t="s">
        <v>350</v>
      </c>
      <c r="AK640" t="s">
        <v>356</v>
      </c>
    </row>
    <row r="641" spans="1:37">
      <c r="B641" t="s">
        <v>53</v>
      </c>
      <c r="C641" t="s">
        <v>77</v>
      </c>
      <c r="D641" t="s">
        <v>97</v>
      </c>
      <c r="E641" t="s">
        <v>116</v>
      </c>
      <c r="F641" t="s">
        <v>150</v>
      </c>
      <c r="G641" t="s">
        <v>175</v>
      </c>
      <c r="H641" t="s">
        <v>210</v>
      </c>
      <c r="I641" t="s">
        <v>230</v>
      </c>
      <c r="J641" t="s">
        <v>249</v>
      </c>
      <c r="K641" t="s">
        <v>263</v>
      </c>
      <c r="L641" t="s">
        <v>275</v>
      </c>
      <c r="M641" t="s">
        <v>284</v>
      </c>
      <c r="N641" t="s">
        <v>294</v>
      </c>
      <c r="O641" t="s">
        <v>302</v>
      </c>
      <c r="P641" t="s">
        <v>310</v>
      </c>
      <c r="Q641" t="s">
        <v>316</v>
      </c>
      <c r="R641" t="s">
        <v>322</v>
      </c>
      <c r="S641" t="s">
        <v>329</v>
      </c>
      <c r="AK641" t="s">
        <v>356</v>
      </c>
    </row>
    <row r="642" spans="1:37">
      <c r="A642" t="s">
        <v>39</v>
      </c>
      <c r="B642" t="s">
        <v>54</v>
      </c>
      <c r="C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  <c r="L642" t="s">
        <v>54</v>
      </c>
      <c r="M642" t="s">
        <v>54</v>
      </c>
      <c r="N642" t="s">
        <v>54</v>
      </c>
      <c r="O642" t="s">
        <v>54</v>
      </c>
      <c r="P642" t="s">
        <v>54</v>
      </c>
      <c r="Q642" t="s">
        <v>54</v>
      </c>
      <c r="R642" t="s">
        <v>323</v>
      </c>
      <c r="S642" t="s">
        <v>330</v>
      </c>
      <c r="AK642" t="s">
        <v>356</v>
      </c>
    </row>
    <row r="643" spans="1:37">
      <c r="B643" t="s">
        <v>55</v>
      </c>
      <c r="C643" t="s">
        <v>78</v>
      </c>
      <c r="D643" t="s">
        <v>55</v>
      </c>
      <c r="E643" t="s">
        <v>78</v>
      </c>
      <c r="F643" t="s">
        <v>55</v>
      </c>
      <c r="G643" t="s">
        <v>78</v>
      </c>
      <c r="H643" t="s">
        <v>55</v>
      </c>
      <c r="I643" t="s">
        <v>78</v>
      </c>
      <c r="J643" t="s">
        <v>55</v>
      </c>
      <c r="K643" t="s">
        <v>78</v>
      </c>
      <c r="L643" t="s">
        <v>55</v>
      </c>
      <c r="M643" t="s">
        <v>78</v>
      </c>
      <c r="N643" t="s">
        <v>55</v>
      </c>
      <c r="O643" t="s">
        <v>78</v>
      </c>
      <c r="P643" t="s">
        <v>55</v>
      </c>
      <c r="Q643" t="s">
        <v>78</v>
      </c>
      <c r="R643" t="s">
        <v>55</v>
      </c>
      <c r="S643" t="s">
        <v>78</v>
      </c>
      <c r="T643" t="s">
        <v>55</v>
      </c>
      <c r="U643" t="s">
        <v>78</v>
      </c>
      <c r="V643" t="s">
        <v>55</v>
      </c>
      <c r="W643" t="s">
        <v>78</v>
      </c>
      <c r="X643" t="s">
        <v>55</v>
      </c>
      <c r="Y643" t="s">
        <v>78</v>
      </c>
      <c r="Z643" t="s">
        <v>55</v>
      </c>
      <c r="AA643" t="s">
        <v>78</v>
      </c>
      <c r="AB643" t="s">
        <v>55</v>
      </c>
      <c r="AC643" t="s">
        <v>78</v>
      </c>
      <c r="AD643" t="s">
        <v>55</v>
      </c>
      <c r="AE643" t="s">
        <v>78</v>
      </c>
      <c r="AF643" t="s">
        <v>55</v>
      </c>
      <c r="AG643" t="s">
        <v>78</v>
      </c>
      <c r="AH643" t="s">
        <v>55</v>
      </c>
      <c r="AI643" t="s">
        <v>78</v>
      </c>
      <c r="AK643" t="s">
        <v>356</v>
      </c>
    </row>
    <row r="644" spans="1:37">
      <c r="B644" t="s">
        <v>56</v>
      </c>
      <c r="C644" t="s">
        <v>56</v>
      </c>
      <c r="D644" t="s">
        <v>56</v>
      </c>
      <c r="E644" t="s">
        <v>56</v>
      </c>
      <c r="F644" t="s">
        <v>56</v>
      </c>
      <c r="G644" t="s">
        <v>176</v>
      </c>
      <c r="H644" t="s">
        <v>211</v>
      </c>
      <c r="I644" t="s">
        <v>231</v>
      </c>
      <c r="J644" t="s">
        <v>250</v>
      </c>
      <c r="K644" t="s">
        <v>264</v>
      </c>
      <c r="L644" t="s">
        <v>276</v>
      </c>
      <c r="M644" t="s">
        <v>285</v>
      </c>
      <c r="N644" t="s">
        <v>295</v>
      </c>
      <c r="O644" t="s">
        <v>303</v>
      </c>
      <c r="P644" t="s">
        <v>56</v>
      </c>
      <c r="Q644" t="s">
        <v>317</v>
      </c>
      <c r="R644" t="s">
        <v>324</v>
      </c>
      <c r="S644" t="s">
        <v>331</v>
      </c>
      <c r="T644" t="s">
        <v>334</v>
      </c>
      <c r="U644" t="s">
        <v>338</v>
      </c>
      <c r="V644" t="s">
        <v>342</v>
      </c>
      <c r="W644" t="s">
        <v>346</v>
      </c>
      <c r="X644" t="s">
        <v>351</v>
      </c>
      <c r="AK644" t="s">
        <v>356</v>
      </c>
    </row>
    <row r="645" spans="1:37">
      <c r="B645" t="s">
        <v>57</v>
      </c>
      <c r="C645" t="s">
        <v>79</v>
      </c>
      <c r="D645" t="s">
        <v>98</v>
      </c>
      <c r="E645" t="s">
        <v>117</v>
      </c>
      <c r="F645" t="s">
        <v>151</v>
      </c>
      <c r="G645" t="s">
        <v>177</v>
      </c>
      <c r="H645" t="s">
        <v>212</v>
      </c>
      <c r="I645" t="s">
        <v>232</v>
      </c>
      <c r="J645" t="s">
        <v>251</v>
      </c>
      <c r="K645" t="s">
        <v>265</v>
      </c>
      <c r="L645" t="s">
        <v>277</v>
      </c>
      <c r="M645" t="s">
        <v>286</v>
      </c>
      <c r="N645" t="s">
        <v>296</v>
      </c>
      <c r="O645" t="s">
        <v>304</v>
      </c>
      <c r="P645" t="s">
        <v>311</v>
      </c>
      <c r="Q645" t="s">
        <v>318</v>
      </c>
      <c r="R645" t="s">
        <v>185</v>
      </c>
      <c r="S645" t="s">
        <v>159</v>
      </c>
      <c r="T645" t="s">
        <v>185</v>
      </c>
      <c r="U645" t="s">
        <v>339</v>
      </c>
      <c r="V645" t="s">
        <v>72</v>
      </c>
      <c r="W645" t="s">
        <v>347</v>
      </c>
      <c r="X645" t="s">
        <v>72</v>
      </c>
      <c r="Y645" t="s">
        <v>96</v>
      </c>
      <c r="AK645" t="s">
        <v>356</v>
      </c>
    </row>
    <row r="646" spans="1:37">
      <c r="B646" t="s">
        <v>58</v>
      </c>
      <c r="C646" t="s">
        <v>80</v>
      </c>
      <c r="D646" t="s">
        <v>99</v>
      </c>
      <c r="E646" t="s">
        <v>118</v>
      </c>
      <c r="F646" t="s">
        <v>152</v>
      </c>
      <c r="G646" t="s">
        <v>178</v>
      </c>
      <c r="H646" t="s">
        <v>213</v>
      </c>
      <c r="I646" t="s">
        <v>233</v>
      </c>
      <c r="J646" t="s">
        <v>252</v>
      </c>
      <c r="K646" t="s">
        <v>266</v>
      </c>
      <c r="L646" t="s">
        <v>278</v>
      </c>
      <c r="M646" t="s">
        <v>287</v>
      </c>
      <c r="N646" t="s">
        <v>297</v>
      </c>
      <c r="O646" t="s">
        <v>305</v>
      </c>
      <c r="P646" t="s">
        <v>312</v>
      </c>
      <c r="Q646" t="s">
        <v>319</v>
      </c>
      <c r="R646">
        <f>&gt;10       ветра      1.5     17  28</f>
        <v>0</v>
      </c>
      <c r="AK646" t="s">
        <v>356</v>
      </c>
    </row>
    <row r="647" spans="1:37">
      <c r="A647" t="s">
        <v>40</v>
      </c>
      <c r="B647" t="s">
        <v>59</v>
      </c>
      <c r="C647" t="s">
        <v>81</v>
      </c>
      <c r="D647" t="s">
        <v>100</v>
      </c>
      <c r="E647" t="s">
        <v>119</v>
      </c>
      <c r="F647" t="s">
        <v>153</v>
      </c>
      <c r="G647" t="s">
        <v>179</v>
      </c>
      <c r="H647" t="s">
        <v>214</v>
      </c>
      <c r="I647" t="s">
        <v>234</v>
      </c>
      <c r="AK647" t="s">
        <v>356</v>
      </c>
    </row>
    <row r="648" spans="1:37">
      <c r="A648" t="s">
        <v>40</v>
      </c>
      <c r="B648" t="s">
        <v>60</v>
      </c>
      <c r="C648" t="s">
        <v>82</v>
      </c>
      <c r="D648" t="s">
        <v>101</v>
      </c>
      <c r="E648" t="s">
        <v>120</v>
      </c>
      <c r="F648" t="s">
        <v>154</v>
      </c>
      <c r="G648" t="s">
        <v>180</v>
      </c>
      <c r="H648" t="s">
        <v>215</v>
      </c>
      <c r="I648" t="s">
        <v>235</v>
      </c>
      <c r="J648" t="s">
        <v>253</v>
      </c>
      <c r="K648" t="s">
        <v>267</v>
      </c>
      <c r="L648" t="s">
        <v>279</v>
      </c>
      <c r="M648" t="s">
        <v>288</v>
      </c>
      <c r="N648" t="s">
        <v>100</v>
      </c>
      <c r="O648" t="s">
        <v>306</v>
      </c>
      <c r="P648" t="s">
        <v>313</v>
      </c>
      <c r="Q648" t="s">
        <v>320</v>
      </c>
      <c r="R648" t="s">
        <v>325</v>
      </c>
      <c r="S648" t="s">
        <v>332</v>
      </c>
      <c r="T648" t="s">
        <v>119</v>
      </c>
      <c r="U648" t="s">
        <v>234</v>
      </c>
      <c r="V648" t="s">
        <v>343</v>
      </c>
      <c r="W648" t="s">
        <v>348</v>
      </c>
      <c r="X648" t="s">
        <v>352</v>
      </c>
      <c r="Y648" t="s">
        <v>354</v>
      </c>
      <c r="AK648" t="s">
        <v>356</v>
      </c>
    </row>
    <row r="649" spans="1:37">
      <c r="A649" t="s">
        <v>41</v>
      </c>
      <c r="B649" t="s">
        <v>61</v>
      </c>
      <c r="C649" t="s">
        <v>83</v>
      </c>
      <c r="D649" t="s">
        <v>102</v>
      </c>
      <c r="E649" t="s">
        <v>121</v>
      </c>
      <c r="F649" t="s">
        <v>155</v>
      </c>
      <c r="G649" t="s">
        <v>181</v>
      </c>
      <c r="H649" t="s">
        <v>216</v>
      </c>
      <c r="I649" t="s">
        <v>236</v>
      </c>
      <c r="AK649" t="s">
        <v>356</v>
      </c>
    </row>
    <row r="650" spans="1:37">
      <c r="A650" t="s">
        <v>42</v>
      </c>
      <c r="B650" t="s">
        <v>62</v>
      </c>
      <c r="C650" t="s">
        <v>84</v>
      </c>
      <c r="D650" t="s">
        <v>103</v>
      </c>
      <c r="E650" t="s">
        <v>122</v>
      </c>
      <c r="F650" t="s">
        <v>156</v>
      </c>
      <c r="G650" t="s">
        <v>182</v>
      </c>
      <c r="H650" t="s">
        <v>83</v>
      </c>
      <c r="I650" t="s">
        <v>237</v>
      </c>
      <c r="J650" t="s">
        <v>254</v>
      </c>
      <c r="K650" t="s">
        <v>268</v>
      </c>
      <c r="L650" t="s">
        <v>280</v>
      </c>
      <c r="M650" t="s">
        <v>289</v>
      </c>
      <c r="N650" t="s">
        <v>298</v>
      </c>
      <c r="O650" t="s">
        <v>307</v>
      </c>
      <c r="P650" t="s">
        <v>314</v>
      </c>
      <c r="Q650" t="s">
        <v>216</v>
      </c>
      <c r="R650" t="s">
        <v>326</v>
      </c>
      <c r="S650" t="s">
        <v>333</v>
      </c>
      <c r="T650" t="s">
        <v>335</v>
      </c>
      <c r="U650" t="s">
        <v>340</v>
      </c>
      <c r="V650" t="s">
        <v>344</v>
      </c>
      <c r="W650" t="s">
        <v>349</v>
      </c>
      <c r="AK650" t="s">
        <v>356</v>
      </c>
    </row>
    <row r="651" spans="1:37">
      <c r="A651" t="s">
        <v>43</v>
      </c>
      <c r="B651" t="s">
        <v>63</v>
      </c>
      <c r="C651" t="s">
        <v>85</v>
      </c>
      <c r="D651" t="s">
        <v>104</v>
      </c>
      <c r="E651" t="s">
        <v>123</v>
      </c>
      <c r="F651" t="s">
        <v>157</v>
      </c>
      <c r="G651" t="s">
        <v>183</v>
      </c>
      <c r="AK651" t="s">
        <v>356</v>
      </c>
    </row>
    <row r="652" spans="1:37">
      <c r="A652" t="s">
        <v>44</v>
      </c>
      <c r="B652" t="s">
        <v>64</v>
      </c>
      <c r="C652" t="s">
        <v>86</v>
      </c>
      <c r="D652" t="s">
        <v>105</v>
      </c>
      <c r="E652" t="s">
        <v>124</v>
      </c>
      <c r="F652" t="s">
        <v>158</v>
      </c>
      <c r="G652" t="s">
        <v>184</v>
      </c>
      <c r="AK652" t="s">
        <v>356</v>
      </c>
    </row>
    <row r="653" spans="1:37">
      <c r="A653" t="s">
        <v>45</v>
      </c>
      <c r="B653" t="s">
        <v>65</v>
      </c>
      <c r="C653" t="s">
        <v>87</v>
      </c>
      <c r="D653" t="s">
        <v>106</v>
      </c>
      <c r="E653" t="s">
        <v>125</v>
      </c>
      <c r="F653" t="s">
        <v>159</v>
      </c>
      <c r="G653" t="s">
        <v>185</v>
      </c>
      <c r="H653" t="s">
        <v>159</v>
      </c>
      <c r="I653" t="s">
        <v>185</v>
      </c>
      <c r="J653" t="s">
        <v>255</v>
      </c>
      <c r="AK653" t="s">
        <v>356</v>
      </c>
    </row>
    <row r="654" spans="1:37">
      <c r="A654" t="s">
        <v>46</v>
      </c>
      <c r="B654" t="s">
        <v>66</v>
      </c>
      <c r="C654" t="s">
        <v>88</v>
      </c>
      <c r="D654" t="s">
        <v>76</v>
      </c>
      <c r="E654" t="s">
        <v>126</v>
      </c>
      <c r="F654" t="s">
        <v>160</v>
      </c>
      <c r="G654" t="s">
        <v>186</v>
      </c>
      <c r="H654" t="s">
        <v>217</v>
      </c>
      <c r="I654" t="s">
        <v>238</v>
      </c>
      <c r="J654" t="s">
        <v>256</v>
      </c>
      <c r="K654" t="s">
        <v>265</v>
      </c>
      <c r="L654" t="s">
        <v>281</v>
      </c>
      <c r="M654" t="s">
        <v>290</v>
      </c>
      <c r="N654" t="s">
        <v>299</v>
      </c>
      <c r="O654" t="s">
        <v>308</v>
      </c>
      <c r="P654" t="s">
        <v>228</v>
      </c>
      <c r="Q654" t="s">
        <v>72</v>
      </c>
      <c r="R654" t="s">
        <v>327</v>
      </c>
      <c r="S654" t="s">
        <v>327</v>
      </c>
      <c r="T654" t="s">
        <v>336</v>
      </c>
      <c r="U654" t="s">
        <v>336</v>
      </c>
      <c r="V654" t="s">
        <v>336</v>
      </c>
      <c r="W654" t="s">
        <v>336</v>
      </c>
      <c r="X654" t="s">
        <v>353</v>
      </c>
      <c r="AK654" t="s">
        <v>356</v>
      </c>
    </row>
    <row r="655" spans="1:37">
      <c r="A655" t="s">
        <v>37</v>
      </c>
      <c r="B655" t="s">
        <v>49</v>
      </c>
      <c r="C655" t="s">
        <v>73</v>
      </c>
      <c r="D655" t="s">
        <v>94</v>
      </c>
      <c r="E655" t="s">
        <v>112</v>
      </c>
      <c r="F655" t="s">
        <v>146</v>
      </c>
      <c r="G655" t="s">
        <v>172</v>
      </c>
      <c r="H655" t="s">
        <v>207</v>
      </c>
      <c r="I655" t="s">
        <v>226</v>
      </c>
      <c r="J655" t="s">
        <v>246</v>
      </c>
      <c r="K655" t="s">
        <v>259</v>
      </c>
      <c r="AK655" t="s">
        <v>356</v>
      </c>
    </row>
    <row r="656" spans="1:37">
      <c r="A656" t="s">
        <v>38</v>
      </c>
      <c r="B656" t="s">
        <v>50</v>
      </c>
      <c r="C656" t="s">
        <v>74</v>
      </c>
      <c r="D656" t="s">
        <v>95</v>
      </c>
      <c r="E656" t="s">
        <v>113</v>
      </c>
      <c r="F656" t="s">
        <v>147</v>
      </c>
      <c r="G656" t="s">
        <v>173</v>
      </c>
      <c r="H656" t="s">
        <v>208</v>
      </c>
      <c r="I656" t="s">
        <v>227</v>
      </c>
      <c r="J656" t="s">
        <v>115</v>
      </c>
      <c r="K656" t="s">
        <v>260</v>
      </c>
      <c r="L656" t="s">
        <v>273</v>
      </c>
      <c r="M656" t="s">
        <v>282</v>
      </c>
      <c r="N656" t="s">
        <v>291</v>
      </c>
      <c r="AK656" t="s">
        <v>356</v>
      </c>
    </row>
    <row r="657" spans="1:37">
      <c r="B657" t="s">
        <v>51</v>
      </c>
      <c r="C657" t="s">
        <v>75</v>
      </c>
      <c r="D657" t="s">
        <v>52</v>
      </c>
      <c r="E657" t="s">
        <v>114</v>
      </c>
      <c r="F657" t="s">
        <v>148</v>
      </c>
      <c r="G657" t="s">
        <v>148</v>
      </c>
      <c r="H657" t="s">
        <v>209</v>
      </c>
      <c r="I657" t="s">
        <v>228</v>
      </c>
      <c r="J657" t="s">
        <v>247</v>
      </c>
      <c r="K657" t="s">
        <v>261</v>
      </c>
      <c r="L657" t="s">
        <v>274</v>
      </c>
      <c r="M657" t="s">
        <v>283</v>
      </c>
      <c r="N657" t="s">
        <v>292</v>
      </c>
      <c r="O657" t="s">
        <v>300</v>
      </c>
      <c r="AK657" t="s">
        <v>356</v>
      </c>
    </row>
    <row r="658" spans="1:37">
      <c r="B658" t="s">
        <v>52</v>
      </c>
      <c r="C658" t="s">
        <v>76</v>
      </c>
      <c r="D658" t="s">
        <v>96</v>
      </c>
      <c r="E658" t="s">
        <v>115</v>
      </c>
      <c r="F658" t="s">
        <v>149</v>
      </c>
      <c r="G658" t="s">
        <v>174</v>
      </c>
      <c r="H658" t="s">
        <v>96</v>
      </c>
      <c r="I658" t="s">
        <v>229</v>
      </c>
      <c r="J658" t="s">
        <v>248</v>
      </c>
      <c r="K658" t="s">
        <v>262</v>
      </c>
      <c r="L658" t="s">
        <v>52</v>
      </c>
      <c r="M658" t="s">
        <v>76</v>
      </c>
      <c r="N658" t="s">
        <v>293</v>
      </c>
      <c r="O658" t="s">
        <v>301</v>
      </c>
      <c r="P658" t="s">
        <v>309</v>
      </c>
      <c r="Q658" t="s">
        <v>315</v>
      </c>
      <c r="R658" t="s">
        <v>228</v>
      </c>
      <c r="S658" t="s">
        <v>328</v>
      </c>
      <c r="T658" t="s">
        <v>149</v>
      </c>
      <c r="U658" t="s">
        <v>337</v>
      </c>
      <c r="V658" t="s">
        <v>341</v>
      </c>
      <c r="W658" t="s">
        <v>345</v>
      </c>
      <c r="X658" t="s">
        <v>350</v>
      </c>
      <c r="AK658" t="s">
        <v>356</v>
      </c>
    </row>
    <row r="659" spans="1:37">
      <c r="B659" t="s">
        <v>53</v>
      </c>
      <c r="C659" t="s">
        <v>77</v>
      </c>
      <c r="D659" t="s">
        <v>97</v>
      </c>
      <c r="E659" t="s">
        <v>116</v>
      </c>
      <c r="F659" t="s">
        <v>150</v>
      </c>
      <c r="G659" t="s">
        <v>175</v>
      </c>
      <c r="H659" t="s">
        <v>210</v>
      </c>
      <c r="I659" t="s">
        <v>230</v>
      </c>
      <c r="J659" t="s">
        <v>249</v>
      </c>
      <c r="K659" t="s">
        <v>263</v>
      </c>
      <c r="L659" t="s">
        <v>275</v>
      </c>
      <c r="M659" t="s">
        <v>284</v>
      </c>
      <c r="N659" t="s">
        <v>294</v>
      </c>
      <c r="O659" t="s">
        <v>302</v>
      </c>
      <c r="P659" t="s">
        <v>310</v>
      </c>
      <c r="Q659" t="s">
        <v>316</v>
      </c>
      <c r="R659" t="s">
        <v>322</v>
      </c>
      <c r="S659" t="s">
        <v>329</v>
      </c>
      <c r="AK659" t="s">
        <v>356</v>
      </c>
    </row>
    <row r="660" spans="1:37">
      <c r="A660" t="s">
        <v>39</v>
      </c>
      <c r="B660" t="s">
        <v>54</v>
      </c>
      <c r="C660" t="s">
        <v>54</v>
      </c>
      <c r="D660" t="s">
        <v>54</v>
      </c>
      <c r="E660" t="s">
        <v>54</v>
      </c>
      <c r="F660" t="s">
        <v>54</v>
      </c>
      <c r="G660" t="s">
        <v>54</v>
      </c>
      <c r="H660" t="s">
        <v>54</v>
      </c>
      <c r="I660" t="s">
        <v>54</v>
      </c>
      <c r="J660" t="s">
        <v>54</v>
      </c>
      <c r="K660" t="s">
        <v>54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323</v>
      </c>
      <c r="S660" t="s">
        <v>330</v>
      </c>
      <c r="AK660" t="s">
        <v>356</v>
      </c>
    </row>
    <row r="661" spans="1:37">
      <c r="B661" t="s">
        <v>55</v>
      </c>
      <c r="C661" t="s">
        <v>78</v>
      </c>
      <c r="D661" t="s">
        <v>55</v>
      </c>
      <c r="E661" t="s">
        <v>78</v>
      </c>
      <c r="F661" t="s">
        <v>55</v>
      </c>
      <c r="G661" t="s">
        <v>78</v>
      </c>
      <c r="H661" t="s">
        <v>55</v>
      </c>
      <c r="I661" t="s">
        <v>78</v>
      </c>
      <c r="J661" t="s">
        <v>55</v>
      </c>
      <c r="K661" t="s">
        <v>78</v>
      </c>
      <c r="L661" t="s">
        <v>55</v>
      </c>
      <c r="M661" t="s">
        <v>78</v>
      </c>
      <c r="N661" t="s">
        <v>55</v>
      </c>
      <c r="O661" t="s">
        <v>78</v>
      </c>
      <c r="P661" t="s">
        <v>55</v>
      </c>
      <c r="Q661" t="s">
        <v>78</v>
      </c>
      <c r="R661" t="s">
        <v>55</v>
      </c>
      <c r="S661" t="s">
        <v>78</v>
      </c>
      <c r="T661" t="s">
        <v>55</v>
      </c>
      <c r="U661" t="s">
        <v>78</v>
      </c>
      <c r="V661" t="s">
        <v>55</v>
      </c>
      <c r="W661" t="s">
        <v>78</v>
      </c>
      <c r="X661" t="s">
        <v>55</v>
      </c>
      <c r="Y661" t="s">
        <v>78</v>
      </c>
      <c r="Z661" t="s">
        <v>55</v>
      </c>
      <c r="AA661" t="s">
        <v>78</v>
      </c>
      <c r="AB661" t="s">
        <v>55</v>
      </c>
      <c r="AC661" t="s">
        <v>78</v>
      </c>
      <c r="AD661" t="s">
        <v>55</v>
      </c>
      <c r="AE661" t="s">
        <v>78</v>
      </c>
      <c r="AF661" t="s">
        <v>55</v>
      </c>
      <c r="AG661" t="s">
        <v>78</v>
      </c>
      <c r="AH661" t="s">
        <v>55</v>
      </c>
      <c r="AI661" t="s">
        <v>78</v>
      </c>
      <c r="AK661" t="s">
        <v>356</v>
      </c>
    </row>
    <row r="662" spans="1:37">
      <c r="B662" t="s">
        <v>56</v>
      </c>
      <c r="C662" t="s">
        <v>56</v>
      </c>
      <c r="D662" t="s">
        <v>56</v>
      </c>
      <c r="E662" t="s">
        <v>56</v>
      </c>
      <c r="F662" t="s">
        <v>56</v>
      </c>
      <c r="G662" t="s">
        <v>176</v>
      </c>
      <c r="H662" t="s">
        <v>211</v>
      </c>
      <c r="I662" t="s">
        <v>231</v>
      </c>
      <c r="J662" t="s">
        <v>250</v>
      </c>
      <c r="K662" t="s">
        <v>264</v>
      </c>
      <c r="L662" t="s">
        <v>276</v>
      </c>
      <c r="M662" t="s">
        <v>285</v>
      </c>
      <c r="N662" t="s">
        <v>295</v>
      </c>
      <c r="O662" t="s">
        <v>303</v>
      </c>
      <c r="P662" t="s">
        <v>56</v>
      </c>
      <c r="Q662" t="s">
        <v>317</v>
      </c>
      <c r="R662" t="s">
        <v>324</v>
      </c>
      <c r="S662" t="s">
        <v>331</v>
      </c>
      <c r="T662" t="s">
        <v>334</v>
      </c>
      <c r="U662" t="s">
        <v>338</v>
      </c>
      <c r="V662" t="s">
        <v>342</v>
      </c>
      <c r="W662" t="s">
        <v>346</v>
      </c>
      <c r="X662" t="s">
        <v>351</v>
      </c>
      <c r="AK662" t="s">
        <v>356</v>
      </c>
    </row>
    <row r="663" spans="1:37">
      <c r="B663" t="s">
        <v>57</v>
      </c>
      <c r="C663" t="s">
        <v>79</v>
      </c>
      <c r="D663" t="s">
        <v>98</v>
      </c>
      <c r="E663" t="s">
        <v>117</v>
      </c>
      <c r="F663" t="s">
        <v>151</v>
      </c>
      <c r="G663" t="s">
        <v>177</v>
      </c>
      <c r="H663" t="s">
        <v>212</v>
      </c>
      <c r="I663" t="s">
        <v>232</v>
      </c>
      <c r="J663" t="s">
        <v>251</v>
      </c>
      <c r="K663" t="s">
        <v>265</v>
      </c>
      <c r="L663" t="s">
        <v>277</v>
      </c>
      <c r="M663" t="s">
        <v>286</v>
      </c>
      <c r="N663" t="s">
        <v>296</v>
      </c>
      <c r="O663" t="s">
        <v>304</v>
      </c>
      <c r="P663" t="s">
        <v>311</v>
      </c>
      <c r="Q663" t="s">
        <v>318</v>
      </c>
      <c r="R663" t="s">
        <v>185</v>
      </c>
      <c r="S663" t="s">
        <v>159</v>
      </c>
      <c r="T663" t="s">
        <v>185</v>
      </c>
      <c r="U663" t="s">
        <v>339</v>
      </c>
      <c r="V663" t="s">
        <v>72</v>
      </c>
      <c r="W663" t="s">
        <v>347</v>
      </c>
      <c r="X663" t="s">
        <v>72</v>
      </c>
      <c r="Y663" t="s">
        <v>96</v>
      </c>
      <c r="AK663" t="s">
        <v>356</v>
      </c>
    </row>
    <row r="664" spans="1:37">
      <c r="B664" t="s">
        <v>58</v>
      </c>
      <c r="C664" t="s">
        <v>80</v>
      </c>
      <c r="D664" t="s">
        <v>99</v>
      </c>
      <c r="E664" t="s">
        <v>118</v>
      </c>
      <c r="F664" t="s">
        <v>152</v>
      </c>
      <c r="G664" t="s">
        <v>178</v>
      </c>
      <c r="H664" t="s">
        <v>213</v>
      </c>
      <c r="I664" t="s">
        <v>233</v>
      </c>
      <c r="J664" t="s">
        <v>252</v>
      </c>
      <c r="K664" t="s">
        <v>266</v>
      </c>
      <c r="L664" t="s">
        <v>278</v>
      </c>
      <c r="M664" t="s">
        <v>287</v>
      </c>
      <c r="N664" t="s">
        <v>297</v>
      </c>
      <c r="O664" t="s">
        <v>305</v>
      </c>
      <c r="P664" t="s">
        <v>312</v>
      </c>
      <c r="Q664" t="s">
        <v>319</v>
      </c>
      <c r="R664">
        <f>&gt;10       ветра      3.6     19  22 23</f>
        <v>0</v>
      </c>
      <c r="AK664" t="s">
        <v>356</v>
      </c>
    </row>
    <row r="665" spans="1:37">
      <c r="A665" t="s">
        <v>40</v>
      </c>
      <c r="B665" t="s">
        <v>59</v>
      </c>
      <c r="C665" t="s">
        <v>81</v>
      </c>
      <c r="D665" t="s">
        <v>100</v>
      </c>
      <c r="E665" t="s">
        <v>119</v>
      </c>
      <c r="F665" t="s">
        <v>153</v>
      </c>
      <c r="G665" t="s">
        <v>179</v>
      </c>
      <c r="H665" t="s">
        <v>214</v>
      </c>
      <c r="I665" t="s">
        <v>234</v>
      </c>
      <c r="AK665" t="s">
        <v>356</v>
      </c>
    </row>
    <row r="666" spans="1:37">
      <c r="A666" t="s">
        <v>40</v>
      </c>
      <c r="B666" t="s">
        <v>60</v>
      </c>
      <c r="C666" t="s">
        <v>82</v>
      </c>
      <c r="D666" t="s">
        <v>101</v>
      </c>
      <c r="E666" t="s">
        <v>120</v>
      </c>
      <c r="F666" t="s">
        <v>154</v>
      </c>
      <c r="G666" t="s">
        <v>180</v>
      </c>
      <c r="H666" t="s">
        <v>215</v>
      </c>
      <c r="I666" t="s">
        <v>235</v>
      </c>
      <c r="J666" t="s">
        <v>253</v>
      </c>
      <c r="K666" t="s">
        <v>267</v>
      </c>
      <c r="L666" t="s">
        <v>279</v>
      </c>
      <c r="M666" t="s">
        <v>288</v>
      </c>
      <c r="N666" t="s">
        <v>100</v>
      </c>
      <c r="O666" t="s">
        <v>306</v>
      </c>
      <c r="P666" t="s">
        <v>313</v>
      </c>
      <c r="Q666" t="s">
        <v>320</v>
      </c>
      <c r="R666" t="s">
        <v>325</v>
      </c>
      <c r="S666" t="s">
        <v>332</v>
      </c>
      <c r="T666" t="s">
        <v>119</v>
      </c>
      <c r="U666" t="s">
        <v>234</v>
      </c>
      <c r="V666" t="s">
        <v>343</v>
      </c>
      <c r="W666" t="s">
        <v>348</v>
      </c>
      <c r="X666" t="s">
        <v>352</v>
      </c>
      <c r="Y666" t="s">
        <v>354</v>
      </c>
      <c r="AK666" t="s">
        <v>356</v>
      </c>
    </row>
    <row r="667" spans="1:37">
      <c r="A667" t="s">
        <v>41</v>
      </c>
      <c r="B667" t="s">
        <v>61</v>
      </c>
      <c r="C667" t="s">
        <v>83</v>
      </c>
      <c r="D667" t="s">
        <v>102</v>
      </c>
      <c r="E667" t="s">
        <v>121</v>
      </c>
      <c r="F667" t="s">
        <v>155</v>
      </c>
      <c r="G667" t="s">
        <v>181</v>
      </c>
      <c r="H667" t="s">
        <v>216</v>
      </c>
      <c r="I667" t="s">
        <v>236</v>
      </c>
      <c r="AK667" t="s">
        <v>356</v>
      </c>
    </row>
    <row r="668" spans="1:37">
      <c r="A668" t="s">
        <v>42</v>
      </c>
      <c r="B668" t="s">
        <v>62</v>
      </c>
      <c r="C668" t="s">
        <v>84</v>
      </c>
      <c r="D668" t="s">
        <v>103</v>
      </c>
      <c r="E668" t="s">
        <v>122</v>
      </c>
      <c r="F668" t="s">
        <v>156</v>
      </c>
      <c r="G668" t="s">
        <v>182</v>
      </c>
      <c r="H668" t="s">
        <v>83</v>
      </c>
      <c r="I668" t="s">
        <v>237</v>
      </c>
      <c r="J668" t="s">
        <v>254</v>
      </c>
      <c r="K668" t="s">
        <v>268</v>
      </c>
      <c r="L668" t="s">
        <v>280</v>
      </c>
      <c r="M668" t="s">
        <v>289</v>
      </c>
      <c r="N668" t="s">
        <v>298</v>
      </c>
      <c r="O668" t="s">
        <v>307</v>
      </c>
      <c r="P668" t="s">
        <v>314</v>
      </c>
      <c r="Q668" t="s">
        <v>216</v>
      </c>
      <c r="R668" t="s">
        <v>326</v>
      </c>
      <c r="S668" t="s">
        <v>333</v>
      </c>
      <c r="T668" t="s">
        <v>335</v>
      </c>
      <c r="U668" t="s">
        <v>340</v>
      </c>
      <c r="V668" t="s">
        <v>344</v>
      </c>
      <c r="W668" t="s">
        <v>349</v>
      </c>
      <c r="AK668" t="s">
        <v>356</v>
      </c>
    </row>
    <row r="669" spans="1:37">
      <c r="A669" t="s">
        <v>43</v>
      </c>
      <c r="B669" t="s">
        <v>63</v>
      </c>
      <c r="C669" t="s">
        <v>85</v>
      </c>
      <c r="D669" t="s">
        <v>104</v>
      </c>
      <c r="E669" t="s">
        <v>123</v>
      </c>
      <c r="F669" t="s">
        <v>157</v>
      </c>
      <c r="G669" t="s">
        <v>183</v>
      </c>
      <c r="AK669" t="s">
        <v>356</v>
      </c>
    </row>
    <row r="670" spans="1:37">
      <c r="A670" t="s">
        <v>44</v>
      </c>
      <c r="B670" t="s">
        <v>64</v>
      </c>
      <c r="C670" t="s">
        <v>86</v>
      </c>
      <c r="D670" t="s">
        <v>105</v>
      </c>
      <c r="E670" t="s">
        <v>124</v>
      </c>
      <c r="F670" t="s">
        <v>158</v>
      </c>
      <c r="G670" t="s">
        <v>184</v>
      </c>
      <c r="AK670" t="s">
        <v>356</v>
      </c>
    </row>
    <row r="671" spans="1:37">
      <c r="A671" t="s">
        <v>45</v>
      </c>
      <c r="B671" t="s">
        <v>65</v>
      </c>
      <c r="C671" t="s">
        <v>87</v>
      </c>
      <c r="D671" t="s">
        <v>106</v>
      </c>
      <c r="E671" t="s">
        <v>125</v>
      </c>
      <c r="F671" t="s">
        <v>159</v>
      </c>
      <c r="G671" t="s">
        <v>185</v>
      </c>
      <c r="H671" t="s">
        <v>159</v>
      </c>
      <c r="I671" t="s">
        <v>185</v>
      </c>
      <c r="J671" t="s">
        <v>255</v>
      </c>
      <c r="AK671" t="s">
        <v>356</v>
      </c>
    </row>
    <row r="672" spans="1:37">
      <c r="A672" t="s">
        <v>46</v>
      </c>
      <c r="B672" t="s">
        <v>66</v>
      </c>
      <c r="C672" t="s">
        <v>88</v>
      </c>
      <c r="D672" t="s">
        <v>76</v>
      </c>
      <c r="E672" t="s">
        <v>126</v>
      </c>
      <c r="F672" t="s">
        <v>160</v>
      </c>
      <c r="G672" t="s">
        <v>186</v>
      </c>
      <c r="H672" t="s">
        <v>217</v>
      </c>
      <c r="I672" t="s">
        <v>238</v>
      </c>
      <c r="J672" t="s">
        <v>256</v>
      </c>
      <c r="K672" t="s">
        <v>265</v>
      </c>
      <c r="L672" t="s">
        <v>281</v>
      </c>
      <c r="M672" t="s">
        <v>290</v>
      </c>
      <c r="N672" t="s">
        <v>299</v>
      </c>
      <c r="O672" t="s">
        <v>308</v>
      </c>
      <c r="P672" t="s">
        <v>228</v>
      </c>
      <c r="Q672" t="s">
        <v>72</v>
      </c>
      <c r="R672" t="s">
        <v>327</v>
      </c>
      <c r="S672" t="s">
        <v>327</v>
      </c>
      <c r="T672" t="s">
        <v>336</v>
      </c>
      <c r="U672" t="s">
        <v>336</v>
      </c>
      <c r="V672" t="s">
        <v>336</v>
      </c>
      <c r="W672" t="s">
        <v>336</v>
      </c>
      <c r="X672" t="s">
        <v>353</v>
      </c>
      <c r="AK672" t="s">
        <v>356</v>
      </c>
    </row>
    <row r="673" spans="1:37">
      <c r="B673" t="s">
        <v>67</v>
      </c>
      <c r="C673" t="s">
        <v>89</v>
      </c>
      <c r="D673" t="s">
        <v>107</v>
      </c>
      <c r="AK673" t="s">
        <v>356</v>
      </c>
    </row>
    <row r="674" spans="1:37">
      <c r="B674" t="s">
        <v>68</v>
      </c>
      <c r="C674" t="s">
        <v>90</v>
      </c>
      <c r="D674" t="s">
        <v>108</v>
      </c>
      <c r="AK674" t="s">
        <v>356</v>
      </c>
    </row>
    <row r="675" spans="1:37">
      <c r="A675" t="s">
        <v>47</v>
      </c>
      <c r="B675" t="s">
        <v>69</v>
      </c>
      <c r="C675" t="s">
        <v>91</v>
      </c>
      <c r="D675" t="s">
        <v>109</v>
      </c>
      <c r="E675" t="s">
        <v>109</v>
      </c>
      <c r="F675" t="s">
        <v>109</v>
      </c>
      <c r="G675" t="s">
        <v>109</v>
      </c>
      <c r="H675" t="s">
        <v>109</v>
      </c>
      <c r="I675" t="s">
        <v>239</v>
      </c>
      <c r="AK675" t="s">
        <v>356</v>
      </c>
    </row>
    <row r="676" spans="1:37">
      <c r="B676" t="s">
        <v>70</v>
      </c>
      <c r="C676" t="s">
        <v>92</v>
      </c>
      <c r="D676" t="s">
        <v>110</v>
      </c>
      <c r="E676" t="s">
        <v>127</v>
      </c>
      <c r="F676" t="s">
        <v>161</v>
      </c>
      <c r="G676" t="s">
        <v>187</v>
      </c>
      <c r="H676" t="s">
        <v>218</v>
      </c>
      <c r="AK676" t="s">
        <v>356</v>
      </c>
    </row>
    <row r="677" spans="1:37">
      <c r="B677" t="s">
        <v>71</v>
      </c>
      <c r="C677" t="s">
        <v>93</v>
      </c>
      <c r="D677" t="s">
        <v>111</v>
      </c>
      <c r="E677" t="s">
        <v>128</v>
      </c>
      <c r="F677" t="s">
        <v>162</v>
      </c>
      <c r="G677" t="s">
        <v>188</v>
      </c>
      <c r="H677" t="s">
        <v>219</v>
      </c>
      <c r="I677" t="s">
        <v>240</v>
      </c>
      <c r="J677" t="s">
        <v>257</v>
      </c>
      <c r="K677" t="s">
        <v>269</v>
      </c>
      <c r="L677" t="s">
        <v>109</v>
      </c>
      <c r="M677" t="s">
        <v>109</v>
      </c>
      <c r="N677" t="s">
        <v>109</v>
      </c>
      <c r="O677" t="s">
        <v>109</v>
      </c>
      <c r="P677" t="s">
        <v>109</v>
      </c>
      <c r="Q677" t="s">
        <v>321</v>
      </c>
      <c r="AK677" t="s">
        <v>356</v>
      </c>
    </row>
    <row r="678" spans="1:37">
      <c r="A678" t="s">
        <v>48</v>
      </c>
      <c r="B678" t="s">
        <v>71</v>
      </c>
      <c r="C678" t="s">
        <v>93</v>
      </c>
      <c r="D678" t="s">
        <v>111</v>
      </c>
      <c r="E678" t="s">
        <v>128</v>
      </c>
      <c r="F678" t="s">
        <v>163</v>
      </c>
      <c r="G678" t="s">
        <v>189</v>
      </c>
      <c r="H678" t="s">
        <v>220</v>
      </c>
      <c r="I678" t="s">
        <v>241</v>
      </c>
      <c r="J678" t="s">
        <v>258</v>
      </c>
      <c r="K678" t="s">
        <v>270</v>
      </c>
      <c r="AK678" t="s">
        <v>356</v>
      </c>
    </row>
    <row r="679" spans="1:37">
      <c r="B679" t="s">
        <v>72</v>
      </c>
      <c r="C679" t="s">
        <v>72</v>
      </c>
      <c r="D679" t="s">
        <v>72</v>
      </c>
      <c r="E679" t="s">
        <v>130</v>
      </c>
      <c r="F679" t="s">
        <v>130</v>
      </c>
      <c r="G679" t="s">
        <v>193</v>
      </c>
      <c r="H679" t="s">
        <v>224</v>
      </c>
      <c r="I679" t="s">
        <v>192</v>
      </c>
      <c r="J679" t="s">
        <v>192</v>
      </c>
      <c r="K679" t="s">
        <v>271</v>
      </c>
      <c r="AK679" t="s">
        <v>356</v>
      </c>
    </row>
    <row r="680" spans="1:37">
      <c r="A680" t="s">
        <v>37</v>
      </c>
      <c r="B680" t="s">
        <v>49</v>
      </c>
      <c r="C680" t="s">
        <v>73</v>
      </c>
      <c r="D680" t="s">
        <v>94</v>
      </c>
      <c r="E680" t="s">
        <v>112</v>
      </c>
      <c r="F680" t="s">
        <v>146</v>
      </c>
      <c r="G680" t="s">
        <v>172</v>
      </c>
      <c r="H680" t="s">
        <v>207</v>
      </c>
      <c r="I680" t="s">
        <v>226</v>
      </c>
      <c r="J680" t="s">
        <v>246</v>
      </c>
      <c r="K680" t="s">
        <v>259</v>
      </c>
      <c r="AK680" t="s">
        <v>356</v>
      </c>
    </row>
    <row r="681" spans="1:37">
      <c r="A681" t="s">
        <v>38</v>
      </c>
      <c r="B681" t="s">
        <v>50</v>
      </c>
      <c r="C681" t="s">
        <v>74</v>
      </c>
      <c r="D681" t="s">
        <v>95</v>
      </c>
      <c r="E681" t="s">
        <v>113</v>
      </c>
      <c r="F681" t="s">
        <v>147</v>
      </c>
      <c r="G681" t="s">
        <v>173</v>
      </c>
      <c r="H681" t="s">
        <v>208</v>
      </c>
      <c r="I681" t="s">
        <v>227</v>
      </c>
      <c r="J681" t="s">
        <v>115</v>
      </c>
      <c r="K681" t="s">
        <v>260</v>
      </c>
      <c r="L681" t="s">
        <v>273</v>
      </c>
      <c r="M681" t="s">
        <v>282</v>
      </c>
      <c r="N681" t="s">
        <v>291</v>
      </c>
      <c r="AK681" t="s">
        <v>356</v>
      </c>
    </row>
    <row r="682" spans="1:37">
      <c r="B682" t="s">
        <v>51</v>
      </c>
      <c r="C682" t="s">
        <v>75</v>
      </c>
      <c r="D682" t="s">
        <v>52</v>
      </c>
      <c r="E682" t="s">
        <v>114</v>
      </c>
      <c r="F682" t="s">
        <v>148</v>
      </c>
      <c r="G682" t="s">
        <v>148</v>
      </c>
      <c r="H682" t="s">
        <v>209</v>
      </c>
      <c r="I682" t="s">
        <v>228</v>
      </c>
      <c r="J682" t="s">
        <v>247</v>
      </c>
      <c r="K682" t="s">
        <v>261</v>
      </c>
      <c r="L682" t="s">
        <v>274</v>
      </c>
      <c r="M682" t="s">
        <v>283</v>
      </c>
      <c r="N682" t="s">
        <v>292</v>
      </c>
      <c r="O682" t="s">
        <v>300</v>
      </c>
      <c r="AK682" t="s">
        <v>356</v>
      </c>
    </row>
    <row r="683" spans="1:37">
      <c r="B683" t="s">
        <v>52</v>
      </c>
      <c r="C683" t="s">
        <v>76</v>
      </c>
      <c r="D683" t="s">
        <v>96</v>
      </c>
      <c r="E683" t="s">
        <v>115</v>
      </c>
      <c r="F683" t="s">
        <v>149</v>
      </c>
      <c r="G683" t="s">
        <v>174</v>
      </c>
      <c r="H683" t="s">
        <v>96</v>
      </c>
      <c r="I683" t="s">
        <v>229</v>
      </c>
      <c r="J683" t="s">
        <v>248</v>
      </c>
      <c r="K683" t="s">
        <v>262</v>
      </c>
      <c r="L683" t="s">
        <v>52</v>
      </c>
      <c r="M683" t="s">
        <v>76</v>
      </c>
      <c r="N683" t="s">
        <v>293</v>
      </c>
      <c r="O683" t="s">
        <v>301</v>
      </c>
      <c r="P683" t="s">
        <v>309</v>
      </c>
      <c r="Q683" t="s">
        <v>315</v>
      </c>
      <c r="R683" t="s">
        <v>228</v>
      </c>
      <c r="S683" t="s">
        <v>328</v>
      </c>
      <c r="T683" t="s">
        <v>149</v>
      </c>
      <c r="U683" t="s">
        <v>337</v>
      </c>
      <c r="V683" t="s">
        <v>341</v>
      </c>
      <c r="W683" t="s">
        <v>345</v>
      </c>
      <c r="X683" t="s">
        <v>350</v>
      </c>
      <c r="AK683" t="s">
        <v>356</v>
      </c>
    </row>
    <row r="684" spans="1:37">
      <c r="B684" t="s">
        <v>53</v>
      </c>
      <c r="C684" t="s">
        <v>77</v>
      </c>
      <c r="D684" t="s">
        <v>97</v>
      </c>
      <c r="E684" t="s">
        <v>116</v>
      </c>
      <c r="F684" t="s">
        <v>150</v>
      </c>
      <c r="G684" t="s">
        <v>175</v>
      </c>
      <c r="H684" t="s">
        <v>210</v>
      </c>
      <c r="I684" t="s">
        <v>230</v>
      </c>
      <c r="J684" t="s">
        <v>249</v>
      </c>
      <c r="K684" t="s">
        <v>263</v>
      </c>
      <c r="L684" t="s">
        <v>275</v>
      </c>
      <c r="M684" t="s">
        <v>284</v>
      </c>
      <c r="N684" t="s">
        <v>294</v>
      </c>
      <c r="O684" t="s">
        <v>302</v>
      </c>
      <c r="P684" t="s">
        <v>310</v>
      </c>
      <c r="Q684" t="s">
        <v>316</v>
      </c>
      <c r="R684" t="s">
        <v>322</v>
      </c>
      <c r="S684" t="s">
        <v>329</v>
      </c>
      <c r="AK684" t="s">
        <v>356</v>
      </c>
    </row>
    <row r="685" spans="1:37">
      <c r="A685" t="s">
        <v>39</v>
      </c>
      <c r="B685" t="s">
        <v>54</v>
      </c>
      <c r="C685" t="s">
        <v>54</v>
      </c>
      <c r="D685" t="s">
        <v>54</v>
      </c>
      <c r="E685" t="s">
        <v>54</v>
      </c>
      <c r="F685" t="s">
        <v>54</v>
      </c>
      <c r="G685" t="s">
        <v>54</v>
      </c>
      <c r="H685" t="s">
        <v>54</v>
      </c>
      <c r="I685" t="s">
        <v>54</v>
      </c>
      <c r="J685" t="s">
        <v>54</v>
      </c>
      <c r="K685" t="s">
        <v>54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323</v>
      </c>
      <c r="S685" t="s">
        <v>330</v>
      </c>
      <c r="AK685" t="s">
        <v>356</v>
      </c>
    </row>
    <row r="686" spans="1:37">
      <c r="B686" t="s">
        <v>55</v>
      </c>
      <c r="C686" t="s">
        <v>78</v>
      </c>
      <c r="D686" t="s">
        <v>55</v>
      </c>
      <c r="E686" t="s">
        <v>78</v>
      </c>
      <c r="F686" t="s">
        <v>55</v>
      </c>
      <c r="G686" t="s">
        <v>78</v>
      </c>
      <c r="H686" t="s">
        <v>55</v>
      </c>
      <c r="I686" t="s">
        <v>78</v>
      </c>
      <c r="J686" t="s">
        <v>55</v>
      </c>
      <c r="K686" t="s">
        <v>78</v>
      </c>
      <c r="L686" t="s">
        <v>55</v>
      </c>
      <c r="M686" t="s">
        <v>78</v>
      </c>
      <c r="N686" t="s">
        <v>55</v>
      </c>
      <c r="O686" t="s">
        <v>78</v>
      </c>
      <c r="P686" t="s">
        <v>55</v>
      </c>
      <c r="Q686" t="s">
        <v>78</v>
      </c>
      <c r="R686" t="s">
        <v>55</v>
      </c>
      <c r="S686" t="s">
        <v>78</v>
      </c>
      <c r="T686" t="s">
        <v>55</v>
      </c>
      <c r="U686" t="s">
        <v>78</v>
      </c>
      <c r="V686" t="s">
        <v>55</v>
      </c>
      <c r="W686" t="s">
        <v>78</v>
      </c>
      <c r="X686" t="s">
        <v>55</v>
      </c>
      <c r="Y686" t="s">
        <v>78</v>
      </c>
      <c r="Z686" t="s">
        <v>55</v>
      </c>
      <c r="AA686" t="s">
        <v>78</v>
      </c>
      <c r="AB686" t="s">
        <v>55</v>
      </c>
      <c r="AC686" t="s">
        <v>78</v>
      </c>
      <c r="AD686" t="s">
        <v>55</v>
      </c>
      <c r="AE686" t="s">
        <v>78</v>
      </c>
      <c r="AF686" t="s">
        <v>55</v>
      </c>
      <c r="AG686" t="s">
        <v>78</v>
      </c>
      <c r="AH686" t="s">
        <v>55</v>
      </c>
      <c r="AI686" t="s">
        <v>78</v>
      </c>
      <c r="AK686" t="s">
        <v>356</v>
      </c>
    </row>
    <row r="687" spans="1:37">
      <c r="B687" t="s">
        <v>56</v>
      </c>
      <c r="C687" t="s">
        <v>56</v>
      </c>
      <c r="D687" t="s">
        <v>56</v>
      </c>
      <c r="E687" t="s">
        <v>56</v>
      </c>
      <c r="F687" t="s">
        <v>56</v>
      </c>
      <c r="G687" t="s">
        <v>176</v>
      </c>
      <c r="H687" t="s">
        <v>211</v>
      </c>
      <c r="I687" t="s">
        <v>231</v>
      </c>
      <c r="J687" t="s">
        <v>250</v>
      </c>
      <c r="K687" t="s">
        <v>264</v>
      </c>
      <c r="L687" t="s">
        <v>276</v>
      </c>
      <c r="M687" t="s">
        <v>285</v>
      </c>
      <c r="N687" t="s">
        <v>295</v>
      </c>
      <c r="O687" t="s">
        <v>303</v>
      </c>
      <c r="P687" t="s">
        <v>56</v>
      </c>
      <c r="Q687" t="s">
        <v>317</v>
      </c>
      <c r="R687" t="s">
        <v>324</v>
      </c>
      <c r="S687" t="s">
        <v>331</v>
      </c>
      <c r="T687" t="s">
        <v>334</v>
      </c>
      <c r="U687" t="s">
        <v>338</v>
      </c>
      <c r="V687" t="s">
        <v>342</v>
      </c>
      <c r="W687" t="s">
        <v>346</v>
      </c>
      <c r="X687" t="s">
        <v>351</v>
      </c>
      <c r="AK687" t="s">
        <v>356</v>
      </c>
    </row>
    <row r="688" spans="1:37">
      <c r="B688" t="s">
        <v>57</v>
      </c>
      <c r="C688" t="s">
        <v>79</v>
      </c>
      <c r="D688" t="s">
        <v>98</v>
      </c>
      <c r="E688" t="s">
        <v>117</v>
      </c>
      <c r="F688" t="s">
        <v>151</v>
      </c>
      <c r="G688" t="s">
        <v>177</v>
      </c>
      <c r="H688" t="s">
        <v>212</v>
      </c>
      <c r="I688" t="s">
        <v>232</v>
      </c>
      <c r="J688" t="s">
        <v>251</v>
      </c>
      <c r="K688" t="s">
        <v>265</v>
      </c>
      <c r="L688" t="s">
        <v>277</v>
      </c>
      <c r="M688" t="s">
        <v>286</v>
      </c>
      <c r="N688" t="s">
        <v>296</v>
      </c>
      <c r="O688" t="s">
        <v>304</v>
      </c>
      <c r="P688" t="s">
        <v>311</v>
      </c>
      <c r="Q688" t="s">
        <v>318</v>
      </c>
      <c r="R688" t="s">
        <v>185</v>
      </c>
      <c r="S688" t="s">
        <v>159</v>
      </c>
      <c r="T688" t="s">
        <v>185</v>
      </c>
      <c r="U688" t="s">
        <v>339</v>
      </c>
      <c r="V688" t="s">
        <v>72</v>
      </c>
      <c r="W688" t="s">
        <v>347</v>
      </c>
      <c r="X688" t="s">
        <v>72</v>
      </c>
      <c r="Y688" t="s">
        <v>96</v>
      </c>
      <c r="AK688" t="s">
        <v>356</v>
      </c>
    </row>
    <row r="689" spans="1:37">
      <c r="B689" t="s">
        <v>58</v>
      </c>
      <c r="C689" t="s">
        <v>80</v>
      </c>
      <c r="D689" t="s">
        <v>99</v>
      </c>
      <c r="E689" t="s">
        <v>118</v>
      </c>
      <c r="F689" t="s">
        <v>152</v>
      </c>
      <c r="G689" t="s">
        <v>178</v>
      </c>
      <c r="H689" t="s">
        <v>213</v>
      </c>
      <c r="I689" t="s">
        <v>233</v>
      </c>
      <c r="J689" t="s">
        <v>252</v>
      </c>
      <c r="K689" t="s">
        <v>266</v>
      </c>
      <c r="L689" t="s">
        <v>278</v>
      </c>
      <c r="M689" t="s">
        <v>287</v>
      </c>
      <c r="N689" t="s">
        <v>297</v>
      </c>
      <c r="O689" t="s">
        <v>305</v>
      </c>
      <c r="P689" t="s">
        <v>312</v>
      </c>
      <c r="Q689" t="s">
        <v>319</v>
      </c>
      <c r="R689">
        <f>&gt;10       ветра      2.6     23  24 29</f>
        <v>0</v>
      </c>
      <c r="AK689" t="s">
        <v>356</v>
      </c>
    </row>
    <row r="690" spans="1:37">
      <c r="A690" t="s">
        <v>40</v>
      </c>
      <c r="B690" t="s">
        <v>59</v>
      </c>
      <c r="C690" t="s">
        <v>81</v>
      </c>
      <c r="D690" t="s">
        <v>100</v>
      </c>
      <c r="E690" t="s">
        <v>119</v>
      </c>
      <c r="F690" t="s">
        <v>153</v>
      </c>
      <c r="G690" t="s">
        <v>179</v>
      </c>
      <c r="H690" t="s">
        <v>214</v>
      </c>
      <c r="I690" t="s">
        <v>234</v>
      </c>
      <c r="AK690" t="s">
        <v>356</v>
      </c>
    </row>
    <row r="691" spans="1:37">
      <c r="A691" t="s">
        <v>40</v>
      </c>
      <c r="B691" t="s">
        <v>60</v>
      </c>
      <c r="C691" t="s">
        <v>82</v>
      </c>
      <c r="D691" t="s">
        <v>101</v>
      </c>
      <c r="E691" t="s">
        <v>120</v>
      </c>
      <c r="F691" t="s">
        <v>154</v>
      </c>
      <c r="G691" t="s">
        <v>180</v>
      </c>
      <c r="H691" t="s">
        <v>215</v>
      </c>
      <c r="I691" t="s">
        <v>235</v>
      </c>
      <c r="J691" t="s">
        <v>253</v>
      </c>
      <c r="K691" t="s">
        <v>267</v>
      </c>
      <c r="L691" t="s">
        <v>279</v>
      </c>
      <c r="M691" t="s">
        <v>288</v>
      </c>
      <c r="N691" t="s">
        <v>100</v>
      </c>
      <c r="O691" t="s">
        <v>306</v>
      </c>
      <c r="P691" t="s">
        <v>313</v>
      </c>
      <c r="Q691" t="s">
        <v>320</v>
      </c>
      <c r="R691" t="s">
        <v>325</v>
      </c>
      <c r="S691" t="s">
        <v>332</v>
      </c>
      <c r="T691" t="s">
        <v>119</v>
      </c>
      <c r="U691" t="s">
        <v>234</v>
      </c>
      <c r="V691" t="s">
        <v>343</v>
      </c>
      <c r="W691" t="s">
        <v>348</v>
      </c>
      <c r="X691" t="s">
        <v>352</v>
      </c>
      <c r="Y691" t="s">
        <v>354</v>
      </c>
      <c r="AK691" t="s">
        <v>356</v>
      </c>
    </row>
    <row r="692" spans="1:37">
      <c r="A692" t="s">
        <v>41</v>
      </c>
      <c r="B692" t="s">
        <v>61</v>
      </c>
      <c r="C692" t="s">
        <v>83</v>
      </c>
      <c r="D692" t="s">
        <v>102</v>
      </c>
      <c r="E692" t="s">
        <v>121</v>
      </c>
      <c r="F692" t="s">
        <v>155</v>
      </c>
      <c r="G692" t="s">
        <v>181</v>
      </c>
      <c r="H692" t="s">
        <v>216</v>
      </c>
      <c r="I692" t="s">
        <v>236</v>
      </c>
      <c r="AK692" t="s">
        <v>356</v>
      </c>
    </row>
    <row r="693" spans="1:37">
      <c r="A693" t="s">
        <v>42</v>
      </c>
      <c r="B693" t="s">
        <v>62</v>
      </c>
      <c r="C693" t="s">
        <v>84</v>
      </c>
      <c r="D693" t="s">
        <v>103</v>
      </c>
      <c r="E693" t="s">
        <v>122</v>
      </c>
      <c r="F693" t="s">
        <v>156</v>
      </c>
      <c r="G693" t="s">
        <v>182</v>
      </c>
      <c r="H693" t="s">
        <v>83</v>
      </c>
      <c r="I693" t="s">
        <v>237</v>
      </c>
      <c r="J693" t="s">
        <v>254</v>
      </c>
      <c r="K693" t="s">
        <v>268</v>
      </c>
      <c r="L693" t="s">
        <v>280</v>
      </c>
      <c r="M693" t="s">
        <v>289</v>
      </c>
      <c r="N693" t="s">
        <v>298</v>
      </c>
      <c r="O693" t="s">
        <v>307</v>
      </c>
      <c r="P693" t="s">
        <v>314</v>
      </c>
      <c r="Q693" t="s">
        <v>216</v>
      </c>
      <c r="R693" t="s">
        <v>326</v>
      </c>
      <c r="S693" t="s">
        <v>333</v>
      </c>
      <c r="T693" t="s">
        <v>335</v>
      </c>
      <c r="U693" t="s">
        <v>340</v>
      </c>
      <c r="V693" t="s">
        <v>344</v>
      </c>
      <c r="W693" t="s">
        <v>349</v>
      </c>
      <c r="AK693" t="s">
        <v>356</v>
      </c>
    </row>
    <row r="694" spans="1:37">
      <c r="A694" t="s">
        <v>43</v>
      </c>
      <c r="B694" t="s">
        <v>63</v>
      </c>
      <c r="C694" t="s">
        <v>85</v>
      </c>
      <c r="D694" t="s">
        <v>104</v>
      </c>
      <c r="E694" t="s">
        <v>123</v>
      </c>
      <c r="F694" t="s">
        <v>157</v>
      </c>
      <c r="G694" t="s">
        <v>183</v>
      </c>
      <c r="AK694" t="s">
        <v>356</v>
      </c>
    </row>
    <row r="695" spans="1:37">
      <c r="A695" t="s">
        <v>44</v>
      </c>
      <c r="B695" t="s">
        <v>64</v>
      </c>
      <c r="C695" t="s">
        <v>86</v>
      </c>
      <c r="D695" t="s">
        <v>105</v>
      </c>
      <c r="E695" t="s">
        <v>124</v>
      </c>
      <c r="F695" t="s">
        <v>158</v>
      </c>
      <c r="G695" t="s">
        <v>184</v>
      </c>
      <c r="AK695" t="s">
        <v>356</v>
      </c>
    </row>
    <row r="696" spans="1:37">
      <c r="A696" t="s">
        <v>45</v>
      </c>
      <c r="B696" t="s">
        <v>65</v>
      </c>
      <c r="C696" t="s">
        <v>87</v>
      </c>
      <c r="D696" t="s">
        <v>106</v>
      </c>
      <c r="E696" t="s">
        <v>125</v>
      </c>
      <c r="F696" t="s">
        <v>159</v>
      </c>
      <c r="G696" t="s">
        <v>185</v>
      </c>
      <c r="H696" t="s">
        <v>159</v>
      </c>
      <c r="I696" t="s">
        <v>185</v>
      </c>
      <c r="J696" t="s">
        <v>255</v>
      </c>
      <c r="AK696" t="s">
        <v>356</v>
      </c>
    </row>
    <row r="697" spans="1:37">
      <c r="A697" t="s">
        <v>46</v>
      </c>
      <c r="B697" t="s">
        <v>66</v>
      </c>
      <c r="C697" t="s">
        <v>88</v>
      </c>
      <c r="D697" t="s">
        <v>76</v>
      </c>
      <c r="E697" t="s">
        <v>126</v>
      </c>
      <c r="F697" t="s">
        <v>160</v>
      </c>
      <c r="G697" t="s">
        <v>186</v>
      </c>
      <c r="H697" t="s">
        <v>217</v>
      </c>
      <c r="I697" t="s">
        <v>238</v>
      </c>
      <c r="J697" t="s">
        <v>256</v>
      </c>
      <c r="K697" t="s">
        <v>265</v>
      </c>
      <c r="L697" t="s">
        <v>281</v>
      </c>
      <c r="M697" t="s">
        <v>290</v>
      </c>
      <c r="N697" t="s">
        <v>299</v>
      </c>
      <c r="O697" t="s">
        <v>308</v>
      </c>
      <c r="P697" t="s">
        <v>228</v>
      </c>
      <c r="Q697" t="s">
        <v>72</v>
      </c>
      <c r="R697" t="s">
        <v>327</v>
      </c>
      <c r="S697" t="s">
        <v>327</v>
      </c>
      <c r="T697" t="s">
        <v>336</v>
      </c>
      <c r="U697" t="s">
        <v>336</v>
      </c>
      <c r="V697" t="s">
        <v>336</v>
      </c>
      <c r="W697" t="s">
        <v>336</v>
      </c>
      <c r="X697" t="s">
        <v>353</v>
      </c>
      <c r="AK697" t="s">
        <v>356</v>
      </c>
    </row>
    <row r="698" spans="1:37">
      <c r="A698" t="s">
        <v>37</v>
      </c>
      <c r="B698" t="s">
        <v>49</v>
      </c>
      <c r="C698" t="s">
        <v>73</v>
      </c>
      <c r="D698" t="s">
        <v>94</v>
      </c>
      <c r="E698" t="s">
        <v>112</v>
      </c>
      <c r="F698" t="s">
        <v>146</v>
      </c>
      <c r="G698" t="s">
        <v>172</v>
      </c>
      <c r="H698" t="s">
        <v>207</v>
      </c>
      <c r="I698" t="s">
        <v>226</v>
      </c>
      <c r="J698" t="s">
        <v>246</v>
      </c>
      <c r="K698" t="s">
        <v>259</v>
      </c>
      <c r="AK698" t="s">
        <v>356</v>
      </c>
    </row>
    <row r="699" spans="1:37">
      <c r="A699" t="s">
        <v>38</v>
      </c>
      <c r="B699" t="s">
        <v>50</v>
      </c>
      <c r="C699" t="s">
        <v>74</v>
      </c>
      <c r="D699" t="s">
        <v>95</v>
      </c>
      <c r="E699" t="s">
        <v>113</v>
      </c>
      <c r="F699" t="s">
        <v>147</v>
      </c>
      <c r="G699" t="s">
        <v>173</v>
      </c>
      <c r="H699" t="s">
        <v>208</v>
      </c>
      <c r="I699" t="s">
        <v>227</v>
      </c>
      <c r="J699" t="s">
        <v>115</v>
      </c>
      <c r="K699" t="s">
        <v>260</v>
      </c>
      <c r="L699" t="s">
        <v>273</v>
      </c>
      <c r="M699" t="s">
        <v>282</v>
      </c>
      <c r="N699" t="s">
        <v>291</v>
      </c>
      <c r="AK699" t="s">
        <v>356</v>
      </c>
    </row>
    <row r="700" spans="1:37">
      <c r="B700" t="s">
        <v>51</v>
      </c>
      <c r="C700" t="s">
        <v>75</v>
      </c>
      <c r="D700" t="s">
        <v>52</v>
      </c>
      <c r="E700" t="s">
        <v>114</v>
      </c>
      <c r="F700" t="s">
        <v>148</v>
      </c>
      <c r="G700" t="s">
        <v>148</v>
      </c>
      <c r="H700" t="s">
        <v>209</v>
      </c>
      <c r="I700" t="s">
        <v>228</v>
      </c>
      <c r="J700" t="s">
        <v>247</v>
      </c>
      <c r="K700" t="s">
        <v>261</v>
      </c>
      <c r="L700" t="s">
        <v>274</v>
      </c>
      <c r="M700" t="s">
        <v>283</v>
      </c>
      <c r="N700" t="s">
        <v>292</v>
      </c>
      <c r="O700" t="s">
        <v>300</v>
      </c>
      <c r="AK700" t="s">
        <v>356</v>
      </c>
    </row>
    <row r="701" spans="1:37">
      <c r="B701" t="s">
        <v>52</v>
      </c>
      <c r="C701" t="s">
        <v>76</v>
      </c>
      <c r="D701" t="s">
        <v>96</v>
      </c>
      <c r="E701" t="s">
        <v>115</v>
      </c>
      <c r="F701" t="s">
        <v>149</v>
      </c>
      <c r="G701" t="s">
        <v>174</v>
      </c>
      <c r="H701" t="s">
        <v>96</v>
      </c>
      <c r="I701" t="s">
        <v>229</v>
      </c>
      <c r="J701" t="s">
        <v>248</v>
      </c>
      <c r="K701" t="s">
        <v>262</v>
      </c>
      <c r="L701" t="s">
        <v>52</v>
      </c>
      <c r="M701" t="s">
        <v>76</v>
      </c>
      <c r="N701" t="s">
        <v>293</v>
      </c>
      <c r="O701" t="s">
        <v>301</v>
      </c>
      <c r="P701" t="s">
        <v>309</v>
      </c>
      <c r="Q701" t="s">
        <v>315</v>
      </c>
      <c r="R701" t="s">
        <v>228</v>
      </c>
      <c r="S701" t="s">
        <v>328</v>
      </c>
      <c r="T701" t="s">
        <v>149</v>
      </c>
      <c r="U701" t="s">
        <v>337</v>
      </c>
      <c r="V701" t="s">
        <v>341</v>
      </c>
      <c r="W701" t="s">
        <v>345</v>
      </c>
      <c r="X701" t="s">
        <v>350</v>
      </c>
      <c r="AK701" t="s">
        <v>356</v>
      </c>
    </row>
    <row r="702" spans="1:37">
      <c r="B702" t="s">
        <v>53</v>
      </c>
      <c r="C702" t="s">
        <v>77</v>
      </c>
      <c r="D702" t="s">
        <v>97</v>
      </c>
      <c r="E702" t="s">
        <v>116</v>
      </c>
      <c r="F702" t="s">
        <v>150</v>
      </c>
      <c r="G702" t="s">
        <v>175</v>
      </c>
      <c r="H702" t="s">
        <v>210</v>
      </c>
      <c r="I702" t="s">
        <v>230</v>
      </c>
      <c r="J702" t="s">
        <v>249</v>
      </c>
      <c r="K702" t="s">
        <v>263</v>
      </c>
      <c r="L702" t="s">
        <v>275</v>
      </c>
      <c r="M702" t="s">
        <v>284</v>
      </c>
      <c r="N702" t="s">
        <v>294</v>
      </c>
      <c r="O702" t="s">
        <v>302</v>
      </c>
      <c r="P702" t="s">
        <v>310</v>
      </c>
      <c r="Q702" t="s">
        <v>316</v>
      </c>
      <c r="R702" t="s">
        <v>322</v>
      </c>
      <c r="S702" t="s">
        <v>329</v>
      </c>
      <c r="AK702" t="s">
        <v>356</v>
      </c>
    </row>
    <row r="703" spans="1:37">
      <c r="A703" t="s">
        <v>39</v>
      </c>
      <c r="B703" t="s">
        <v>54</v>
      </c>
      <c r="C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 t="s">
        <v>323</v>
      </c>
      <c r="S703" t="s">
        <v>330</v>
      </c>
      <c r="AK703" t="s">
        <v>356</v>
      </c>
    </row>
    <row r="704" spans="1:37">
      <c r="B704" t="s">
        <v>55</v>
      </c>
      <c r="C704" t="s">
        <v>78</v>
      </c>
      <c r="D704" t="s">
        <v>55</v>
      </c>
      <c r="E704" t="s">
        <v>78</v>
      </c>
      <c r="F704" t="s">
        <v>55</v>
      </c>
      <c r="G704" t="s">
        <v>78</v>
      </c>
      <c r="H704" t="s">
        <v>55</v>
      </c>
      <c r="I704" t="s">
        <v>78</v>
      </c>
      <c r="J704" t="s">
        <v>55</v>
      </c>
      <c r="K704" t="s">
        <v>78</v>
      </c>
      <c r="L704" t="s">
        <v>55</v>
      </c>
      <c r="M704" t="s">
        <v>78</v>
      </c>
      <c r="N704" t="s">
        <v>55</v>
      </c>
      <c r="O704" t="s">
        <v>78</v>
      </c>
      <c r="P704" t="s">
        <v>55</v>
      </c>
      <c r="Q704" t="s">
        <v>78</v>
      </c>
      <c r="R704" t="s">
        <v>55</v>
      </c>
      <c r="S704" t="s">
        <v>78</v>
      </c>
      <c r="T704" t="s">
        <v>55</v>
      </c>
      <c r="U704" t="s">
        <v>78</v>
      </c>
      <c r="V704" t="s">
        <v>55</v>
      </c>
      <c r="W704" t="s">
        <v>78</v>
      </c>
      <c r="X704" t="s">
        <v>55</v>
      </c>
      <c r="Y704" t="s">
        <v>78</v>
      </c>
      <c r="Z704" t="s">
        <v>55</v>
      </c>
      <c r="AA704" t="s">
        <v>78</v>
      </c>
      <c r="AB704" t="s">
        <v>55</v>
      </c>
      <c r="AC704" t="s">
        <v>78</v>
      </c>
      <c r="AD704" t="s">
        <v>55</v>
      </c>
      <c r="AE704" t="s">
        <v>78</v>
      </c>
      <c r="AF704" t="s">
        <v>55</v>
      </c>
      <c r="AG704" t="s">
        <v>78</v>
      </c>
      <c r="AH704" t="s">
        <v>55</v>
      </c>
      <c r="AI704" t="s">
        <v>78</v>
      </c>
      <c r="AK704" t="s">
        <v>356</v>
      </c>
    </row>
    <row r="705" spans="1:37">
      <c r="B705" t="s">
        <v>56</v>
      </c>
      <c r="C705" t="s">
        <v>56</v>
      </c>
      <c r="D705" t="s">
        <v>56</v>
      </c>
      <c r="E705" t="s">
        <v>56</v>
      </c>
      <c r="F705" t="s">
        <v>56</v>
      </c>
      <c r="G705" t="s">
        <v>176</v>
      </c>
      <c r="H705" t="s">
        <v>211</v>
      </c>
      <c r="I705" t="s">
        <v>231</v>
      </c>
      <c r="J705" t="s">
        <v>250</v>
      </c>
      <c r="K705" t="s">
        <v>264</v>
      </c>
      <c r="L705" t="s">
        <v>276</v>
      </c>
      <c r="M705" t="s">
        <v>285</v>
      </c>
      <c r="N705" t="s">
        <v>295</v>
      </c>
      <c r="O705" t="s">
        <v>303</v>
      </c>
      <c r="P705" t="s">
        <v>56</v>
      </c>
      <c r="Q705" t="s">
        <v>317</v>
      </c>
      <c r="R705" t="s">
        <v>324</v>
      </c>
      <c r="S705" t="s">
        <v>331</v>
      </c>
      <c r="T705" t="s">
        <v>334</v>
      </c>
      <c r="U705" t="s">
        <v>338</v>
      </c>
      <c r="V705" t="s">
        <v>342</v>
      </c>
      <c r="W705" t="s">
        <v>346</v>
      </c>
      <c r="X705" t="s">
        <v>351</v>
      </c>
      <c r="AK705" t="s">
        <v>356</v>
      </c>
    </row>
    <row r="706" spans="1:37">
      <c r="B706" t="s">
        <v>57</v>
      </c>
      <c r="C706" t="s">
        <v>79</v>
      </c>
      <c r="D706" t="s">
        <v>98</v>
      </c>
      <c r="E706" t="s">
        <v>117</v>
      </c>
      <c r="F706" t="s">
        <v>151</v>
      </c>
      <c r="G706" t="s">
        <v>177</v>
      </c>
      <c r="H706" t="s">
        <v>212</v>
      </c>
      <c r="I706" t="s">
        <v>232</v>
      </c>
      <c r="J706" t="s">
        <v>251</v>
      </c>
      <c r="K706" t="s">
        <v>265</v>
      </c>
      <c r="L706" t="s">
        <v>277</v>
      </c>
      <c r="M706" t="s">
        <v>286</v>
      </c>
      <c r="N706" t="s">
        <v>296</v>
      </c>
      <c r="O706" t="s">
        <v>304</v>
      </c>
      <c r="P706" t="s">
        <v>311</v>
      </c>
      <c r="Q706" t="s">
        <v>318</v>
      </c>
      <c r="R706" t="s">
        <v>185</v>
      </c>
      <c r="S706" t="s">
        <v>159</v>
      </c>
      <c r="T706" t="s">
        <v>185</v>
      </c>
      <c r="U706" t="s">
        <v>339</v>
      </c>
      <c r="V706" t="s">
        <v>72</v>
      </c>
      <c r="W706" t="s">
        <v>347</v>
      </c>
      <c r="X706" t="s">
        <v>72</v>
      </c>
      <c r="Y706" t="s">
        <v>96</v>
      </c>
      <c r="AK706" t="s">
        <v>356</v>
      </c>
    </row>
    <row r="707" spans="1:37">
      <c r="B707" t="s">
        <v>58</v>
      </c>
      <c r="C707" t="s">
        <v>80</v>
      </c>
      <c r="D707" t="s">
        <v>99</v>
      </c>
      <c r="E707" t="s">
        <v>118</v>
      </c>
      <c r="F707" t="s">
        <v>152</v>
      </c>
      <c r="G707" t="s">
        <v>178</v>
      </c>
      <c r="H707" t="s">
        <v>213</v>
      </c>
      <c r="I707" t="s">
        <v>233</v>
      </c>
      <c r="J707" t="s">
        <v>252</v>
      </c>
      <c r="K707" t="s">
        <v>266</v>
      </c>
      <c r="L707" t="s">
        <v>278</v>
      </c>
      <c r="M707" t="s">
        <v>287</v>
      </c>
      <c r="N707" t="s">
        <v>297</v>
      </c>
      <c r="O707" t="s">
        <v>305</v>
      </c>
      <c r="P707" t="s">
        <v>312</v>
      </c>
      <c r="Q707" t="s">
        <v>319</v>
      </c>
      <c r="R707">
        <f>&gt;10       ветра      3.1     18  22</f>
        <v>0</v>
      </c>
      <c r="AK707" t="s">
        <v>356</v>
      </c>
    </row>
    <row r="708" spans="1:37">
      <c r="A708" t="s">
        <v>40</v>
      </c>
      <c r="B708" t="s">
        <v>59</v>
      </c>
      <c r="C708" t="s">
        <v>81</v>
      </c>
      <c r="D708" t="s">
        <v>100</v>
      </c>
      <c r="E708" t="s">
        <v>119</v>
      </c>
      <c r="F708" t="s">
        <v>153</v>
      </c>
      <c r="G708" t="s">
        <v>179</v>
      </c>
      <c r="H708" t="s">
        <v>214</v>
      </c>
      <c r="I708" t="s">
        <v>234</v>
      </c>
      <c r="AK708" t="s">
        <v>356</v>
      </c>
    </row>
    <row r="709" spans="1:37">
      <c r="A709" t="s">
        <v>40</v>
      </c>
      <c r="B709" t="s">
        <v>60</v>
      </c>
      <c r="C709" t="s">
        <v>82</v>
      </c>
      <c r="D709" t="s">
        <v>101</v>
      </c>
      <c r="E709" t="s">
        <v>120</v>
      </c>
      <c r="F709" t="s">
        <v>154</v>
      </c>
      <c r="G709" t="s">
        <v>180</v>
      </c>
      <c r="H709" t="s">
        <v>215</v>
      </c>
      <c r="I709" t="s">
        <v>235</v>
      </c>
      <c r="J709" t="s">
        <v>253</v>
      </c>
      <c r="K709" t="s">
        <v>267</v>
      </c>
      <c r="L709" t="s">
        <v>279</v>
      </c>
      <c r="M709" t="s">
        <v>288</v>
      </c>
      <c r="N709" t="s">
        <v>100</v>
      </c>
      <c r="O709" t="s">
        <v>306</v>
      </c>
      <c r="P709" t="s">
        <v>313</v>
      </c>
      <c r="Q709" t="s">
        <v>320</v>
      </c>
      <c r="R709" t="s">
        <v>325</v>
      </c>
      <c r="S709" t="s">
        <v>332</v>
      </c>
      <c r="T709" t="s">
        <v>119</v>
      </c>
      <c r="U709" t="s">
        <v>234</v>
      </c>
      <c r="V709" t="s">
        <v>343</v>
      </c>
      <c r="W709" t="s">
        <v>348</v>
      </c>
      <c r="X709" t="s">
        <v>352</v>
      </c>
      <c r="Y709" t="s">
        <v>354</v>
      </c>
      <c r="AK709" t="s">
        <v>356</v>
      </c>
    </row>
    <row r="710" spans="1:37">
      <c r="A710" t="s">
        <v>41</v>
      </c>
      <c r="B710" t="s">
        <v>61</v>
      </c>
      <c r="C710" t="s">
        <v>83</v>
      </c>
      <c r="D710" t="s">
        <v>102</v>
      </c>
      <c r="E710" t="s">
        <v>121</v>
      </c>
      <c r="F710" t="s">
        <v>155</v>
      </c>
      <c r="G710" t="s">
        <v>181</v>
      </c>
      <c r="H710" t="s">
        <v>216</v>
      </c>
      <c r="I710" t="s">
        <v>236</v>
      </c>
      <c r="AK710" t="s">
        <v>356</v>
      </c>
    </row>
    <row r="711" spans="1:37">
      <c r="A711" t="s">
        <v>42</v>
      </c>
      <c r="B711" t="s">
        <v>62</v>
      </c>
      <c r="C711" t="s">
        <v>84</v>
      </c>
      <c r="D711" t="s">
        <v>103</v>
      </c>
      <c r="E711" t="s">
        <v>122</v>
      </c>
      <c r="F711" t="s">
        <v>156</v>
      </c>
      <c r="G711" t="s">
        <v>182</v>
      </c>
      <c r="H711" t="s">
        <v>83</v>
      </c>
      <c r="I711" t="s">
        <v>237</v>
      </c>
      <c r="J711" t="s">
        <v>254</v>
      </c>
      <c r="K711" t="s">
        <v>268</v>
      </c>
      <c r="L711" t="s">
        <v>280</v>
      </c>
      <c r="M711" t="s">
        <v>289</v>
      </c>
      <c r="N711" t="s">
        <v>298</v>
      </c>
      <c r="O711" t="s">
        <v>307</v>
      </c>
      <c r="P711" t="s">
        <v>314</v>
      </c>
      <c r="Q711" t="s">
        <v>216</v>
      </c>
      <c r="R711" t="s">
        <v>326</v>
      </c>
      <c r="S711" t="s">
        <v>333</v>
      </c>
      <c r="T711" t="s">
        <v>335</v>
      </c>
      <c r="U711" t="s">
        <v>340</v>
      </c>
      <c r="V711" t="s">
        <v>344</v>
      </c>
      <c r="W711" t="s">
        <v>349</v>
      </c>
      <c r="AK711" t="s">
        <v>356</v>
      </c>
    </row>
    <row r="712" spans="1:37">
      <c r="A712" t="s">
        <v>43</v>
      </c>
      <c r="B712" t="s">
        <v>63</v>
      </c>
      <c r="C712" t="s">
        <v>85</v>
      </c>
      <c r="D712" t="s">
        <v>104</v>
      </c>
      <c r="E712" t="s">
        <v>123</v>
      </c>
      <c r="F712" t="s">
        <v>157</v>
      </c>
      <c r="G712" t="s">
        <v>183</v>
      </c>
      <c r="AK712" t="s">
        <v>356</v>
      </c>
    </row>
    <row r="713" spans="1:37">
      <c r="A713" t="s">
        <v>44</v>
      </c>
      <c r="B713" t="s">
        <v>64</v>
      </c>
      <c r="C713" t="s">
        <v>86</v>
      </c>
      <c r="D713" t="s">
        <v>105</v>
      </c>
      <c r="E713" t="s">
        <v>124</v>
      </c>
      <c r="F713" t="s">
        <v>158</v>
      </c>
      <c r="G713" t="s">
        <v>184</v>
      </c>
      <c r="AK713" t="s">
        <v>356</v>
      </c>
    </row>
    <row r="714" spans="1:37">
      <c r="A714" t="s">
        <v>45</v>
      </c>
      <c r="B714" t="s">
        <v>65</v>
      </c>
      <c r="C714" t="s">
        <v>87</v>
      </c>
      <c r="D714" t="s">
        <v>106</v>
      </c>
      <c r="E714" t="s">
        <v>125</v>
      </c>
      <c r="F714" t="s">
        <v>159</v>
      </c>
      <c r="G714" t="s">
        <v>185</v>
      </c>
      <c r="H714" t="s">
        <v>159</v>
      </c>
      <c r="I714" t="s">
        <v>185</v>
      </c>
      <c r="J714" t="s">
        <v>255</v>
      </c>
      <c r="AK714" t="s">
        <v>356</v>
      </c>
    </row>
    <row r="715" spans="1:37">
      <c r="A715" t="s">
        <v>46</v>
      </c>
      <c r="B715" t="s">
        <v>66</v>
      </c>
      <c r="C715" t="s">
        <v>88</v>
      </c>
      <c r="D715" t="s">
        <v>76</v>
      </c>
      <c r="E715" t="s">
        <v>126</v>
      </c>
      <c r="F715" t="s">
        <v>160</v>
      </c>
      <c r="G715" t="s">
        <v>186</v>
      </c>
      <c r="H715" t="s">
        <v>217</v>
      </c>
      <c r="I715" t="s">
        <v>238</v>
      </c>
      <c r="J715" t="s">
        <v>256</v>
      </c>
      <c r="K715" t="s">
        <v>265</v>
      </c>
      <c r="L715" t="s">
        <v>281</v>
      </c>
      <c r="M715" t="s">
        <v>290</v>
      </c>
      <c r="N715" t="s">
        <v>299</v>
      </c>
      <c r="O715" t="s">
        <v>308</v>
      </c>
      <c r="P715" t="s">
        <v>228</v>
      </c>
      <c r="Q715" t="s">
        <v>72</v>
      </c>
      <c r="R715" t="s">
        <v>327</v>
      </c>
      <c r="S715" t="s">
        <v>327</v>
      </c>
      <c r="T715" t="s">
        <v>336</v>
      </c>
      <c r="U715" t="s">
        <v>336</v>
      </c>
      <c r="V715" t="s">
        <v>336</v>
      </c>
      <c r="W715" t="s">
        <v>336</v>
      </c>
      <c r="X715" t="s">
        <v>353</v>
      </c>
      <c r="AK715" t="s">
        <v>356</v>
      </c>
    </row>
    <row r="716" spans="1:37">
      <c r="B716" t="s">
        <v>67</v>
      </c>
      <c r="C716" t="s">
        <v>89</v>
      </c>
      <c r="D716" t="s">
        <v>107</v>
      </c>
      <c r="AK716" t="s">
        <v>356</v>
      </c>
    </row>
    <row r="717" spans="1:37">
      <c r="B717" t="s">
        <v>68</v>
      </c>
      <c r="C717" t="s">
        <v>90</v>
      </c>
      <c r="D717" t="s">
        <v>108</v>
      </c>
      <c r="AK717" t="s">
        <v>356</v>
      </c>
    </row>
    <row r="718" spans="1:37">
      <c r="A718" t="s">
        <v>47</v>
      </c>
      <c r="B718" t="s">
        <v>69</v>
      </c>
      <c r="C718" t="s">
        <v>91</v>
      </c>
      <c r="D718" t="s">
        <v>109</v>
      </c>
      <c r="E718" t="s">
        <v>109</v>
      </c>
      <c r="F718" t="s">
        <v>109</v>
      </c>
      <c r="G718" t="s">
        <v>109</v>
      </c>
      <c r="H718" t="s">
        <v>109</v>
      </c>
      <c r="I718" t="s">
        <v>239</v>
      </c>
      <c r="AK718" t="s">
        <v>356</v>
      </c>
    </row>
    <row r="719" spans="1:37">
      <c r="B719" t="s">
        <v>70</v>
      </c>
      <c r="C719" t="s">
        <v>92</v>
      </c>
      <c r="D719" t="s">
        <v>110</v>
      </c>
      <c r="E719" t="s">
        <v>127</v>
      </c>
      <c r="F719" t="s">
        <v>161</v>
      </c>
      <c r="G719" t="s">
        <v>187</v>
      </c>
      <c r="H719" t="s">
        <v>218</v>
      </c>
      <c r="AK719" t="s">
        <v>356</v>
      </c>
    </row>
    <row r="720" spans="1:37">
      <c r="B720" t="s">
        <v>71</v>
      </c>
      <c r="C720" t="s">
        <v>93</v>
      </c>
      <c r="D720" t="s">
        <v>111</v>
      </c>
      <c r="E720" t="s">
        <v>128</v>
      </c>
      <c r="F720" t="s">
        <v>162</v>
      </c>
      <c r="G720" t="s">
        <v>188</v>
      </c>
      <c r="H720" t="s">
        <v>219</v>
      </c>
      <c r="I720" t="s">
        <v>240</v>
      </c>
      <c r="J720" t="s">
        <v>257</v>
      </c>
      <c r="K720" t="s">
        <v>269</v>
      </c>
      <c r="L720" t="s">
        <v>109</v>
      </c>
      <c r="M720" t="s">
        <v>109</v>
      </c>
      <c r="N720" t="s">
        <v>109</v>
      </c>
      <c r="O720" t="s">
        <v>109</v>
      </c>
      <c r="P720" t="s">
        <v>109</v>
      </c>
      <c r="Q720" t="s">
        <v>321</v>
      </c>
      <c r="AK720" t="s">
        <v>356</v>
      </c>
    </row>
    <row r="721" spans="1:37">
      <c r="A721" t="s">
        <v>48</v>
      </c>
      <c r="B721" t="s">
        <v>71</v>
      </c>
      <c r="C721" t="s">
        <v>93</v>
      </c>
      <c r="D721" t="s">
        <v>111</v>
      </c>
      <c r="E721" t="s">
        <v>128</v>
      </c>
      <c r="F721" t="s">
        <v>163</v>
      </c>
      <c r="G721" t="s">
        <v>189</v>
      </c>
      <c r="H721" t="s">
        <v>220</v>
      </c>
      <c r="I721" t="s">
        <v>241</v>
      </c>
      <c r="J721" t="s">
        <v>258</v>
      </c>
      <c r="K721" t="s">
        <v>270</v>
      </c>
      <c r="AK721" t="s">
        <v>356</v>
      </c>
    </row>
    <row r="722" spans="1:37">
      <c r="B722" t="s">
        <v>72</v>
      </c>
      <c r="C722" t="s">
        <v>72</v>
      </c>
      <c r="D722" t="s">
        <v>72</v>
      </c>
      <c r="E722" t="s">
        <v>130</v>
      </c>
      <c r="F722" t="s">
        <v>130</v>
      </c>
      <c r="G722" t="s">
        <v>193</v>
      </c>
      <c r="H722" t="s">
        <v>193</v>
      </c>
      <c r="I722" t="s">
        <v>204</v>
      </c>
      <c r="J722" t="s">
        <v>192</v>
      </c>
      <c r="K722" t="s">
        <v>271</v>
      </c>
      <c r="AK722" t="s">
        <v>356</v>
      </c>
    </row>
    <row r="723" spans="1:37">
      <c r="A723" t="s">
        <v>37</v>
      </c>
      <c r="B723" t="s">
        <v>49</v>
      </c>
      <c r="C723" t="s">
        <v>73</v>
      </c>
      <c r="D723" t="s">
        <v>94</v>
      </c>
      <c r="E723" t="s">
        <v>112</v>
      </c>
      <c r="F723" t="s">
        <v>146</v>
      </c>
      <c r="G723" t="s">
        <v>172</v>
      </c>
      <c r="H723" t="s">
        <v>207</v>
      </c>
      <c r="I723" t="s">
        <v>226</v>
      </c>
      <c r="J723" t="s">
        <v>246</v>
      </c>
      <c r="K723" t="s">
        <v>259</v>
      </c>
      <c r="AK723" t="s">
        <v>356</v>
      </c>
    </row>
    <row r="724" spans="1:37">
      <c r="A724" t="s">
        <v>38</v>
      </c>
      <c r="B724" t="s">
        <v>50</v>
      </c>
      <c r="C724" t="s">
        <v>74</v>
      </c>
      <c r="D724" t="s">
        <v>95</v>
      </c>
      <c r="E724" t="s">
        <v>113</v>
      </c>
      <c r="F724" t="s">
        <v>147</v>
      </c>
      <c r="G724" t="s">
        <v>173</v>
      </c>
      <c r="H724" t="s">
        <v>208</v>
      </c>
      <c r="I724" t="s">
        <v>227</v>
      </c>
      <c r="J724" t="s">
        <v>115</v>
      </c>
      <c r="K724" t="s">
        <v>260</v>
      </c>
      <c r="L724" t="s">
        <v>273</v>
      </c>
      <c r="M724" t="s">
        <v>282</v>
      </c>
      <c r="N724" t="s">
        <v>291</v>
      </c>
      <c r="AK724" t="s">
        <v>356</v>
      </c>
    </row>
    <row r="725" spans="1:37">
      <c r="B725" t="s">
        <v>51</v>
      </c>
      <c r="C725" t="s">
        <v>75</v>
      </c>
      <c r="D725" t="s">
        <v>52</v>
      </c>
      <c r="E725" t="s">
        <v>114</v>
      </c>
      <c r="F725" t="s">
        <v>148</v>
      </c>
      <c r="G725" t="s">
        <v>148</v>
      </c>
      <c r="H725" t="s">
        <v>209</v>
      </c>
      <c r="I725" t="s">
        <v>228</v>
      </c>
      <c r="J725" t="s">
        <v>247</v>
      </c>
      <c r="K725" t="s">
        <v>261</v>
      </c>
      <c r="L725" t="s">
        <v>274</v>
      </c>
      <c r="M725" t="s">
        <v>283</v>
      </c>
      <c r="N725" t="s">
        <v>292</v>
      </c>
      <c r="O725" t="s">
        <v>300</v>
      </c>
      <c r="AK725" t="s">
        <v>356</v>
      </c>
    </row>
    <row r="726" spans="1:37">
      <c r="B726" t="s">
        <v>52</v>
      </c>
      <c r="C726" t="s">
        <v>76</v>
      </c>
      <c r="D726" t="s">
        <v>96</v>
      </c>
      <c r="E726" t="s">
        <v>115</v>
      </c>
      <c r="F726" t="s">
        <v>149</v>
      </c>
      <c r="G726" t="s">
        <v>174</v>
      </c>
      <c r="H726" t="s">
        <v>96</v>
      </c>
      <c r="I726" t="s">
        <v>229</v>
      </c>
      <c r="J726" t="s">
        <v>248</v>
      </c>
      <c r="K726" t="s">
        <v>262</v>
      </c>
      <c r="L726" t="s">
        <v>52</v>
      </c>
      <c r="M726" t="s">
        <v>76</v>
      </c>
      <c r="N726" t="s">
        <v>293</v>
      </c>
      <c r="O726" t="s">
        <v>301</v>
      </c>
      <c r="P726" t="s">
        <v>309</v>
      </c>
      <c r="Q726" t="s">
        <v>315</v>
      </c>
      <c r="R726" t="s">
        <v>228</v>
      </c>
      <c r="S726" t="s">
        <v>328</v>
      </c>
      <c r="T726" t="s">
        <v>149</v>
      </c>
      <c r="U726" t="s">
        <v>337</v>
      </c>
      <c r="V726" t="s">
        <v>341</v>
      </c>
      <c r="W726" t="s">
        <v>345</v>
      </c>
      <c r="X726" t="s">
        <v>350</v>
      </c>
      <c r="AK726" t="s">
        <v>356</v>
      </c>
    </row>
    <row r="727" spans="1:37">
      <c r="B727" t="s">
        <v>53</v>
      </c>
      <c r="C727" t="s">
        <v>77</v>
      </c>
      <c r="D727" t="s">
        <v>97</v>
      </c>
      <c r="E727" t="s">
        <v>116</v>
      </c>
      <c r="F727" t="s">
        <v>150</v>
      </c>
      <c r="G727" t="s">
        <v>175</v>
      </c>
      <c r="H727" t="s">
        <v>210</v>
      </c>
      <c r="I727" t="s">
        <v>230</v>
      </c>
      <c r="J727" t="s">
        <v>249</v>
      </c>
      <c r="K727" t="s">
        <v>263</v>
      </c>
      <c r="L727" t="s">
        <v>275</v>
      </c>
      <c r="M727" t="s">
        <v>284</v>
      </c>
      <c r="N727" t="s">
        <v>294</v>
      </c>
      <c r="O727" t="s">
        <v>302</v>
      </c>
      <c r="P727" t="s">
        <v>310</v>
      </c>
      <c r="Q727" t="s">
        <v>316</v>
      </c>
      <c r="R727" t="s">
        <v>322</v>
      </c>
      <c r="S727" t="s">
        <v>329</v>
      </c>
      <c r="AK727" t="s">
        <v>356</v>
      </c>
    </row>
    <row r="728" spans="1:37">
      <c r="A728" t="s">
        <v>39</v>
      </c>
      <c r="B728" t="s">
        <v>54</v>
      </c>
      <c r="C728" t="s">
        <v>54</v>
      </c>
      <c r="D728" t="s">
        <v>54</v>
      </c>
      <c r="E728" t="s">
        <v>54</v>
      </c>
      <c r="F728" t="s">
        <v>54</v>
      </c>
      <c r="G728" t="s">
        <v>54</v>
      </c>
      <c r="H728" t="s">
        <v>54</v>
      </c>
      <c r="I728" t="s">
        <v>54</v>
      </c>
      <c r="J728" t="s">
        <v>54</v>
      </c>
      <c r="K728" t="s">
        <v>54</v>
      </c>
      <c r="L728" t="s">
        <v>54</v>
      </c>
      <c r="M728" t="s">
        <v>54</v>
      </c>
      <c r="N728" t="s">
        <v>54</v>
      </c>
      <c r="O728" t="s">
        <v>54</v>
      </c>
      <c r="P728" t="s">
        <v>54</v>
      </c>
      <c r="Q728" t="s">
        <v>54</v>
      </c>
      <c r="R728" t="s">
        <v>323</v>
      </c>
      <c r="S728" t="s">
        <v>330</v>
      </c>
      <c r="AK728" t="s">
        <v>356</v>
      </c>
    </row>
    <row r="729" spans="1:37">
      <c r="B729" t="s">
        <v>55</v>
      </c>
      <c r="C729" t="s">
        <v>78</v>
      </c>
      <c r="D729" t="s">
        <v>55</v>
      </c>
      <c r="E729" t="s">
        <v>78</v>
      </c>
      <c r="F729" t="s">
        <v>55</v>
      </c>
      <c r="G729" t="s">
        <v>78</v>
      </c>
      <c r="H729" t="s">
        <v>55</v>
      </c>
      <c r="I729" t="s">
        <v>78</v>
      </c>
      <c r="J729" t="s">
        <v>55</v>
      </c>
      <c r="K729" t="s">
        <v>78</v>
      </c>
      <c r="L729" t="s">
        <v>55</v>
      </c>
      <c r="M729" t="s">
        <v>78</v>
      </c>
      <c r="N729" t="s">
        <v>55</v>
      </c>
      <c r="O729" t="s">
        <v>78</v>
      </c>
      <c r="P729" t="s">
        <v>55</v>
      </c>
      <c r="Q729" t="s">
        <v>78</v>
      </c>
      <c r="R729" t="s">
        <v>55</v>
      </c>
      <c r="S729" t="s">
        <v>78</v>
      </c>
      <c r="T729" t="s">
        <v>55</v>
      </c>
      <c r="U729" t="s">
        <v>78</v>
      </c>
      <c r="V729" t="s">
        <v>55</v>
      </c>
      <c r="W729" t="s">
        <v>78</v>
      </c>
      <c r="X729" t="s">
        <v>55</v>
      </c>
      <c r="Y729" t="s">
        <v>78</v>
      </c>
      <c r="Z729" t="s">
        <v>55</v>
      </c>
      <c r="AA729" t="s">
        <v>78</v>
      </c>
      <c r="AB729" t="s">
        <v>55</v>
      </c>
      <c r="AC729" t="s">
        <v>78</v>
      </c>
      <c r="AD729" t="s">
        <v>55</v>
      </c>
      <c r="AE729" t="s">
        <v>78</v>
      </c>
      <c r="AF729" t="s">
        <v>55</v>
      </c>
      <c r="AG729" t="s">
        <v>78</v>
      </c>
      <c r="AH729" t="s">
        <v>55</v>
      </c>
      <c r="AI729" t="s">
        <v>78</v>
      </c>
      <c r="AK729" t="s">
        <v>356</v>
      </c>
    </row>
    <row r="730" spans="1:37">
      <c r="B730" t="s">
        <v>56</v>
      </c>
      <c r="C730" t="s">
        <v>56</v>
      </c>
      <c r="D730" t="s">
        <v>56</v>
      </c>
      <c r="E730" t="s">
        <v>56</v>
      </c>
      <c r="F730" t="s">
        <v>56</v>
      </c>
      <c r="G730" t="s">
        <v>176</v>
      </c>
      <c r="H730" t="s">
        <v>211</v>
      </c>
      <c r="I730" t="s">
        <v>231</v>
      </c>
      <c r="J730" t="s">
        <v>250</v>
      </c>
      <c r="K730" t="s">
        <v>264</v>
      </c>
      <c r="L730" t="s">
        <v>276</v>
      </c>
      <c r="M730" t="s">
        <v>285</v>
      </c>
      <c r="N730" t="s">
        <v>295</v>
      </c>
      <c r="O730" t="s">
        <v>303</v>
      </c>
      <c r="P730" t="s">
        <v>56</v>
      </c>
      <c r="Q730" t="s">
        <v>317</v>
      </c>
      <c r="R730" t="s">
        <v>324</v>
      </c>
      <c r="S730" t="s">
        <v>331</v>
      </c>
      <c r="T730" t="s">
        <v>334</v>
      </c>
      <c r="U730" t="s">
        <v>338</v>
      </c>
      <c r="V730" t="s">
        <v>342</v>
      </c>
      <c r="W730" t="s">
        <v>346</v>
      </c>
      <c r="X730" t="s">
        <v>351</v>
      </c>
      <c r="AK730" t="s">
        <v>356</v>
      </c>
    </row>
    <row r="731" spans="1:37">
      <c r="B731" t="s">
        <v>57</v>
      </c>
      <c r="C731" t="s">
        <v>79</v>
      </c>
      <c r="D731" t="s">
        <v>98</v>
      </c>
      <c r="E731" t="s">
        <v>117</v>
      </c>
      <c r="F731" t="s">
        <v>151</v>
      </c>
      <c r="G731" t="s">
        <v>177</v>
      </c>
      <c r="H731" t="s">
        <v>212</v>
      </c>
      <c r="I731" t="s">
        <v>232</v>
      </c>
      <c r="J731" t="s">
        <v>251</v>
      </c>
      <c r="K731" t="s">
        <v>265</v>
      </c>
      <c r="L731" t="s">
        <v>277</v>
      </c>
      <c r="M731" t="s">
        <v>286</v>
      </c>
      <c r="N731" t="s">
        <v>296</v>
      </c>
      <c r="O731" t="s">
        <v>304</v>
      </c>
      <c r="P731" t="s">
        <v>311</v>
      </c>
      <c r="Q731" t="s">
        <v>318</v>
      </c>
      <c r="R731" t="s">
        <v>185</v>
      </c>
      <c r="S731" t="s">
        <v>159</v>
      </c>
      <c r="T731" t="s">
        <v>185</v>
      </c>
      <c r="U731" t="s">
        <v>339</v>
      </c>
      <c r="V731" t="s">
        <v>72</v>
      </c>
      <c r="W731" t="s">
        <v>347</v>
      </c>
      <c r="X731" t="s">
        <v>72</v>
      </c>
      <c r="Y731" t="s">
        <v>96</v>
      </c>
      <c r="AK731" t="s">
        <v>356</v>
      </c>
    </row>
    <row r="732" spans="1:37">
      <c r="B732" t="s">
        <v>58</v>
      </c>
      <c r="C732" t="s">
        <v>80</v>
      </c>
      <c r="D732" t="s">
        <v>99</v>
      </c>
      <c r="E732" t="s">
        <v>118</v>
      </c>
      <c r="F732" t="s">
        <v>152</v>
      </c>
      <c r="G732" t="s">
        <v>178</v>
      </c>
      <c r="H732" t="s">
        <v>213</v>
      </c>
      <c r="I732" t="s">
        <v>233</v>
      </c>
      <c r="J732" t="s">
        <v>252</v>
      </c>
      <c r="K732" t="s">
        <v>266</v>
      </c>
      <c r="L732" t="s">
        <v>278</v>
      </c>
      <c r="M732" t="s">
        <v>287</v>
      </c>
      <c r="N732" t="s">
        <v>297</v>
      </c>
      <c r="O732" t="s">
        <v>305</v>
      </c>
      <c r="P732" t="s">
        <v>312</v>
      </c>
      <c r="Q732" t="s">
        <v>319</v>
      </c>
      <c r="R732">
        <f>&gt;10       ветра      2.8     18  28</f>
        <v>0</v>
      </c>
      <c r="AK732" t="s">
        <v>356</v>
      </c>
    </row>
    <row r="733" spans="1:37">
      <c r="A733" t="s">
        <v>40</v>
      </c>
      <c r="B733" t="s">
        <v>59</v>
      </c>
      <c r="C733" t="s">
        <v>81</v>
      </c>
      <c r="D733" t="s">
        <v>100</v>
      </c>
      <c r="E733" t="s">
        <v>119</v>
      </c>
      <c r="F733" t="s">
        <v>153</v>
      </c>
      <c r="G733" t="s">
        <v>179</v>
      </c>
      <c r="H733" t="s">
        <v>214</v>
      </c>
      <c r="I733" t="s">
        <v>234</v>
      </c>
      <c r="AK733" t="s">
        <v>356</v>
      </c>
    </row>
    <row r="734" spans="1:37">
      <c r="A734" t="s">
        <v>40</v>
      </c>
      <c r="B734" t="s">
        <v>60</v>
      </c>
      <c r="C734" t="s">
        <v>82</v>
      </c>
      <c r="D734" t="s">
        <v>101</v>
      </c>
      <c r="E734" t="s">
        <v>120</v>
      </c>
      <c r="F734" t="s">
        <v>154</v>
      </c>
      <c r="G734" t="s">
        <v>180</v>
      </c>
      <c r="H734" t="s">
        <v>215</v>
      </c>
      <c r="I734" t="s">
        <v>235</v>
      </c>
      <c r="J734" t="s">
        <v>253</v>
      </c>
      <c r="K734" t="s">
        <v>267</v>
      </c>
      <c r="L734" t="s">
        <v>279</v>
      </c>
      <c r="M734" t="s">
        <v>288</v>
      </c>
      <c r="N734" t="s">
        <v>100</v>
      </c>
      <c r="O734" t="s">
        <v>306</v>
      </c>
      <c r="P734" t="s">
        <v>313</v>
      </c>
      <c r="Q734" t="s">
        <v>320</v>
      </c>
      <c r="R734" t="s">
        <v>325</v>
      </c>
      <c r="S734" t="s">
        <v>332</v>
      </c>
      <c r="T734" t="s">
        <v>119</v>
      </c>
      <c r="U734" t="s">
        <v>234</v>
      </c>
      <c r="V734" t="s">
        <v>343</v>
      </c>
      <c r="W734" t="s">
        <v>348</v>
      </c>
      <c r="X734" t="s">
        <v>352</v>
      </c>
      <c r="Y734" t="s">
        <v>354</v>
      </c>
      <c r="AK734" t="s">
        <v>356</v>
      </c>
    </row>
    <row r="735" spans="1:37">
      <c r="A735" t="s">
        <v>41</v>
      </c>
      <c r="B735" t="s">
        <v>61</v>
      </c>
      <c r="C735" t="s">
        <v>83</v>
      </c>
      <c r="D735" t="s">
        <v>102</v>
      </c>
      <c r="E735" t="s">
        <v>121</v>
      </c>
      <c r="F735" t="s">
        <v>155</v>
      </c>
      <c r="G735" t="s">
        <v>181</v>
      </c>
      <c r="H735" t="s">
        <v>216</v>
      </c>
      <c r="I735" t="s">
        <v>236</v>
      </c>
      <c r="AK735" t="s">
        <v>356</v>
      </c>
    </row>
    <row r="736" spans="1:37">
      <c r="A736" t="s">
        <v>42</v>
      </c>
      <c r="B736" t="s">
        <v>62</v>
      </c>
      <c r="C736" t="s">
        <v>84</v>
      </c>
      <c r="D736" t="s">
        <v>103</v>
      </c>
      <c r="E736" t="s">
        <v>122</v>
      </c>
      <c r="F736" t="s">
        <v>156</v>
      </c>
      <c r="G736" t="s">
        <v>182</v>
      </c>
      <c r="H736" t="s">
        <v>83</v>
      </c>
      <c r="I736" t="s">
        <v>237</v>
      </c>
      <c r="J736" t="s">
        <v>254</v>
      </c>
      <c r="K736" t="s">
        <v>268</v>
      </c>
      <c r="L736" t="s">
        <v>280</v>
      </c>
      <c r="M736" t="s">
        <v>289</v>
      </c>
      <c r="N736" t="s">
        <v>298</v>
      </c>
      <c r="O736" t="s">
        <v>307</v>
      </c>
      <c r="P736" t="s">
        <v>314</v>
      </c>
      <c r="Q736" t="s">
        <v>216</v>
      </c>
      <c r="R736" t="s">
        <v>326</v>
      </c>
      <c r="S736" t="s">
        <v>333</v>
      </c>
      <c r="T736" t="s">
        <v>335</v>
      </c>
      <c r="U736" t="s">
        <v>340</v>
      </c>
      <c r="V736" t="s">
        <v>344</v>
      </c>
      <c r="W736" t="s">
        <v>349</v>
      </c>
      <c r="AK736" t="s">
        <v>356</v>
      </c>
    </row>
    <row r="737" spans="1:37">
      <c r="A737" t="s">
        <v>43</v>
      </c>
      <c r="B737" t="s">
        <v>63</v>
      </c>
      <c r="C737" t="s">
        <v>85</v>
      </c>
      <c r="D737" t="s">
        <v>104</v>
      </c>
      <c r="E737" t="s">
        <v>123</v>
      </c>
      <c r="F737" t="s">
        <v>157</v>
      </c>
      <c r="G737" t="s">
        <v>183</v>
      </c>
      <c r="AK737" t="s">
        <v>356</v>
      </c>
    </row>
    <row r="738" spans="1:37">
      <c r="A738" t="s">
        <v>44</v>
      </c>
      <c r="B738" t="s">
        <v>64</v>
      </c>
      <c r="C738" t="s">
        <v>86</v>
      </c>
      <c r="D738" t="s">
        <v>105</v>
      </c>
      <c r="E738" t="s">
        <v>124</v>
      </c>
      <c r="F738" t="s">
        <v>158</v>
      </c>
      <c r="G738" t="s">
        <v>184</v>
      </c>
      <c r="AK738" t="s">
        <v>356</v>
      </c>
    </row>
    <row r="739" spans="1:37">
      <c r="A739" t="s">
        <v>45</v>
      </c>
      <c r="B739" t="s">
        <v>65</v>
      </c>
      <c r="C739" t="s">
        <v>87</v>
      </c>
      <c r="D739" t="s">
        <v>106</v>
      </c>
      <c r="E739" t="s">
        <v>125</v>
      </c>
      <c r="F739" t="s">
        <v>159</v>
      </c>
      <c r="G739" t="s">
        <v>185</v>
      </c>
      <c r="H739" t="s">
        <v>159</v>
      </c>
      <c r="I739" t="s">
        <v>185</v>
      </c>
      <c r="J739" t="s">
        <v>255</v>
      </c>
      <c r="AK739" t="s">
        <v>356</v>
      </c>
    </row>
    <row r="740" spans="1:37">
      <c r="A740" t="s">
        <v>46</v>
      </c>
      <c r="B740" t="s">
        <v>66</v>
      </c>
      <c r="C740" t="s">
        <v>88</v>
      </c>
      <c r="D740" t="s">
        <v>76</v>
      </c>
      <c r="E740" t="s">
        <v>126</v>
      </c>
      <c r="F740" t="s">
        <v>160</v>
      </c>
      <c r="G740" t="s">
        <v>186</v>
      </c>
      <c r="H740" t="s">
        <v>217</v>
      </c>
      <c r="I740" t="s">
        <v>238</v>
      </c>
      <c r="J740" t="s">
        <v>256</v>
      </c>
      <c r="K740" t="s">
        <v>265</v>
      </c>
      <c r="L740" t="s">
        <v>281</v>
      </c>
      <c r="M740" t="s">
        <v>290</v>
      </c>
      <c r="N740" t="s">
        <v>299</v>
      </c>
      <c r="O740" t="s">
        <v>308</v>
      </c>
      <c r="P740" t="s">
        <v>228</v>
      </c>
      <c r="Q740" t="s">
        <v>72</v>
      </c>
      <c r="R740" t="s">
        <v>327</v>
      </c>
      <c r="S740" t="s">
        <v>327</v>
      </c>
      <c r="T740" t="s">
        <v>336</v>
      </c>
      <c r="U740" t="s">
        <v>336</v>
      </c>
      <c r="V740" t="s">
        <v>336</v>
      </c>
      <c r="W740" t="s">
        <v>336</v>
      </c>
      <c r="X740" t="s">
        <v>353</v>
      </c>
      <c r="AK740" t="s">
        <v>356</v>
      </c>
    </row>
    <row r="741" spans="1:37">
      <c r="A741" t="s">
        <v>37</v>
      </c>
      <c r="B741" t="s">
        <v>49</v>
      </c>
      <c r="C741" t="s">
        <v>73</v>
      </c>
      <c r="D741" t="s">
        <v>94</v>
      </c>
      <c r="E741" t="s">
        <v>112</v>
      </c>
      <c r="F741" t="s">
        <v>146</v>
      </c>
      <c r="G741" t="s">
        <v>172</v>
      </c>
      <c r="H741" t="s">
        <v>207</v>
      </c>
      <c r="I741" t="s">
        <v>226</v>
      </c>
      <c r="J741" t="s">
        <v>246</v>
      </c>
      <c r="K741" t="s">
        <v>259</v>
      </c>
      <c r="AK741" t="s">
        <v>356</v>
      </c>
    </row>
    <row r="742" spans="1:37">
      <c r="A742" t="s">
        <v>38</v>
      </c>
      <c r="B742" t="s">
        <v>50</v>
      </c>
      <c r="C742" t="s">
        <v>74</v>
      </c>
      <c r="D742" t="s">
        <v>95</v>
      </c>
      <c r="E742" t="s">
        <v>113</v>
      </c>
      <c r="F742" t="s">
        <v>147</v>
      </c>
      <c r="G742" t="s">
        <v>173</v>
      </c>
      <c r="H742" t="s">
        <v>208</v>
      </c>
      <c r="I742" t="s">
        <v>227</v>
      </c>
      <c r="J742" t="s">
        <v>115</v>
      </c>
      <c r="K742" t="s">
        <v>260</v>
      </c>
      <c r="L742" t="s">
        <v>273</v>
      </c>
      <c r="M742" t="s">
        <v>282</v>
      </c>
      <c r="N742" t="s">
        <v>291</v>
      </c>
      <c r="AK742" t="s">
        <v>356</v>
      </c>
    </row>
    <row r="743" spans="1:37">
      <c r="B743" t="s">
        <v>51</v>
      </c>
      <c r="C743" t="s">
        <v>75</v>
      </c>
      <c r="D743" t="s">
        <v>52</v>
      </c>
      <c r="E743" t="s">
        <v>114</v>
      </c>
      <c r="F743" t="s">
        <v>148</v>
      </c>
      <c r="G743" t="s">
        <v>148</v>
      </c>
      <c r="H743" t="s">
        <v>209</v>
      </c>
      <c r="I743" t="s">
        <v>228</v>
      </c>
      <c r="J743" t="s">
        <v>247</v>
      </c>
      <c r="K743" t="s">
        <v>261</v>
      </c>
      <c r="L743" t="s">
        <v>274</v>
      </c>
      <c r="M743" t="s">
        <v>283</v>
      </c>
      <c r="N743" t="s">
        <v>292</v>
      </c>
      <c r="O743" t="s">
        <v>300</v>
      </c>
      <c r="AK743" t="s">
        <v>356</v>
      </c>
    </row>
    <row r="744" spans="1:37">
      <c r="B744" t="s">
        <v>52</v>
      </c>
      <c r="C744" t="s">
        <v>76</v>
      </c>
      <c r="D744" t="s">
        <v>96</v>
      </c>
      <c r="E744" t="s">
        <v>115</v>
      </c>
      <c r="F744" t="s">
        <v>149</v>
      </c>
      <c r="G744" t="s">
        <v>174</v>
      </c>
      <c r="H744" t="s">
        <v>96</v>
      </c>
      <c r="I744" t="s">
        <v>229</v>
      </c>
      <c r="J744" t="s">
        <v>248</v>
      </c>
      <c r="K744" t="s">
        <v>262</v>
      </c>
      <c r="L744" t="s">
        <v>52</v>
      </c>
      <c r="M744" t="s">
        <v>76</v>
      </c>
      <c r="N744" t="s">
        <v>293</v>
      </c>
      <c r="O744" t="s">
        <v>301</v>
      </c>
      <c r="P744" t="s">
        <v>309</v>
      </c>
      <c r="Q744" t="s">
        <v>315</v>
      </c>
      <c r="R744" t="s">
        <v>228</v>
      </c>
      <c r="S744" t="s">
        <v>328</v>
      </c>
      <c r="T744" t="s">
        <v>149</v>
      </c>
      <c r="U744" t="s">
        <v>337</v>
      </c>
      <c r="V744" t="s">
        <v>341</v>
      </c>
      <c r="W744" t="s">
        <v>345</v>
      </c>
      <c r="X744" t="s">
        <v>350</v>
      </c>
      <c r="AK744" t="s">
        <v>356</v>
      </c>
    </row>
    <row r="745" spans="1:37">
      <c r="B745" t="s">
        <v>53</v>
      </c>
      <c r="C745" t="s">
        <v>77</v>
      </c>
      <c r="D745" t="s">
        <v>97</v>
      </c>
      <c r="E745" t="s">
        <v>116</v>
      </c>
      <c r="F745" t="s">
        <v>150</v>
      </c>
      <c r="G745" t="s">
        <v>175</v>
      </c>
      <c r="H745" t="s">
        <v>210</v>
      </c>
      <c r="I745" t="s">
        <v>230</v>
      </c>
      <c r="J745" t="s">
        <v>249</v>
      </c>
      <c r="K745" t="s">
        <v>263</v>
      </c>
      <c r="L745" t="s">
        <v>275</v>
      </c>
      <c r="M745" t="s">
        <v>284</v>
      </c>
      <c r="N745" t="s">
        <v>294</v>
      </c>
      <c r="O745" t="s">
        <v>302</v>
      </c>
      <c r="P745" t="s">
        <v>310</v>
      </c>
      <c r="Q745" t="s">
        <v>316</v>
      </c>
      <c r="R745" t="s">
        <v>322</v>
      </c>
      <c r="S745" t="s">
        <v>329</v>
      </c>
      <c r="AK745" t="s">
        <v>356</v>
      </c>
    </row>
    <row r="746" spans="1:37">
      <c r="A746" t="s">
        <v>39</v>
      </c>
      <c r="B746" t="s">
        <v>54</v>
      </c>
      <c r="C746" t="s">
        <v>54</v>
      </c>
      <c r="D746" t="s">
        <v>54</v>
      </c>
      <c r="E746" t="s">
        <v>54</v>
      </c>
      <c r="F746" t="s">
        <v>54</v>
      </c>
      <c r="G746" t="s">
        <v>54</v>
      </c>
      <c r="H746" t="s">
        <v>54</v>
      </c>
      <c r="I746" t="s">
        <v>54</v>
      </c>
      <c r="J746" t="s">
        <v>54</v>
      </c>
      <c r="K746" t="s">
        <v>54</v>
      </c>
      <c r="L746" t="s">
        <v>54</v>
      </c>
      <c r="M746" t="s">
        <v>54</v>
      </c>
      <c r="N746" t="s">
        <v>54</v>
      </c>
      <c r="O746" t="s">
        <v>54</v>
      </c>
      <c r="P746" t="s">
        <v>54</v>
      </c>
      <c r="Q746" t="s">
        <v>54</v>
      </c>
      <c r="R746" t="s">
        <v>323</v>
      </c>
      <c r="S746" t="s">
        <v>330</v>
      </c>
      <c r="AK746" t="s">
        <v>356</v>
      </c>
    </row>
    <row r="747" spans="1:37">
      <c r="B747" t="s">
        <v>55</v>
      </c>
      <c r="C747" t="s">
        <v>78</v>
      </c>
      <c r="D747" t="s">
        <v>55</v>
      </c>
      <c r="E747" t="s">
        <v>78</v>
      </c>
      <c r="F747" t="s">
        <v>55</v>
      </c>
      <c r="G747" t="s">
        <v>78</v>
      </c>
      <c r="H747" t="s">
        <v>55</v>
      </c>
      <c r="I747" t="s">
        <v>78</v>
      </c>
      <c r="J747" t="s">
        <v>55</v>
      </c>
      <c r="K747" t="s">
        <v>78</v>
      </c>
      <c r="L747" t="s">
        <v>55</v>
      </c>
      <c r="M747" t="s">
        <v>78</v>
      </c>
      <c r="N747" t="s">
        <v>55</v>
      </c>
      <c r="O747" t="s">
        <v>78</v>
      </c>
      <c r="P747" t="s">
        <v>55</v>
      </c>
      <c r="Q747" t="s">
        <v>78</v>
      </c>
      <c r="R747" t="s">
        <v>55</v>
      </c>
      <c r="S747" t="s">
        <v>78</v>
      </c>
      <c r="T747" t="s">
        <v>55</v>
      </c>
      <c r="U747" t="s">
        <v>78</v>
      </c>
      <c r="V747" t="s">
        <v>55</v>
      </c>
      <c r="W747" t="s">
        <v>78</v>
      </c>
      <c r="X747" t="s">
        <v>55</v>
      </c>
      <c r="Y747" t="s">
        <v>78</v>
      </c>
      <c r="Z747" t="s">
        <v>55</v>
      </c>
      <c r="AA747" t="s">
        <v>78</v>
      </c>
      <c r="AB747" t="s">
        <v>55</v>
      </c>
      <c r="AC747" t="s">
        <v>78</v>
      </c>
      <c r="AD747" t="s">
        <v>55</v>
      </c>
      <c r="AE747" t="s">
        <v>78</v>
      </c>
      <c r="AF747" t="s">
        <v>55</v>
      </c>
      <c r="AG747" t="s">
        <v>78</v>
      </c>
      <c r="AH747" t="s">
        <v>55</v>
      </c>
      <c r="AI747" t="s">
        <v>78</v>
      </c>
      <c r="AK747" t="s">
        <v>356</v>
      </c>
    </row>
    <row r="748" spans="1:37">
      <c r="B748" t="s">
        <v>56</v>
      </c>
      <c r="C748" t="s">
        <v>56</v>
      </c>
      <c r="D748" t="s">
        <v>56</v>
      </c>
      <c r="E748" t="s">
        <v>56</v>
      </c>
      <c r="F748" t="s">
        <v>56</v>
      </c>
      <c r="G748" t="s">
        <v>176</v>
      </c>
      <c r="H748" t="s">
        <v>211</v>
      </c>
      <c r="I748" t="s">
        <v>231</v>
      </c>
      <c r="J748" t="s">
        <v>250</v>
      </c>
      <c r="K748" t="s">
        <v>264</v>
      </c>
      <c r="L748" t="s">
        <v>276</v>
      </c>
      <c r="M748" t="s">
        <v>285</v>
      </c>
      <c r="N748" t="s">
        <v>295</v>
      </c>
      <c r="O748" t="s">
        <v>303</v>
      </c>
      <c r="P748" t="s">
        <v>56</v>
      </c>
      <c r="Q748" t="s">
        <v>317</v>
      </c>
      <c r="R748" t="s">
        <v>324</v>
      </c>
      <c r="S748" t="s">
        <v>331</v>
      </c>
      <c r="T748" t="s">
        <v>334</v>
      </c>
      <c r="U748" t="s">
        <v>338</v>
      </c>
      <c r="V748" t="s">
        <v>342</v>
      </c>
      <c r="W748" t="s">
        <v>346</v>
      </c>
      <c r="X748" t="s">
        <v>351</v>
      </c>
      <c r="AK748" t="s">
        <v>356</v>
      </c>
    </row>
    <row r="749" spans="1:37">
      <c r="B749" t="s">
        <v>57</v>
      </c>
      <c r="C749" t="s">
        <v>79</v>
      </c>
      <c r="D749" t="s">
        <v>98</v>
      </c>
      <c r="E749" t="s">
        <v>117</v>
      </c>
      <c r="F749" t="s">
        <v>151</v>
      </c>
      <c r="G749" t="s">
        <v>177</v>
      </c>
      <c r="H749" t="s">
        <v>212</v>
      </c>
      <c r="I749" t="s">
        <v>232</v>
      </c>
      <c r="J749" t="s">
        <v>251</v>
      </c>
      <c r="K749" t="s">
        <v>265</v>
      </c>
      <c r="L749" t="s">
        <v>277</v>
      </c>
      <c r="M749" t="s">
        <v>286</v>
      </c>
      <c r="N749" t="s">
        <v>296</v>
      </c>
      <c r="O749" t="s">
        <v>304</v>
      </c>
      <c r="P749" t="s">
        <v>311</v>
      </c>
      <c r="Q749" t="s">
        <v>318</v>
      </c>
      <c r="R749" t="s">
        <v>185</v>
      </c>
      <c r="S749" t="s">
        <v>159</v>
      </c>
      <c r="T749" t="s">
        <v>185</v>
      </c>
      <c r="U749" t="s">
        <v>339</v>
      </c>
      <c r="V749" t="s">
        <v>72</v>
      </c>
      <c r="W749" t="s">
        <v>347</v>
      </c>
      <c r="X749" t="s">
        <v>72</v>
      </c>
      <c r="Y749" t="s">
        <v>96</v>
      </c>
      <c r="AK749" t="s">
        <v>356</v>
      </c>
    </row>
    <row r="750" spans="1:37">
      <c r="B750" t="s">
        <v>58</v>
      </c>
      <c r="C750" t="s">
        <v>80</v>
      </c>
      <c r="D750" t="s">
        <v>99</v>
      </c>
      <c r="E750" t="s">
        <v>118</v>
      </c>
      <c r="F750" t="s">
        <v>152</v>
      </c>
      <c r="G750" t="s">
        <v>178</v>
      </c>
      <c r="H750" t="s">
        <v>213</v>
      </c>
      <c r="I750" t="s">
        <v>233</v>
      </c>
      <c r="J750" t="s">
        <v>252</v>
      </c>
      <c r="K750" t="s">
        <v>266</v>
      </c>
      <c r="L750" t="s">
        <v>278</v>
      </c>
      <c r="M750" t="s">
        <v>287</v>
      </c>
      <c r="N750" t="s">
        <v>297</v>
      </c>
      <c r="O750" t="s">
        <v>305</v>
      </c>
      <c r="P750" t="s">
        <v>312</v>
      </c>
      <c r="Q750" t="s">
        <v>319</v>
      </c>
      <c r="R750">
        <f>&gt;10       ветра      3.1     17  22 29</f>
        <v>0</v>
      </c>
      <c r="AK750" t="s">
        <v>356</v>
      </c>
    </row>
    <row r="751" spans="1:37">
      <c r="A751" t="s">
        <v>40</v>
      </c>
      <c r="B751" t="s">
        <v>59</v>
      </c>
      <c r="C751" t="s">
        <v>81</v>
      </c>
      <c r="D751" t="s">
        <v>100</v>
      </c>
      <c r="E751" t="s">
        <v>119</v>
      </c>
      <c r="F751" t="s">
        <v>153</v>
      </c>
      <c r="G751" t="s">
        <v>179</v>
      </c>
      <c r="H751" t="s">
        <v>214</v>
      </c>
      <c r="I751" t="s">
        <v>234</v>
      </c>
      <c r="AK751" t="s">
        <v>356</v>
      </c>
    </row>
    <row r="752" spans="1:37">
      <c r="A752" t="s">
        <v>40</v>
      </c>
      <c r="B752" t="s">
        <v>60</v>
      </c>
      <c r="C752" t="s">
        <v>82</v>
      </c>
      <c r="D752" t="s">
        <v>101</v>
      </c>
      <c r="E752" t="s">
        <v>120</v>
      </c>
      <c r="F752" t="s">
        <v>154</v>
      </c>
      <c r="G752" t="s">
        <v>180</v>
      </c>
      <c r="H752" t="s">
        <v>215</v>
      </c>
      <c r="I752" t="s">
        <v>235</v>
      </c>
      <c r="J752" t="s">
        <v>253</v>
      </c>
      <c r="K752" t="s">
        <v>267</v>
      </c>
      <c r="L752" t="s">
        <v>279</v>
      </c>
      <c r="M752" t="s">
        <v>288</v>
      </c>
      <c r="N752" t="s">
        <v>100</v>
      </c>
      <c r="O752" t="s">
        <v>306</v>
      </c>
      <c r="P752" t="s">
        <v>313</v>
      </c>
      <c r="Q752" t="s">
        <v>320</v>
      </c>
      <c r="R752" t="s">
        <v>325</v>
      </c>
      <c r="S752" t="s">
        <v>332</v>
      </c>
      <c r="T752" t="s">
        <v>119</v>
      </c>
      <c r="U752" t="s">
        <v>234</v>
      </c>
      <c r="V752" t="s">
        <v>343</v>
      </c>
      <c r="W752" t="s">
        <v>348</v>
      </c>
      <c r="X752" t="s">
        <v>352</v>
      </c>
      <c r="Y752" t="s">
        <v>354</v>
      </c>
      <c r="AK752" t="s">
        <v>356</v>
      </c>
    </row>
    <row r="753" spans="1:37">
      <c r="A753" t="s">
        <v>41</v>
      </c>
      <c r="B753" t="s">
        <v>61</v>
      </c>
      <c r="C753" t="s">
        <v>83</v>
      </c>
      <c r="D753" t="s">
        <v>102</v>
      </c>
      <c r="E753" t="s">
        <v>121</v>
      </c>
      <c r="F753" t="s">
        <v>155</v>
      </c>
      <c r="G753" t="s">
        <v>181</v>
      </c>
      <c r="H753" t="s">
        <v>216</v>
      </c>
      <c r="I753" t="s">
        <v>236</v>
      </c>
      <c r="AK753" t="s">
        <v>356</v>
      </c>
    </row>
    <row r="754" spans="1:37">
      <c r="A754" t="s">
        <v>42</v>
      </c>
      <c r="B754" t="s">
        <v>62</v>
      </c>
      <c r="C754" t="s">
        <v>84</v>
      </c>
      <c r="D754" t="s">
        <v>103</v>
      </c>
      <c r="E754" t="s">
        <v>122</v>
      </c>
      <c r="F754" t="s">
        <v>156</v>
      </c>
      <c r="G754" t="s">
        <v>182</v>
      </c>
      <c r="H754" t="s">
        <v>83</v>
      </c>
      <c r="I754" t="s">
        <v>237</v>
      </c>
      <c r="J754" t="s">
        <v>254</v>
      </c>
      <c r="K754" t="s">
        <v>268</v>
      </c>
      <c r="L754" t="s">
        <v>280</v>
      </c>
      <c r="M754" t="s">
        <v>289</v>
      </c>
      <c r="N754" t="s">
        <v>298</v>
      </c>
      <c r="O754" t="s">
        <v>307</v>
      </c>
      <c r="P754" t="s">
        <v>314</v>
      </c>
      <c r="Q754" t="s">
        <v>216</v>
      </c>
      <c r="R754" t="s">
        <v>326</v>
      </c>
      <c r="S754" t="s">
        <v>333</v>
      </c>
      <c r="T754" t="s">
        <v>335</v>
      </c>
      <c r="U754" t="s">
        <v>340</v>
      </c>
      <c r="V754" t="s">
        <v>344</v>
      </c>
      <c r="W754" t="s">
        <v>349</v>
      </c>
      <c r="AK754" t="s">
        <v>356</v>
      </c>
    </row>
    <row r="755" spans="1:37">
      <c r="A755" t="s">
        <v>43</v>
      </c>
      <c r="B755" t="s">
        <v>63</v>
      </c>
      <c r="C755" t="s">
        <v>85</v>
      </c>
      <c r="D755" t="s">
        <v>104</v>
      </c>
      <c r="E755" t="s">
        <v>123</v>
      </c>
      <c r="F755" t="s">
        <v>157</v>
      </c>
      <c r="G755" t="s">
        <v>183</v>
      </c>
      <c r="AK755" t="s">
        <v>356</v>
      </c>
    </row>
    <row r="756" spans="1:37">
      <c r="A756" t="s">
        <v>44</v>
      </c>
      <c r="B756" t="s">
        <v>64</v>
      </c>
      <c r="C756" t="s">
        <v>86</v>
      </c>
      <c r="D756" t="s">
        <v>105</v>
      </c>
      <c r="E756" t="s">
        <v>124</v>
      </c>
      <c r="F756" t="s">
        <v>158</v>
      </c>
      <c r="G756" t="s">
        <v>184</v>
      </c>
      <c r="AK756" t="s">
        <v>356</v>
      </c>
    </row>
    <row r="757" spans="1:37">
      <c r="A757" t="s">
        <v>45</v>
      </c>
      <c r="B757" t="s">
        <v>65</v>
      </c>
      <c r="C757" t="s">
        <v>87</v>
      </c>
      <c r="D757" t="s">
        <v>106</v>
      </c>
      <c r="E757" t="s">
        <v>125</v>
      </c>
      <c r="F757" t="s">
        <v>159</v>
      </c>
      <c r="G757" t="s">
        <v>185</v>
      </c>
      <c r="H757" t="s">
        <v>159</v>
      </c>
      <c r="I757" t="s">
        <v>185</v>
      </c>
      <c r="J757" t="s">
        <v>255</v>
      </c>
      <c r="AK757" t="s">
        <v>356</v>
      </c>
    </row>
    <row r="758" spans="1:37">
      <c r="A758" t="s">
        <v>46</v>
      </c>
      <c r="B758" t="s">
        <v>66</v>
      </c>
      <c r="C758" t="s">
        <v>88</v>
      </c>
      <c r="D758" t="s">
        <v>76</v>
      </c>
      <c r="E758" t="s">
        <v>126</v>
      </c>
      <c r="F758" t="s">
        <v>160</v>
      </c>
      <c r="G758" t="s">
        <v>186</v>
      </c>
      <c r="H758" t="s">
        <v>217</v>
      </c>
      <c r="I758" t="s">
        <v>238</v>
      </c>
      <c r="J758" t="s">
        <v>256</v>
      </c>
      <c r="K758" t="s">
        <v>265</v>
      </c>
      <c r="L758" t="s">
        <v>281</v>
      </c>
      <c r="M758" t="s">
        <v>290</v>
      </c>
      <c r="N758" t="s">
        <v>299</v>
      </c>
      <c r="O758" t="s">
        <v>308</v>
      </c>
      <c r="P758" t="s">
        <v>228</v>
      </c>
      <c r="Q758" t="s">
        <v>72</v>
      </c>
      <c r="R758" t="s">
        <v>327</v>
      </c>
      <c r="S758" t="s">
        <v>327</v>
      </c>
      <c r="T758" t="s">
        <v>336</v>
      </c>
      <c r="U758" t="s">
        <v>336</v>
      </c>
      <c r="V758" t="s">
        <v>336</v>
      </c>
      <c r="W758" t="s">
        <v>336</v>
      </c>
      <c r="X758" t="s">
        <v>353</v>
      </c>
      <c r="AK758" t="s">
        <v>356</v>
      </c>
    </row>
    <row r="759" spans="1:37">
      <c r="A759" t="s">
        <v>37</v>
      </c>
      <c r="B759" t="s">
        <v>49</v>
      </c>
      <c r="C759" t="s">
        <v>73</v>
      </c>
      <c r="D759" t="s">
        <v>94</v>
      </c>
      <c r="E759" t="s">
        <v>112</v>
      </c>
      <c r="F759" t="s">
        <v>146</v>
      </c>
      <c r="G759" t="s">
        <v>172</v>
      </c>
      <c r="H759" t="s">
        <v>207</v>
      </c>
      <c r="I759" t="s">
        <v>226</v>
      </c>
      <c r="J759" t="s">
        <v>246</v>
      </c>
      <c r="K759" t="s">
        <v>259</v>
      </c>
      <c r="AK759" t="s">
        <v>356</v>
      </c>
    </row>
    <row r="760" spans="1:37">
      <c r="A760" t="s">
        <v>38</v>
      </c>
      <c r="B760" t="s">
        <v>50</v>
      </c>
      <c r="C760" t="s">
        <v>74</v>
      </c>
      <c r="D760" t="s">
        <v>95</v>
      </c>
      <c r="E760" t="s">
        <v>113</v>
      </c>
      <c r="F760" t="s">
        <v>147</v>
      </c>
      <c r="G760" t="s">
        <v>173</v>
      </c>
      <c r="H760" t="s">
        <v>208</v>
      </c>
      <c r="I760" t="s">
        <v>227</v>
      </c>
      <c r="J760" t="s">
        <v>115</v>
      </c>
      <c r="K760" t="s">
        <v>260</v>
      </c>
      <c r="L760" t="s">
        <v>273</v>
      </c>
      <c r="M760" t="s">
        <v>282</v>
      </c>
      <c r="N760" t="s">
        <v>291</v>
      </c>
      <c r="AK760" t="s">
        <v>356</v>
      </c>
    </row>
    <row r="761" spans="1:37">
      <c r="B761" t="s">
        <v>51</v>
      </c>
      <c r="C761" t="s">
        <v>75</v>
      </c>
      <c r="D761" t="s">
        <v>52</v>
      </c>
      <c r="E761" t="s">
        <v>114</v>
      </c>
      <c r="F761" t="s">
        <v>148</v>
      </c>
      <c r="G761" t="s">
        <v>148</v>
      </c>
      <c r="H761" t="s">
        <v>209</v>
      </c>
      <c r="I761" t="s">
        <v>228</v>
      </c>
      <c r="J761" t="s">
        <v>247</v>
      </c>
      <c r="K761" t="s">
        <v>261</v>
      </c>
      <c r="L761" t="s">
        <v>274</v>
      </c>
      <c r="M761" t="s">
        <v>283</v>
      </c>
      <c r="N761" t="s">
        <v>292</v>
      </c>
      <c r="O761" t="s">
        <v>300</v>
      </c>
      <c r="AK761" t="s">
        <v>356</v>
      </c>
    </row>
    <row r="762" spans="1:37">
      <c r="B762" t="s">
        <v>52</v>
      </c>
      <c r="C762" t="s">
        <v>76</v>
      </c>
      <c r="D762" t="s">
        <v>96</v>
      </c>
      <c r="E762" t="s">
        <v>115</v>
      </c>
      <c r="F762" t="s">
        <v>149</v>
      </c>
      <c r="G762" t="s">
        <v>174</v>
      </c>
      <c r="H762" t="s">
        <v>96</v>
      </c>
      <c r="I762" t="s">
        <v>229</v>
      </c>
      <c r="J762" t="s">
        <v>248</v>
      </c>
      <c r="K762" t="s">
        <v>262</v>
      </c>
      <c r="L762" t="s">
        <v>52</v>
      </c>
      <c r="M762" t="s">
        <v>76</v>
      </c>
      <c r="N762" t="s">
        <v>293</v>
      </c>
      <c r="O762" t="s">
        <v>301</v>
      </c>
      <c r="P762" t="s">
        <v>309</v>
      </c>
      <c r="Q762" t="s">
        <v>315</v>
      </c>
      <c r="R762" t="s">
        <v>228</v>
      </c>
      <c r="S762" t="s">
        <v>328</v>
      </c>
      <c r="T762" t="s">
        <v>149</v>
      </c>
      <c r="U762" t="s">
        <v>337</v>
      </c>
      <c r="V762" t="s">
        <v>341</v>
      </c>
      <c r="W762" t="s">
        <v>345</v>
      </c>
      <c r="X762" t="s">
        <v>350</v>
      </c>
      <c r="AK762" t="s">
        <v>356</v>
      </c>
    </row>
    <row r="763" spans="1:37">
      <c r="B763" t="s">
        <v>53</v>
      </c>
      <c r="C763" t="s">
        <v>77</v>
      </c>
      <c r="D763" t="s">
        <v>97</v>
      </c>
      <c r="E763" t="s">
        <v>116</v>
      </c>
      <c r="F763" t="s">
        <v>150</v>
      </c>
      <c r="G763" t="s">
        <v>175</v>
      </c>
      <c r="H763" t="s">
        <v>210</v>
      </c>
      <c r="I763" t="s">
        <v>230</v>
      </c>
      <c r="J763" t="s">
        <v>249</v>
      </c>
      <c r="K763" t="s">
        <v>263</v>
      </c>
      <c r="L763" t="s">
        <v>275</v>
      </c>
      <c r="M763" t="s">
        <v>284</v>
      </c>
      <c r="N763" t="s">
        <v>294</v>
      </c>
      <c r="O763" t="s">
        <v>302</v>
      </c>
      <c r="P763" t="s">
        <v>310</v>
      </c>
      <c r="Q763" t="s">
        <v>316</v>
      </c>
      <c r="R763" t="s">
        <v>322</v>
      </c>
      <c r="S763" t="s">
        <v>329</v>
      </c>
      <c r="AK763" t="s">
        <v>356</v>
      </c>
    </row>
    <row r="764" spans="1:37">
      <c r="A764" t="s">
        <v>39</v>
      </c>
      <c r="B764" t="s">
        <v>54</v>
      </c>
      <c r="C764" t="s">
        <v>54</v>
      </c>
      <c r="D764" t="s">
        <v>54</v>
      </c>
      <c r="E764" t="s">
        <v>54</v>
      </c>
      <c r="F764" t="s">
        <v>54</v>
      </c>
      <c r="G764" t="s">
        <v>54</v>
      </c>
      <c r="H764" t="s">
        <v>54</v>
      </c>
      <c r="I764" t="s">
        <v>54</v>
      </c>
      <c r="J764" t="s">
        <v>54</v>
      </c>
      <c r="K764" t="s">
        <v>54</v>
      </c>
      <c r="L764" t="s">
        <v>54</v>
      </c>
      <c r="M764" t="s">
        <v>54</v>
      </c>
      <c r="N764" t="s">
        <v>54</v>
      </c>
      <c r="O764" t="s">
        <v>54</v>
      </c>
      <c r="P764" t="s">
        <v>54</v>
      </c>
      <c r="Q764" t="s">
        <v>54</v>
      </c>
      <c r="R764" t="s">
        <v>323</v>
      </c>
      <c r="S764" t="s">
        <v>330</v>
      </c>
      <c r="AK764" t="s">
        <v>356</v>
      </c>
    </row>
    <row r="765" spans="1:37">
      <c r="B765" t="s">
        <v>55</v>
      </c>
      <c r="C765" t="s">
        <v>78</v>
      </c>
      <c r="D765" t="s">
        <v>55</v>
      </c>
      <c r="E765" t="s">
        <v>78</v>
      </c>
      <c r="F765" t="s">
        <v>55</v>
      </c>
      <c r="G765" t="s">
        <v>78</v>
      </c>
      <c r="H765" t="s">
        <v>55</v>
      </c>
      <c r="I765" t="s">
        <v>78</v>
      </c>
      <c r="J765" t="s">
        <v>55</v>
      </c>
      <c r="K765" t="s">
        <v>78</v>
      </c>
      <c r="L765" t="s">
        <v>55</v>
      </c>
      <c r="M765" t="s">
        <v>78</v>
      </c>
      <c r="N765" t="s">
        <v>55</v>
      </c>
      <c r="O765" t="s">
        <v>78</v>
      </c>
      <c r="P765" t="s">
        <v>55</v>
      </c>
      <c r="Q765" t="s">
        <v>78</v>
      </c>
      <c r="R765" t="s">
        <v>55</v>
      </c>
      <c r="S765" t="s">
        <v>78</v>
      </c>
      <c r="T765" t="s">
        <v>55</v>
      </c>
      <c r="U765" t="s">
        <v>78</v>
      </c>
      <c r="V765" t="s">
        <v>55</v>
      </c>
      <c r="W765" t="s">
        <v>78</v>
      </c>
      <c r="X765" t="s">
        <v>55</v>
      </c>
      <c r="Y765" t="s">
        <v>78</v>
      </c>
      <c r="Z765" t="s">
        <v>55</v>
      </c>
      <c r="AA765" t="s">
        <v>78</v>
      </c>
      <c r="AB765" t="s">
        <v>55</v>
      </c>
      <c r="AC765" t="s">
        <v>78</v>
      </c>
      <c r="AD765" t="s">
        <v>55</v>
      </c>
      <c r="AE765" t="s">
        <v>78</v>
      </c>
      <c r="AF765" t="s">
        <v>55</v>
      </c>
      <c r="AG765" t="s">
        <v>78</v>
      </c>
      <c r="AH765" t="s">
        <v>55</v>
      </c>
      <c r="AI765" t="s">
        <v>78</v>
      </c>
      <c r="AK765" t="s">
        <v>356</v>
      </c>
    </row>
    <row r="766" spans="1:37">
      <c r="B766" t="s">
        <v>56</v>
      </c>
      <c r="C766" t="s">
        <v>56</v>
      </c>
      <c r="D766" t="s">
        <v>56</v>
      </c>
      <c r="E766" t="s">
        <v>56</v>
      </c>
      <c r="F766" t="s">
        <v>56</v>
      </c>
      <c r="G766" t="s">
        <v>176</v>
      </c>
      <c r="H766" t="s">
        <v>211</v>
      </c>
      <c r="I766" t="s">
        <v>231</v>
      </c>
      <c r="J766" t="s">
        <v>250</v>
      </c>
      <c r="K766" t="s">
        <v>264</v>
      </c>
      <c r="L766" t="s">
        <v>276</v>
      </c>
      <c r="M766" t="s">
        <v>285</v>
      </c>
      <c r="N766" t="s">
        <v>295</v>
      </c>
      <c r="O766" t="s">
        <v>303</v>
      </c>
      <c r="P766" t="s">
        <v>56</v>
      </c>
      <c r="Q766" t="s">
        <v>317</v>
      </c>
      <c r="R766" t="s">
        <v>324</v>
      </c>
      <c r="S766" t="s">
        <v>331</v>
      </c>
      <c r="T766" t="s">
        <v>334</v>
      </c>
      <c r="U766" t="s">
        <v>338</v>
      </c>
      <c r="V766" t="s">
        <v>342</v>
      </c>
      <c r="W766" t="s">
        <v>346</v>
      </c>
      <c r="X766" t="s">
        <v>351</v>
      </c>
      <c r="AK766" t="s">
        <v>356</v>
      </c>
    </row>
    <row r="767" spans="1:37">
      <c r="B767" t="s">
        <v>57</v>
      </c>
      <c r="C767" t="s">
        <v>79</v>
      </c>
      <c r="D767" t="s">
        <v>98</v>
      </c>
      <c r="E767" t="s">
        <v>117</v>
      </c>
      <c r="F767" t="s">
        <v>151</v>
      </c>
      <c r="G767" t="s">
        <v>177</v>
      </c>
      <c r="H767" t="s">
        <v>212</v>
      </c>
      <c r="I767" t="s">
        <v>232</v>
      </c>
      <c r="J767" t="s">
        <v>251</v>
      </c>
      <c r="K767" t="s">
        <v>265</v>
      </c>
      <c r="L767" t="s">
        <v>277</v>
      </c>
      <c r="M767" t="s">
        <v>286</v>
      </c>
      <c r="N767" t="s">
        <v>296</v>
      </c>
      <c r="O767" t="s">
        <v>304</v>
      </c>
      <c r="P767" t="s">
        <v>311</v>
      </c>
      <c r="Q767" t="s">
        <v>318</v>
      </c>
      <c r="R767" t="s">
        <v>185</v>
      </c>
      <c r="S767" t="s">
        <v>159</v>
      </c>
      <c r="T767" t="s">
        <v>185</v>
      </c>
      <c r="U767" t="s">
        <v>339</v>
      </c>
      <c r="V767" t="s">
        <v>72</v>
      </c>
      <c r="W767" t="s">
        <v>347</v>
      </c>
      <c r="X767" t="s">
        <v>72</v>
      </c>
      <c r="Y767" t="s">
        <v>96</v>
      </c>
      <c r="AK767" t="s">
        <v>356</v>
      </c>
    </row>
    <row r="768" spans="1:37">
      <c r="B768" t="s">
        <v>58</v>
      </c>
      <c r="C768" t="s">
        <v>80</v>
      </c>
      <c r="D768" t="s">
        <v>99</v>
      </c>
      <c r="E768" t="s">
        <v>118</v>
      </c>
      <c r="F768" t="s">
        <v>152</v>
      </c>
      <c r="G768" t="s">
        <v>178</v>
      </c>
      <c r="H768" t="s">
        <v>213</v>
      </c>
      <c r="I768" t="s">
        <v>233</v>
      </c>
      <c r="J768" t="s">
        <v>252</v>
      </c>
      <c r="K768" t="s">
        <v>266</v>
      </c>
      <c r="L768" t="s">
        <v>278</v>
      </c>
      <c r="M768" t="s">
        <v>287</v>
      </c>
      <c r="N768" t="s">
        <v>297</v>
      </c>
      <c r="O768" t="s">
        <v>305</v>
      </c>
      <c r="P768" t="s">
        <v>312</v>
      </c>
      <c r="Q768" t="s">
        <v>319</v>
      </c>
      <c r="R768">
        <f>&gt;10       ветра      2.2     16  23</f>
        <v>0</v>
      </c>
      <c r="AK768" t="s">
        <v>356</v>
      </c>
    </row>
    <row r="769" spans="1:37">
      <c r="A769" t="s">
        <v>40</v>
      </c>
      <c r="B769" t="s">
        <v>59</v>
      </c>
      <c r="C769" t="s">
        <v>81</v>
      </c>
      <c r="D769" t="s">
        <v>100</v>
      </c>
      <c r="E769" t="s">
        <v>119</v>
      </c>
      <c r="F769" t="s">
        <v>153</v>
      </c>
      <c r="G769" t="s">
        <v>179</v>
      </c>
      <c r="H769" t="s">
        <v>214</v>
      </c>
      <c r="I769" t="s">
        <v>234</v>
      </c>
      <c r="AK769" t="s">
        <v>356</v>
      </c>
    </row>
    <row r="770" spans="1:37">
      <c r="A770" t="s">
        <v>40</v>
      </c>
      <c r="B770" t="s">
        <v>60</v>
      </c>
      <c r="C770" t="s">
        <v>82</v>
      </c>
      <c r="D770" t="s">
        <v>101</v>
      </c>
      <c r="E770" t="s">
        <v>120</v>
      </c>
      <c r="F770" t="s">
        <v>154</v>
      </c>
      <c r="G770" t="s">
        <v>180</v>
      </c>
      <c r="H770" t="s">
        <v>215</v>
      </c>
      <c r="I770" t="s">
        <v>235</v>
      </c>
      <c r="J770" t="s">
        <v>253</v>
      </c>
      <c r="K770" t="s">
        <v>267</v>
      </c>
      <c r="L770" t="s">
        <v>279</v>
      </c>
      <c r="M770" t="s">
        <v>288</v>
      </c>
      <c r="N770" t="s">
        <v>100</v>
      </c>
      <c r="O770" t="s">
        <v>306</v>
      </c>
      <c r="P770" t="s">
        <v>313</v>
      </c>
      <c r="Q770" t="s">
        <v>320</v>
      </c>
      <c r="R770" t="s">
        <v>325</v>
      </c>
      <c r="S770" t="s">
        <v>332</v>
      </c>
      <c r="T770" t="s">
        <v>119</v>
      </c>
      <c r="U770" t="s">
        <v>234</v>
      </c>
      <c r="V770" t="s">
        <v>343</v>
      </c>
      <c r="W770" t="s">
        <v>348</v>
      </c>
      <c r="X770" t="s">
        <v>352</v>
      </c>
      <c r="Y770" t="s">
        <v>354</v>
      </c>
      <c r="AK770" t="s">
        <v>356</v>
      </c>
    </row>
    <row r="771" spans="1:37">
      <c r="A771" t="s">
        <v>41</v>
      </c>
      <c r="B771" t="s">
        <v>61</v>
      </c>
      <c r="C771" t="s">
        <v>83</v>
      </c>
      <c r="D771" t="s">
        <v>102</v>
      </c>
      <c r="E771" t="s">
        <v>121</v>
      </c>
      <c r="F771" t="s">
        <v>155</v>
      </c>
      <c r="G771" t="s">
        <v>181</v>
      </c>
      <c r="H771" t="s">
        <v>216</v>
      </c>
      <c r="I771" t="s">
        <v>236</v>
      </c>
      <c r="AK771" t="s">
        <v>356</v>
      </c>
    </row>
    <row r="772" spans="1:37">
      <c r="A772" t="s">
        <v>42</v>
      </c>
      <c r="B772" t="s">
        <v>62</v>
      </c>
      <c r="C772" t="s">
        <v>84</v>
      </c>
      <c r="D772" t="s">
        <v>103</v>
      </c>
      <c r="E772" t="s">
        <v>122</v>
      </c>
      <c r="F772" t="s">
        <v>156</v>
      </c>
      <c r="G772" t="s">
        <v>182</v>
      </c>
      <c r="H772" t="s">
        <v>83</v>
      </c>
      <c r="I772" t="s">
        <v>237</v>
      </c>
      <c r="J772" t="s">
        <v>254</v>
      </c>
      <c r="K772" t="s">
        <v>268</v>
      </c>
      <c r="L772" t="s">
        <v>280</v>
      </c>
      <c r="M772" t="s">
        <v>289</v>
      </c>
      <c r="N772" t="s">
        <v>298</v>
      </c>
      <c r="O772" t="s">
        <v>307</v>
      </c>
      <c r="P772" t="s">
        <v>314</v>
      </c>
      <c r="Q772" t="s">
        <v>216</v>
      </c>
      <c r="R772" t="s">
        <v>326</v>
      </c>
      <c r="S772" t="s">
        <v>333</v>
      </c>
      <c r="T772" t="s">
        <v>335</v>
      </c>
      <c r="U772" t="s">
        <v>340</v>
      </c>
      <c r="V772" t="s">
        <v>344</v>
      </c>
      <c r="W772" t="s">
        <v>349</v>
      </c>
      <c r="AK772" t="s">
        <v>356</v>
      </c>
    </row>
    <row r="773" spans="1:37">
      <c r="A773" t="s">
        <v>43</v>
      </c>
      <c r="B773" t="s">
        <v>63</v>
      </c>
      <c r="C773" t="s">
        <v>85</v>
      </c>
      <c r="D773" t="s">
        <v>104</v>
      </c>
      <c r="E773" t="s">
        <v>123</v>
      </c>
      <c r="F773" t="s">
        <v>157</v>
      </c>
      <c r="G773" t="s">
        <v>183</v>
      </c>
      <c r="AK773" t="s">
        <v>356</v>
      </c>
    </row>
    <row r="774" spans="1:37">
      <c r="A774" t="s">
        <v>44</v>
      </c>
      <c r="B774" t="s">
        <v>64</v>
      </c>
      <c r="C774" t="s">
        <v>86</v>
      </c>
      <c r="D774" t="s">
        <v>105</v>
      </c>
      <c r="E774" t="s">
        <v>124</v>
      </c>
      <c r="F774" t="s">
        <v>158</v>
      </c>
      <c r="G774" t="s">
        <v>184</v>
      </c>
      <c r="AK774" t="s">
        <v>356</v>
      </c>
    </row>
    <row r="775" spans="1:37">
      <c r="A775" t="s">
        <v>45</v>
      </c>
      <c r="B775" t="s">
        <v>65</v>
      </c>
      <c r="C775" t="s">
        <v>87</v>
      </c>
      <c r="D775" t="s">
        <v>106</v>
      </c>
      <c r="E775" t="s">
        <v>125</v>
      </c>
      <c r="F775" t="s">
        <v>159</v>
      </c>
      <c r="G775" t="s">
        <v>185</v>
      </c>
      <c r="H775" t="s">
        <v>159</v>
      </c>
      <c r="I775" t="s">
        <v>185</v>
      </c>
      <c r="J775" t="s">
        <v>255</v>
      </c>
      <c r="AK775" t="s">
        <v>356</v>
      </c>
    </row>
    <row r="776" spans="1:37">
      <c r="A776" t="s">
        <v>46</v>
      </c>
      <c r="B776" t="s">
        <v>66</v>
      </c>
      <c r="C776" t="s">
        <v>88</v>
      </c>
      <c r="D776" t="s">
        <v>76</v>
      </c>
      <c r="E776" t="s">
        <v>126</v>
      </c>
      <c r="F776" t="s">
        <v>160</v>
      </c>
      <c r="G776" t="s">
        <v>186</v>
      </c>
      <c r="H776" t="s">
        <v>217</v>
      </c>
      <c r="I776" t="s">
        <v>238</v>
      </c>
      <c r="J776" t="s">
        <v>256</v>
      </c>
      <c r="K776" t="s">
        <v>265</v>
      </c>
      <c r="L776" t="s">
        <v>281</v>
      </c>
      <c r="M776" t="s">
        <v>290</v>
      </c>
      <c r="N776" t="s">
        <v>299</v>
      </c>
      <c r="O776" t="s">
        <v>308</v>
      </c>
      <c r="P776" t="s">
        <v>228</v>
      </c>
      <c r="Q776" t="s">
        <v>72</v>
      </c>
      <c r="R776" t="s">
        <v>327</v>
      </c>
      <c r="S776" t="s">
        <v>327</v>
      </c>
      <c r="T776" t="s">
        <v>336</v>
      </c>
      <c r="U776" t="s">
        <v>336</v>
      </c>
      <c r="V776" t="s">
        <v>336</v>
      </c>
      <c r="W776" t="s">
        <v>336</v>
      </c>
      <c r="X776" t="s">
        <v>353</v>
      </c>
      <c r="AK776" t="s">
        <v>356</v>
      </c>
    </row>
    <row r="777" spans="1:37">
      <c r="B777" t="s">
        <v>67</v>
      </c>
      <c r="C777" t="s">
        <v>89</v>
      </c>
      <c r="D777" t="s">
        <v>107</v>
      </c>
      <c r="AK777" t="s">
        <v>356</v>
      </c>
    </row>
    <row r="778" spans="1:37">
      <c r="B778" t="s">
        <v>68</v>
      </c>
      <c r="C778" t="s">
        <v>90</v>
      </c>
      <c r="D778" t="s">
        <v>108</v>
      </c>
      <c r="AK778" t="s">
        <v>356</v>
      </c>
    </row>
    <row r="779" spans="1:37">
      <c r="A779" t="s">
        <v>47</v>
      </c>
      <c r="B779" t="s">
        <v>69</v>
      </c>
      <c r="C779" t="s">
        <v>91</v>
      </c>
      <c r="D779" t="s">
        <v>109</v>
      </c>
      <c r="E779" t="s">
        <v>109</v>
      </c>
      <c r="F779" t="s">
        <v>109</v>
      </c>
      <c r="G779" t="s">
        <v>109</v>
      </c>
      <c r="H779" t="s">
        <v>109</v>
      </c>
      <c r="I779" t="s">
        <v>239</v>
      </c>
      <c r="AK779" t="s">
        <v>356</v>
      </c>
    </row>
    <row r="780" spans="1:37">
      <c r="B780" t="s">
        <v>70</v>
      </c>
      <c r="C780" t="s">
        <v>92</v>
      </c>
      <c r="D780" t="s">
        <v>110</v>
      </c>
      <c r="E780" t="s">
        <v>127</v>
      </c>
      <c r="F780" t="s">
        <v>161</v>
      </c>
      <c r="G780" t="s">
        <v>187</v>
      </c>
      <c r="H780" t="s">
        <v>218</v>
      </c>
      <c r="AK780" t="s">
        <v>356</v>
      </c>
    </row>
    <row r="781" spans="1:37">
      <c r="B781" t="s">
        <v>71</v>
      </c>
      <c r="C781" t="s">
        <v>93</v>
      </c>
      <c r="D781" t="s">
        <v>111</v>
      </c>
      <c r="E781" t="s">
        <v>128</v>
      </c>
      <c r="F781" t="s">
        <v>162</v>
      </c>
      <c r="G781" t="s">
        <v>188</v>
      </c>
      <c r="H781" t="s">
        <v>219</v>
      </c>
      <c r="I781" t="s">
        <v>240</v>
      </c>
      <c r="J781" t="s">
        <v>257</v>
      </c>
      <c r="K781" t="s">
        <v>269</v>
      </c>
      <c r="L781" t="s">
        <v>109</v>
      </c>
      <c r="M781" t="s">
        <v>109</v>
      </c>
      <c r="N781" t="s">
        <v>109</v>
      </c>
      <c r="O781" t="s">
        <v>109</v>
      </c>
      <c r="P781" t="s">
        <v>109</v>
      </c>
      <c r="Q781" t="s">
        <v>321</v>
      </c>
      <c r="AK781" t="s">
        <v>356</v>
      </c>
    </row>
    <row r="782" spans="1:37">
      <c r="A782" t="s">
        <v>48</v>
      </c>
      <c r="B782" t="s">
        <v>71</v>
      </c>
      <c r="C782" t="s">
        <v>93</v>
      </c>
      <c r="D782" t="s">
        <v>111</v>
      </c>
      <c r="E782" t="s">
        <v>128</v>
      </c>
      <c r="F782" t="s">
        <v>163</v>
      </c>
      <c r="G782" t="s">
        <v>189</v>
      </c>
      <c r="H782" t="s">
        <v>220</v>
      </c>
      <c r="I782" t="s">
        <v>241</v>
      </c>
      <c r="J782" t="s">
        <v>258</v>
      </c>
      <c r="K782" t="s">
        <v>270</v>
      </c>
      <c r="AK782" t="s">
        <v>356</v>
      </c>
    </row>
    <row r="783" spans="1:37">
      <c r="B783" t="s">
        <v>72</v>
      </c>
      <c r="C783" t="s">
        <v>72</v>
      </c>
      <c r="D783" t="s">
        <v>72</v>
      </c>
      <c r="E783" t="s">
        <v>130</v>
      </c>
      <c r="F783" t="s">
        <v>130</v>
      </c>
      <c r="G783" t="s">
        <v>192</v>
      </c>
      <c r="H783" t="s">
        <v>192</v>
      </c>
      <c r="I783" t="s">
        <v>192</v>
      </c>
      <c r="J783" t="s">
        <v>192</v>
      </c>
      <c r="K783" t="s">
        <v>271</v>
      </c>
      <c r="AK783" t="s">
        <v>356</v>
      </c>
    </row>
    <row r="784" spans="1:37">
      <c r="A784" t="s">
        <v>37</v>
      </c>
      <c r="B784" t="s">
        <v>49</v>
      </c>
      <c r="C784" t="s">
        <v>73</v>
      </c>
      <c r="D784" t="s">
        <v>94</v>
      </c>
      <c r="E784" t="s">
        <v>112</v>
      </c>
      <c r="F784" t="s">
        <v>146</v>
      </c>
      <c r="G784" t="s">
        <v>172</v>
      </c>
      <c r="H784" t="s">
        <v>207</v>
      </c>
      <c r="I784" t="s">
        <v>226</v>
      </c>
      <c r="J784" t="s">
        <v>246</v>
      </c>
      <c r="K784" t="s">
        <v>259</v>
      </c>
      <c r="AK784" t="s">
        <v>356</v>
      </c>
    </row>
    <row r="785" spans="1:37">
      <c r="A785" t="s">
        <v>38</v>
      </c>
      <c r="B785" t="s">
        <v>50</v>
      </c>
      <c r="C785" t="s">
        <v>74</v>
      </c>
      <c r="D785" t="s">
        <v>95</v>
      </c>
      <c r="E785" t="s">
        <v>113</v>
      </c>
      <c r="F785" t="s">
        <v>147</v>
      </c>
      <c r="G785" t="s">
        <v>173</v>
      </c>
      <c r="H785" t="s">
        <v>208</v>
      </c>
      <c r="I785" t="s">
        <v>227</v>
      </c>
      <c r="J785" t="s">
        <v>115</v>
      </c>
      <c r="K785" t="s">
        <v>260</v>
      </c>
      <c r="L785" t="s">
        <v>273</v>
      </c>
      <c r="M785" t="s">
        <v>282</v>
      </c>
      <c r="N785" t="s">
        <v>291</v>
      </c>
      <c r="AK785" t="s">
        <v>356</v>
      </c>
    </row>
    <row r="786" spans="1:37">
      <c r="B786" t="s">
        <v>51</v>
      </c>
      <c r="C786" t="s">
        <v>75</v>
      </c>
      <c r="D786" t="s">
        <v>52</v>
      </c>
      <c r="E786" t="s">
        <v>114</v>
      </c>
      <c r="F786" t="s">
        <v>148</v>
      </c>
      <c r="G786" t="s">
        <v>148</v>
      </c>
      <c r="H786" t="s">
        <v>209</v>
      </c>
      <c r="I786" t="s">
        <v>228</v>
      </c>
      <c r="J786" t="s">
        <v>247</v>
      </c>
      <c r="K786" t="s">
        <v>261</v>
      </c>
      <c r="L786" t="s">
        <v>274</v>
      </c>
      <c r="M786" t="s">
        <v>283</v>
      </c>
      <c r="N786" t="s">
        <v>292</v>
      </c>
      <c r="O786" t="s">
        <v>300</v>
      </c>
      <c r="AK786" t="s">
        <v>356</v>
      </c>
    </row>
    <row r="787" spans="1:37">
      <c r="B787" t="s">
        <v>52</v>
      </c>
      <c r="C787" t="s">
        <v>76</v>
      </c>
      <c r="D787" t="s">
        <v>96</v>
      </c>
      <c r="E787" t="s">
        <v>115</v>
      </c>
      <c r="F787" t="s">
        <v>149</v>
      </c>
      <c r="G787" t="s">
        <v>174</v>
      </c>
      <c r="H787" t="s">
        <v>96</v>
      </c>
      <c r="I787" t="s">
        <v>229</v>
      </c>
      <c r="J787" t="s">
        <v>248</v>
      </c>
      <c r="K787" t="s">
        <v>262</v>
      </c>
      <c r="L787" t="s">
        <v>52</v>
      </c>
      <c r="M787" t="s">
        <v>76</v>
      </c>
      <c r="N787" t="s">
        <v>293</v>
      </c>
      <c r="O787" t="s">
        <v>301</v>
      </c>
      <c r="P787" t="s">
        <v>309</v>
      </c>
      <c r="Q787" t="s">
        <v>315</v>
      </c>
      <c r="R787" t="s">
        <v>228</v>
      </c>
      <c r="S787" t="s">
        <v>328</v>
      </c>
      <c r="T787" t="s">
        <v>149</v>
      </c>
      <c r="U787" t="s">
        <v>337</v>
      </c>
      <c r="V787" t="s">
        <v>341</v>
      </c>
      <c r="W787" t="s">
        <v>345</v>
      </c>
      <c r="X787" t="s">
        <v>350</v>
      </c>
      <c r="AK787" t="s">
        <v>356</v>
      </c>
    </row>
    <row r="788" spans="1:37">
      <c r="B788" t="s">
        <v>53</v>
      </c>
      <c r="C788" t="s">
        <v>77</v>
      </c>
      <c r="D788" t="s">
        <v>97</v>
      </c>
      <c r="E788" t="s">
        <v>116</v>
      </c>
      <c r="F788" t="s">
        <v>150</v>
      </c>
      <c r="G788" t="s">
        <v>175</v>
      </c>
      <c r="H788" t="s">
        <v>210</v>
      </c>
      <c r="I788" t="s">
        <v>230</v>
      </c>
      <c r="J788" t="s">
        <v>249</v>
      </c>
      <c r="K788" t="s">
        <v>263</v>
      </c>
      <c r="L788" t="s">
        <v>275</v>
      </c>
      <c r="M788" t="s">
        <v>284</v>
      </c>
      <c r="N788" t="s">
        <v>294</v>
      </c>
      <c r="O788" t="s">
        <v>302</v>
      </c>
      <c r="P788" t="s">
        <v>310</v>
      </c>
      <c r="Q788" t="s">
        <v>316</v>
      </c>
      <c r="R788" t="s">
        <v>322</v>
      </c>
      <c r="S788" t="s">
        <v>329</v>
      </c>
      <c r="AK788" t="s">
        <v>356</v>
      </c>
    </row>
    <row r="789" spans="1:37">
      <c r="A789" t="s">
        <v>39</v>
      </c>
      <c r="B789" t="s">
        <v>54</v>
      </c>
      <c r="C789" t="s">
        <v>54</v>
      </c>
      <c r="D789" t="s">
        <v>54</v>
      </c>
      <c r="E789" t="s">
        <v>54</v>
      </c>
      <c r="F789" t="s">
        <v>54</v>
      </c>
      <c r="G789" t="s">
        <v>54</v>
      </c>
      <c r="H789" t="s">
        <v>54</v>
      </c>
      <c r="I789" t="s">
        <v>54</v>
      </c>
      <c r="J789" t="s">
        <v>54</v>
      </c>
      <c r="K789" t="s">
        <v>54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 t="s">
        <v>323</v>
      </c>
      <c r="S789" t="s">
        <v>330</v>
      </c>
      <c r="AK789" t="s">
        <v>356</v>
      </c>
    </row>
    <row r="790" spans="1:37">
      <c r="B790" t="s">
        <v>55</v>
      </c>
      <c r="C790" t="s">
        <v>78</v>
      </c>
      <c r="D790" t="s">
        <v>55</v>
      </c>
      <c r="E790" t="s">
        <v>78</v>
      </c>
      <c r="F790" t="s">
        <v>55</v>
      </c>
      <c r="G790" t="s">
        <v>78</v>
      </c>
      <c r="H790" t="s">
        <v>55</v>
      </c>
      <c r="I790" t="s">
        <v>78</v>
      </c>
      <c r="J790" t="s">
        <v>55</v>
      </c>
      <c r="K790" t="s">
        <v>78</v>
      </c>
      <c r="L790" t="s">
        <v>55</v>
      </c>
      <c r="M790" t="s">
        <v>78</v>
      </c>
      <c r="N790" t="s">
        <v>55</v>
      </c>
      <c r="O790" t="s">
        <v>78</v>
      </c>
      <c r="P790" t="s">
        <v>55</v>
      </c>
      <c r="Q790" t="s">
        <v>78</v>
      </c>
      <c r="R790" t="s">
        <v>55</v>
      </c>
      <c r="S790" t="s">
        <v>78</v>
      </c>
      <c r="T790" t="s">
        <v>55</v>
      </c>
      <c r="U790" t="s">
        <v>78</v>
      </c>
      <c r="V790" t="s">
        <v>55</v>
      </c>
      <c r="W790" t="s">
        <v>78</v>
      </c>
      <c r="X790" t="s">
        <v>55</v>
      </c>
      <c r="Y790" t="s">
        <v>78</v>
      </c>
      <c r="Z790" t="s">
        <v>55</v>
      </c>
      <c r="AA790" t="s">
        <v>78</v>
      </c>
      <c r="AB790" t="s">
        <v>55</v>
      </c>
      <c r="AC790" t="s">
        <v>78</v>
      </c>
      <c r="AD790" t="s">
        <v>55</v>
      </c>
      <c r="AE790" t="s">
        <v>78</v>
      </c>
      <c r="AF790" t="s">
        <v>55</v>
      </c>
      <c r="AG790" t="s">
        <v>78</v>
      </c>
      <c r="AH790" t="s">
        <v>55</v>
      </c>
      <c r="AI790" t="s">
        <v>78</v>
      </c>
      <c r="AK790" t="s">
        <v>356</v>
      </c>
    </row>
    <row r="791" spans="1:37">
      <c r="B791" t="s">
        <v>56</v>
      </c>
      <c r="C791" t="s">
        <v>56</v>
      </c>
      <c r="D791" t="s">
        <v>56</v>
      </c>
      <c r="E791" t="s">
        <v>56</v>
      </c>
      <c r="F791" t="s">
        <v>56</v>
      </c>
      <c r="G791" t="s">
        <v>176</v>
      </c>
      <c r="H791" t="s">
        <v>211</v>
      </c>
      <c r="I791" t="s">
        <v>231</v>
      </c>
      <c r="J791" t="s">
        <v>250</v>
      </c>
      <c r="K791" t="s">
        <v>264</v>
      </c>
      <c r="L791" t="s">
        <v>276</v>
      </c>
      <c r="M791" t="s">
        <v>285</v>
      </c>
      <c r="N791" t="s">
        <v>295</v>
      </c>
      <c r="O791" t="s">
        <v>303</v>
      </c>
      <c r="P791" t="s">
        <v>56</v>
      </c>
      <c r="Q791" t="s">
        <v>317</v>
      </c>
      <c r="R791" t="s">
        <v>324</v>
      </c>
      <c r="S791" t="s">
        <v>331</v>
      </c>
      <c r="T791" t="s">
        <v>334</v>
      </c>
      <c r="U791" t="s">
        <v>338</v>
      </c>
      <c r="V791" t="s">
        <v>342</v>
      </c>
      <c r="W791" t="s">
        <v>346</v>
      </c>
      <c r="X791" t="s">
        <v>351</v>
      </c>
      <c r="AK791" t="s">
        <v>356</v>
      </c>
    </row>
    <row r="792" spans="1:37">
      <c r="B792" t="s">
        <v>57</v>
      </c>
      <c r="C792" t="s">
        <v>79</v>
      </c>
      <c r="D792" t="s">
        <v>98</v>
      </c>
      <c r="E792" t="s">
        <v>117</v>
      </c>
      <c r="F792" t="s">
        <v>151</v>
      </c>
      <c r="G792" t="s">
        <v>177</v>
      </c>
      <c r="H792" t="s">
        <v>212</v>
      </c>
      <c r="I792" t="s">
        <v>232</v>
      </c>
      <c r="J792" t="s">
        <v>251</v>
      </c>
      <c r="K792" t="s">
        <v>265</v>
      </c>
      <c r="L792" t="s">
        <v>277</v>
      </c>
      <c r="M792" t="s">
        <v>286</v>
      </c>
      <c r="N792" t="s">
        <v>296</v>
      </c>
      <c r="O792" t="s">
        <v>304</v>
      </c>
      <c r="P792" t="s">
        <v>311</v>
      </c>
      <c r="Q792" t="s">
        <v>318</v>
      </c>
      <c r="R792" t="s">
        <v>185</v>
      </c>
      <c r="S792" t="s">
        <v>159</v>
      </c>
      <c r="T792" t="s">
        <v>185</v>
      </c>
      <c r="U792" t="s">
        <v>339</v>
      </c>
      <c r="V792" t="s">
        <v>72</v>
      </c>
      <c r="W792" t="s">
        <v>347</v>
      </c>
      <c r="X792" t="s">
        <v>72</v>
      </c>
      <c r="Y792" t="s">
        <v>96</v>
      </c>
      <c r="AK792" t="s">
        <v>356</v>
      </c>
    </row>
    <row r="793" spans="1:37">
      <c r="B793" t="s">
        <v>58</v>
      </c>
      <c r="C793" t="s">
        <v>80</v>
      </c>
      <c r="D793" t="s">
        <v>99</v>
      </c>
      <c r="E793" t="s">
        <v>118</v>
      </c>
      <c r="F793" t="s">
        <v>152</v>
      </c>
      <c r="G793" t="s">
        <v>178</v>
      </c>
      <c r="H793" t="s">
        <v>213</v>
      </c>
      <c r="I793" t="s">
        <v>233</v>
      </c>
      <c r="J793" t="s">
        <v>252</v>
      </c>
      <c r="K793" t="s">
        <v>266</v>
      </c>
      <c r="L793" t="s">
        <v>278</v>
      </c>
      <c r="M793" t="s">
        <v>287</v>
      </c>
      <c r="N793" t="s">
        <v>297</v>
      </c>
      <c r="O793" t="s">
        <v>305</v>
      </c>
      <c r="P793" t="s">
        <v>312</v>
      </c>
      <c r="Q793" t="s">
        <v>319</v>
      </c>
      <c r="R793">
        <f>&gt;10       ветра      4.0     19  22 28</f>
        <v>0</v>
      </c>
      <c r="AK793" t="s">
        <v>356</v>
      </c>
    </row>
    <row r="794" spans="1:37">
      <c r="A794" t="s">
        <v>40</v>
      </c>
      <c r="B794" t="s">
        <v>59</v>
      </c>
      <c r="C794" t="s">
        <v>81</v>
      </c>
      <c r="D794" t="s">
        <v>100</v>
      </c>
      <c r="E794" t="s">
        <v>119</v>
      </c>
      <c r="F794" t="s">
        <v>153</v>
      </c>
      <c r="G794" t="s">
        <v>179</v>
      </c>
      <c r="H794" t="s">
        <v>214</v>
      </c>
      <c r="I794" t="s">
        <v>234</v>
      </c>
      <c r="AK794" t="s">
        <v>356</v>
      </c>
    </row>
    <row r="795" spans="1:37">
      <c r="A795" t="s">
        <v>40</v>
      </c>
      <c r="B795" t="s">
        <v>60</v>
      </c>
      <c r="C795" t="s">
        <v>82</v>
      </c>
      <c r="D795" t="s">
        <v>101</v>
      </c>
      <c r="E795" t="s">
        <v>120</v>
      </c>
      <c r="F795" t="s">
        <v>154</v>
      </c>
      <c r="G795" t="s">
        <v>180</v>
      </c>
      <c r="H795" t="s">
        <v>215</v>
      </c>
      <c r="I795" t="s">
        <v>235</v>
      </c>
      <c r="J795" t="s">
        <v>253</v>
      </c>
      <c r="K795" t="s">
        <v>267</v>
      </c>
      <c r="L795" t="s">
        <v>279</v>
      </c>
      <c r="M795" t="s">
        <v>288</v>
      </c>
      <c r="N795" t="s">
        <v>100</v>
      </c>
      <c r="O795" t="s">
        <v>306</v>
      </c>
      <c r="P795" t="s">
        <v>313</v>
      </c>
      <c r="Q795" t="s">
        <v>320</v>
      </c>
      <c r="R795" t="s">
        <v>325</v>
      </c>
      <c r="S795" t="s">
        <v>332</v>
      </c>
      <c r="T795" t="s">
        <v>119</v>
      </c>
      <c r="U795" t="s">
        <v>234</v>
      </c>
      <c r="V795" t="s">
        <v>343</v>
      </c>
      <c r="W795" t="s">
        <v>348</v>
      </c>
      <c r="X795" t="s">
        <v>352</v>
      </c>
      <c r="Y795" t="s">
        <v>354</v>
      </c>
      <c r="AK795" t="s">
        <v>356</v>
      </c>
    </row>
    <row r="796" spans="1:37">
      <c r="A796" t="s">
        <v>41</v>
      </c>
      <c r="B796" t="s">
        <v>61</v>
      </c>
      <c r="C796" t="s">
        <v>83</v>
      </c>
      <c r="D796" t="s">
        <v>102</v>
      </c>
      <c r="E796" t="s">
        <v>121</v>
      </c>
      <c r="F796" t="s">
        <v>155</v>
      </c>
      <c r="G796" t="s">
        <v>181</v>
      </c>
      <c r="H796" t="s">
        <v>216</v>
      </c>
      <c r="I796" t="s">
        <v>236</v>
      </c>
      <c r="AK796" t="s">
        <v>356</v>
      </c>
    </row>
    <row r="797" spans="1:37">
      <c r="A797" t="s">
        <v>42</v>
      </c>
      <c r="B797" t="s">
        <v>62</v>
      </c>
      <c r="C797" t="s">
        <v>84</v>
      </c>
      <c r="D797" t="s">
        <v>103</v>
      </c>
      <c r="E797" t="s">
        <v>122</v>
      </c>
      <c r="F797" t="s">
        <v>156</v>
      </c>
      <c r="G797" t="s">
        <v>182</v>
      </c>
      <c r="H797" t="s">
        <v>83</v>
      </c>
      <c r="I797" t="s">
        <v>237</v>
      </c>
      <c r="J797" t="s">
        <v>254</v>
      </c>
      <c r="K797" t="s">
        <v>268</v>
      </c>
      <c r="L797" t="s">
        <v>280</v>
      </c>
      <c r="M797" t="s">
        <v>289</v>
      </c>
      <c r="N797" t="s">
        <v>298</v>
      </c>
      <c r="O797" t="s">
        <v>307</v>
      </c>
      <c r="P797" t="s">
        <v>314</v>
      </c>
      <c r="Q797" t="s">
        <v>216</v>
      </c>
      <c r="R797" t="s">
        <v>326</v>
      </c>
      <c r="S797" t="s">
        <v>333</v>
      </c>
      <c r="T797" t="s">
        <v>335</v>
      </c>
      <c r="U797" t="s">
        <v>340</v>
      </c>
      <c r="V797" t="s">
        <v>344</v>
      </c>
      <c r="W797" t="s">
        <v>349</v>
      </c>
      <c r="AK797" t="s">
        <v>356</v>
      </c>
    </row>
    <row r="798" spans="1:37">
      <c r="A798" t="s">
        <v>43</v>
      </c>
      <c r="B798" t="s">
        <v>63</v>
      </c>
      <c r="C798" t="s">
        <v>85</v>
      </c>
      <c r="D798" t="s">
        <v>104</v>
      </c>
      <c r="E798" t="s">
        <v>123</v>
      </c>
      <c r="F798" t="s">
        <v>157</v>
      </c>
      <c r="G798" t="s">
        <v>183</v>
      </c>
      <c r="AK798" t="s">
        <v>356</v>
      </c>
    </row>
    <row r="799" spans="1:37">
      <c r="A799" t="s">
        <v>44</v>
      </c>
      <c r="B799" t="s">
        <v>64</v>
      </c>
      <c r="C799" t="s">
        <v>86</v>
      </c>
      <c r="D799" t="s">
        <v>105</v>
      </c>
      <c r="E799" t="s">
        <v>124</v>
      </c>
      <c r="F799" t="s">
        <v>158</v>
      </c>
      <c r="G799" t="s">
        <v>184</v>
      </c>
      <c r="AK799" t="s">
        <v>356</v>
      </c>
    </row>
    <row r="800" spans="1:37">
      <c r="A800" t="s">
        <v>45</v>
      </c>
      <c r="B800" t="s">
        <v>65</v>
      </c>
      <c r="C800" t="s">
        <v>87</v>
      </c>
      <c r="D800" t="s">
        <v>106</v>
      </c>
      <c r="E800" t="s">
        <v>125</v>
      </c>
      <c r="F800" t="s">
        <v>159</v>
      </c>
      <c r="G800" t="s">
        <v>185</v>
      </c>
      <c r="H800" t="s">
        <v>159</v>
      </c>
      <c r="I800" t="s">
        <v>185</v>
      </c>
      <c r="J800" t="s">
        <v>255</v>
      </c>
      <c r="AK800" t="s">
        <v>356</v>
      </c>
    </row>
    <row r="801" spans="1:37">
      <c r="A801" t="s">
        <v>46</v>
      </c>
      <c r="B801" t="s">
        <v>66</v>
      </c>
      <c r="C801" t="s">
        <v>88</v>
      </c>
      <c r="D801" t="s">
        <v>76</v>
      </c>
      <c r="E801" t="s">
        <v>126</v>
      </c>
      <c r="F801" t="s">
        <v>160</v>
      </c>
      <c r="G801" t="s">
        <v>186</v>
      </c>
      <c r="H801" t="s">
        <v>217</v>
      </c>
      <c r="I801" t="s">
        <v>238</v>
      </c>
      <c r="J801" t="s">
        <v>256</v>
      </c>
      <c r="K801" t="s">
        <v>265</v>
      </c>
      <c r="L801" t="s">
        <v>281</v>
      </c>
      <c r="M801" t="s">
        <v>290</v>
      </c>
      <c r="N801" t="s">
        <v>299</v>
      </c>
      <c r="O801" t="s">
        <v>308</v>
      </c>
      <c r="P801" t="s">
        <v>228</v>
      </c>
      <c r="Q801" t="s">
        <v>72</v>
      </c>
      <c r="R801" t="s">
        <v>327</v>
      </c>
      <c r="S801" t="s">
        <v>327</v>
      </c>
      <c r="T801" t="s">
        <v>336</v>
      </c>
      <c r="U801" t="s">
        <v>336</v>
      </c>
      <c r="V801" t="s">
        <v>336</v>
      </c>
      <c r="W801" t="s">
        <v>336</v>
      </c>
      <c r="X801" t="s">
        <v>353</v>
      </c>
      <c r="AK801" t="s">
        <v>356</v>
      </c>
    </row>
    <row r="802" spans="1:37">
      <c r="A802" t="s">
        <v>37</v>
      </c>
      <c r="B802" t="s">
        <v>49</v>
      </c>
      <c r="C802" t="s">
        <v>73</v>
      </c>
      <c r="D802" t="s">
        <v>94</v>
      </c>
      <c r="E802" t="s">
        <v>112</v>
      </c>
      <c r="F802" t="s">
        <v>146</v>
      </c>
      <c r="G802" t="s">
        <v>172</v>
      </c>
      <c r="H802" t="s">
        <v>207</v>
      </c>
      <c r="I802" t="s">
        <v>226</v>
      </c>
      <c r="J802" t="s">
        <v>246</v>
      </c>
      <c r="K802" t="s">
        <v>259</v>
      </c>
      <c r="AK802" t="s">
        <v>356</v>
      </c>
    </row>
    <row r="803" spans="1:37">
      <c r="A803" t="s">
        <v>38</v>
      </c>
      <c r="B803" t="s">
        <v>50</v>
      </c>
      <c r="C803" t="s">
        <v>74</v>
      </c>
      <c r="D803" t="s">
        <v>95</v>
      </c>
      <c r="E803" t="s">
        <v>113</v>
      </c>
      <c r="F803" t="s">
        <v>147</v>
      </c>
      <c r="G803" t="s">
        <v>173</v>
      </c>
      <c r="H803" t="s">
        <v>208</v>
      </c>
      <c r="I803" t="s">
        <v>227</v>
      </c>
      <c r="J803" t="s">
        <v>115</v>
      </c>
      <c r="K803" t="s">
        <v>260</v>
      </c>
      <c r="L803" t="s">
        <v>273</v>
      </c>
      <c r="M803" t="s">
        <v>282</v>
      </c>
      <c r="N803" t="s">
        <v>291</v>
      </c>
      <c r="AK803" t="s">
        <v>356</v>
      </c>
    </row>
    <row r="804" spans="1:37">
      <c r="B804" t="s">
        <v>51</v>
      </c>
      <c r="C804" t="s">
        <v>75</v>
      </c>
      <c r="D804" t="s">
        <v>52</v>
      </c>
      <c r="E804" t="s">
        <v>114</v>
      </c>
      <c r="F804" t="s">
        <v>148</v>
      </c>
      <c r="G804" t="s">
        <v>148</v>
      </c>
      <c r="H804" t="s">
        <v>209</v>
      </c>
      <c r="I804" t="s">
        <v>228</v>
      </c>
      <c r="J804" t="s">
        <v>247</v>
      </c>
      <c r="K804" t="s">
        <v>261</v>
      </c>
      <c r="L804" t="s">
        <v>274</v>
      </c>
      <c r="M804" t="s">
        <v>283</v>
      </c>
      <c r="N804" t="s">
        <v>292</v>
      </c>
      <c r="O804" t="s">
        <v>300</v>
      </c>
      <c r="AK804" t="s">
        <v>356</v>
      </c>
    </row>
    <row r="805" spans="1:37">
      <c r="B805" t="s">
        <v>52</v>
      </c>
      <c r="C805" t="s">
        <v>76</v>
      </c>
      <c r="D805" t="s">
        <v>96</v>
      </c>
      <c r="E805" t="s">
        <v>115</v>
      </c>
      <c r="F805" t="s">
        <v>149</v>
      </c>
      <c r="G805" t="s">
        <v>174</v>
      </c>
      <c r="H805" t="s">
        <v>96</v>
      </c>
      <c r="I805" t="s">
        <v>229</v>
      </c>
      <c r="J805" t="s">
        <v>248</v>
      </c>
      <c r="K805" t="s">
        <v>262</v>
      </c>
      <c r="L805" t="s">
        <v>52</v>
      </c>
      <c r="M805" t="s">
        <v>76</v>
      </c>
      <c r="N805" t="s">
        <v>293</v>
      </c>
      <c r="O805" t="s">
        <v>301</v>
      </c>
      <c r="P805" t="s">
        <v>309</v>
      </c>
      <c r="Q805" t="s">
        <v>315</v>
      </c>
      <c r="R805" t="s">
        <v>228</v>
      </c>
      <c r="S805" t="s">
        <v>328</v>
      </c>
      <c r="T805" t="s">
        <v>149</v>
      </c>
      <c r="U805" t="s">
        <v>337</v>
      </c>
      <c r="V805" t="s">
        <v>341</v>
      </c>
      <c r="W805" t="s">
        <v>345</v>
      </c>
      <c r="X805" t="s">
        <v>350</v>
      </c>
      <c r="AK805" t="s">
        <v>356</v>
      </c>
    </row>
    <row r="806" spans="1:37">
      <c r="B806" t="s">
        <v>53</v>
      </c>
      <c r="C806" t="s">
        <v>77</v>
      </c>
      <c r="D806" t="s">
        <v>97</v>
      </c>
      <c r="E806" t="s">
        <v>116</v>
      </c>
      <c r="F806" t="s">
        <v>150</v>
      </c>
      <c r="G806" t="s">
        <v>175</v>
      </c>
      <c r="H806" t="s">
        <v>210</v>
      </c>
      <c r="I806" t="s">
        <v>230</v>
      </c>
      <c r="J806" t="s">
        <v>249</v>
      </c>
      <c r="K806" t="s">
        <v>263</v>
      </c>
      <c r="L806" t="s">
        <v>275</v>
      </c>
      <c r="M806" t="s">
        <v>284</v>
      </c>
      <c r="N806" t="s">
        <v>294</v>
      </c>
      <c r="O806" t="s">
        <v>302</v>
      </c>
      <c r="P806" t="s">
        <v>310</v>
      </c>
      <c r="Q806" t="s">
        <v>316</v>
      </c>
      <c r="R806" t="s">
        <v>322</v>
      </c>
      <c r="S806" t="s">
        <v>329</v>
      </c>
      <c r="AK806" t="s">
        <v>356</v>
      </c>
    </row>
    <row r="807" spans="1:37">
      <c r="A807" t="s">
        <v>39</v>
      </c>
      <c r="B807" t="s">
        <v>54</v>
      </c>
      <c r="C807" t="s">
        <v>54</v>
      </c>
      <c r="D807" t="s">
        <v>54</v>
      </c>
      <c r="E807" t="s">
        <v>54</v>
      </c>
      <c r="F807" t="s">
        <v>54</v>
      </c>
      <c r="G807" t="s">
        <v>54</v>
      </c>
      <c r="H807" t="s">
        <v>54</v>
      </c>
      <c r="I807" t="s">
        <v>54</v>
      </c>
      <c r="J807" t="s">
        <v>54</v>
      </c>
      <c r="K807" t="s">
        <v>54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323</v>
      </c>
      <c r="S807" t="s">
        <v>330</v>
      </c>
      <c r="AK807" t="s">
        <v>356</v>
      </c>
    </row>
    <row r="808" spans="1:37">
      <c r="B808" t="s">
        <v>55</v>
      </c>
      <c r="C808" t="s">
        <v>78</v>
      </c>
      <c r="D808" t="s">
        <v>55</v>
      </c>
      <c r="E808" t="s">
        <v>78</v>
      </c>
      <c r="F808" t="s">
        <v>55</v>
      </c>
      <c r="G808" t="s">
        <v>78</v>
      </c>
      <c r="H808" t="s">
        <v>55</v>
      </c>
      <c r="I808" t="s">
        <v>78</v>
      </c>
      <c r="J808" t="s">
        <v>55</v>
      </c>
      <c r="K808" t="s">
        <v>78</v>
      </c>
      <c r="L808" t="s">
        <v>55</v>
      </c>
      <c r="M808" t="s">
        <v>78</v>
      </c>
      <c r="N808" t="s">
        <v>55</v>
      </c>
      <c r="O808" t="s">
        <v>78</v>
      </c>
      <c r="P808" t="s">
        <v>55</v>
      </c>
      <c r="Q808" t="s">
        <v>78</v>
      </c>
      <c r="R808" t="s">
        <v>55</v>
      </c>
      <c r="S808" t="s">
        <v>78</v>
      </c>
      <c r="T808" t="s">
        <v>55</v>
      </c>
      <c r="U808" t="s">
        <v>78</v>
      </c>
      <c r="V808" t="s">
        <v>55</v>
      </c>
      <c r="W808" t="s">
        <v>78</v>
      </c>
      <c r="X808" t="s">
        <v>55</v>
      </c>
      <c r="Y808" t="s">
        <v>78</v>
      </c>
      <c r="Z808" t="s">
        <v>55</v>
      </c>
      <c r="AA808" t="s">
        <v>78</v>
      </c>
      <c r="AB808" t="s">
        <v>55</v>
      </c>
      <c r="AC808" t="s">
        <v>78</v>
      </c>
      <c r="AD808" t="s">
        <v>55</v>
      </c>
      <c r="AE808" t="s">
        <v>78</v>
      </c>
      <c r="AF808" t="s">
        <v>55</v>
      </c>
      <c r="AG808" t="s">
        <v>78</v>
      </c>
      <c r="AH808" t="s">
        <v>55</v>
      </c>
      <c r="AI808" t="s">
        <v>78</v>
      </c>
      <c r="AK808" t="s">
        <v>356</v>
      </c>
    </row>
    <row r="809" spans="1:37">
      <c r="B809" t="s">
        <v>56</v>
      </c>
      <c r="C809" t="s">
        <v>56</v>
      </c>
      <c r="D809" t="s">
        <v>56</v>
      </c>
      <c r="E809" t="s">
        <v>56</v>
      </c>
      <c r="F809" t="s">
        <v>56</v>
      </c>
      <c r="G809" t="s">
        <v>176</v>
      </c>
      <c r="H809" t="s">
        <v>211</v>
      </c>
      <c r="I809" t="s">
        <v>231</v>
      </c>
      <c r="J809" t="s">
        <v>250</v>
      </c>
      <c r="K809" t="s">
        <v>264</v>
      </c>
      <c r="L809" t="s">
        <v>276</v>
      </c>
      <c r="M809" t="s">
        <v>285</v>
      </c>
      <c r="N809" t="s">
        <v>295</v>
      </c>
      <c r="O809" t="s">
        <v>303</v>
      </c>
      <c r="P809" t="s">
        <v>56</v>
      </c>
      <c r="Q809" t="s">
        <v>317</v>
      </c>
      <c r="R809" t="s">
        <v>324</v>
      </c>
      <c r="S809" t="s">
        <v>331</v>
      </c>
      <c r="T809" t="s">
        <v>334</v>
      </c>
      <c r="U809" t="s">
        <v>338</v>
      </c>
      <c r="V809" t="s">
        <v>342</v>
      </c>
      <c r="W809" t="s">
        <v>346</v>
      </c>
      <c r="X809" t="s">
        <v>351</v>
      </c>
      <c r="AK809" t="s">
        <v>356</v>
      </c>
    </row>
    <row r="810" spans="1:37">
      <c r="B810" t="s">
        <v>57</v>
      </c>
      <c r="C810" t="s">
        <v>79</v>
      </c>
      <c r="D810" t="s">
        <v>98</v>
      </c>
      <c r="E810" t="s">
        <v>117</v>
      </c>
      <c r="F810" t="s">
        <v>151</v>
      </c>
      <c r="G810" t="s">
        <v>177</v>
      </c>
      <c r="H810" t="s">
        <v>212</v>
      </c>
      <c r="I810" t="s">
        <v>232</v>
      </c>
      <c r="J810" t="s">
        <v>251</v>
      </c>
      <c r="K810" t="s">
        <v>265</v>
      </c>
      <c r="L810" t="s">
        <v>277</v>
      </c>
      <c r="M810" t="s">
        <v>286</v>
      </c>
      <c r="N810" t="s">
        <v>296</v>
      </c>
      <c r="O810" t="s">
        <v>304</v>
      </c>
      <c r="P810" t="s">
        <v>311</v>
      </c>
      <c r="Q810" t="s">
        <v>318</v>
      </c>
      <c r="R810" t="s">
        <v>185</v>
      </c>
      <c r="S810" t="s">
        <v>159</v>
      </c>
      <c r="T810" t="s">
        <v>185</v>
      </c>
      <c r="U810" t="s">
        <v>339</v>
      </c>
      <c r="V810" t="s">
        <v>72</v>
      </c>
      <c r="W810" t="s">
        <v>347</v>
      </c>
      <c r="X810" t="s">
        <v>72</v>
      </c>
      <c r="Y810" t="s">
        <v>96</v>
      </c>
      <c r="AK810" t="s">
        <v>356</v>
      </c>
    </row>
    <row r="811" spans="1:37">
      <c r="B811" t="s">
        <v>58</v>
      </c>
      <c r="C811" t="s">
        <v>80</v>
      </c>
      <c r="D811" t="s">
        <v>99</v>
      </c>
      <c r="E811" t="s">
        <v>118</v>
      </c>
      <c r="F811" t="s">
        <v>152</v>
      </c>
      <c r="G811" t="s">
        <v>178</v>
      </c>
      <c r="H811" t="s">
        <v>213</v>
      </c>
      <c r="I811" t="s">
        <v>233</v>
      </c>
      <c r="J811" t="s">
        <v>252</v>
      </c>
      <c r="K811" t="s">
        <v>266</v>
      </c>
      <c r="L811" t="s">
        <v>278</v>
      </c>
      <c r="M811" t="s">
        <v>287</v>
      </c>
      <c r="N811" t="s">
        <v>297</v>
      </c>
      <c r="O811" t="s">
        <v>305</v>
      </c>
      <c r="P811" t="s">
        <v>312</v>
      </c>
      <c r="Q811" t="s">
        <v>319</v>
      </c>
      <c r="R811">
        <f>&gt;10       ветра      3.7     21  22 23</f>
        <v>0</v>
      </c>
      <c r="AK811" t="s">
        <v>356</v>
      </c>
    </row>
    <row r="812" spans="1:37">
      <c r="A812" t="s">
        <v>40</v>
      </c>
      <c r="B812" t="s">
        <v>59</v>
      </c>
      <c r="C812" t="s">
        <v>81</v>
      </c>
      <c r="D812" t="s">
        <v>100</v>
      </c>
      <c r="E812" t="s">
        <v>119</v>
      </c>
      <c r="F812" t="s">
        <v>153</v>
      </c>
      <c r="G812" t="s">
        <v>179</v>
      </c>
      <c r="H812" t="s">
        <v>214</v>
      </c>
      <c r="I812" t="s">
        <v>234</v>
      </c>
      <c r="AK812" t="s">
        <v>356</v>
      </c>
    </row>
    <row r="813" spans="1:37">
      <c r="A813" t="s">
        <v>40</v>
      </c>
      <c r="B813" t="s">
        <v>60</v>
      </c>
      <c r="C813" t="s">
        <v>82</v>
      </c>
      <c r="D813" t="s">
        <v>101</v>
      </c>
      <c r="E813" t="s">
        <v>120</v>
      </c>
      <c r="F813" t="s">
        <v>154</v>
      </c>
      <c r="G813" t="s">
        <v>180</v>
      </c>
      <c r="H813" t="s">
        <v>215</v>
      </c>
      <c r="I813" t="s">
        <v>235</v>
      </c>
      <c r="J813" t="s">
        <v>253</v>
      </c>
      <c r="K813" t="s">
        <v>267</v>
      </c>
      <c r="L813" t="s">
        <v>279</v>
      </c>
      <c r="M813" t="s">
        <v>288</v>
      </c>
      <c r="N813" t="s">
        <v>100</v>
      </c>
      <c r="O813" t="s">
        <v>306</v>
      </c>
      <c r="P813" t="s">
        <v>313</v>
      </c>
      <c r="Q813" t="s">
        <v>320</v>
      </c>
      <c r="R813" t="s">
        <v>325</v>
      </c>
      <c r="S813" t="s">
        <v>332</v>
      </c>
      <c r="T813" t="s">
        <v>119</v>
      </c>
      <c r="U813" t="s">
        <v>234</v>
      </c>
      <c r="V813" t="s">
        <v>343</v>
      </c>
      <c r="W813" t="s">
        <v>348</v>
      </c>
      <c r="X813" t="s">
        <v>352</v>
      </c>
      <c r="Y813" t="s">
        <v>354</v>
      </c>
      <c r="AK813" t="s">
        <v>356</v>
      </c>
    </row>
    <row r="814" spans="1:37">
      <c r="A814" t="s">
        <v>41</v>
      </c>
      <c r="B814" t="s">
        <v>61</v>
      </c>
      <c r="C814" t="s">
        <v>83</v>
      </c>
      <c r="D814" t="s">
        <v>102</v>
      </c>
      <c r="E814" t="s">
        <v>121</v>
      </c>
      <c r="F814" t="s">
        <v>155</v>
      </c>
      <c r="G814" t="s">
        <v>181</v>
      </c>
      <c r="H814" t="s">
        <v>216</v>
      </c>
      <c r="I814" t="s">
        <v>236</v>
      </c>
      <c r="AK814" t="s">
        <v>356</v>
      </c>
    </row>
    <row r="815" spans="1:37">
      <c r="A815" t="s">
        <v>42</v>
      </c>
      <c r="B815" t="s">
        <v>62</v>
      </c>
      <c r="C815" t="s">
        <v>84</v>
      </c>
      <c r="D815" t="s">
        <v>103</v>
      </c>
      <c r="E815" t="s">
        <v>122</v>
      </c>
      <c r="F815" t="s">
        <v>156</v>
      </c>
      <c r="G815" t="s">
        <v>182</v>
      </c>
      <c r="H815" t="s">
        <v>83</v>
      </c>
      <c r="I815" t="s">
        <v>237</v>
      </c>
      <c r="J815" t="s">
        <v>254</v>
      </c>
      <c r="K815" t="s">
        <v>268</v>
      </c>
      <c r="L815" t="s">
        <v>280</v>
      </c>
      <c r="M815" t="s">
        <v>289</v>
      </c>
      <c r="N815" t="s">
        <v>298</v>
      </c>
      <c r="O815" t="s">
        <v>307</v>
      </c>
      <c r="P815" t="s">
        <v>314</v>
      </c>
      <c r="Q815" t="s">
        <v>216</v>
      </c>
      <c r="R815" t="s">
        <v>326</v>
      </c>
      <c r="S815" t="s">
        <v>333</v>
      </c>
      <c r="T815" t="s">
        <v>335</v>
      </c>
      <c r="U815" t="s">
        <v>340</v>
      </c>
      <c r="V815" t="s">
        <v>344</v>
      </c>
      <c r="W815" t="s">
        <v>349</v>
      </c>
      <c r="AK815" t="s">
        <v>356</v>
      </c>
    </row>
    <row r="816" spans="1:37">
      <c r="A816" t="s">
        <v>43</v>
      </c>
      <c r="B816" t="s">
        <v>63</v>
      </c>
      <c r="C816" t="s">
        <v>85</v>
      </c>
      <c r="D816" t="s">
        <v>104</v>
      </c>
      <c r="E816" t="s">
        <v>123</v>
      </c>
      <c r="F816" t="s">
        <v>157</v>
      </c>
      <c r="G816" t="s">
        <v>183</v>
      </c>
      <c r="AK816" t="s">
        <v>356</v>
      </c>
    </row>
    <row r="817" spans="1:37">
      <c r="A817" t="s">
        <v>44</v>
      </c>
      <c r="B817" t="s">
        <v>64</v>
      </c>
      <c r="C817" t="s">
        <v>86</v>
      </c>
      <c r="D817" t="s">
        <v>105</v>
      </c>
      <c r="E817" t="s">
        <v>124</v>
      </c>
      <c r="F817" t="s">
        <v>158</v>
      </c>
      <c r="G817" t="s">
        <v>184</v>
      </c>
      <c r="AK817" t="s">
        <v>356</v>
      </c>
    </row>
    <row r="818" spans="1:37">
      <c r="A818" t="s">
        <v>45</v>
      </c>
      <c r="B818" t="s">
        <v>65</v>
      </c>
      <c r="C818" t="s">
        <v>87</v>
      </c>
      <c r="D818" t="s">
        <v>106</v>
      </c>
      <c r="E818" t="s">
        <v>125</v>
      </c>
      <c r="F818" t="s">
        <v>159</v>
      </c>
      <c r="G818" t="s">
        <v>185</v>
      </c>
      <c r="H818" t="s">
        <v>159</v>
      </c>
      <c r="I818" t="s">
        <v>185</v>
      </c>
      <c r="J818" t="s">
        <v>255</v>
      </c>
      <c r="AK818" t="s">
        <v>356</v>
      </c>
    </row>
    <row r="819" spans="1:37">
      <c r="A819" t="s">
        <v>46</v>
      </c>
      <c r="B819" t="s">
        <v>66</v>
      </c>
      <c r="C819" t="s">
        <v>88</v>
      </c>
      <c r="D819" t="s">
        <v>76</v>
      </c>
      <c r="E819" t="s">
        <v>126</v>
      </c>
      <c r="F819" t="s">
        <v>160</v>
      </c>
      <c r="G819" t="s">
        <v>186</v>
      </c>
      <c r="H819" t="s">
        <v>217</v>
      </c>
      <c r="I819" t="s">
        <v>238</v>
      </c>
      <c r="J819" t="s">
        <v>256</v>
      </c>
      <c r="K819" t="s">
        <v>265</v>
      </c>
      <c r="L819" t="s">
        <v>281</v>
      </c>
      <c r="M819" t="s">
        <v>290</v>
      </c>
      <c r="N819" t="s">
        <v>299</v>
      </c>
      <c r="O819" t="s">
        <v>308</v>
      </c>
      <c r="P819" t="s">
        <v>228</v>
      </c>
      <c r="Q819" t="s">
        <v>72</v>
      </c>
      <c r="R819" t="s">
        <v>327</v>
      </c>
      <c r="S819" t="s">
        <v>327</v>
      </c>
      <c r="T819" t="s">
        <v>336</v>
      </c>
      <c r="U819" t="s">
        <v>336</v>
      </c>
      <c r="V819" t="s">
        <v>336</v>
      </c>
      <c r="W819" t="s">
        <v>336</v>
      </c>
      <c r="X819" t="s">
        <v>353</v>
      </c>
      <c r="AK819" t="s">
        <v>356</v>
      </c>
    </row>
    <row r="820" spans="1:37">
      <c r="A820" t="s">
        <v>37</v>
      </c>
      <c r="B820" t="s">
        <v>49</v>
      </c>
      <c r="C820" t="s">
        <v>73</v>
      </c>
      <c r="D820" t="s">
        <v>94</v>
      </c>
      <c r="E820" t="s">
        <v>112</v>
      </c>
      <c r="F820" t="s">
        <v>146</v>
      </c>
      <c r="G820" t="s">
        <v>172</v>
      </c>
      <c r="H820" t="s">
        <v>207</v>
      </c>
      <c r="I820" t="s">
        <v>226</v>
      </c>
      <c r="J820" t="s">
        <v>246</v>
      </c>
      <c r="K820" t="s">
        <v>259</v>
      </c>
      <c r="AK820" t="s">
        <v>356</v>
      </c>
    </row>
    <row r="821" spans="1:37">
      <c r="A821" t="s">
        <v>38</v>
      </c>
      <c r="B821" t="s">
        <v>50</v>
      </c>
      <c r="C821" t="s">
        <v>74</v>
      </c>
      <c r="D821" t="s">
        <v>95</v>
      </c>
      <c r="E821" t="s">
        <v>113</v>
      </c>
      <c r="F821" t="s">
        <v>147</v>
      </c>
      <c r="G821" t="s">
        <v>173</v>
      </c>
      <c r="H821" t="s">
        <v>208</v>
      </c>
      <c r="I821" t="s">
        <v>227</v>
      </c>
      <c r="J821" t="s">
        <v>115</v>
      </c>
      <c r="K821" t="s">
        <v>260</v>
      </c>
      <c r="L821" t="s">
        <v>273</v>
      </c>
      <c r="M821" t="s">
        <v>282</v>
      </c>
      <c r="N821" t="s">
        <v>291</v>
      </c>
      <c r="AK821" t="s">
        <v>356</v>
      </c>
    </row>
    <row r="822" spans="1:37">
      <c r="B822" t="s">
        <v>51</v>
      </c>
      <c r="C822" t="s">
        <v>75</v>
      </c>
      <c r="D822" t="s">
        <v>52</v>
      </c>
      <c r="E822" t="s">
        <v>114</v>
      </c>
      <c r="F822" t="s">
        <v>148</v>
      </c>
      <c r="G822" t="s">
        <v>148</v>
      </c>
      <c r="H822" t="s">
        <v>209</v>
      </c>
      <c r="I822" t="s">
        <v>228</v>
      </c>
      <c r="J822" t="s">
        <v>247</v>
      </c>
      <c r="K822" t="s">
        <v>261</v>
      </c>
      <c r="L822" t="s">
        <v>274</v>
      </c>
      <c r="M822" t="s">
        <v>283</v>
      </c>
      <c r="N822" t="s">
        <v>292</v>
      </c>
      <c r="O822" t="s">
        <v>300</v>
      </c>
      <c r="AK822" t="s">
        <v>356</v>
      </c>
    </row>
    <row r="823" spans="1:37">
      <c r="B823" t="s">
        <v>52</v>
      </c>
      <c r="C823" t="s">
        <v>76</v>
      </c>
      <c r="D823" t="s">
        <v>96</v>
      </c>
      <c r="E823" t="s">
        <v>115</v>
      </c>
      <c r="F823" t="s">
        <v>149</v>
      </c>
      <c r="G823" t="s">
        <v>174</v>
      </c>
      <c r="H823" t="s">
        <v>96</v>
      </c>
      <c r="I823" t="s">
        <v>229</v>
      </c>
      <c r="J823" t="s">
        <v>248</v>
      </c>
      <c r="K823" t="s">
        <v>262</v>
      </c>
      <c r="L823" t="s">
        <v>52</v>
      </c>
      <c r="M823" t="s">
        <v>76</v>
      </c>
      <c r="N823" t="s">
        <v>293</v>
      </c>
      <c r="O823" t="s">
        <v>301</v>
      </c>
      <c r="P823" t="s">
        <v>309</v>
      </c>
      <c r="Q823" t="s">
        <v>315</v>
      </c>
      <c r="R823" t="s">
        <v>228</v>
      </c>
      <c r="S823" t="s">
        <v>328</v>
      </c>
      <c r="T823" t="s">
        <v>149</v>
      </c>
      <c r="U823" t="s">
        <v>337</v>
      </c>
      <c r="V823" t="s">
        <v>341</v>
      </c>
      <c r="W823" t="s">
        <v>345</v>
      </c>
      <c r="X823" t="s">
        <v>350</v>
      </c>
      <c r="AK823" t="s">
        <v>356</v>
      </c>
    </row>
    <row r="824" spans="1:37">
      <c r="B824" t="s">
        <v>53</v>
      </c>
      <c r="C824" t="s">
        <v>77</v>
      </c>
      <c r="D824" t="s">
        <v>97</v>
      </c>
      <c r="E824" t="s">
        <v>116</v>
      </c>
      <c r="F824" t="s">
        <v>150</v>
      </c>
      <c r="G824" t="s">
        <v>175</v>
      </c>
      <c r="H824" t="s">
        <v>210</v>
      </c>
      <c r="I824" t="s">
        <v>230</v>
      </c>
      <c r="J824" t="s">
        <v>249</v>
      </c>
      <c r="K824" t="s">
        <v>263</v>
      </c>
      <c r="L824" t="s">
        <v>275</v>
      </c>
      <c r="M824" t="s">
        <v>284</v>
      </c>
      <c r="N824" t="s">
        <v>294</v>
      </c>
      <c r="O824" t="s">
        <v>302</v>
      </c>
      <c r="P824" t="s">
        <v>310</v>
      </c>
      <c r="Q824" t="s">
        <v>316</v>
      </c>
      <c r="R824" t="s">
        <v>322</v>
      </c>
      <c r="S824" t="s">
        <v>329</v>
      </c>
      <c r="AK824" t="s">
        <v>356</v>
      </c>
    </row>
    <row r="825" spans="1:37">
      <c r="A825" t="s">
        <v>39</v>
      </c>
      <c r="B825" t="s">
        <v>54</v>
      </c>
      <c r="C825" t="s">
        <v>54</v>
      </c>
      <c r="D825" t="s">
        <v>54</v>
      </c>
      <c r="E825" t="s">
        <v>54</v>
      </c>
      <c r="F825" t="s">
        <v>54</v>
      </c>
      <c r="G825" t="s">
        <v>54</v>
      </c>
      <c r="H825" t="s">
        <v>54</v>
      </c>
      <c r="I825" t="s">
        <v>54</v>
      </c>
      <c r="J825" t="s">
        <v>54</v>
      </c>
      <c r="K825" t="s">
        <v>54</v>
      </c>
      <c r="L825" t="s">
        <v>54</v>
      </c>
      <c r="M825" t="s">
        <v>54</v>
      </c>
      <c r="N825" t="s">
        <v>54</v>
      </c>
      <c r="O825" t="s">
        <v>54</v>
      </c>
      <c r="P825" t="s">
        <v>54</v>
      </c>
      <c r="Q825" t="s">
        <v>54</v>
      </c>
      <c r="R825" t="s">
        <v>323</v>
      </c>
      <c r="S825" t="s">
        <v>330</v>
      </c>
      <c r="AK825" t="s">
        <v>356</v>
      </c>
    </row>
    <row r="826" spans="1:37">
      <c r="B826" t="s">
        <v>55</v>
      </c>
      <c r="C826" t="s">
        <v>78</v>
      </c>
      <c r="D826" t="s">
        <v>55</v>
      </c>
      <c r="E826" t="s">
        <v>78</v>
      </c>
      <c r="F826" t="s">
        <v>55</v>
      </c>
      <c r="G826" t="s">
        <v>78</v>
      </c>
      <c r="H826" t="s">
        <v>55</v>
      </c>
      <c r="I826" t="s">
        <v>78</v>
      </c>
      <c r="J826" t="s">
        <v>55</v>
      </c>
      <c r="K826" t="s">
        <v>78</v>
      </c>
      <c r="L826" t="s">
        <v>55</v>
      </c>
      <c r="M826" t="s">
        <v>78</v>
      </c>
      <c r="N826" t="s">
        <v>55</v>
      </c>
      <c r="O826" t="s">
        <v>78</v>
      </c>
      <c r="P826" t="s">
        <v>55</v>
      </c>
      <c r="Q826" t="s">
        <v>78</v>
      </c>
      <c r="R826" t="s">
        <v>55</v>
      </c>
      <c r="S826" t="s">
        <v>78</v>
      </c>
      <c r="T826" t="s">
        <v>55</v>
      </c>
      <c r="U826" t="s">
        <v>78</v>
      </c>
      <c r="V826" t="s">
        <v>55</v>
      </c>
      <c r="W826" t="s">
        <v>78</v>
      </c>
      <c r="X826" t="s">
        <v>55</v>
      </c>
      <c r="Y826" t="s">
        <v>78</v>
      </c>
      <c r="Z826" t="s">
        <v>55</v>
      </c>
      <c r="AA826" t="s">
        <v>78</v>
      </c>
      <c r="AB826" t="s">
        <v>55</v>
      </c>
      <c r="AC826" t="s">
        <v>78</v>
      </c>
      <c r="AD826" t="s">
        <v>55</v>
      </c>
      <c r="AE826" t="s">
        <v>78</v>
      </c>
      <c r="AF826" t="s">
        <v>55</v>
      </c>
      <c r="AG826" t="s">
        <v>78</v>
      </c>
      <c r="AH826" t="s">
        <v>55</v>
      </c>
      <c r="AI826" t="s">
        <v>78</v>
      </c>
      <c r="AK826" t="s">
        <v>356</v>
      </c>
    </row>
    <row r="827" spans="1:37">
      <c r="B827" t="s">
        <v>56</v>
      </c>
      <c r="C827" t="s">
        <v>56</v>
      </c>
      <c r="D827" t="s">
        <v>56</v>
      </c>
      <c r="E827" t="s">
        <v>56</v>
      </c>
      <c r="F827" t="s">
        <v>56</v>
      </c>
      <c r="G827" t="s">
        <v>176</v>
      </c>
      <c r="H827" t="s">
        <v>211</v>
      </c>
      <c r="I827" t="s">
        <v>231</v>
      </c>
      <c r="J827" t="s">
        <v>250</v>
      </c>
      <c r="K827" t="s">
        <v>264</v>
      </c>
      <c r="L827" t="s">
        <v>276</v>
      </c>
      <c r="M827" t="s">
        <v>285</v>
      </c>
      <c r="N827" t="s">
        <v>295</v>
      </c>
      <c r="O827" t="s">
        <v>303</v>
      </c>
      <c r="P827" t="s">
        <v>56</v>
      </c>
      <c r="Q827" t="s">
        <v>317</v>
      </c>
      <c r="R827" t="s">
        <v>324</v>
      </c>
      <c r="S827" t="s">
        <v>331</v>
      </c>
      <c r="T827" t="s">
        <v>334</v>
      </c>
      <c r="U827" t="s">
        <v>338</v>
      </c>
      <c r="V827" t="s">
        <v>342</v>
      </c>
      <c r="W827" t="s">
        <v>346</v>
      </c>
      <c r="X827" t="s">
        <v>351</v>
      </c>
      <c r="AK827" t="s">
        <v>356</v>
      </c>
    </row>
    <row r="828" spans="1:37">
      <c r="B828" t="s">
        <v>57</v>
      </c>
      <c r="C828" t="s">
        <v>79</v>
      </c>
      <c r="D828" t="s">
        <v>98</v>
      </c>
      <c r="E828" t="s">
        <v>117</v>
      </c>
      <c r="F828" t="s">
        <v>151</v>
      </c>
      <c r="G828" t="s">
        <v>177</v>
      </c>
      <c r="H828" t="s">
        <v>212</v>
      </c>
      <c r="I828" t="s">
        <v>232</v>
      </c>
      <c r="J828" t="s">
        <v>251</v>
      </c>
      <c r="K828" t="s">
        <v>265</v>
      </c>
      <c r="L828" t="s">
        <v>277</v>
      </c>
      <c r="M828" t="s">
        <v>286</v>
      </c>
      <c r="N828" t="s">
        <v>296</v>
      </c>
      <c r="O828" t="s">
        <v>304</v>
      </c>
      <c r="P828" t="s">
        <v>311</v>
      </c>
      <c r="Q828" t="s">
        <v>318</v>
      </c>
      <c r="R828" t="s">
        <v>185</v>
      </c>
      <c r="S828" t="s">
        <v>159</v>
      </c>
      <c r="T828" t="s">
        <v>185</v>
      </c>
      <c r="U828" t="s">
        <v>339</v>
      </c>
      <c r="V828" t="s">
        <v>72</v>
      </c>
      <c r="W828" t="s">
        <v>347</v>
      </c>
      <c r="X828" t="s">
        <v>72</v>
      </c>
      <c r="Y828" t="s">
        <v>96</v>
      </c>
      <c r="AK828" t="s">
        <v>356</v>
      </c>
    </row>
    <row r="829" spans="1:37">
      <c r="B829" t="s">
        <v>58</v>
      </c>
      <c r="C829" t="s">
        <v>80</v>
      </c>
      <c r="D829" t="s">
        <v>99</v>
      </c>
      <c r="E829" t="s">
        <v>118</v>
      </c>
      <c r="F829" t="s">
        <v>152</v>
      </c>
      <c r="G829" t="s">
        <v>178</v>
      </c>
      <c r="H829" t="s">
        <v>213</v>
      </c>
      <c r="I829" t="s">
        <v>233</v>
      </c>
      <c r="J829" t="s">
        <v>252</v>
      </c>
      <c r="K829" t="s">
        <v>266</v>
      </c>
      <c r="L829" t="s">
        <v>278</v>
      </c>
      <c r="M829" t="s">
        <v>287</v>
      </c>
      <c r="N829" t="s">
        <v>297</v>
      </c>
      <c r="O829" t="s">
        <v>305</v>
      </c>
      <c r="P829" t="s">
        <v>312</v>
      </c>
      <c r="Q829" t="s">
        <v>319</v>
      </c>
      <c r="R829">
        <f>&gt;10       ветра      4.0     23  23</f>
        <v>0</v>
      </c>
      <c r="AK829" t="s">
        <v>356</v>
      </c>
    </row>
    <row r="830" spans="1:37">
      <c r="A830" t="s">
        <v>40</v>
      </c>
      <c r="B830" t="s">
        <v>59</v>
      </c>
      <c r="C830" t="s">
        <v>81</v>
      </c>
      <c r="D830" t="s">
        <v>100</v>
      </c>
      <c r="E830" t="s">
        <v>119</v>
      </c>
      <c r="F830" t="s">
        <v>153</v>
      </c>
      <c r="G830" t="s">
        <v>179</v>
      </c>
      <c r="H830" t="s">
        <v>214</v>
      </c>
      <c r="I830" t="s">
        <v>234</v>
      </c>
      <c r="AK830" t="s">
        <v>356</v>
      </c>
    </row>
    <row r="831" spans="1:37">
      <c r="A831" t="s">
        <v>40</v>
      </c>
      <c r="B831" t="s">
        <v>60</v>
      </c>
      <c r="C831" t="s">
        <v>82</v>
      </c>
      <c r="D831" t="s">
        <v>101</v>
      </c>
      <c r="E831" t="s">
        <v>120</v>
      </c>
      <c r="F831" t="s">
        <v>154</v>
      </c>
      <c r="G831" t="s">
        <v>180</v>
      </c>
      <c r="H831" t="s">
        <v>215</v>
      </c>
      <c r="I831" t="s">
        <v>235</v>
      </c>
      <c r="J831" t="s">
        <v>253</v>
      </c>
      <c r="K831" t="s">
        <v>267</v>
      </c>
      <c r="L831" t="s">
        <v>279</v>
      </c>
      <c r="M831" t="s">
        <v>288</v>
      </c>
      <c r="N831" t="s">
        <v>100</v>
      </c>
      <c r="O831" t="s">
        <v>306</v>
      </c>
      <c r="P831" t="s">
        <v>313</v>
      </c>
      <c r="Q831" t="s">
        <v>320</v>
      </c>
      <c r="R831" t="s">
        <v>325</v>
      </c>
      <c r="S831" t="s">
        <v>332</v>
      </c>
      <c r="T831" t="s">
        <v>119</v>
      </c>
      <c r="U831" t="s">
        <v>234</v>
      </c>
      <c r="V831" t="s">
        <v>343</v>
      </c>
      <c r="W831" t="s">
        <v>348</v>
      </c>
      <c r="X831" t="s">
        <v>352</v>
      </c>
      <c r="Y831" t="s">
        <v>354</v>
      </c>
      <c r="AK831" t="s">
        <v>356</v>
      </c>
    </row>
    <row r="832" spans="1:37">
      <c r="A832" t="s">
        <v>41</v>
      </c>
      <c r="B832" t="s">
        <v>61</v>
      </c>
      <c r="C832" t="s">
        <v>83</v>
      </c>
      <c r="D832" t="s">
        <v>102</v>
      </c>
      <c r="E832" t="s">
        <v>121</v>
      </c>
      <c r="F832" t="s">
        <v>155</v>
      </c>
      <c r="G832" t="s">
        <v>181</v>
      </c>
      <c r="H832" t="s">
        <v>216</v>
      </c>
      <c r="I832" t="s">
        <v>236</v>
      </c>
      <c r="AK832" t="s">
        <v>356</v>
      </c>
    </row>
    <row r="833" spans="1:37">
      <c r="A833" t="s">
        <v>42</v>
      </c>
      <c r="B833" t="s">
        <v>62</v>
      </c>
      <c r="C833" t="s">
        <v>84</v>
      </c>
      <c r="D833" t="s">
        <v>103</v>
      </c>
      <c r="E833" t="s">
        <v>122</v>
      </c>
      <c r="F833" t="s">
        <v>156</v>
      </c>
      <c r="G833" t="s">
        <v>182</v>
      </c>
      <c r="H833" t="s">
        <v>83</v>
      </c>
      <c r="I833" t="s">
        <v>237</v>
      </c>
      <c r="J833" t="s">
        <v>254</v>
      </c>
      <c r="K833" t="s">
        <v>268</v>
      </c>
      <c r="L833" t="s">
        <v>280</v>
      </c>
      <c r="M833" t="s">
        <v>289</v>
      </c>
      <c r="N833" t="s">
        <v>298</v>
      </c>
      <c r="O833" t="s">
        <v>307</v>
      </c>
      <c r="P833" t="s">
        <v>314</v>
      </c>
      <c r="Q833" t="s">
        <v>216</v>
      </c>
      <c r="R833" t="s">
        <v>326</v>
      </c>
      <c r="S833" t="s">
        <v>333</v>
      </c>
      <c r="T833" t="s">
        <v>335</v>
      </c>
      <c r="U833" t="s">
        <v>340</v>
      </c>
      <c r="V833" t="s">
        <v>344</v>
      </c>
      <c r="W833" t="s">
        <v>349</v>
      </c>
      <c r="AK833" t="s">
        <v>356</v>
      </c>
    </row>
    <row r="834" spans="1:37">
      <c r="A834" t="s">
        <v>43</v>
      </c>
      <c r="B834" t="s">
        <v>63</v>
      </c>
      <c r="C834" t="s">
        <v>85</v>
      </c>
      <c r="D834" t="s">
        <v>104</v>
      </c>
      <c r="E834" t="s">
        <v>123</v>
      </c>
      <c r="F834" t="s">
        <v>157</v>
      </c>
      <c r="G834" t="s">
        <v>183</v>
      </c>
      <c r="AK834" t="s">
        <v>356</v>
      </c>
    </row>
    <row r="835" spans="1:37">
      <c r="A835" t="s">
        <v>44</v>
      </c>
      <c r="B835" t="s">
        <v>64</v>
      </c>
      <c r="C835" t="s">
        <v>86</v>
      </c>
      <c r="D835" t="s">
        <v>105</v>
      </c>
      <c r="E835" t="s">
        <v>124</v>
      </c>
      <c r="F835" t="s">
        <v>158</v>
      </c>
      <c r="G835" t="s">
        <v>184</v>
      </c>
      <c r="AK835" t="s">
        <v>356</v>
      </c>
    </row>
    <row r="836" spans="1:37">
      <c r="A836" t="s">
        <v>45</v>
      </c>
      <c r="B836" t="s">
        <v>65</v>
      </c>
      <c r="C836" t="s">
        <v>87</v>
      </c>
      <c r="D836" t="s">
        <v>106</v>
      </c>
      <c r="E836" t="s">
        <v>125</v>
      </c>
      <c r="F836" t="s">
        <v>159</v>
      </c>
      <c r="G836" t="s">
        <v>185</v>
      </c>
      <c r="H836" t="s">
        <v>159</v>
      </c>
      <c r="I836" t="s">
        <v>185</v>
      </c>
      <c r="J836" t="s">
        <v>255</v>
      </c>
      <c r="AK836" t="s">
        <v>356</v>
      </c>
    </row>
    <row r="837" spans="1:37">
      <c r="A837" t="s">
        <v>46</v>
      </c>
      <c r="B837" t="s">
        <v>66</v>
      </c>
      <c r="C837" t="s">
        <v>88</v>
      </c>
      <c r="D837" t="s">
        <v>76</v>
      </c>
      <c r="E837" t="s">
        <v>126</v>
      </c>
      <c r="F837" t="s">
        <v>160</v>
      </c>
      <c r="G837" t="s">
        <v>186</v>
      </c>
      <c r="H837" t="s">
        <v>217</v>
      </c>
      <c r="I837" t="s">
        <v>238</v>
      </c>
      <c r="J837" t="s">
        <v>256</v>
      </c>
      <c r="K837" t="s">
        <v>265</v>
      </c>
      <c r="L837" t="s">
        <v>281</v>
      </c>
      <c r="M837" t="s">
        <v>290</v>
      </c>
      <c r="N837" t="s">
        <v>299</v>
      </c>
      <c r="O837" t="s">
        <v>308</v>
      </c>
      <c r="P837" t="s">
        <v>228</v>
      </c>
      <c r="Q837" t="s">
        <v>72</v>
      </c>
      <c r="R837" t="s">
        <v>327</v>
      </c>
      <c r="S837" t="s">
        <v>327</v>
      </c>
      <c r="T837" t="s">
        <v>336</v>
      </c>
      <c r="U837" t="s">
        <v>336</v>
      </c>
      <c r="V837" t="s">
        <v>336</v>
      </c>
      <c r="W837" t="s">
        <v>336</v>
      </c>
      <c r="X837" t="s">
        <v>353</v>
      </c>
      <c r="AK837" t="s">
        <v>356</v>
      </c>
    </row>
    <row r="838" spans="1:37">
      <c r="B838" t="s">
        <v>67</v>
      </c>
      <c r="C838" t="s">
        <v>89</v>
      </c>
      <c r="D838" t="s">
        <v>107</v>
      </c>
      <c r="AK838" t="s">
        <v>356</v>
      </c>
    </row>
    <row r="839" spans="1:37">
      <c r="B839" t="s">
        <v>68</v>
      </c>
      <c r="C839" t="s">
        <v>90</v>
      </c>
      <c r="D839" t="s">
        <v>108</v>
      </c>
      <c r="AK839" t="s">
        <v>356</v>
      </c>
    </row>
    <row r="840" spans="1:37">
      <c r="A840" t="s">
        <v>47</v>
      </c>
      <c r="B840" t="s">
        <v>69</v>
      </c>
      <c r="C840" t="s">
        <v>91</v>
      </c>
      <c r="D840" t="s">
        <v>109</v>
      </c>
      <c r="E840" t="s">
        <v>109</v>
      </c>
      <c r="F840" t="s">
        <v>109</v>
      </c>
      <c r="G840" t="s">
        <v>109</v>
      </c>
      <c r="H840" t="s">
        <v>109</v>
      </c>
      <c r="I840" t="s">
        <v>239</v>
      </c>
      <c r="AK840" t="s">
        <v>356</v>
      </c>
    </row>
    <row r="841" spans="1:37">
      <c r="B841" t="s">
        <v>70</v>
      </c>
      <c r="C841" t="s">
        <v>92</v>
      </c>
      <c r="D841" t="s">
        <v>110</v>
      </c>
      <c r="E841" t="s">
        <v>127</v>
      </c>
      <c r="F841" t="s">
        <v>161</v>
      </c>
      <c r="G841" t="s">
        <v>187</v>
      </c>
      <c r="H841" t="s">
        <v>218</v>
      </c>
      <c r="AK841" t="s">
        <v>356</v>
      </c>
    </row>
    <row r="842" spans="1:37">
      <c r="B842" t="s">
        <v>71</v>
      </c>
      <c r="C842" t="s">
        <v>93</v>
      </c>
      <c r="D842" t="s">
        <v>111</v>
      </c>
      <c r="E842" t="s">
        <v>128</v>
      </c>
      <c r="F842" t="s">
        <v>162</v>
      </c>
      <c r="G842" t="s">
        <v>188</v>
      </c>
      <c r="H842" t="s">
        <v>219</v>
      </c>
      <c r="I842" t="s">
        <v>240</v>
      </c>
      <c r="J842" t="s">
        <v>257</v>
      </c>
      <c r="K842" t="s">
        <v>269</v>
      </c>
      <c r="L842" t="s">
        <v>109</v>
      </c>
      <c r="M842" t="s">
        <v>109</v>
      </c>
      <c r="N842" t="s">
        <v>109</v>
      </c>
      <c r="O842" t="s">
        <v>109</v>
      </c>
      <c r="P842" t="s">
        <v>109</v>
      </c>
      <c r="Q842" t="s">
        <v>321</v>
      </c>
      <c r="AK842" t="s">
        <v>356</v>
      </c>
    </row>
    <row r="843" spans="1:37">
      <c r="A843" t="s">
        <v>48</v>
      </c>
      <c r="B843" t="s">
        <v>71</v>
      </c>
      <c r="C843" t="s">
        <v>93</v>
      </c>
      <c r="D843" t="s">
        <v>111</v>
      </c>
      <c r="E843" t="s">
        <v>128</v>
      </c>
      <c r="F843" t="s">
        <v>163</v>
      </c>
      <c r="G843" t="s">
        <v>189</v>
      </c>
      <c r="H843" t="s">
        <v>220</v>
      </c>
      <c r="I843" t="s">
        <v>241</v>
      </c>
      <c r="J843" t="s">
        <v>258</v>
      </c>
      <c r="K843" t="s">
        <v>270</v>
      </c>
      <c r="AK843" t="s">
        <v>356</v>
      </c>
    </row>
    <row r="844" spans="1:37">
      <c r="B844" t="s">
        <v>72</v>
      </c>
      <c r="C844" t="s">
        <v>72</v>
      </c>
      <c r="D844" t="s">
        <v>72</v>
      </c>
      <c r="E844" t="s">
        <v>130</v>
      </c>
      <c r="F844" t="s">
        <v>130</v>
      </c>
      <c r="G844" t="s">
        <v>193</v>
      </c>
      <c r="H844" t="s">
        <v>72</v>
      </c>
      <c r="I844" t="s">
        <v>242</v>
      </c>
      <c r="J844" t="s">
        <v>72</v>
      </c>
      <c r="K844" t="s">
        <v>271</v>
      </c>
      <c r="AK844" t="s">
        <v>356</v>
      </c>
    </row>
    <row r="845" spans="1:37">
      <c r="A845" t="s">
        <v>37</v>
      </c>
      <c r="B845" t="s">
        <v>49</v>
      </c>
      <c r="C845" t="s">
        <v>73</v>
      </c>
      <c r="D845" t="s">
        <v>94</v>
      </c>
      <c r="E845" t="s">
        <v>112</v>
      </c>
      <c r="F845" t="s">
        <v>146</v>
      </c>
      <c r="G845" t="s">
        <v>172</v>
      </c>
      <c r="H845" t="s">
        <v>207</v>
      </c>
      <c r="I845" t="s">
        <v>226</v>
      </c>
      <c r="J845" t="s">
        <v>246</v>
      </c>
      <c r="K845" t="s">
        <v>259</v>
      </c>
      <c r="AK845" t="s">
        <v>356</v>
      </c>
    </row>
    <row r="846" spans="1:37">
      <c r="A846" t="s">
        <v>38</v>
      </c>
      <c r="B846" t="s">
        <v>50</v>
      </c>
      <c r="C846" t="s">
        <v>74</v>
      </c>
      <c r="D846" t="s">
        <v>95</v>
      </c>
      <c r="E846" t="s">
        <v>113</v>
      </c>
      <c r="F846" t="s">
        <v>147</v>
      </c>
      <c r="G846" t="s">
        <v>173</v>
      </c>
      <c r="H846" t="s">
        <v>208</v>
      </c>
      <c r="I846" t="s">
        <v>227</v>
      </c>
      <c r="J846" t="s">
        <v>115</v>
      </c>
      <c r="K846" t="s">
        <v>260</v>
      </c>
      <c r="L846" t="s">
        <v>273</v>
      </c>
      <c r="M846" t="s">
        <v>282</v>
      </c>
      <c r="N846" t="s">
        <v>291</v>
      </c>
      <c r="AK846" t="s">
        <v>356</v>
      </c>
    </row>
    <row r="847" spans="1:37">
      <c r="B847" t="s">
        <v>51</v>
      </c>
      <c r="C847" t="s">
        <v>75</v>
      </c>
      <c r="D847" t="s">
        <v>52</v>
      </c>
      <c r="E847" t="s">
        <v>114</v>
      </c>
      <c r="F847" t="s">
        <v>148</v>
      </c>
      <c r="G847" t="s">
        <v>148</v>
      </c>
      <c r="H847" t="s">
        <v>209</v>
      </c>
      <c r="I847" t="s">
        <v>228</v>
      </c>
      <c r="J847" t="s">
        <v>247</v>
      </c>
      <c r="K847" t="s">
        <v>261</v>
      </c>
      <c r="L847" t="s">
        <v>274</v>
      </c>
      <c r="M847" t="s">
        <v>283</v>
      </c>
      <c r="N847" t="s">
        <v>292</v>
      </c>
      <c r="O847" t="s">
        <v>300</v>
      </c>
      <c r="AK847" t="s">
        <v>356</v>
      </c>
    </row>
    <row r="848" spans="1:37">
      <c r="B848" t="s">
        <v>52</v>
      </c>
      <c r="C848" t="s">
        <v>76</v>
      </c>
      <c r="D848" t="s">
        <v>96</v>
      </c>
      <c r="E848" t="s">
        <v>115</v>
      </c>
      <c r="F848" t="s">
        <v>149</v>
      </c>
      <c r="G848" t="s">
        <v>174</v>
      </c>
      <c r="H848" t="s">
        <v>96</v>
      </c>
      <c r="I848" t="s">
        <v>229</v>
      </c>
      <c r="J848" t="s">
        <v>248</v>
      </c>
      <c r="K848" t="s">
        <v>262</v>
      </c>
      <c r="L848" t="s">
        <v>52</v>
      </c>
      <c r="M848" t="s">
        <v>76</v>
      </c>
      <c r="N848" t="s">
        <v>293</v>
      </c>
      <c r="O848" t="s">
        <v>301</v>
      </c>
      <c r="P848" t="s">
        <v>309</v>
      </c>
      <c r="Q848" t="s">
        <v>315</v>
      </c>
      <c r="R848" t="s">
        <v>228</v>
      </c>
      <c r="S848" t="s">
        <v>328</v>
      </c>
      <c r="T848" t="s">
        <v>149</v>
      </c>
      <c r="U848" t="s">
        <v>337</v>
      </c>
      <c r="V848" t="s">
        <v>341</v>
      </c>
      <c r="W848" t="s">
        <v>345</v>
      </c>
      <c r="X848" t="s">
        <v>350</v>
      </c>
      <c r="AK848" t="s">
        <v>356</v>
      </c>
    </row>
    <row r="849" spans="1:37">
      <c r="B849" t="s">
        <v>53</v>
      </c>
      <c r="C849" t="s">
        <v>77</v>
      </c>
      <c r="D849" t="s">
        <v>97</v>
      </c>
      <c r="E849" t="s">
        <v>116</v>
      </c>
      <c r="F849" t="s">
        <v>150</v>
      </c>
      <c r="G849" t="s">
        <v>175</v>
      </c>
      <c r="H849" t="s">
        <v>210</v>
      </c>
      <c r="I849" t="s">
        <v>230</v>
      </c>
      <c r="J849" t="s">
        <v>249</v>
      </c>
      <c r="K849" t="s">
        <v>263</v>
      </c>
      <c r="L849" t="s">
        <v>275</v>
      </c>
      <c r="M849" t="s">
        <v>284</v>
      </c>
      <c r="N849" t="s">
        <v>294</v>
      </c>
      <c r="O849" t="s">
        <v>302</v>
      </c>
      <c r="P849" t="s">
        <v>310</v>
      </c>
      <c r="Q849" t="s">
        <v>316</v>
      </c>
      <c r="R849" t="s">
        <v>322</v>
      </c>
      <c r="S849" t="s">
        <v>329</v>
      </c>
      <c r="AK849" t="s">
        <v>356</v>
      </c>
    </row>
    <row r="850" spans="1:37">
      <c r="A850" t="s">
        <v>39</v>
      </c>
      <c r="B850" t="s">
        <v>54</v>
      </c>
      <c r="C850" t="s">
        <v>54</v>
      </c>
      <c r="D850" t="s">
        <v>54</v>
      </c>
      <c r="E850" t="s">
        <v>54</v>
      </c>
      <c r="F850" t="s">
        <v>54</v>
      </c>
      <c r="G850" t="s">
        <v>54</v>
      </c>
      <c r="H850" t="s">
        <v>54</v>
      </c>
      <c r="I850" t="s">
        <v>54</v>
      </c>
      <c r="J850" t="s">
        <v>54</v>
      </c>
      <c r="K850" t="s">
        <v>54</v>
      </c>
      <c r="L850" t="s">
        <v>54</v>
      </c>
      <c r="M850" t="s">
        <v>54</v>
      </c>
      <c r="N850" t="s">
        <v>54</v>
      </c>
      <c r="O850" t="s">
        <v>54</v>
      </c>
      <c r="P850" t="s">
        <v>54</v>
      </c>
      <c r="Q850" t="s">
        <v>54</v>
      </c>
      <c r="R850" t="s">
        <v>323</v>
      </c>
      <c r="S850" t="s">
        <v>330</v>
      </c>
      <c r="AK850" t="s">
        <v>356</v>
      </c>
    </row>
    <row r="851" spans="1:37">
      <c r="B851" t="s">
        <v>55</v>
      </c>
      <c r="C851" t="s">
        <v>78</v>
      </c>
      <c r="D851" t="s">
        <v>55</v>
      </c>
      <c r="E851" t="s">
        <v>78</v>
      </c>
      <c r="F851" t="s">
        <v>55</v>
      </c>
      <c r="G851" t="s">
        <v>78</v>
      </c>
      <c r="H851" t="s">
        <v>55</v>
      </c>
      <c r="I851" t="s">
        <v>78</v>
      </c>
      <c r="J851" t="s">
        <v>55</v>
      </c>
      <c r="K851" t="s">
        <v>78</v>
      </c>
      <c r="L851" t="s">
        <v>55</v>
      </c>
      <c r="M851" t="s">
        <v>78</v>
      </c>
      <c r="N851" t="s">
        <v>55</v>
      </c>
      <c r="O851" t="s">
        <v>78</v>
      </c>
      <c r="P851" t="s">
        <v>55</v>
      </c>
      <c r="Q851" t="s">
        <v>78</v>
      </c>
      <c r="R851" t="s">
        <v>55</v>
      </c>
      <c r="S851" t="s">
        <v>78</v>
      </c>
      <c r="T851" t="s">
        <v>55</v>
      </c>
      <c r="U851" t="s">
        <v>78</v>
      </c>
      <c r="V851" t="s">
        <v>55</v>
      </c>
      <c r="W851" t="s">
        <v>78</v>
      </c>
      <c r="X851" t="s">
        <v>55</v>
      </c>
      <c r="Y851" t="s">
        <v>78</v>
      </c>
      <c r="Z851" t="s">
        <v>55</v>
      </c>
      <c r="AA851" t="s">
        <v>78</v>
      </c>
      <c r="AB851" t="s">
        <v>55</v>
      </c>
      <c r="AC851" t="s">
        <v>78</v>
      </c>
      <c r="AD851" t="s">
        <v>55</v>
      </c>
      <c r="AE851" t="s">
        <v>78</v>
      </c>
      <c r="AF851" t="s">
        <v>55</v>
      </c>
      <c r="AG851" t="s">
        <v>78</v>
      </c>
      <c r="AH851" t="s">
        <v>55</v>
      </c>
      <c r="AI851" t="s">
        <v>78</v>
      </c>
      <c r="AK851" t="s">
        <v>356</v>
      </c>
    </row>
    <row r="852" spans="1:37">
      <c r="B852" t="s">
        <v>56</v>
      </c>
      <c r="C852" t="s">
        <v>56</v>
      </c>
      <c r="D852" t="s">
        <v>56</v>
      </c>
      <c r="E852" t="s">
        <v>56</v>
      </c>
      <c r="F852" t="s">
        <v>56</v>
      </c>
      <c r="G852" t="s">
        <v>176</v>
      </c>
      <c r="H852" t="s">
        <v>211</v>
      </c>
      <c r="I852" t="s">
        <v>231</v>
      </c>
      <c r="J852" t="s">
        <v>250</v>
      </c>
      <c r="K852" t="s">
        <v>264</v>
      </c>
      <c r="L852" t="s">
        <v>276</v>
      </c>
      <c r="M852" t="s">
        <v>285</v>
      </c>
      <c r="N852" t="s">
        <v>295</v>
      </c>
      <c r="O852" t="s">
        <v>303</v>
      </c>
      <c r="P852" t="s">
        <v>56</v>
      </c>
      <c r="Q852" t="s">
        <v>317</v>
      </c>
      <c r="R852" t="s">
        <v>324</v>
      </c>
      <c r="S852" t="s">
        <v>331</v>
      </c>
      <c r="T852" t="s">
        <v>334</v>
      </c>
      <c r="U852" t="s">
        <v>338</v>
      </c>
      <c r="V852" t="s">
        <v>342</v>
      </c>
      <c r="W852" t="s">
        <v>346</v>
      </c>
      <c r="X852" t="s">
        <v>351</v>
      </c>
      <c r="AK852" t="s">
        <v>356</v>
      </c>
    </row>
    <row r="853" spans="1:37">
      <c r="B853" t="s">
        <v>57</v>
      </c>
      <c r="C853" t="s">
        <v>79</v>
      </c>
      <c r="D853" t="s">
        <v>98</v>
      </c>
      <c r="E853" t="s">
        <v>117</v>
      </c>
      <c r="F853" t="s">
        <v>151</v>
      </c>
      <c r="G853" t="s">
        <v>177</v>
      </c>
      <c r="H853" t="s">
        <v>212</v>
      </c>
      <c r="I853" t="s">
        <v>232</v>
      </c>
      <c r="J853" t="s">
        <v>251</v>
      </c>
      <c r="K853" t="s">
        <v>265</v>
      </c>
      <c r="L853" t="s">
        <v>277</v>
      </c>
      <c r="M853" t="s">
        <v>286</v>
      </c>
      <c r="N853" t="s">
        <v>296</v>
      </c>
      <c r="O853" t="s">
        <v>304</v>
      </c>
      <c r="P853" t="s">
        <v>311</v>
      </c>
      <c r="Q853" t="s">
        <v>318</v>
      </c>
      <c r="R853" t="s">
        <v>185</v>
      </c>
      <c r="S853" t="s">
        <v>159</v>
      </c>
      <c r="T853" t="s">
        <v>185</v>
      </c>
      <c r="U853" t="s">
        <v>339</v>
      </c>
      <c r="V853" t="s">
        <v>72</v>
      </c>
      <c r="W853" t="s">
        <v>347</v>
      </c>
      <c r="X853" t="s">
        <v>72</v>
      </c>
      <c r="Y853" t="s">
        <v>96</v>
      </c>
      <c r="AK853" t="s">
        <v>356</v>
      </c>
    </row>
    <row r="854" spans="1:37">
      <c r="B854" t="s">
        <v>58</v>
      </c>
      <c r="C854" t="s">
        <v>80</v>
      </c>
      <c r="D854" t="s">
        <v>99</v>
      </c>
      <c r="E854" t="s">
        <v>118</v>
      </c>
      <c r="F854" t="s">
        <v>152</v>
      </c>
      <c r="G854" t="s">
        <v>178</v>
      </c>
      <c r="H854" t="s">
        <v>213</v>
      </c>
      <c r="I854" t="s">
        <v>233</v>
      </c>
      <c r="J854" t="s">
        <v>252</v>
      </c>
      <c r="K854" t="s">
        <v>266</v>
      </c>
      <c r="L854" t="s">
        <v>278</v>
      </c>
      <c r="M854" t="s">
        <v>287</v>
      </c>
      <c r="N854" t="s">
        <v>297</v>
      </c>
      <c r="O854" t="s">
        <v>305</v>
      </c>
      <c r="P854" t="s">
        <v>312</v>
      </c>
      <c r="Q854" t="s">
        <v>319</v>
      </c>
      <c r="R854">
        <f>&gt;10       ветра      3.5     18  22 23</f>
        <v>0</v>
      </c>
      <c r="AK854" t="s">
        <v>356</v>
      </c>
    </row>
    <row r="855" spans="1:37">
      <c r="A855" t="s">
        <v>40</v>
      </c>
      <c r="B855" t="s">
        <v>59</v>
      </c>
      <c r="C855" t="s">
        <v>81</v>
      </c>
      <c r="D855" t="s">
        <v>100</v>
      </c>
      <c r="E855" t="s">
        <v>119</v>
      </c>
      <c r="F855" t="s">
        <v>153</v>
      </c>
      <c r="G855" t="s">
        <v>179</v>
      </c>
      <c r="H855" t="s">
        <v>214</v>
      </c>
      <c r="I855" t="s">
        <v>234</v>
      </c>
      <c r="AK855" t="s">
        <v>356</v>
      </c>
    </row>
    <row r="856" spans="1:37">
      <c r="A856" t="s">
        <v>40</v>
      </c>
      <c r="B856" t="s">
        <v>60</v>
      </c>
      <c r="C856" t="s">
        <v>82</v>
      </c>
      <c r="D856" t="s">
        <v>101</v>
      </c>
      <c r="E856" t="s">
        <v>120</v>
      </c>
      <c r="F856" t="s">
        <v>154</v>
      </c>
      <c r="G856" t="s">
        <v>180</v>
      </c>
      <c r="H856" t="s">
        <v>215</v>
      </c>
      <c r="I856" t="s">
        <v>235</v>
      </c>
      <c r="J856" t="s">
        <v>253</v>
      </c>
      <c r="K856" t="s">
        <v>267</v>
      </c>
      <c r="L856" t="s">
        <v>279</v>
      </c>
      <c r="M856" t="s">
        <v>288</v>
      </c>
      <c r="N856" t="s">
        <v>100</v>
      </c>
      <c r="O856" t="s">
        <v>306</v>
      </c>
      <c r="P856" t="s">
        <v>313</v>
      </c>
      <c r="Q856" t="s">
        <v>320</v>
      </c>
      <c r="R856" t="s">
        <v>325</v>
      </c>
      <c r="S856" t="s">
        <v>332</v>
      </c>
      <c r="T856" t="s">
        <v>119</v>
      </c>
      <c r="U856" t="s">
        <v>234</v>
      </c>
      <c r="V856" t="s">
        <v>343</v>
      </c>
      <c r="W856" t="s">
        <v>348</v>
      </c>
      <c r="X856" t="s">
        <v>352</v>
      </c>
      <c r="Y856" t="s">
        <v>354</v>
      </c>
      <c r="AK856" t="s">
        <v>356</v>
      </c>
    </row>
    <row r="857" spans="1:37">
      <c r="A857" t="s">
        <v>41</v>
      </c>
      <c r="B857" t="s">
        <v>61</v>
      </c>
      <c r="C857" t="s">
        <v>83</v>
      </c>
      <c r="D857" t="s">
        <v>102</v>
      </c>
      <c r="E857" t="s">
        <v>121</v>
      </c>
      <c r="F857" t="s">
        <v>155</v>
      </c>
      <c r="G857" t="s">
        <v>181</v>
      </c>
      <c r="H857" t="s">
        <v>216</v>
      </c>
      <c r="I857" t="s">
        <v>236</v>
      </c>
      <c r="AK857" t="s">
        <v>356</v>
      </c>
    </row>
    <row r="858" spans="1:37">
      <c r="A858" t="s">
        <v>42</v>
      </c>
      <c r="B858" t="s">
        <v>62</v>
      </c>
      <c r="C858" t="s">
        <v>84</v>
      </c>
      <c r="D858" t="s">
        <v>103</v>
      </c>
      <c r="E858" t="s">
        <v>122</v>
      </c>
      <c r="F858" t="s">
        <v>156</v>
      </c>
      <c r="G858" t="s">
        <v>182</v>
      </c>
      <c r="H858" t="s">
        <v>83</v>
      </c>
      <c r="I858" t="s">
        <v>237</v>
      </c>
      <c r="J858" t="s">
        <v>254</v>
      </c>
      <c r="K858" t="s">
        <v>268</v>
      </c>
      <c r="L858" t="s">
        <v>280</v>
      </c>
      <c r="M858" t="s">
        <v>289</v>
      </c>
      <c r="N858" t="s">
        <v>298</v>
      </c>
      <c r="O858" t="s">
        <v>307</v>
      </c>
      <c r="P858" t="s">
        <v>314</v>
      </c>
      <c r="Q858" t="s">
        <v>216</v>
      </c>
      <c r="R858" t="s">
        <v>326</v>
      </c>
      <c r="S858" t="s">
        <v>333</v>
      </c>
      <c r="T858" t="s">
        <v>335</v>
      </c>
      <c r="U858" t="s">
        <v>340</v>
      </c>
      <c r="V858" t="s">
        <v>344</v>
      </c>
      <c r="W858" t="s">
        <v>349</v>
      </c>
      <c r="AK858" t="s">
        <v>356</v>
      </c>
    </row>
    <row r="859" spans="1:37">
      <c r="A859" t="s">
        <v>43</v>
      </c>
      <c r="B859" t="s">
        <v>63</v>
      </c>
      <c r="C859" t="s">
        <v>85</v>
      </c>
      <c r="D859" t="s">
        <v>104</v>
      </c>
      <c r="E859" t="s">
        <v>123</v>
      </c>
      <c r="F859" t="s">
        <v>157</v>
      </c>
      <c r="G859" t="s">
        <v>183</v>
      </c>
      <c r="AK859" t="s">
        <v>356</v>
      </c>
    </row>
    <row r="860" spans="1:37">
      <c r="A860" t="s">
        <v>44</v>
      </c>
      <c r="B860" t="s">
        <v>64</v>
      </c>
      <c r="C860" t="s">
        <v>86</v>
      </c>
      <c r="D860" t="s">
        <v>105</v>
      </c>
      <c r="E860" t="s">
        <v>124</v>
      </c>
      <c r="F860" t="s">
        <v>158</v>
      </c>
      <c r="G860" t="s">
        <v>184</v>
      </c>
      <c r="AK860" t="s">
        <v>356</v>
      </c>
    </row>
    <row r="861" spans="1:37">
      <c r="A861" t="s">
        <v>45</v>
      </c>
      <c r="B861" t="s">
        <v>65</v>
      </c>
      <c r="C861" t="s">
        <v>87</v>
      </c>
      <c r="D861" t="s">
        <v>106</v>
      </c>
      <c r="E861" t="s">
        <v>125</v>
      </c>
      <c r="F861" t="s">
        <v>159</v>
      </c>
      <c r="G861" t="s">
        <v>185</v>
      </c>
      <c r="H861" t="s">
        <v>159</v>
      </c>
      <c r="I861" t="s">
        <v>185</v>
      </c>
      <c r="J861" t="s">
        <v>255</v>
      </c>
      <c r="AK861" t="s">
        <v>356</v>
      </c>
    </row>
    <row r="862" spans="1:37">
      <c r="A862" t="s">
        <v>46</v>
      </c>
      <c r="B862" t="s">
        <v>66</v>
      </c>
      <c r="C862" t="s">
        <v>88</v>
      </c>
      <c r="D862" t="s">
        <v>76</v>
      </c>
      <c r="E862" t="s">
        <v>126</v>
      </c>
      <c r="F862" t="s">
        <v>160</v>
      </c>
      <c r="G862" t="s">
        <v>186</v>
      </c>
      <c r="H862" t="s">
        <v>217</v>
      </c>
      <c r="I862" t="s">
        <v>238</v>
      </c>
      <c r="J862" t="s">
        <v>256</v>
      </c>
      <c r="K862" t="s">
        <v>265</v>
      </c>
      <c r="L862" t="s">
        <v>281</v>
      </c>
      <c r="M862" t="s">
        <v>290</v>
      </c>
      <c r="N862" t="s">
        <v>299</v>
      </c>
      <c r="O862" t="s">
        <v>308</v>
      </c>
      <c r="P862" t="s">
        <v>228</v>
      </c>
      <c r="Q862" t="s">
        <v>72</v>
      </c>
      <c r="R862" t="s">
        <v>327</v>
      </c>
      <c r="S862" t="s">
        <v>327</v>
      </c>
      <c r="T862" t="s">
        <v>336</v>
      </c>
      <c r="U862" t="s">
        <v>336</v>
      </c>
      <c r="V862" t="s">
        <v>336</v>
      </c>
      <c r="W862" t="s">
        <v>336</v>
      </c>
      <c r="X862" t="s">
        <v>353</v>
      </c>
      <c r="AK862" t="s">
        <v>356</v>
      </c>
    </row>
    <row r="863" spans="1:37">
      <c r="B863" t="s">
        <v>67</v>
      </c>
      <c r="C863" t="s">
        <v>89</v>
      </c>
      <c r="D863" t="s">
        <v>107</v>
      </c>
      <c r="AK863" t="s">
        <v>356</v>
      </c>
    </row>
    <row r="864" spans="1:37">
      <c r="B864" t="s">
        <v>68</v>
      </c>
      <c r="C864" t="s">
        <v>90</v>
      </c>
      <c r="D864" t="s">
        <v>108</v>
      </c>
      <c r="AK864" t="s">
        <v>356</v>
      </c>
    </row>
    <row r="865" spans="1:37">
      <c r="A865" t="s">
        <v>47</v>
      </c>
      <c r="B865" t="s">
        <v>69</v>
      </c>
      <c r="C865" t="s">
        <v>91</v>
      </c>
      <c r="D865" t="s">
        <v>109</v>
      </c>
      <c r="E865" t="s">
        <v>109</v>
      </c>
      <c r="F865" t="s">
        <v>109</v>
      </c>
      <c r="G865" t="s">
        <v>109</v>
      </c>
      <c r="H865" t="s">
        <v>109</v>
      </c>
      <c r="I865" t="s">
        <v>239</v>
      </c>
      <c r="AK865" t="s">
        <v>356</v>
      </c>
    </row>
    <row r="866" spans="1:37">
      <c r="B866" t="s">
        <v>70</v>
      </c>
      <c r="C866" t="s">
        <v>92</v>
      </c>
      <c r="D866" t="s">
        <v>110</v>
      </c>
      <c r="E866" t="s">
        <v>127</v>
      </c>
      <c r="F866" t="s">
        <v>161</v>
      </c>
      <c r="G866" t="s">
        <v>187</v>
      </c>
      <c r="H866" t="s">
        <v>218</v>
      </c>
      <c r="AK866" t="s">
        <v>356</v>
      </c>
    </row>
    <row r="867" spans="1:37">
      <c r="B867" t="s">
        <v>71</v>
      </c>
      <c r="C867" t="s">
        <v>93</v>
      </c>
      <c r="D867" t="s">
        <v>111</v>
      </c>
      <c r="E867" t="s">
        <v>128</v>
      </c>
      <c r="F867" t="s">
        <v>162</v>
      </c>
      <c r="G867" t="s">
        <v>188</v>
      </c>
      <c r="H867" t="s">
        <v>219</v>
      </c>
      <c r="I867" t="s">
        <v>240</v>
      </c>
      <c r="J867" t="s">
        <v>257</v>
      </c>
      <c r="K867" t="s">
        <v>269</v>
      </c>
      <c r="L867" t="s">
        <v>109</v>
      </c>
      <c r="M867" t="s">
        <v>109</v>
      </c>
      <c r="N867" t="s">
        <v>109</v>
      </c>
      <c r="O867" t="s">
        <v>109</v>
      </c>
      <c r="P867" t="s">
        <v>109</v>
      </c>
      <c r="Q867" t="s">
        <v>321</v>
      </c>
      <c r="AK867" t="s">
        <v>356</v>
      </c>
    </row>
    <row r="868" spans="1:37">
      <c r="A868" t="s">
        <v>48</v>
      </c>
      <c r="B868" t="s">
        <v>71</v>
      </c>
      <c r="C868" t="s">
        <v>93</v>
      </c>
      <c r="D868" t="s">
        <v>111</v>
      </c>
      <c r="E868" t="s">
        <v>128</v>
      </c>
      <c r="F868" t="s">
        <v>163</v>
      </c>
      <c r="G868" t="s">
        <v>189</v>
      </c>
      <c r="H868" t="s">
        <v>220</v>
      </c>
      <c r="I868" t="s">
        <v>241</v>
      </c>
      <c r="J868" t="s">
        <v>258</v>
      </c>
      <c r="K868" t="s">
        <v>270</v>
      </c>
      <c r="AK868" t="s">
        <v>356</v>
      </c>
    </row>
    <row r="869" spans="1:37">
      <c r="B869" t="s">
        <v>72</v>
      </c>
      <c r="C869" t="s">
        <v>72</v>
      </c>
      <c r="D869" t="s">
        <v>72</v>
      </c>
      <c r="E869" t="s">
        <v>130</v>
      </c>
      <c r="F869" t="s">
        <v>130</v>
      </c>
      <c r="G869" t="s">
        <v>193</v>
      </c>
      <c r="H869" t="s">
        <v>193</v>
      </c>
      <c r="I869" t="s">
        <v>222</v>
      </c>
      <c r="J869" t="s">
        <v>192</v>
      </c>
      <c r="K869" t="s">
        <v>271</v>
      </c>
      <c r="AK869" t="s">
        <v>356</v>
      </c>
    </row>
    <row r="870" spans="1:37">
      <c r="A870" t="s">
        <v>37</v>
      </c>
      <c r="B870" t="s">
        <v>49</v>
      </c>
      <c r="C870" t="s">
        <v>73</v>
      </c>
      <c r="D870" t="s">
        <v>94</v>
      </c>
      <c r="E870" t="s">
        <v>112</v>
      </c>
      <c r="F870" t="s">
        <v>146</v>
      </c>
      <c r="G870" t="s">
        <v>172</v>
      </c>
      <c r="H870" t="s">
        <v>207</v>
      </c>
      <c r="I870" t="s">
        <v>226</v>
      </c>
      <c r="J870" t="s">
        <v>246</v>
      </c>
      <c r="K870" t="s">
        <v>259</v>
      </c>
      <c r="AK870" t="s">
        <v>356</v>
      </c>
    </row>
    <row r="871" spans="1:37">
      <c r="A871" t="s">
        <v>38</v>
      </c>
      <c r="B871" t="s">
        <v>50</v>
      </c>
      <c r="C871" t="s">
        <v>74</v>
      </c>
      <c r="D871" t="s">
        <v>95</v>
      </c>
      <c r="E871" t="s">
        <v>113</v>
      </c>
      <c r="F871" t="s">
        <v>147</v>
      </c>
      <c r="G871" t="s">
        <v>173</v>
      </c>
      <c r="H871" t="s">
        <v>208</v>
      </c>
      <c r="I871" t="s">
        <v>227</v>
      </c>
      <c r="J871" t="s">
        <v>115</v>
      </c>
      <c r="K871" t="s">
        <v>260</v>
      </c>
      <c r="L871" t="s">
        <v>273</v>
      </c>
      <c r="M871" t="s">
        <v>282</v>
      </c>
      <c r="N871" t="s">
        <v>291</v>
      </c>
      <c r="AK871" t="s">
        <v>356</v>
      </c>
    </row>
    <row r="872" spans="1:37">
      <c r="B872" t="s">
        <v>51</v>
      </c>
      <c r="C872" t="s">
        <v>75</v>
      </c>
      <c r="D872" t="s">
        <v>52</v>
      </c>
      <c r="E872" t="s">
        <v>114</v>
      </c>
      <c r="F872" t="s">
        <v>148</v>
      </c>
      <c r="G872" t="s">
        <v>148</v>
      </c>
      <c r="H872" t="s">
        <v>209</v>
      </c>
      <c r="I872" t="s">
        <v>228</v>
      </c>
      <c r="J872" t="s">
        <v>247</v>
      </c>
      <c r="K872" t="s">
        <v>261</v>
      </c>
      <c r="L872" t="s">
        <v>274</v>
      </c>
      <c r="M872" t="s">
        <v>283</v>
      </c>
      <c r="N872" t="s">
        <v>292</v>
      </c>
      <c r="O872" t="s">
        <v>300</v>
      </c>
      <c r="AK872" t="s">
        <v>356</v>
      </c>
    </row>
    <row r="873" spans="1:37">
      <c r="B873" t="s">
        <v>52</v>
      </c>
      <c r="C873" t="s">
        <v>76</v>
      </c>
      <c r="D873" t="s">
        <v>96</v>
      </c>
      <c r="E873" t="s">
        <v>115</v>
      </c>
      <c r="F873" t="s">
        <v>149</v>
      </c>
      <c r="G873" t="s">
        <v>174</v>
      </c>
      <c r="H873" t="s">
        <v>96</v>
      </c>
      <c r="I873" t="s">
        <v>229</v>
      </c>
      <c r="J873" t="s">
        <v>248</v>
      </c>
      <c r="K873" t="s">
        <v>262</v>
      </c>
      <c r="L873" t="s">
        <v>52</v>
      </c>
      <c r="M873" t="s">
        <v>76</v>
      </c>
      <c r="N873" t="s">
        <v>293</v>
      </c>
      <c r="O873" t="s">
        <v>301</v>
      </c>
      <c r="P873" t="s">
        <v>309</v>
      </c>
      <c r="Q873" t="s">
        <v>315</v>
      </c>
      <c r="R873" t="s">
        <v>228</v>
      </c>
      <c r="S873" t="s">
        <v>328</v>
      </c>
      <c r="T873" t="s">
        <v>149</v>
      </c>
      <c r="U873" t="s">
        <v>337</v>
      </c>
      <c r="V873" t="s">
        <v>341</v>
      </c>
      <c r="W873" t="s">
        <v>345</v>
      </c>
      <c r="X873" t="s">
        <v>350</v>
      </c>
      <c r="AK873" t="s">
        <v>356</v>
      </c>
    </row>
    <row r="874" spans="1:37">
      <c r="B874" t="s">
        <v>53</v>
      </c>
      <c r="C874" t="s">
        <v>77</v>
      </c>
      <c r="D874" t="s">
        <v>97</v>
      </c>
      <c r="E874" t="s">
        <v>116</v>
      </c>
      <c r="F874" t="s">
        <v>150</v>
      </c>
      <c r="G874" t="s">
        <v>175</v>
      </c>
      <c r="H874" t="s">
        <v>210</v>
      </c>
      <c r="I874" t="s">
        <v>230</v>
      </c>
      <c r="J874" t="s">
        <v>249</v>
      </c>
      <c r="K874" t="s">
        <v>263</v>
      </c>
      <c r="L874" t="s">
        <v>275</v>
      </c>
      <c r="M874" t="s">
        <v>284</v>
      </c>
      <c r="N874" t="s">
        <v>294</v>
      </c>
      <c r="O874" t="s">
        <v>302</v>
      </c>
      <c r="P874" t="s">
        <v>310</v>
      </c>
      <c r="Q874" t="s">
        <v>316</v>
      </c>
      <c r="R874" t="s">
        <v>322</v>
      </c>
      <c r="S874" t="s">
        <v>329</v>
      </c>
      <c r="AK874" t="s">
        <v>356</v>
      </c>
    </row>
    <row r="875" spans="1:37">
      <c r="A875" t="s">
        <v>39</v>
      </c>
      <c r="B875" t="s">
        <v>54</v>
      </c>
      <c r="C875" t="s">
        <v>54</v>
      </c>
      <c r="D875" t="s">
        <v>54</v>
      </c>
      <c r="E875" t="s">
        <v>54</v>
      </c>
      <c r="F875" t="s">
        <v>54</v>
      </c>
      <c r="G875" t="s">
        <v>54</v>
      </c>
      <c r="H875" t="s">
        <v>54</v>
      </c>
      <c r="I875" t="s">
        <v>54</v>
      </c>
      <c r="J875" t="s">
        <v>54</v>
      </c>
      <c r="K875" t="s">
        <v>54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323</v>
      </c>
      <c r="S875" t="s">
        <v>330</v>
      </c>
      <c r="AK875" t="s">
        <v>356</v>
      </c>
    </row>
    <row r="876" spans="1:37">
      <c r="B876" t="s">
        <v>55</v>
      </c>
      <c r="C876" t="s">
        <v>78</v>
      </c>
      <c r="D876" t="s">
        <v>55</v>
      </c>
      <c r="E876" t="s">
        <v>78</v>
      </c>
      <c r="F876" t="s">
        <v>55</v>
      </c>
      <c r="G876" t="s">
        <v>78</v>
      </c>
      <c r="H876" t="s">
        <v>55</v>
      </c>
      <c r="I876" t="s">
        <v>78</v>
      </c>
      <c r="J876" t="s">
        <v>55</v>
      </c>
      <c r="K876" t="s">
        <v>78</v>
      </c>
      <c r="L876" t="s">
        <v>55</v>
      </c>
      <c r="M876" t="s">
        <v>78</v>
      </c>
      <c r="N876" t="s">
        <v>55</v>
      </c>
      <c r="O876" t="s">
        <v>78</v>
      </c>
      <c r="P876" t="s">
        <v>55</v>
      </c>
      <c r="Q876" t="s">
        <v>78</v>
      </c>
      <c r="R876" t="s">
        <v>55</v>
      </c>
      <c r="S876" t="s">
        <v>78</v>
      </c>
      <c r="T876" t="s">
        <v>55</v>
      </c>
      <c r="U876" t="s">
        <v>78</v>
      </c>
      <c r="V876" t="s">
        <v>55</v>
      </c>
      <c r="W876" t="s">
        <v>78</v>
      </c>
      <c r="X876" t="s">
        <v>55</v>
      </c>
      <c r="Y876" t="s">
        <v>78</v>
      </c>
      <c r="Z876" t="s">
        <v>55</v>
      </c>
      <c r="AA876" t="s">
        <v>78</v>
      </c>
      <c r="AB876" t="s">
        <v>55</v>
      </c>
      <c r="AC876" t="s">
        <v>78</v>
      </c>
      <c r="AD876" t="s">
        <v>55</v>
      </c>
      <c r="AE876" t="s">
        <v>78</v>
      </c>
      <c r="AF876" t="s">
        <v>55</v>
      </c>
      <c r="AG876" t="s">
        <v>78</v>
      </c>
      <c r="AH876" t="s">
        <v>55</v>
      </c>
      <c r="AI876" t="s">
        <v>78</v>
      </c>
      <c r="AK876" t="s">
        <v>356</v>
      </c>
    </row>
    <row r="877" spans="1:37">
      <c r="B877" t="s">
        <v>56</v>
      </c>
      <c r="C877" t="s">
        <v>56</v>
      </c>
      <c r="D877" t="s">
        <v>56</v>
      </c>
      <c r="E877" t="s">
        <v>56</v>
      </c>
      <c r="F877" t="s">
        <v>56</v>
      </c>
      <c r="G877" t="s">
        <v>176</v>
      </c>
      <c r="H877" t="s">
        <v>211</v>
      </c>
      <c r="I877" t="s">
        <v>231</v>
      </c>
      <c r="J877" t="s">
        <v>250</v>
      </c>
      <c r="K877" t="s">
        <v>264</v>
      </c>
      <c r="L877" t="s">
        <v>276</v>
      </c>
      <c r="M877" t="s">
        <v>285</v>
      </c>
      <c r="N877" t="s">
        <v>295</v>
      </c>
      <c r="O877" t="s">
        <v>303</v>
      </c>
      <c r="P877" t="s">
        <v>56</v>
      </c>
      <c r="Q877" t="s">
        <v>317</v>
      </c>
      <c r="R877" t="s">
        <v>324</v>
      </c>
      <c r="S877" t="s">
        <v>331</v>
      </c>
      <c r="T877" t="s">
        <v>334</v>
      </c>
      <c r="U877" t="s">
        <v>338</v>
      </c>
      <c r="V877" t="s">
        <v>342</v>
      </c>
      <c r="W877" t="s">
        <v>346</v>
      </c>
      <c r="X877" t="s">
        <v>351</v>
      </c>
      <c r="AK877" t="s">
        <v>356</v>
      </c>
    </row>
    <row r="878" spans="1:37">
      <c r="B878" t="s">
        <v>57</v>
      </c>
      <c r="C878" t="s">
        <v>79</v>
      </c>
      <c r="D878" t="s">
        <v>98</v>
      </c>
      <c r="E878" t="s">
        <v>117</v>
      </c>
      <c r="F878" t="s">
        <v>151</v>
      </c>
      <c r="G878" t="s">
        <v>177</v>
      </c>
      <c r="H878" t="s">
        <v>212</v>
      </c>
      <c r="I878" t="s">
        <v>232</v>
      </c>
      <c r="J878" t="s">
        <v>251</v>
      </c>
      <c r="K878" t="s">
        <v>265</v>
      </c>
      <c r="L878" t="s">
        <v>277</v>
      </c>
      <c r="M878" t="s">
        <v>286</v>
      </c>
      <c r="N878" t="s">
        <v>296</v>
      </c>
      <c r="O878" t="s">
        <v>304</v>
      </c>
      <c r="P878" t="s">
        <v>311</v>
      </c>
      <c r="Q878" t="s">
        <v>318</v>
      </c>
      <c r="R878" t="s">
        <v>185</v>
      </c>
      <c r="S878" t="s">
        <v>159</v>
      </c>
      <c r="T878" t="s">
        <v>185</v>
      </c>
      <c r="U878" t="s">
        <v>339</v>
      </c>
      <c r="V878" t="s">
        <v>72</v>
      </c>
      <c r="W878" t="s">
        <v>347</v>
      </c>
      <c r="X878" t="s">
        <v>72</v>
      </c>
      <c r="Y878" t="s">
        <v>96</v>
      </c>
      <c r="AK878" t="s">
        <v>356</v>
      </c>
    </row>
    <row r="879" spans="1:37">
      <c r="B879" t="s">
        <v>58</v>
      </c>
      <c r="C879" t="s">
        <v>80</v>
      </c>
      <c r="D879" t="s">
        <v>99</v>
      </c>
      <c r="E879" t="s">
        <v>118</v>
      </c>
      <c r="F879" t="s">
        <v>152</v>
      </c>
      <c r="G879" t="s">
        <v>178</v>
      </c>
      <c r="H879" t="s">
        <v>213</v>
      </c>
      <c r="I879" t="s">
        <v>233</v>
      </c>
      <c r="J879" t="s">
        <v>252</v>
      </c>
      <c r="K879" t="s">
        <v>266</v>
      </c>
      <c r="L879" t="s">
        <v>278</v>
      </c>
      <c r="M879" t="s">
        <v>287</v>
      </c>
      <c r="N879" t="s">
        <v>297</v>
      </c>
      <c r="O879" t="s">
        <v>305</v>
      </c>
      <c r="P879" t="s">
        <v>312</v>
      </c>
      <c r="Q879" t="s">
        <v>319</v>
      </c>
      <c r="R879">
        <f>&gt;10       ветра      2.2     19  22</f>
        <v>0</v>
      </c>
      <c r="AK879" t="s">
        <v>356</v>
      </c>
    </row>
    <row r="880" spans="1:37">
      <c r="A880" t="s">
        <v>40</v>
      </c>
      <c r="B880" t="s">
        <v>59</v>
      </c>
      <c r="C880" t="s">
        <v>81</v>
      </c>
      <c r="D880" t="s">
        <v>100</v>
      </c>
      <c r="E880" t="s">
        <v>119</v>
      </c>
      <c r="F880" t="s">
        <v>153</v>
      </c>
      <c r="G880" t="s">
        <v>179</v>
      </c>
      <c r="H880" t="s">
        <v>214</v>
      </c>
      <c r="I880" t="s">
        <v>234</v>
      </c>
      <c r="AK880" t="s">
        <v>356</v>
      </c>
    </row>
    <row r="881" spans="1:37">
      <c r="A881" t="s">
        <v>40</v>
      </c>
      <c r="B881" t="s">
        <v>60</v>
      </c>
      <c r="C881" t="s">
        <v>82</v>
      </c>
      <c r="D881" t="s">
        <v>101</v>
      </c>
      <c r="E881" t="s">
        <v>120</v>
      </c>
      <c r="F881" t="s">
        <v>154</v>
      </c>
      <c r="G881" t="s">
        <v>180</v>
      </c>
      <c r="H881" t="s">
        <v>215</v>
      </c>
      <c r="I881" t="s">
        <v>235</v>
      </c>
      <c r="J881" t="s">
        <v>253</v>
      </c>
      <c r="K881" t="s">
        <v>267</v>
      </c>
      <c r="L881" t="s">
        <v>279</v>
      </c>
      <c r="M881" t="s">
        <v>288</v>
      </c>
      <c r="N881" t="s">
        <v>100</v>
      </c>
      <c r="O881" t="s">
        <v>306</v>
      </c>
      <c r="P881" t="s">
        <v>313</v>
      </c>
      <c r="Q881" t="s">
        <v>320</v>
      </c>
      <c r="R881" t="s">
        <v>325</v>
      </c>
      <c r="S881" t="s">
        <v>332</v>
      </c>
      <c r="T881" t="s">
        <v>119</v>
      </c>
      <c r="U881" t="s">
        <v>234</v>
      </c>
      <c r="V881" t="s">
        <v>343</v>
      </c>
      <c r="W881" t="s">
        <v>348</v>
      </c>
      <c r="X881" t="s">
        <v>352</v>
      </c>
      <c r="Y881" t="s">
        <v>354</v>
      </c>
      <c r="AK881" t="s">
        <v>356</v>
      </c>
    </row>
    <row r="882" spans="1:37">
      <c r="A882" t="s">
        <v>41</v>
      </c>
      <c r="B882" t="s">
        <v>61</v>
      </c>
      <c r="C882" t="s">
        <v>83</v>
      </c>
      <c r="D882" t="s">
        <v>102</v>
      </c>
      <c r="E882" t="s">
        <v>121</v>
      </c>
      <c r="F882" t="s">
        <v>155</v>
      </c>
      <c r="G882" t="s">
        <v>181</v>
      </c>
      <c r="H882" t="s">
        <v>216</v>
      </c>
      <c r="I882" t="s">
        <v>236</v>
      </c>
      <c r="AK882" t="s">
        <v>356</v>
      </c>
    </row>
    <row r="883" spans="1:37">
      <c r="A883" t="s">
        <v>42</v>
      </c>
      <c r="B883" t="s">
        <v>62</v>
      </c>
      <c r="C883" t="s">
        <v>84</v>
      </c>
      <c r="D883" t="s">
        <v>103</v>
      </c>
      <c r="E883" t="s">
        <v>122</v>
      </c>
      <c r="F883" t="s">
        <v>156</v>
      </c>
      <c r="G883" t="s">
        <v>182</v>
      </c>
      <c r="H883" t="s">
        <v>83</v>
      </c>
      <c r="I883" t="s">
        <v>237</v>
      </c>
      <c r="J883" t="s">
        <v>254</v>
      </c>
      <c r="K883" t="s">
        <v>268</v>
      </c>
      <c r="L883" t="s">
        <v>280</v>
      </c>
      <c r="M883" t="s">
        <v>289</v>
      </c>
      <c r="N883" t="s">
        <v>298</v>
      </c>
      <c r="O883" t="s">
        <v>307</v>
      </c>
      <c r="P883" t="s">
        <v>314</v>
      </c>
      <c r="Q883" t="s">
        <v>216</v>
      </c>
      <c r="R883" t="s">
        <v>326</v>
      </c>
      <c r="S883" t="s">
        <v>333</v>
      </c>
      <c r="T883" t="s">
        <v>335</v>
      </c>
      <c r="U883" t="s">
        <v>340</v>
      </c>
      <c r="V883" t="s">
        <v>344</v>
      </c>
      <c r="W883" t="s">
        <v>349</v>
      </c>
      <c r="AK883" t="s">
        <v>356</v>
      </c>
    </row>
    <row r="884" spans="1:37">
      <c r="A884" t="s">
        <v>43</v>
      </c>
      <c r="B884" t="s">
        <v>63</v>
      </c>
      <c r="C884" t="s">
        <v>85</v>
      </c>
      <c r="D884" t="s">
        <v>104</v>
      </c>
      <c r="E884" t="s">
        <v>123</v>
      </c>
      <c r="F884" t="s">
        <v>157</v>
      </c>
      <c r="G884" t="s">
        <v>183</v>
      </c>
      <c r="AK884" t="s">
        <v>356</v>
      </c>
    </row>
    <row r="885" spans="1:37">
      <c r="A885" t="s">
        <v>44</v>
      </c>
      <c r="B885" t="s">
        <v>64</v>
      </c>
      <c r="C885" t="s">
        <v>86</v>
      </c>
      <c r="D885" t="s">
        <v>105</v>
      </c>
      <c r="E885" t="s">
        <v>124</v>
      </c>
      <c r="F885" t="s">
        <v>158</v>
      </c>
      <c r="G885" t="s">
        <v>184</v>
      </c>
      <c r="AK885" t="s">
        <v>356</v>
      </c>
    </row>
    <row r="886" spans="1:37">
      <c r="A886" t="s">
        <v>45</v>
      </c>
      <c r="B886" t="s">
        <v>65</v>
      </c>
      <c r="C886" t="s">
        <v>87</v>
      </c>
      <c r="D886" t="s">
        <v>106</v>
      </c>
      <c r="E886" t="s">
        <v>125</v>
      </c>
      <c r="F886" t="s">
        <v>159</v>
      </c>
      <c r="G886" t="s">
        <v>185</v>
      </c>
      <c r="H886" t="s">
        <v>159</v>
      </c>
      <c r="I886" t="s">
        <v>185</v>
      </c>
      <c r="J886" t="s">
        <v>255</v>
      </c>
      <c r="AK886" t="s">
        <v>356</v>
      </c>
    </row>
    <row r="887" spans="1:37">
      <c r="A887" t="s">
        <v>46</v>
      </c>
      <c r="B887" t="s">
        <v>66</v>
      </c>
      <c r="C887" t="s">
        <v>88</v>
      </c>
      <c r="D887" t="s">
        <v>76</v>
      </c>
      <c r="E887" t="s">
        <v>126</v>
      </c>
      <c r="F887" t="s">
        <v>160</v>
      </c>
      <c r="G887" t="s">
        <v>186</v>
      </c>
      <c r="H887" t="s">
        <v>217</v>
      </c>
      <c r="I887" t="s">
        <v>238</v>
      </c>
      <c r="J887" t="s">
        <v>256</v>
      </c>
      <c r="K887" t="s">
        <v>265</v>
      </c>
      <c r="L887" t="s">
        <v>281</v>
      </c>
      <c r="M887" t="s">
        <v>290</v>
      </c>
      <c r="N887" t="s">
        <v>299</v>
      </c>
      <c r="O887" t="s">
        <v>308</v>
      </c>
      <c r="P887" t="s">
        <v>228</v>
      </c>
      <c r="Q887" t="s">
        <v>72</v>
      </c>
      <c r="R887" t="s">
        <v>327</v>
      </c>
      <c r="S887" t="s">
        <v>327</v>
      </c>
      <c r="T887" t="s">
        <v>336</v>
      </c>
      <c r="U887" t="s">
        <v>336</v>
      </c>
      <c r="V887" t="s">
        <v>336</v>
      </c>
      <c r="W887" t="s">
        <v>336</v>
      </c>
      <c r="X887" t="s">
        <v>353</v>
      </c>
      <c r="AK887" t="s">
        <v>356</v>
      </c>
    </row>
    <row r="888" spans="1:37">
      <c r="A888" t="s">
        <v>37</v>
      </c>
      <c r="B888" t="s">
        <v>49</v>
      </c>
      <c r="C888" t="s">
        <v>73</v>
      </c>
      <c r="D888" t="s">
        <v>94</v>
      </c>
      <c r="E888" t="s">
        <v>112</v>
      </c>
      <c r="F888" t="s">
        <v>146</v>
      </c>
      <c r="G888" t="s">
        <v>172</v>
      </c>
      <c r="H888" t="s">
        <v>207</v>
      </c>
      <c r="I888" t="s">
        <v>226</v>
      </c>
      <c r="J888" t="s">
        <v>246</v>
      </c>
      <c r="K888" t="s">
        <v>259</v>
      </c>
      <c r="AK888" t="s">
        <v>356</v>
      </c>
    </row>
    <row r="889" spans="1:37">
      <c r="A889" t="s">
        <v>38</v>
      </c>
      <c r="B889" t="s">
        <v>50</v>
      </c>
      <c r="C889" t="s">
        <v>74</v>
      </c>
      <c r="D889" t="s">
        <v>95</v>
      </c>
      <c r="E889" t="s">
        <v>113</v>
      </c>
      <c r="F889" t="s">
        <v>147</v>
      </c>
      <c r="G889" t="s">
        <v>173</v>
      </c>
      <c r="H889" t="s">
        <v>208</v>
      </c>
      <c r="I889" t="s">
        <v>227</v>
      </c>
      <c r="J889" t="s">
        <v>115</v>
      </c>
      <c r="K889" t="s">
        <v>260</v>
      </c>
      <c r="L889" t="s">
        <v>273</v>
      </c>
      <c r="M889" t="s">
        <v>282</v>
      </c>
      <c r="N889" t="s">
        <v>291</v>
      </c>
      <c r="AK889" t="s">
        <v>356</v>
      </c>
    </row>
    <row r="890" spans="1:37">
      <c r="B890" t="s">
        <v>51</v>
      </c>
      <c r="C890" t="s">
        <v>75</v>
      </c>
      <c r="D890" t="s">
        <v>52</v>
      </c>
      <c r="E890" t="s">
        <v>114</v>
      </c>
      <c r="F890" t="s">
        <v>148</v>
      </c>
      <c r="G890" t="s">
        <v>148</v>
      </c>
      <c r="H890" t="s">
        <v>209</v>
      </c>
      <c r="I890" t="s">
        <v>228</v>
      </c>
      <c r="J890" t="s">
        <v>247</v>
      </c>
      <c r="K890" t="s">
        <v>261</v>
      </c>
      <c r="L890" t="s">
        <v>274</v>
      </c>
      <c r="M890" t="s">
        <v>283</v>
      </c>
      <c r="N890" t="s">
        <v>292</v>
      </c>
      <c r="O890" t="s">
        <v>300</v>
      </c>
      <c r="AK890" t="s">
        <v>356</v>
      </c>
    </row>
    <row r="891" spans="1:37">
      <c r="B891" t="s">
        <v>52</v>
      </c>
      <c r="C891" t="s">
        <v>76</v>
      </c>
      <c r="D891" t="s">
        <v>96</v>
      </c>
      <c r="E891" t="s">
        <v>115</v>
      </c>
      <c r="F891" t="s">
        <v>149</v>
      </c>
      <c r="G891" t="s">
        <v>174</v>
      </c>
      <c r="H891" t="s">
        <v>96</v>
      </c>
      <c r="I891" t="s">
        <v>229</v>
      </c>
      <c r="J891" t="s">
        <v>248</v>
      </c>
      <c r="K891" t="s">
        <v>262</v>
      </c>
      <c r="L891" t="s">
        <v>52</v>
      </c>
      <c r="M891" t="s">
        <v>76</v>
      </c>
      <c r="N891" t="s">
        <v>293</v>
      </c>
      <c r="O891" t="s">
        <v>301</v>
      </c>
      <c r="P891" t="s">
        <v>309</v>
      </c>
      <c r="Q891" t="s">
        <v>315</v>
      </c>
      <c r="R891" t="s">
        <v>228</v>
      </c>
      <c r="S891" t="s">
        <v>328</v>
      </c>
      <c r="T891" t="s">
        <v>149</v>
      </c>
      <c r="U891" t="s">
        <v>337</v>
      </c>
      <c r="V891" t="s">
        <v>341</v>
      </c>
      <c r="W891" t="s">
        <v>345</v>
      </c>
      <c r="X891" t="s">
        <v>350</v>
      </c>
      <c r="AK891" t="s">
        <v>356</v>
      </c>
    </row>
    <row r="892" spans="1:37">
      <c r="B892" t="s">
        <v>53</v>
      </c>
      <c r="C892" t="s">
        <v>77</v>
      </c>
      <c r="D892" t="s">
        <v>97</v>
      </c>
      <c r="E892" t="s">
        <v>116</v>
      </c>
      <c r="F892" t="s">
        <v>150</v>
      </c>
      <c r="G892" t="s">
        <v>175</v>
      </c>
      <c r="H892" t="s">
        <v>210</v>
      </c>
      <c r="I892" t="s">
        <v>230</v>
      </c>
      <c r="J892" t="s">
        <v>249</v>
      </c>
      <c r="K892" t="s">
        <v>263</v>
      </c>
      <c r="L892" t="s">
        <v>275</v>
      </c>
      <c r="M892" t="s">
        <v>284</v>
      </c>
      <c r="N892" t="s">
        <v>294</v>
      </c>
      <c r="O892" t="s">
        <v>302</v>
      </c>
      <c r="P892" t="s">
        <v>310</v>
      </c>
      <c r="Q892" t="s">
        <v>316</v>
      </c>
      <c r="R892" t="s">
        <v>322</v>
      </c>
      <c r="S892" t="s">
        <v>329</v>
      </c>
      <c r="AK892" t="s">
        <v>356</v>
      </c>
    </row>
    <row r="893" spans="1:37">
      <c r="A893" t="s">
        <v>39</v>
      </c>
      <c r="B893" t="s">
        <v>54</v>
      </c>
      <c r="C893" t="s">
        <v>54</v>
      </c>
      <c r="D893" t="s">
        <v>54</v>
      </c>
      <c r="E893" t="s">
        <v>54</v>
      </c>
      <c r="F893" t="s">
        <v>54</v>
      </c>
      <c r="G893" t="s">
        <v>54</v>
      </c>
      <c r="H893" t="s">
        <v>54</v>
      </c>
      <c r="I893" t="s">
        <v>54</v>
      </c>
      <c r="J893" t="s">
        <v>54</v>
      </c>
      <c r="K893" t="s">
        <v>54</v>
      </c>
      <c r="L893" t="s">
        <v>54</v>
      </c>
      <c r="M893" t="s">
        <v>54</v>
      </c>
      <c r="N893" t="s">
        <v>54</v>
      </c>
      <c r="O893" t="s">
        <v>54</v>
      </c>
      <c r="P893" t="s">
        <v>54</v>
      </c>
      <c r="Q893" t="s">
        <v>54</v>
      </c>
      <c r="R893" t="s">
        <v>323</v>
      </c>
      <c r="S893" t="s">
        <v>330</v>
      </c>
      <c r="AK893" t="s">
        <v>356</v>
      </c>
    </row>
    <row r="894" spans="1:37">
      <c r="B894" t="s">
        <v>55</v>
      </c>
      <c r="C894" t="s">
        <v>78</v>
      </c>
      <c r="D894" t="s">
        <v>55</v>
      </c>
      <c r="E894" t="s">
        <v>78</v>
      </c>
      <c r="F894" t="s">
        <v>55</v>
      </c>
      <c r="G894" t="s">
        <v>78</v>
      </c>
      <c r="H894" t="s">
        <v>55</v>
      </c>
      <c r="I894" t="s">
        <v>78</v>
      </c>
      <c r="J894" t="s">
        <v>55</v>
      </c>
      <c r="K894" t="s">
        <v>78</v>
      </c>
      <c r="L894" t="s">
        <v>55</v>
      </c>
      <c r="M894" t="s">
        <v>78</v>
      </c>
      <c r="N894" t="s">
        <v>55</v>
      </c>
      <c r="O894" t="s">
        <v>78</v>
      </c>
      <c r="P894" t="s">
        <v>55</v>
      </c>
      <c r="Q894" t="s">
        <v>78</v>
      </c>
      <c r="R894" t="s">
        <v>55</v>
      </c>
      <c r="S894" t="s">
        <v>78</v>
      </c>
      <c r="T894" t="s">
        <v>55</v>
      </c>
      <c r="U894" t="s">
        <v>78</v>
      </c>
      <c r="V894" t="s">
        <v>55</v>
      </c>
      <c r="W894" t="s">
        <v>78</v>
      </c>
      <c r="X894" t="s">
        <v>55</v>
      </c>
      <c r="Y894" t="s">
        <v>78</v>
      </c>
      <c r="Z894" t="s">
        <v>55</v>
      </c>
      <c r="AA894" t="s">
        <v>78</v>
      </c>
      <c r="AB894" t="s">
        <v>55</v>
      </c>
      <c r="AC894" t="s">
        <v>78</v>
      </c>
      <c r="AD894" t="s">
        <v>55</v>
      </c>
      <c r="AE894" t="s">
        <v>78</v>
      </c>
      <c r="AF894" t="s">
        <v>55</v>
      </c>
      <c r="AG894" t="s">
        <v>78</v>
      </c>
      <c r="AH894" t="s">
        <v>55</v>
      </c>
      <c r="AI894" t="s">
        <v>78</v>
      </c>
      <c r="AK894" t="s">
        <v>356</v>
      </c>
    </row>
    <row r="895" spans="1:37">
      <c r="B895" t="s">
        <v>56</v>
      </c>
      <c r="C895" t="s">
        <v>56</v>
      </c>
      <c r="D895" t="s">
        <v>56</v>
      </c>
      <c r="E895" t="s">
        <v>56</v>
      </c>
      <c r="F895" t="s">
        <v>56</v>
      </c>
      <c r="G895" t="s">
        <v>176</v>
      </c>
      <c r="H895" t="s">
        <v>211</v>
      </c>
      <c r="I895" t="s">
        <v>231</v>
      </c>
      <c r="J895" t="s">
        <v>250</v>
      </c>
      <c r="K895" t="s">
        <v>264</v>
      </c>
      <c r="L895" t="s">
        <v>276</v>
      </c>
      <c r="M895" t="s">
        <v>285</v>
      </c>
      <c r="N895" t="s">
        <v>295</v>
      </c>
      <c r="O895" t="s">
        <v>303</v>
      </c>
      <c r="P895" t="s">
        <v>56</v>
      </c>
      <c r="Q895" t="s">
        <v>317</v>
      </c>
      <c r="R895" t="s">
        <v>324</v>
      </c>
      <c r="S895" t="s">
        <v>331</v>
      </c>
      <c r="T895" t="s">
        <v>334</v>
      </c>
      <c r="U895" t="s">
        <v>338</v>
      </c>
      <c r="V895" t="s">
        <v>342</v>
      </c>
      <c r="W895" t="s">
        <v>346</v>
      </c>
      <c r="X895" t="s">
        <v>351</v>
      </c>
      <c r="AK895" t="s">
        <v>356</v>
      </c>
    </row>
    <row r="896" spans="1:37">
      <c r="B896" t="s">
        <v>57</v>
      </c>
      <c r="C896" t="s">
        <v>79</v>
      </c>
      <c r="D896" t="s">
        <v>98</v>
      </c>
      <c r="E896" t="s">
        <v>117</v>
      </c>
      <c r="F896" t="s">
        <v>151</v>
      </c>
      <c r="G896" t="s">
        <v>177</v>
      </c>
      <c r="H896" t="s">
        <v>212</v>
      </c>
      <c r="I896" t="s">
        <v>232</v>
      </c>
      <c r="J896" t="s">
        <v>251</v>
      </c>
      <c r="K896" t="s">
        <v>265</v>
      </c>
      <c r="L896" t="s">
        <v>277</v>
      </c>
      <c r="M896" t="s">
        <v>286</v>
      </c>
      <c r="N896" t="s">
        <v>296</v>
      </c>
      <c r="O896" t="s">
        <v>304</v>
      </c>
      <c r="P896" t="s">
        <v>311</v>
      </c>
      <c r="Q896" t="s">
        <v>318</v>
      </c>
      <c r="R896" t="s">
        <v>185</v>
      </c>
      <c r="S896" t="s">
        <v>159</v>
      </c>
      <c r="T896" t="s">
        <v>185</v>
      </c>
      <c r="U896" t="s">
        <v>339</v>
      </c>
      <c r="V896" t="s">
        <v>72</v>
      </c>
      <c r="W896" t="s">
        <v>347</v>
      </c>
      <c r="X896" t="s">
        <v>72</v>
      </c>
      <c r="Y896" t="s">
        <v>96</v>
      </c>
      <c r="AK896" t="s">
        <v>356</v>
      </c>
    </row>
    <row r="897" spans="1:37">
      <c r="B897" t="s">
        <v>58</v>
      </c>
      <c r="C897" t="s">
        <v>80</v>
      </c>
      <c r="D897" t="s">
        <v>99</v>
      </c>
      <c r="E897" t="s">
        <v>118</v>
      </c>
      <c r="F897" t="s">
        <v>152</v>
      </c>
      <c r="G897" t="s">
        <v>178</v>
      </c>
      <c r="H897" t="s">
        <v>213</v>
      </c>
      <c r="I897" t="s">
        <v>233</v>
      </c>
      <c r="J897" t="s">
        <v>252</v>
      </c>
      <c r="K897" t="s">
        <v>266</v>
      </c>
      <c r="L897" t="s">
        <v>278</v>
      </c>
      <c r="M897" t="s">
        <v>287</v>
      </c>
      <c r="N897" t="s">
        <v>297</v>
      </c>
      <c r="O897" t="s">
        <v>305</v>
      </c>
      <c r="P897" t="s">
        <v>312</v>
      </c>
      <c r="Q897" t="s">
        <v>319</v>
      </c>
      <c r="R897">
        <f>&gt;10       ветра      5.0     19  22 23</f>
        <v>0</v>
      </c>
      <c r="AK897" t="s">
        <v>356</v>
      </c>
    </row>
    <row r="898" spans="1:37">
      <c r="A898" t="s">
        <v>40</v>
      </c>
      <c r="B898" t="s">
        <v>59</v>
      </c>
      <c r="C898" t="s">
        <v>81</v>
      </c>
      <c r="D898" t="s">
        <v>100</v>
      </c>
      <c r="E898" t="s">
        <v>119</v>
      </c>
      <c r="F898" t="s">
        <v>153</v>
      </c>
      <c r="G898" t="s">
        <v>179</v>
      </c>
      <c r="H898" t="s">
        <v>214</v>
      </c>
      <c r="I898" t="s">
        <v>234</v>
      </c>
      <c r="AK898" t="s">
        <v>356</v>
      </c>
    </row>
    <row r="899" spans="1:37">
      <c r="A899" t="s">
        <v>40</v>
      </c>
      <c r="B899" t="s">
        <v>60</v>
      </c>
      <c r="C899" t="s">
        <v>82</v>
      </c>
      <c r="D899" t="s">
        <v>101</v>
      </c>
      <c r="E899" t="s">
        <v>120</v>
      </c>
      <c r="F899" t="s">
        <v>154</v>
      </c>
      <c r="G899" t="s">
        <v>180</v>
      </c>
      <c r="H899" t="s">
        <v>215</v>
      </c>
      <c r="I899" t="s">
        <v>235</v>
      </c>
      <c r="J899" t="s">
        <v>253</v>
      </c>
      <c r="K899" t="s">
        <v>267</v>
      </c>
      <c r="L899" t="s">
        <v>279</v>
      </c>
      <c r="M899" t="s">
        <v>288</v>
      </c>
      <c r="N899" t="s">
        <v>100</v>
      </c>
      <c r="O899" t="s">
        <v>306</v>
      </c>
      <c r="P899" t="s">
        <v>313</v>
      </c>
      <c r="Q899" t="s">
        <v>320</v>
      </c>
      <c r="R899" t="s">
        <v>325</v>
      </c>
      <c r="S899" t="s">
        <v>332</v>
      </c>
      <c r="T899" t="s">
        <v>119</v>
      </c>
      <c r="U899" t="s">
        <v>234</v>
      </c>
      <c r="V899" t="s">
        <v>343</v>
      </c>
      <c r="W899" t="s">
        <v>348</v>
      </c>
      <c r="X899" t="s">
        <v>352</v>
      </c>
      <c r="Y899" t="s">
        <v>354</v>
      </c>
      <c r="AK899" t="s">
        <v>356</v>
      </c>
    </row>
    <row r="900" spans="1:37">
      <c r="A900" t="s">
        <v>41</v>
      </c>
      <c r="B900" t="s">
        <v>61</v>
      </c>
      <c r="C900" t="s">
        <v>83</v>
      </c>
      <c r="D900" t="s">
        <v>102</v>
      </c>
      <c r="E900" t="s">
        <v>121</v>
      </c>
      <c r="F900" t="s">
        <v>155</v>
      </c>
      <c r="G900" t="s">
        <v>181</v>
      </c>
      <c r="H900" t="s">
        <v>216</v>
      </c>
      <c r="I900" t="s">
        <v>236</v>
      </c>
      <c r="AK900" t="s">
        <v>356</v>
      </c>
    </row>
    <row r="901" spans="1:37">
      <c r="A901" t="s">
        <v>42</v>
      </c>
      <c r="B901" t="s">
        <v>62</v>
      </c>
      <c r="C901" t="s">
        <v>84</v>
      </c>
      <c r="D901" t="s">
        <v>103</v>
      </c>
      <c r="E901" t="s">
        <v>122</v>
      </c>
      <c r="F901" t="s">
        <v>156</v>
      </c>
      <c r="G901" t="s">
        <v>182</v>
      </c>
      <c r="H901" t="s">
        <v>83</v>
      </c>
      <c r="I901" t="s">
        <v>237</v>
      </c>
      <c r="J901" t="s">
        <v>254</v>
      </c>
      <c r="K901" t="s">
        <v>268</v>
      </c>
      <c r="L901" t="s">
        <v>280</v>
      </c>
      <c r="M901" t="s">
        <v>289</v>
      </c>
      <c r="N901" t="s">
        <v>298</v>
      </c>
      <c r="O901" t="s">
        <v>307</v>
      </c>
      <c r="P901" t="s">
        <v>314</v>
      </c>
      <c r="Q901" t="s">
        <v>216</v>
      </c>
      <c r="R901" t="s">
        <v>326</v>
      </c>
      <c r="S901" t="s">
        <v>333</v>
      </c>
      <c r="T901" t="s">
        <v>335</v>
      </c>
      <c r="U901" t="s">
        <v>340</v>
      </c>
      <c r="V901" t="s">
        <v>344</v>
      </c>
      <c r="W901" t="s">
        <v>349</v>
      </c>
      <c r="AK901" t="s">
        <v>356</v>
      </c>
    </row>
    <row r="902" spans="1:37">
      <c r="A902" t="s">
        <v>43</v>
      </c>
      <c r="B902" t="s">
        <v>63</v>
      </c>
      <c r="C902" t="s">
        <v>85</v>
      </c>
      <c r="D902" t="s">
        <v>104</v>
      </c>
      <c r="E902" t="s">
        <v>123</v>
      </c>
      <c r="F902" t="s">
        <v>157</v>
      </c>
      <c r="G902" t="s">
        <v>183</v>
      </c>
      <c r="AK902" t="s">
        <v>356</v>
      </c>
    </row>
    <row r="903" spans="1:37">
      <c r="A903" t="s">
        <v>44</v>
      </c>
      <c r="B903" t="s">
        <v>64</v>
      </c>
      <c r="C903" t="s">
        <v>86</v>
      </c>
      <c r="D903" t="s">
        <v>105</v>
      </c>
      <c r="E903" t="s">
        <v>124</v>
      </c>
      <c r="F903" t="s">
        <v>158</v>
      </c>
      <c r="G903" t="s">
        <v>184</v>
      </c>
      <c r="AK903" t="s">
        <v>356</v>
      </c>
    </row>
    <row r="904" spans="1:37">
      <c r="A904" t="s">
        <v>45</v>
      </c>
      <c r="B904" t="s">
        <v>65</v>
      </c>
      <c r="C904" t="s">
        <v>87</v>
      </c>
      <c r="D904" t="s">
        <v>106</v>
      </c>
      <c r="E904" t="s">
        <v>125</v>
      </c>
      <c r="F904" t="s">
        <v>159</v>
      </c>
      <c r="G904" t="s">
        <v>185</v>
      </c>
      <c r="H904" t="s">
        <v>159</v>
      </c>
      <c r="I904" t="s">
        <v>185</v>
      </c>
      <c r="J904" t="s">
        <v>255</v>
      </c>
      <c r="AK904" t="s">
        <v>356</v>
      </c>
    </row>
    <row r="905" spans="1:37">
      <c r="A905" t="s">
        <v>46</v>
      </c>
      <c r="B905" t="s">
        <v>66</v>
      </c>
      <c r="C905" t="s">
        <v>88</v>
      </c>
      <c r="D905" t="s">
        <v>76</v>
      </c>
      <c r="E905" t="s">
        <v>126</v>
      </c>
      <c r="F905" t="s">
        <v>160</v>
      </c>
      <c r="G905" t="s">
        <v>186</v>
      </c>
      <c r="H905" t="s">
        <v>217</v>
      </c>
      <c r="I905" t="s">
        <v>238</v>
      </c>
      <c r="J905" t="s">
        <v>256</v>
      </c>
      <c r="K905" t="s">
        <v>265</v>
      </c>
      <c r="L905" t="s">
        <v>281</v>
      </c>
      <c r="M905" t="s">
        <v>290</v>
      </c>
      <c r="N905" t="s">
        <v>299</v>
      </c>
      <c r="O905" t="s">
        <v>308</v>
      </c>
      <c r="P905" t="s">
        <v>228</v>
      </c>
      <c r="Q905" t="s">
        <v>72</v>
      </c>
      <c r="R905" t="s">
        <v>327</v>
      </c>
      <c r="S905" t="s">
        <v>327</v>
      </c>
      <c r="T905" t="s">
        <v>336</v>
      </c>
      <c r="U905" t="s">
        <v>336</v>
      </c>
      <c r="V905" t="s">
        <v>336</v>
      </c>
      <c r="W905" t="s">
        <v>336</v>
      </c>
      <c r="X905" t="s">
        <v>353</v>
      </c>
      <c r="AK905" t="s">
        <v>356</v>
      </c>
    </row>
    <row r="906" spans="1:37">
      <c r="A906" t="s">
        <v>37</v>
      </c>
      <c r="B906" t="s">
        <v>49</v>
      </c>
      <c r="C906" t="s">
        <v>73</v>
      </c>
      <c r="D906" t="s">
        <v>94</v>
      </c>
      <c r="E906" t="s">
        <v>112</v>
      </c>
      <c r="F906" t="s">
        <v>146</v>
      </c>
      <c r="G906" t="s">
        <v>172</v>
      </c>
      <c r="H906" t="s">
        <v>207</v>
      </c>
      <c r="I906" t="s">
        <v>226</v>
      </c>
      <c r="J906" t="s">
        <v>246</v>
      </c>
      <c r="K906" t="s">
        <v>259</v>
      </c>
      <c r="AK906" t="s">
        <v>356</v>
      </c>
    </row>
    <row r="907" spans="1:37">
      <c r="A907" t="s">
        <v>38</v>
      </c>
      <c r="B907" t="s">
        <v>50</v>
      </c>
      <c r="C907" t="s">
        <v>74</v>
      </c>
      <c r="D907" t="s">
        <v>95</v>
      </c>
      <c r="E907" t="s">
        <v>113</v>
      </c>
      <c r="F907" t="s">
        <v>147</v>
      </c>
      <c r="G907" t="s">
        <v>173</v>
      </c>
      <c r="H907" t="s">
        <v>208</v>
      </c>
      <c r="I907" t="s">
        <v>227</v>
      </c>
      <c r="J907" t="s">
        <v>115</v>
      </c>
      <c r="K907" t="s">
        <v>260</v>
      </c>
      <c r="L907" t="s">
        <v>273</v>
      </c>
      <c r="M907" t="s">
        <v>282</v>
      </c>
      <c r="N907" t="s">
        <v>291</v>
      </c>
      <c r="AK907" t="s">
        <v>356</v>
      </c>
    </row>
    <row r="908" spans="1:37">
      <c r="B908" t="s">
        <v>51</v>
      </c>
      <c r="C908" t="s">
        <v>75</v>
      </c>
      <c r="D908" t="s">
        <v>52</v>
      </c>
      <c r="E908" t="s">
        <v>114</v>
      </c>
      <c r="F908" t="s">
        <v>148</v>
      </c>
      <c r="G908" t="s">
        <v>148</v>
      </c>
      <c r="H908" t="s">
        <v>209</v>
      </c>
      <c r="I908" t="s">
        <v>228</v>
      </c>
      <c r="J908" t="s">
        <v>247</v>
      </c>
      <c r="K908" t="s">
        <v>261</v>
      </c>
      <c r="L908" t="s">
        <v>274</v>
      </c>
      <c r="M908" t="s">
        <v>283</v>
      </c>
      <c r="N908" t="s">
        <v>292</v>
      </c>
      <c r="O908" t="s">
        <v>300</v>
      </c>
      <c r="AK908" t="s">
        <v>356</v>
      </c>
    </row>
    <row r="909" spans="1:37">
      <c r="B909" t="s">
        <v>52</v>
      </c>
      <c r="C909" t="s">
        <v>76</v>
      </c>
      <c r="D909" t="s">
        <v>96</v>
      </c>
      <c r="E909" t="s">
        <v>115</v>
      </c>
      <c r="F909" t="s">
        <v>149</v>
      </c>
      <c r="G909" t="s">
        <v>174</v>
      </c>
      <c r="H909" t="s">
        <v>96</v>
      </c>
      <c r="I909" t="s">
        <v>229</v>
      </c>
      <c r="J909" t="s">
        <v>248</v>
      </c>
      <c r="K909" t="s">
        <v>262</v>
      </c>
      <c r="L909" t="s">
        <v>52</v>
      </c>
      <c r="M909" t="s">
        <v>76</v>
      </c>
      <c r="N909" t="s">
        <v>293</v>
      </c>
      <c r="O909" t="s">
        <v>301</v>
      </c>
      <c r="P909" t="s">
        <v>309</v>
      </c>
      <c r="Q909" t="s">
        <v>315</v>
      </c>
      <c r="R909" t="s">
        <v>228</v>
      </c>
      <c r="S909" t="s">
        <v>328</v>
      </c>
      <c r="T909" t="s">
        <v>149</v>
      </c>
      <c r="U909" t="s">
        <v>337</v>
      </c>
      <c r="V909" t="s">
        <v>341</v>
      </c>
      <c r="W909" t="s">
        <v>345</v>
      </c>
      <c r="X909" t="s">
        <v>350</v>
      </c>
      <c r="AK909" t="s">
        <v>356</v>
      </c>
    </row>
    <row r="910" spans="1:37">
      <c r="B910" t="s">
        <v>53</v>
      </c>
      <c r="C910" t="s">
        <v>77</v>
      </c>
      <c r="D910" t="s">
        <v>97</v>
      </c>
      <c r="E910" t="s">
        <v>116</v>
      </c>
      <c r="F910" t="s">
        <v>150</v>
      </c>
      <c r="G910" t="s">
        <v>175</v>
      </c>
      <c r="H910" t="s">
        <v>210</v>
      </c>
      <c r="I910" t="s">
        <v>230</v>
      </c>
      <c r="J910" t="s">
        <v>249</v>
      </c>
      <c r="K910" t="s">
        <v>263</v>
      </c>
      <c r="L910" t="s">
        <v>275</v>
      </c>
      <c r="M910" t="s">
        <v>284</v>
      </c>
      <c r="N910" t="s">
        <v>294</v>
      </c>
      <c r="O910" t="s">
        <v>302</v>
      </c>
      <c r="P910" t="s">
        <v>310</v>
      </c>
      <c r="Q910" t="s">
        <v>316</v>
      </c>
      <c r="R910" t="s">
        <v>322</v>
      </c>
      <c r="S910" t="s">
        <v>329</v>
      </c>
      <c r="AK910" t="s">
        <v>356</v>
      </c>
    </row>
    <row r="911" spans="1:37">
      <c r="A911" t="s">
        <v>39</v>
      </c>
      <c r="B911" t="s">
        <v>54</v>
      </c>
      <c r="C911" t="s">
        <v>54</v>
      </c>
      <c r="D911" t="s">
        <v>54</v>
      </c>
      <c r="E911" t="s">
        <v>54</v>
      </c>
      <c r="F911" t="s">
        <v>54</v>
      </c>
      <c r="G911" t="s">
        <v>54</v>
      </c>
      <c r="H911" t="s">
        <v>54</v>
      </c>
      <c r="I911" t="s">
        <v>54</v>
      </c>
      <c r="J911" t="s">
        <v>54</v>
      </c>
      <c r="K911" t="s">
        <v>54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323</v>
      </c>
      <c r="S911" t="s">
        <v>330</v>
      </c>
      <c r="AK911" t="s">
        <v>356</v>
      </c>
    </row>
    <row r="912" spans="1:37">
      <c r="B912" t="s">
        <v>55</v>
      </c>
      <c r="C912" t="s">
        <v>78</v>
      </c>
      <c r="D912" t="s">
        <v>55</v>
      </c>
      <c r="E912" t="s">
        <v>78</v>
      </c>
      <c r="F912" t="s">
        <v>55</v>
      </c>
      <c r="G912" t="s">
        <v>78</v>
      </c>
      <c r="H912" t="s">
        <v>55</v>
      </c>
      <c r="I912" t="s">
        <v>78</v>
      </c>
      <c r="J912" t="s">
        <v>55</v>
      </c>
      <c r="K912" t="s">
        <v>78</v>
      </c>
      <c r="L912" t="s">
        <v>55</v>
      </c>
      <c r="M912" t="s">
        <v>78</v>
      </c>
      <c r="N912" t="s">
        <v>55</v>
      </c>
      <c r="O912" t="s">
        <v>78</v>
      </c>
      <c r="P912" t="s">
        <v>55</v>
      </c>
      <c r="Q912" t="s">
        <v>78</v>
      </c>
      <c r="R912" t="s">
        <v>55</v>
      </c>
      <c r="S912" t="s">
        <v>78</v>
      </c>
      <c r="T912" t="s">
        <v>55</v>
      </c>
      <c r="U912" t="s">
        <v>78</v>
      </c>
      <c r="V912" t="s">
        <v>55</v>
      </c>
      <c r="W912" t="s">
        <v>78</v>
      </c>
      <c r="X912" t="s">
        <v>55</v>
      </c>
      <c r="Y912" t="s">
        <v>78</v>
      </c>
      <c r="Z912" t="s">
        <v>55</v>
      </c>
      <c r="AA912" t="s">
        <v>78</v>
      </c>
      <c r="AB912" t="s">
        <v>55</v>
      </c>
      <c r="AC912" t="s">
        <v>78</v>
      </c>
      <c r="AD912" t="s">
        <v>55</v>
      </c>
      <c r="AE912" t="s">
        <v>78</v>
      </c>
      <c r="AF912" t="s">
        <v>55</v>
      </c>
      <c r="AG912" t="s">
        <v>78</v>
      </c>
      <c r="AH912" t="s">
        <v>55</v>
      </c>
      <c r="AI912" t="s">
        <v>78</v>
      </c>
      <c r="AK912" t="s">
        <v>356</v>
      </c>
    </row>
    <row r="913" spans="1:37">
      <c r="B913" t="s">
        <v>56</v>
      </c>
      <c r="C913" t="s">
        <v>56</v>
      </c>
      <c r="D913" t="s">
        <v>56</v>
      </c>
      <c r="E913" t="s">
        <v>56</v>
      </c>
      <c r="F913" t="s">
        <v>56</v>
      </c>
      <c r="G913" t="s">
        <v>176</v>
      </c>
      <c r="H913" t="s">
        <v>211</v>
      </c>
      <c r="I913" t="s">
        <v>231</v>
      </c>
      <c r="J913" t="s">
        <v>250</v>
      </c>
      <c r="K913" t="s">
        <v>264</v>
      </c>
      <c r="L913" t="s">
        <v>276</v>
      </c>
      <c r="M913" t="s">
        <v>285</v>
      </c>
      <c r="N913" t="s">
        <v>295</v>
      </c>
      <c r="O913" t="s">
        <v>303</v>
      </c>
      <c r="P913" t="s">
        <v>56</v>
      </c>
      <c r="Q913" t="s">
        <v>317</v>
      </c>
      <c r="R913" t="s">
        <v>324</v>
      </c>
      <c r="S913" t="s">
        <v>331</v>
      </c>
      <c r="T913" t="s">
        <v>334</v>
      </c>
      <c r="U913" t="s">
        <v>338</v>
      </c>
      <c r="V913" t="s">
        <v>342</v>
      </c>
      <c r="W913" t="s">
        <v>346</v>
      </c>
      <c r="X913" t="s">
        <v>351</v>
      </c>
      <c r="AK913" t="s">
        <v>356</v>
      </c>
    </row>
    <row r="914" spans="1:37">
      <c r="B914" t="s">
        <v>57</v>
      </c>
      <c r="C914" t="s">
        <v>79</v>
      </c>
      <c r="D914" t="s">
        <v>98</v>
      </c>
      <c r="E914" t="s">
        <v>117</v>
      </c>
      <c r="F914" t="s">
        <v>151</v>
      </c>
      <c r="G914" t="s">
        <v>177</v>
      </c>
      <c r="H914" t="s">
        <v>212</v>
      </c>
      <c r="I914" t="s">
        <v>232</v>
      </c>
      <c r="J914" t="s">
        <v>251</v>
      </c>
      <c r="K914" t="s">
        <v>265</v>
      </c>
      <c r="L914" t="s">
        <v>277</v>
      </c>
      <c r="M914" t="s">
        <v>286</v>
      </c>
      <c r="N914" t="s">
        <v>296</v>
      </c>
      <c r="O914" t="s">
        <v>304</v>
      </c>
      <c r="P914" t="s">
        <v>311</v>
      </c>
      <c r="Q914" t="s">
        <v>318</v>
      </c>
      <c r="R914" t="s">
        <v>185</v>
      </c>
      <c r="S914" t="s">
        <v>159</v>
      </c>
      <c r="T914" t="s">
        <v>185</v>
      </c>
      <c r="U914" t="s">
        <v>339</v>
      </c>
      <c r="V914" t="s">
        <v>72</v>
      </c>
      <c r="W914" t="s">
        <v>347</v>
      </c>
      <c r="X914" t="s">
        <v>72</v>
      </c>
      <c r="Y914" t="s">
        <v>96</v>
      </c>
      <c r="AK914" t="s">
        <v>356</v>
      </c>
    </row>
    <row r="915" spans="1:37">
      <c r="B915" t="s">
        <v>58</v>
      </c>
      <c r="C915" t="s">
        <v>80</v>
      </c>
      <c r="D915" t="s">
        <v>99</v>
      </c>
      <c r="E915" t="s">
        <v>118</v>
      </c>
      <c r="F915" t="s">
        <v>152</v>
      </c>
      <c r="G915" t="s">
        <v>178</v>
      </c>
      <c r="H915" t="s">
        <v>213</v>
      </c>
      <c r="I915" t="s">
        <v>233</v>
      </c>
      <c r="J915" t="s">
        <v>252</v>
      </c>
      <c r="K915" t="s">
        <v>266</v>
      </c>
      <c r="L915" t="s">
        <v>278</v>
      </c>
      <c r="M915" t="s">
        <v>287</v>
      </c>
      <c r="N915" t="s">
        <v>297</v>
      </c>
      <c r="O915" t="s">
        <v>305</v>
      </c>
      <c r="P915" t="s">
        <v>312</v>
      </c>
      <c r="Q915" t="s">
        <v>319</v>
      </c>
      <c r="R915">
        <f>&gt;10       ветра      3.1     23  23</f>
        <v>0</v>
      </c>
      <c r="AK915" t="s">
        <v>356</v>
      </c>
    </row>
    <row r="916" spans="1:37">
      <c r="A916" t="s">
        <v>40</v>
      </c>
      <c r="B916" t="s">
        <v>59</v>
      </c>
      <c r="C916" t="s">
        <v>81</v>
      </c>
      <c r="D916" t="s">
        <v>100</v>
      </c>
      <c r="E916" t="s">
        <v>119</v>
      </c>
      <c r="F916" t="s">
        <v>153</v>
      </c>
      <c r="G916" t="s">
        <v>179</v>
      </c>
      <c r="H916" t="s">
        <v>214</v>
      </c>
      <c r="I916" t="s">
        <v>234</v>
      </c>
      <c r="AK916" t="s">
        <v>356</v>
      </c>
    </row>
    <row r="917" spans="1:37">
      <c r="A917" t="s">
        <v>40</v>
      </c>
      <c r="B917" t="s">
        <v>60</v>
      </c>
      <c r="C917" t="s">
        <v>82</v>
      </c>
      <c r="D917" t="s">
        <v>101</v>
      </c>
      <c r="E917" t="s">
        <v>120</v>
      </c>
      <c r="F917" t="s">
        <v>154</v>
      </c>
      <c r="G917" t="s">
        <v>180</v>
      </c>
      <c r="H917" t="s">
        <v>215</v>
      </c>
      <c r="I917" t="s">
        <v>235</v>
      </c>
      <c r="J917" t="s">
        <v>253</v>
      </c>
      <c r="K917" t="s">
        <v>267</v>
      </c>
      <c r="L917" t="s">
        <v>279</v>
      </c>
      <c r="M917" t="s">
        <v>288</v>
      </c>
      <c r="N917" t="s">
        <v>100</v>
      </c>
      <c r="O917" t="s">
        <v>306</v>
      </c>
      <c r="P917" t="s">
        <v>313</v>
      </c>
      <c r="Q917" t="s">
        <v>320</v>
      </c>
      <c r="R917" t="s">
        <v>325</v>
      </c>
      <c r="S917" t="s">
        <v>332</v>
      </c>
      <c r="T917" t="s">
        <v>119</v>
      </c>
      <c r="U917" t="s">
        <v>234</v>
      </c>
      <c r="V917" t="s">
        <v>343</v>
      </c>
      <c r="W917" t="s">
        <v>348</v>
      </c>
      <c r="X917" t="s">
        <v>352</v>
      </c>
      <c r="Y917" t="s">
        <v>354</v>
      </c>
      <c r="AK917" t="s">
        <v>356</v>
      </c>
    </row>
    <row r="918" spans="1:37">
      <c r="A918" t="s">
        <v>41</v>
      </c>
      <c r="B918" t="s">
        <v>61</v>
      </c>
      <c r="C918" t="s">
        <v>83</v>
      </c>
      <c r="D918" t="s">
        <v>102</v>
      </c>
      <c r="E918" t="s">
        <v>121</v>
      </c>
      <c r="F918" t="s">
        <v>155</v>
      </c>
      <c r="G918" t="s">
        <v>181</v>
      </c>
      <c r="H918" t="s">
        <v>216</v>
      </c>
      <c r="I918" t="s">
        <v>236</v>
      </c>
      <c r="AK918" t="s">
        <v>356</v>
      </c>
    </row>
    <row r="919" spans="1:37">
      <c r="A919" t="s">
        <v>42</v>
      </c>
      <c r="B919" t="s">
        <v>62</v>
      </c>
      <c r="C919" t="s">
        <v>84</v>
      </c>
      <c r="D919" t="s">
        <v>103</v>
      </c>
      <c r="E919" t="s">
        <v>122</v>
      </c>
      <c r="F919" t="s">
        <v>156</v>
      </c>
      <c r="G919" t="s">
        <v>182</v>
      </c>
      <c r="H919" t="s">
        <v>83</v>
      </c>
      <c r="I919" t="s">
        <v>237</v>
      </c>
      <c r="J919" t="s">
        <v>254</v>
      </c>
      <c r="K919" t="s">
        <v>268</v>
      </c>
      <c r="L919" t="s">
        <v>280</v>
      </c>
      <c r="M919" t="s">
        <v>289</v>
      </c>
      <c r="N919" t="s">
        <v>298</v>
      </c>
      <c r="O919" t="s">
        <v>307</v>
      </c>
      <c r="P919" t="s">
        <v>314</v>
      </c>
      <c r="Q919" t="s">
        <v>216</v>
      </c>
      <c r="R919" t="s">
        <v>326</v>
      </c>
      <c r="S919" t="s">
        <v>333</v>
      </c>
      <c r="T919" t="s">
        <v>335</v>
      </c>
      <c r="U919" t="s">
        <v>340</v>
      </c>
      <c r="V919" t="s">
        <v>344</v>
      </c>
      <c r="W919" t="s">
        <v>349</v>
      </c>
      <c r="AK919" t="s">
        <v>356</v>
      </c>
    </row>
    <row r="920" spans="1:37">
      <c r="A920" t="s">
        <v>43</v>
      </c>
      <c r="B920" t="s">
        <v>63</v>
      </c>
      <c r="C920" t="s">
        <v>85</v>
      </c>
      <c r="D920" t="s">
        <v>104</v>
      </c>
      <c r="E920" t="s">
        <v>123</v>
      </c>
      <c r="F920" t="s">
        <v>157</v>
      </c>
      <c r="G920" t="s">
        <v>183</v>
      </c>
      <c r="AK920" t="s">
        <v>356</v>
      </c>
    </row>
    <row r="921" spans="1:37">
      <c r="A921" t="s">
        <v>44</v>
      </c>
      <c r="B921" t="s">
        <v>64</v>
      </c>
      <c r="C921" t="s">
        <v>86</v>
      </c>
      <c r="D921" t="s">
        <v>105</v>
      </c>
      <c r="E921" t="s">
        <v>124</v>
      </c>
      <c r="F921" t="s">
        <v>158</v>
      </c>
      <c r="G921" t="s">
        <v>184</v>
      </c>
      <c r="AK921" t="s">
        <v>356</v>
      </c>
    </row>
    <row r="922" spans="1:37">
      <c r="A922" t="s">
        <v>45</v>
      </c>
      <c r="B922" t="s">
        <v>65</v>
      </c>
      <c r="C922" t="s">
        <v>87</v>
      </c>
      <c r="D922" t="s">
        <v>106</v>
      </c>
      <c r="E922" t="s">
        <v>125</v>
      </c>
      <c r="F922" t="s">
        <v>159</v>
      </c>
      <c r="G922" t="s">
        <v>185</v>
      </c>
      <c r="H922" t="s">
        <v>159</v>
      </c>
      <c r="I922" t="s">
        <v>185</v>
      </c>
      <c r="J922" t="s">
        <v>255</v>
      </c>
      <c r="AK922" t="s">
        <v>356</v>
      </c>
    </row>
    <row r="923" spans="1:37">
      <c r="A923" t="s">
        <v>46</v>
      </c>
      <c r="B923" t="s">
        <v>66</v>
      </c>
      <c r="C923" t="s">
        <v>88</v>
      </c>
      <c r="D923" t="s">
        <v>76</v>
      </c>
      <c r="E923" t="s">
        <v>126</v>
      </c>
      <c r="F923" t="s">
        <v>160</v>
      </c>
      <c r="G923" t="s">
        <v>186</v>
      </c>
      <c r="H923" t="s">
        <v>217</v>
      </c>
      <c r="I923" t="s">
        <v>238</v>
      </c>
      <c r="J923" t="s">
        <v>256</v>
      </c>
      <c r="K923" t="s">
        <v>265</v>
      </c>
      <c r="L923" t="s">
        <v>281</v>
      </c>
      <c r="M923" t="s">
        <v>290</v>
      </c>
      <c r="N923" t="s">
        <v>299</v>
      </c>
      <c r="O923" t="s">
        <v>308</v>
      </c>
      <c r="P923" t="s">
        <v>228</v>
      </c>
      <c r="Q923" t="s">
        <v>72</v>
      </c>
      <c r="R923" t="s">
        <v>327</v>
      </c>
      <c r="S923" t="s">
        <v>327</v>
      </c>
      <c r="T923" t="s">
        <v>336</v>
      </c>
      <c r="U923" t="s">
        <v>336</v>
      </c>
      <c r="V923" t="s">
        <v>336</v>
      </c>
      <c r="W923" t="s">
        <v>336</v>
      </c>
      <c r="X923" t="s">
        <v>353</v>
      </c>
      <c r="AK923" t="s">
        <v>356</v>
      </c>
    </row>
    <row r="924" spans="1:37">
      <c r="A924" t="s">
        <v>37</v>
      </c>
      <c r="B924" t="s">
        <v>49</v>
      </c>
      <c r="C924" t="s">
        <v>73</v>
      </c>
      <c r="D924" t="s">
        <v>94</v>
      </c>
      <c r="E924" t="s">
        <v>112</v>
      </c>
      <c r="F924" t="s">
        <v>146</v>
      </c>
      <c r="G924" t="s">
        <v>172</v>
      </c>
      <c r="H924" t="s">
        <v>207</v>
      </c>
      <c r="I924" t="s">
        <v>226</v>
      </c>
      <c r="J924" t="s">
        <v>246</v>
      </c>
      <c r="K924" t="s">
        <v>259</v>
      </c>
      <c r="AK924" t="s">
        <v>356</v>
      </c>
    </row>
    <row r="925" spans="1:37">
      <c r="A925" t="s">
        <v>38</v>
      </c>
      <c r="B925" t="s">
        <v>50</v>
      </c>
      <c r="C925" t="s">
        <v>74</v>
      </c>
      <c r="D925" t="s">
        <v>95</v>
      </c>
      <c r="E925" t="s">
        <v>113</v>
      </c>
      <c r="F925" t="s">
        <v>147</v>
      </c>
      <c r="G925" t="s">
        <v>173</v>
      </c>
      <c r="H925" t="s">
        <v>208</v>
      </c>
      <c r="I925" t="s">
        <v>227</v>
      </c>
      <c r="J925" t="s">
        <v>115</v>
      </c>
      <c r="K925" t="s">
        <v>260</v>
      </c>
      <c r="L925" t="s">
        <v>273</v>
      </c>
      <c r="M925" t="s">
        <v>282</v>
      </c>
      <c r="N925" t="s">
        <v>291</v>
      </c>
      <c r="AK925" t="s">
        <v>356</v>
      </c>
    </row>
    <row r="926" spans="1:37">
      <c r="B926" t="s">
        <v>51</v>
      </c>
      <c r="C926" t="s">
        <v>75</v>
      </c>
      <c r="D926" t="s">
        <v>52</v>
      </c>
      <c r="E926" t="s">
        <v>114</v>
      </c>
      <c r="F926" t="s">
        <v>148</v>
      </c>
      <c r="G926" t="s">
        <v>148</v>
      </c>
      <c r="H926" t="s">
        <v>209</v>
      </c>
      <c r="I926" t="s">
        <v>228</v>
      </c>
      <c r="J926" t="s">
        <v>247</v>
      </c>
      <c r="K926" t="s">
        <v>261</v>
      </c>
      <c r="L926" t="s">
        <v>274</v>
      </c>
      <c r="M926" t="s">
        <v>283</v>
      </c>
      <c r="N926" t="s">
        <v>292</v>
      </c>
      <c r="O926" t="s">
        <v>300</v>
      </c>
      <c r="AK926" t="s">
        <v>356</v>
      </c>
    </row>
    <row r="927" spans="1:37">
      <c r="B927" t="s">
        <v>52</v>
      </c>
      <c r="C927" t="s">
        <v>76</v>
      </c>
      <c r="D927" t="s">
        <v>96</v>
      </c>
      <c r="E927" t="s">
        <v>115</v>
      </c>
      <c r="F927" t="s">
        <v>149</v>
      </c>
      <c r="G927" t="s">
        <v>174</v>
      </c>
      <c r="H927" t="s">
        <v>96</v>
      </c>
      <c r="I927" t="s">
        <v>229</v>
      </c>
      <c r="J927" t="s">
        <v>248</v>
      </c>
      <c r="K927" t="s">
        <v>262</v>
      </c>
      <c r="L927" t="s">
        <v>52</v>
      </c>
      <c r="M927" t="s">
        <v>76</v>
      </c>
      <c r="N927" t="s">
        <v>293</v>
      </c>
      <c r="O927" t="s">
        <v>301</v>
      </c>
      <c r="P927" t="s">
        <v>309</v>
      </c>
      <c r="Q927" t="s">
        <v>315</v>
      </c>
      <c r="R927" t="s">
        <v>228</v>
      </c>
      <c r="S927" t="s">
        <v>328</v>
      </c>
      <c r="T927" t="s">
        <v>149</v>
      </c>
      <c r="U927" t="s">
        <v>337</v>
      </c>
      <c r="V927" t="s">
        <v>341</v>
      </c>
      <c r="W927" t="s">
        <v>345</v>
      </c>
      <c r="X927" t="s">
        <v>350</v>
      </c>
      <c r="AK927" t="s">
        <v>356</v>
      </c>
    </row>
    <row r="928" spans="1:37">
      <c r="B928" t="s">
        <v>53</v>
      </c>
      <c r="C928" t="s">
        <v>77</v>
      </c>
      <c r="D928" t="s">
        <v>97</v>
      </c>
      <c r="E928" t="s">
        <v>116</v>
      </c>
      <c r="F928" t="s">
        <v>150</v>
      </c>
      <c r="G928" t="s">
        <v>175</v>
      </c>
      <c r="H928" t="s">
        <v>210</v>
      </c>
      <c r="I928" t="s">
        <v>230</v>
      </c>
      <c r="J928" t="s">
        <v>249</v>
      </c>
      <c r="K928" t="s">
        <v>263</v>
      </c>
      <c r="L928" t="s">
        <v>275</v>
      </c>
      <c r="M928" t="s">
        <v>284</v>
      </c>
      <c r="N928" t="s">
        <v>294</v>
      </c>
      <c r="O928" t="s">
        <v>302</v>
      </c>
      <c r="P928" t="s">
        <v>310</v>
      </c>
      <c r="Q928" t="s">
        <v>316</v>
      </c>
      <c r="R928" t="s">
        <v>322</v>
      </c>
      <c r="S928" t="s">
        <v>329</v>
      </c>
      <c r="AK928" t="s">
        <v>356</v>
      </c>
    </row>
    <row r="929" spans="1:37">
      <c r="A929" t="s">
        <v>39</v>
      </c>
      <c r="B929" t="s">
        <v>54</v>
      </c>
      <c r="C929" t="s">
        <v>54</v>
      </c>
      <c r="D929" t="s">
        <v>54</v>
      </c>
      <c r="E929" t="s">
        <v>54</v>
      </c>
      <c r="F929" t="s">
        <v>54</v>
      </c>
      <c r="G929" t="s">
        <v>54</v>
      </c>
      <c r="H929" t="s">
        <v>54</v>
      </c>
      <c r="I929" t="s">
        <v>54</v>
      </c>
      <c r="J929" t="s">
        <v>54</v>
      </c>
      <c r="K929" t="s">
        <v>54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 t="s">
        <v>323</v>
      </c>
      <c r="S929" t="s">
        <v>330</v>
      </c>
      <c r="AK929" t="s">
        <v>356</v>
      </c>
    </row>
    <row r="930" spans="1:37">
      <c r="B930" t="s">
        <v>55</v>
      </c>
      <c r="C930" t="s">
        <v>78</v>
      </c>
      <c r="D930" t="s">
        <v>55</v>
      </c>
      <c r="E930" t="s">
        <v>78</v>
      </c>
      <c r="F930" t="s">
        <v>55</v>
      </c>
      <c r="G930" t="s">
        <v>78</v>
      </c>
      <c r="H930" t="s">
        <v>55</v>
      </c>
      <c r="I930" t="s">
        <v>78</v>
      </c>
      <c r="J930" t="s">
        <v>55</v>
      </c>
      <c r="K930" t="s">
        <v>78</v>
      </c>
      <c r="L930" t="s">
        <v>55</v>
      </c>
      <c r="M930" t="s">
        <v>78</v>
      </c>
      <c r="N930" t="s">
        <v>55</v>
      </c>
      <c r="O930" t="s">
        <v>78</v>
      </c>
      <c r="P930" t="s">
        <v>55</v>
      </c>
      <c r="Q930" t="s">
        <v>78</v>
      </c>
      <c r="R930" t="s">
        <v>55</v>
      </c>
      <c r="S930" t="s">
        <v>78</v>
      </c>
      <c r="T930" t="s">
        <v>55</v>
      </c>
      <c r="U930" t="s">
        <v>78</v>
      </c>
      <c r="V930" t="s">
        <v>55</v>
      </c>
      <c r="W930" t="s">
        <v>78</v>
      </c>
      <c r="X930" t="s">
        <v>55</v>
      </c>
      <c r="Y930" t="s">
        <v>78</v>
      </c>
      <c r="Z930" t="s">
        <v>55</v>
      </c>
      <c r="AA930" t="s">
        <v>78</v>
      </c>
      <c r="AB930" t="s">
        <v>55</v>
      </c>
      <c r="AC930" t="s">
        <v>78</v>
      </c>
      <c r="AD930" t="s">
        <v>55</v>
      </c>
      <c r="AE930" t="s">
        <v>78</v>
      </c>
      <c r="AF930" t="s">
        <v>55</v>
      </c>
      <c r="AG930" t="s">
        <v>78</v>
      </c>
      <c r="AH930" t="s">
        <v>55</v>
      </c>
      <c r="AI930" t="s">
        <v>78</v>
      </c>
      <c r="AK930" t="s">
        <v>356</v>
      </c>
    </row>
    <row r="931" spans="1:37">
      <c r="B931" t="s">
        <v>56</v>
      </c>
      <c r="C931" t="s">
        <v>56</v>
      </c>
      <c r="D931" t="s">
        <v>56</v>
      </c>
      <c r="E931" t="s">
        <v>56</v>
      </c>
      <c r="F931" t="s">
        <v>56</v>
      </c>
      <c r="G931" t="s">
        <v>176</v>
      </c>
      <c r="H931" t="s">
        <v>211</v>
      </c>
      <c r="I931" t="s">
        <v>231</v>
      </c>
      <c r="J931" t="s">
        <v>250</v>
      </c>
      <c r="K931" t="s">
        <v>264</v>
      </c>
      <c r="L931" t="s">
        <v>276</v>
      </c>
      <c r="M931" t="s">
        <v>285</v>
      </c>
      <c r="N931" t="s">
        <v>295</v>
      </c>
      <c r="O931" t="s">
        <v>303</v>
      </c>
      <c r="P931" t="s">
        <v>56</v>
      </c>
      <c r="Q931" t="s">
        <v>317</v>
      </c>
      <c r="R931" t="s">
        <v>324</v>
      </c>
      <c r="S931" t="s">
        <v>331</v>
      </c>
      <c r="T931" t="s">
        <v>334</v>
      </c>
      <c r="U931" t="s">
        <v>338</v>
      </c>
      <c r="V931" t="s">
        <v>342</v>
      </c>
      <c r="W931" t="s">
        <v>346</v>
      </c>
      <c r="X931" t="s">
        <v>351</v>
      </c>
      <c r="AK931" t="s">
        <v>356</v>
      </c>
    </row>
    <row r="932" spans="1:37">
      <c r="B932" t="s">
        <v>57</v>
      </c>
      <c r="C932" t="s">
        <v>79</v>
      </c>
      <c r="D932" t="s">
        <v>98</v>
      </c>
      <c r="E932" t="s">
        <v>117</v>
      </c>
      <c r="F932" t="s">
        <v>151</v>
      </c>
      <c r="G932" t="s">
        <v>177</v>
      </c>
      <c r="H932" t="s">
        <v>212</v>
      </c>
      <c r="I932" t="s">
        <v>232</v>
      </c>
      <c r="J932" t="s">
        <v>251</v>
      </c>
      <c r="K932" t="s">
        <v>265</v>
      </c>
      <c r="L932" t="s">
        <v>277</v>
      </c>
      <c r="M932" t="s">
        <v>286</v>
      </c>
      <c r="N932" t="s">
        <v>296</v>
      </c>
      <c r="O932" t="s">
        <v>304</v>
      </c>
      <c r="P932" t="s">
        <v>311</v>
      </c>
      <c r="Q932" t="s">
        <v>318</v>
      </c>
      <c r="R932" t="s">
        <v>185</v>
      </c>
      <c r="S932" t="s">
        <v>159</v>
      </c>
      <c r="T932" t="s">
        <v>185</v>
      </c>
      <c r="U932" t="s">
        <v>339</v>
      </c>
      <c r="V932" t="s">
        <v>72</v>
      </c>
      <c r="W932" t="s">
        <v>347</v>
      </c>
      <c r="X932" t="s">
        <v>72</v>
      </c>
      <c r="Y932" t="s">
        <v>96</v>
      </c>
      <c r="AK932" t="s">
        <v>356</v>
      </c>
    </row>
    <row r="933" spans="1:37">
      <c r="B933" t="s">
        <v>58</v>
      </c>
      <c r="C933" t="s">
        <v>80</v>
      </c>
      <c r="D933" t="s">
        <v>99</v>
      </c>
      <c r="E933" t="s">
        <v>118</v>
      </c>
      <c r="F933" t="s">
        <v>152</v>
      </c>
      <c r="G933" t="s">
        <v>178</v>
      </c>
      <c r="H933" t="s">
        <v>213</v>
      </c>
      <c r="I933" t="s">
        <v>233</v>
      </c>
      <c r="J933" t="s">
        <v>252</v>
      </c>
      <c r="K933" t="s">
        <v>266</v>
      </c>
      <c r="L933" t="s">
        <v>278</v>
      </c>
      <c r="M933" t="s">
        <v>287</v>
      </c>
      <c r="N933" t="s">
        <v>297</v>
      </c>
      <c r="O933" t="s">
        <v>305</v>
      </c>
      <c r="P933" t="s">
        <v>312</v>
      </c>
      <c r="Q933" t="s">
        <v>319</v>
      </c>
      <c r="R933">
        <f>&gt;10       ветра      1.8     19  23</f>
        <v>0</v>
      </c>
      <c r="AK933" t="s">
        <v>356</v>
      </c>
    </row>
    <row r="934" spans="1:37">
      <c r="A934" t="s">
        <v>40</v>
      </c>
      <c r="B934" t="s">
        <v>59</v>
      </c>
      <c r="C934" t="s">
        <v>81</v>
      </c>
      <c r="D934" t="s">
        <v>100</v>
      </c>
      <c r="E934" t="s">
        <v>119</v>
      </c>
      <c r="F934" t="s">
        <v>153</v>
      </c>
      <c r="G934" t="s">
        <v>179</v>
      </c>
      <c r="H934" t="s">
        <v>214</v>
      </c>
      <c r="I934" t="s">
        <v>234</v>
      </c>
      <c r="AK934" t="s">
        <v>356</v>
      </c>
    </row>
    <row r="935" spans="1:37">
      <c r="A935" t="s">
        <v>40</v>
      </c>
      <c r="B935" t="s">
        <v>60</v>
      </c>
      <c r="C935" t="s">
        <v>82</v>
      </c>
      <c r="D935" t="s">
        <v>101</v>
      </c>
      <c r="E935" t="s">
        <v>120</v>
      </c>
      <c r="F935" t="s">
        <v>154</v>
      </c>
      <c r="G935" t="s">
        <v>180</v>
      </c>
      <c r="H935" t="s">
        <v>215</v>
      </c>
      <c r="I935" t="s">
        <v>235</v>
      </c>
      <c r="J935" t="s">
        <v>253</v>
      </c>
      <c r="K935" t="s">
        <v>267</v>
      </c>
      <c r="L935" t="s">
        <v>279</v>
      </c>
      <c r="M935" t="s">
        <v>288</v>
      </c>
      <c r="N935" t="s">
        <v>100</v>
      </c>
      <c r="O935" t="s">
        <v>306</v>
      </c>
      <c r="P935" t="s">
        <v>313</v>
      </c>
      <c r="Q935" t="s">
        <v>320</v>
      </c>
      <c r="R935" t="s">
        <v>325</v>
      </c>
      <c r="S935" t="s">
        <v>332</v>
      </c>
      <c r="T935" t="s">
        <v>119</v>
      </c>
      <c r="U935" t="s">
        <v>234</v>
      </c>
      <c r="V935" t="s">
        <v>343</v>
      </c>
      <c r="W935" t="s">
        <v>348</v>
      </c>
      <c r="X935" t="s">
        <v>352</v>
      </c>
      <c r="Y935" t="s">
        <v>354</v>
      </c>
      <c r="AK935" t="s">
        <v>356</v>
      </c>
    </row>
    <row r="936" spans="1:37">
      <c r="A936" t="s">
        <v>41</v>
      </c>
      <c r="B936" t="s">
        <v>61</v>
      </c>
      <c r="C936" t="s">
        <v>83</v>
      </c>
      <c r="D936" t="s">
        <v>102</v>
      </c>
      <c r="E936" t="s">
        <v>121</v>
      </c>
      <c r="F936" t="s">
        <v>155</v>
      </c>
      <c r="G936" t="s">
        <v>181</v>
      </c>
      <c r="H936" t="s">
        <v>216</v>
      </c>
      <c r="I936" t="s">
        <v>236</v>
      </c>
      <c r="AK936" t="s">
        <v>356</v>
      </c>
    </row>
    <row r="937" spans="1:37">
      <c r="A937" t="s">
        <v>42</v>
      </c>
      <c r="B937" t="s">
        <v>62</v>
      </c>
      <c r="C937" t="s">
        <v>84</v>
      </c>
      <c r="D937" t="s">
        <v>103</v>
      </c>
      <c r="E937" t="s">
        <v>122</v>
      </c>
      <c r="F937" t="s">
        <v>156</v>
      </c>
      <c r="G937" t="s">
        <v>182</v>
      </c>
      <c r="H937" t="s">
        <v>83</v>
      </c>
      <c r="I937" t="s">
        <v>237</v>
      </c>
      <c r="J937" t="s">
        <v>254</v>
      </c>
      <c r="K937" t="s">
        <v>268</v>
      </c>
      <c r="L937" t="s">
        <v>280</v>
      </c>
      <c r="M937" t="s">
        <v>289</v>
      </c>
      <c r="N937" t="s">
        <v>298</v>
      </c>
      <c r="O937" t="s">
        <v>307</v>
      </c>
      <c r="P937" t="s">
        <v>314</v>
      </c>
      <c r="Q937" t="s">
        <v>216</v>
      </c>
      <c r="R937" t="s">
        <v>326</v>
      </c>
      <c r="S937" t="s">
        <v>333</v>
      </c>
      <c r="T937" t="s">
        <v>335</v>
      </c>
      <c r="U937" t="s">
        <v>340</v>
      </c>
      <c r="V937" t="s">
        <v>344</v>
      </c>
      <c r="W937" t="s">
        <v>349</v>
      </c>
      <c r="AK937" t="s">
        <v>356</v>
      </c>
    </row>
    <row r="938" spans="1:37">
      <c r="A938" t="s">
        <v>43</v>
      </c>
      <c r="B938" t="s">
        <v>63</v>
      </c>
      <c r="C938" t="s">
        <v>85</v>
      </c>
      <c r="D938" t="s">
        <v>104</v>
      </c>
      <c r="E938" t="s">
        <v>123</v>
      </c>
      <c r="F938" t="s">
        <v>157</v>
      </c>
      <c r="G938" t="s">
        <v>183</v>
      </c>
      <c r="AK938" t="s">
        <v>356</v>
      </c>
    </row>
    <row r="939" spans="1:37">
      <c r="A939" t="s">
        <v>44</v>
      </c>
      <c r="B939" t="s">
        <v>64</v>
      </c>
      <c r="C939" t="s">
        <v>86</v>
      </c>
      <c r="D939" t="s">
        <v>105</v>
      </c>
      <c r="E939" t="s">
        <v>124</v>
      </c>
      <c r="F939" t="s">
        <v>158</v>
      </c>
      <c r="G939" t="s">
        <v>184</v>
      </c>
      <c r="AK939" t="s">
        <v>356</v>
      </c>
    </row>
    <row r="940" spans="1:37">
      <c r="A940" t="s">
        <v>45</v>
      </c>
      <c r="B940" t="s">
        <v>65</v>
      </c>
      <c r="C940" t="s">
        <v>87</v>
      </c>
      <c r="D940" t="s">
        <v>106</v>
      </c>
      <c r="E940" t="s">
        <v>125</v>
      </c>
      <c r="F940" t="s">
        <v>159</v>
      </c>
      <c r="G940" t="s">
        <v>185</v>
      </c>
      <c r="H940" t="s">
        <v>159</v>
      </c>
      <c r="I940" t="s">
        <v>185</v>
      </c>
      <c r="J940" t="s">
        <v>255</v>
      </c>
      <c r="AK940" t="s">
        <v>356</v>
      </c>
    </row>
    <row r="941" spans="1:37">
      <c r="A941" t="s">
        <v>46</v>
      </c>
      <c r="B941" t="s">
        <v>66</v>
      </c>
      <c r="C941" t="s">
        <v>88</v>
      </c>
      <c r="D941" t="s">
        <v>76</v>
      </c>
      <c r="E941" t="s">
        <v>126</v>
      </c>
      <c r="F941" t="s">
        <v>160</v>
      </c>
      <c r="G941" t="s">
        <v>186</v>
      </c>
      <c r="H941" t="s">
        <v>217</v>
      </c>
      <c r="I941" t="s">
        <v>238</v>
      </c>
      <c r="J941" t="s">
        <v>256</v>
      </c>
      <c r="K941" t="s">
        <v>265</v>
      </c>
      <c r="L941" t="s">
        <v>281</v>
      </c>
      <c r="M941" t="s">
        <v>290</v>
      </c>
      <c r="N941" t="s">
        <v>299</v>
      </c>
      <c r="O941" t="s">
        <v>308</v>
      </c>
      <c r="P941" t="s">
        <v>228</v>
      </c>
      <c r="Q941" t="s">
        <v>72</v>
      </c>
      <c r="R941" t="s">
        <v>327</v>
      </c>
      <c r="S941" t="s">
        <v>327</v>
      </c>
      <c r="T941" t="s">
        <v>336</v>
      </c>
      <c r="U941" t="s">
        <v>336</v>
      </c>
      <c r="V941" t="s">
        <v>336</v>
      </c>
      <c r="W941" t="s">
        <v>336</v>
      </c>
      <c r="X941" t="s">
        <v>353</v>
      </c>
      <c r="AK941" t="s">
        <v>356</v>
      </c>
    </row>
    <row r="942" spans="1:37">
      <c r="B942" t="s">
        <v>67</v>
      </c>
      <c r="C942" t="s">
        <v>89</v>
      </c>
      <c r="D942" t="s">
        <v>107</v>
      </c>
      <c r="AK942" t="s">
        <v>356</v>
      </c>
    </row>
    <row r="943" spans="1:37">
      <c r="B943" t="s">
        <v>68</v>
      </c>
      <c r="C943" t="s">
        <v>90</v>
      </c>
      <c r="D943" t="s">
        <v>108</v>
      </c>
      <c r="AK943" t="s">
        <v>356</v>
      </c>
    </row>
    <row r="944" spans="1:37">
      <c r="A944" t="s">
        <v>47</v>
      </c>
      <c r="B944" t="s">
        <v>69</v>
      </c>
      <c r="C944" t="s">
        <v>91</v>
      </c>
      <c r="D944" t="s">
        <v>109</v>
      </c>
      <c r="E944" t="s">
        <v>109</v>
      </c>
      <c r="F944" t="s">
        <v>109</v>
      </c>
      <c r="G944" t="s">
        <v>109</v>
      </c>
      <c r="H944" t="s">
        <v>109</v>
      </c>
      <c r="I944" t="s">
        <v>239</v>
      </c>
      <c r="AK944" t="s">
        <v>356</v>
      </c>
    </row>
    <row r="945" spans="1:37">
      <c r="B945" t="s">
        <v>70</v>
      </c>
      <c r="C945" t="s">
        <v>92</v>
      </c>
      <c r="D945" t="s">
        <v>110</v>
      </c>
      <c r="E945" t="s">
        <v>127</v>
      </c>
      <c r="F945" t="s">
        <v>161</v>
      </c>
      <c r="G945" t="s">
        <v>187</v>
      </c>
      <c r="H945" t="s">
        <v>218</v>
      </c>
      <c r="AK945" t="s">
        <v>356</v>
      </c>
    </row>
    <row r="946" spans="1:37">
      <c r="B946" t="s">
        <v>71</v>
      </c>
      <c r="C946" t="s">
        <v>93</v>
      </c>
      <c r="D946" t="s">
        <v>111</v>
      </c>
      <c r="E946" t="s">
        <v>128</v>
      </c>
      <c r="F946" t="s">
        <v>162</v>
      </c>
      <c r="G946" t="s">
        <v>188</v>
      </c>
      <c r="H946" t="s">
        <v>219</v>
      </c>
      <c r="I946" t="s">
        <v>240</v>
      </c>
      <c r="J946" t="s">
        <v>257</v>
      </c>
      <c r="K946" t="s">
        <v>269</v>
      </c>
      <c r="L946" t="s">
        <v>109</v>
      </c>
      <c r="M946" t="s">
        <v>109</v>
      </c>
      <c r="N946" t="s">
        <v>109</v>
      </c>
      <c r="O946" t="s">
        <v>109</v>
      </c>
      <c r="P946" t="s">
        <v>109</v>
      </c>
      <c r="Q946" t="s">
        <v>321</v>
      </c>
      <c r="AK946" t="s">
        <v>356</v>
      </c>
    </row>
    <row r="947" spans="1:37">
      <c r="A947" t="s">
        <v>48</v>
      </c>
      <c r="B947" t="s">
        <v>71</v>
      </c>
      <c r="C947" t="s">
        <v>93</v>
      </c>
      <c r="D947" t="s">
        <v>111</v>
      </c>
      <c r="E947" t="s">
        <v>128</v>
      </c>
      <c r="F947" t="s">
        <v>163</v>
      </c>
      <c r="G947" t="s">
        <v>189</v>
      </c>
      <c r="H947" t="s">
        <v>220</v>
      </c>
      <c r="I947" t="s">
        <v>241</v>
      </c>
      <c r="J947" t="s">
        <v>258</v>
      </c>
      <c r="K947" t="s">
        <v>270</v>
      </c>
      <c r="AK947" t="s">
        <v>356</v>
      </c>
    </row>
    <row r="948" spans="1:37">
      <c r="B948" t="s">
        <v>72</v>
      </c>
      <c r="C948" t="s">
        <v>72</v>
      </c>
      <c r="D948" t="s">
        <v>72</v>
      </c>
      <c r="E948" t="s">
        <v>130</v>
      </c>
      <c r="F948" t="s">
        <v>130</v>
      </c>
      <c r="G948" t="s">
        <v>193</v>
      </c>
      <c r="H948" t="s">
        <v>192</v>
      </c>
      <c r="I948" t="s">
        <v>192</v>
      </c>
      <c r="J948" t="s">
        <v>192</v>
      </c>
      <c r="K948" t="s">
        <v>271</v>
      </c>
      <c r="AK948" t="s">
        <v>356</v>
      </c>
    </row>
    <row r="949" spans="1:37">
      <c r="A949" t="s">
        <v>37</v>
      </c>
      <c r="B949" t="s">
        <v>49</v>
      </c>
      <c r="C949" t="s">
        <v>73</v>
      </c>
      <c r="D949" t="s">
        <v>94</v>
      </c>
      <c r="E949" t="s">
        <v>112</v>
      </c>
      <c r="F949" t="s">
        <v>146</v>
      </c>
      <c r="G949" t="s">
        <v>172</v>
      </c>
      <c r="H949" t="s">
        <v>207</v>
      </c>
      <c r="I949" t="s">
        <v>226</v>
      </c>
      <c r="J949" t="s">
        <v>246</v>
      </c>
      <c r="K949" t="s">
        <v>259</v>
      </c>
      <c r="AK949" t="s">
        <v>356</v>
      </c>
    </row>
    <row r="950" spans="1:37">
      <c r="A950" t="s">
        <v>38</v>
      </c>
      <c r="B950" t="s">
        <v>50</v>
      </c>
      <c r="C950" t="s">
        <v>74</v>
      </c>
      <c r="D950" t="s">
        <v>95</v>
      </c>
      <c r="E950" t="s">
        <v>113</v>
      </c>
      <c r="F950" t="s">
        <v>147</v>
      </c>
      <c r="G950" t="s">
        <v>173</v>
      </c>
      <c r="H950" t="s">
        <v>208</v>
      </c>
      <c r="I950" t="s">
        <v>227</v>
      </c>
      <c r="J950" t="s">
        <v>115</v>
      </c>
      <c r="K950" t="s">
        <v>260</v>
      </c>
      <c r="L950" t="s">
        <v>273</v>
      </c>
      <c r="M950" t="s">
        <v>282</v>
      </c>
      <c r="N950" t="s">
        <v>291</v>
      </c>
      <c r="AK950" t="s">
        <v>356</v>
      </c>
    </row>
    <row r="951" spans="1:37">
      <c r="B951" t="s">
        <v>51</v>
      </c>
      <c r="C951" t="s">
        <v>75</v>
      </c>
      <c r="D951" t="s">
        <v>52</v>
      </c>
      <c r="E951" t="s">
        <v>114</v>
      </c>
      <c r="F951" t="s">
        <v>148</v>
      </c>
      <c r="G951" t="s">
        <v>148</v>
      </c>
      <c r="H951" t="s">
        <v>209</v>
      </c>
      <c r="I951" t="s">
        <v>228</v>
      </c>
      <c r="J951" t="s">
        <v>247</v>
      </c>
      <c r="K951" t="s">
        <v>261</v>
      </c>
      <c r="L951" t="s">
        <v>274</v>
      </c>
      <c r="M951" t="s">
        <v>283</v>
      </c>
      <c r="N951" t="s">
        <v>292</v>
      </c>
      <c r="O951" t="s">
        <v>300</v>
      </c>
      <c r="AK951" t="s">
        <v>356</v>
      </c>
    </row>
    <row r="952" spans="1:37">
      <c r="B952" t="s">
        <v>52</v>
      </c>
      <c r="C952" t="s">
        <v>76</v>
      </c>
      <c r="D952" t="s">
        <v>96</v>
      </c>
      <c r="E952" t="s">
        <v>115</v>
      </c>
      <c r="F952" t="s">
        <v>149</v>
      </c>
      <c r="G952" t="s">
        <v>174</v>
      </c>
      <c r="H952" t="s">
        <v>96</v>
      </c>
      <c r="I952" t="s">
        <v>229</v>
      </c>
      <c r="J952" t="s">
        <v>248</v>
      </c>
      <c r="K952" t="s">
        <v>262</v>
      </c>
      <c r="L952" t="s">
        <v>52</v>
      </c>
      <c r="M952" t="s">
        <v>76</v>
      </c>
      <c r="N952" t="s">
        <v>293</v>
      </c>
      <c r="O952" t="s">
        <v>301</v>
      </c>
      <c r="P952" t="s">
        <v>309</v>
      </c>
      <c r="Q952" t="s">
        <v>315</v>
      </c>
      <c r="R952" t="s">
        <v>228</v>
      </c>
      <c r="S952" t="s">
        <v>328</v>
      </c>
      <c r="T952" t="s">
        <v>149</v>
      </c>
      <c r="U952" t="s">
        <v>337</v>
      </c>
      <c r="V952" t="s">
        <v>341</v>
      </c>
      <c r="W952" t="s">
        <v>345</v>
      </c>
      <c r="X952" t="s">
        <v>350</v>
      </c>
      <c r="AK952" t="s">
        <v>356</v>
      </c>
    </row>
    <row r="953" spans="1:37">
      <c r="B953" t="s">
        <v>53</v>
      </c>
      <c r="C953" t="s">
        <v>77</v>
      </c>
      <c r="D953" t="s">
        <v>97</v>
      </c>
      <c r="E953" t="s">
        <v>116</v>
      </c>
      <c r="F953" t="s">
        <v>150</v>
      </c>
      <c r="G953" t="s">
        <v>175</v>
      </c>
      <c r="H953" t="s">
        <v>210</v>
      </c>
      <c r="I953" t="s">
        <v>230</v>
      </c>
      <c r="J953" t="s">
        <v>249</v>
      </c>
      <c r="K953" t="s">
        <v>263</v>
      </c>
      <c r="L953" t="s">
        <v>275</v>
      </c>
      <c r="M953" t="s">
        <v>284</v>
      </c>
      <c r="N953" t="s">
        <v>294</v>
      </c>
      <c r="O953" t="s">
        <v>302</v>
      </c>
      <c r="P953" t="s">
        <v>310</v>
      </c>
      <c r="Q953" t="s">
        <v>316</v>
      </c>
      <c r="R953" t="s">
        <v>322</v>
      </c>
      <c r="S953" t="s">
        <v>329</v>
      </c>
      <c r="AK953" t="s">
        <v>356</v>
      </c>
    </row>
    <row r="954" spans="1:37">
      <c r="A954" t="s">
        <v>39</v>
      </c>
      <c r="B954" t="s">
        <v>54</v>
      </c>
      <c r="C954" t="s">
        <v>54</v>
      </c>
      <c r="D954" t="s">
        <v>54</v>
      </c>
      <c r="E954" t="s">
        <v>54</v>
      </c>
      <c r="F954" t="s">
        <v>54</v>
      </c>
      <c r="G954" t="s">
        <v>54</v>
      </c>
      <c r="H954" t="s">
        <v>54</v>
      </c>
      <c r="I954" t="s">
        <v>54</v>
      </c>
      <c r="J954" t="s">
        <v>54</v>
      </c>
      <c r="K954" t="s">
        <v>54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323</v>
      </c>
      <c r="S954" t="s">
        <v>330</v>
      </c>
      <c r="AK954" t="s">
        <v>356</v>
      </c>
    </row>
    <row r="955" spans="1:37">
      <c r="B955" t="s">
        <v>55</v>
      </c>
      <c r="C955" t="s">
        <v>78</v>
      </c>
      <c r="D955" t="s">
        <v>55</v>
      </c>
      <c r="E955" t="s">
        <v>78</v>
      </c>
      <c r="F955" t="s">
        <v>55</v>
      </c>
      <c r="G955" t="s">
        <v>78</v>
      </c>
      <c r="H955" t="s">
        <v>55</v>
      </c>
      <c r="I955" t="s">
        <v>78</v>
      </c>
      <c r="J955" t="s">
        <v>55</v>
      </c>
      <c r="K955" t="s">
        <v>78</v>
      </c>
      <c r="L955" t="s">
        <v>55</v>
      </c>
      <c r="M955" t="s">
        <v>78</v>
      </c>
      <c r="N955" t="s">
        <v>55</v>
      </c>
      <c r="O955" t="s">
        <v>78</v>
      </c>
      <c r="P955" t="s">
        <v>55</v>
      </c>
      <c r="Q955" t="s">
        <v>78</v>
      </c>
      <c r="R955" t="s">
        <v>55</v>
      </c>
      <c r="S955" t="s">
        <v>78</v>
      </c>
      <c r="T955" t="s">
        <v>55</v>
      </c>
      <c r="U955" t="s">
        <v>78</v>
      </c>
      <c r="V955" t="s">
        <v>55</v>
      </c>
      <c r="W955" t="s">
        <v>78</v>
      </c>
      <c r="X955" t="s">
        <v>55</v>
      </c>
      <c r="Y955" t="s">
        <v>78</v>
      </c>
      <c r="Z955" t="s">
        <v>55</v>
      </c>
      <c r="AA955" t="s">
        <v>78</v>
      </c>
      <c r="AB955" t="s">
        <v>55</v>
      </c>
      <c r="AC955" t="s">
        <v>78</v>
      </c>
      <c r="AD955" t="s">
        <v>55</v>
      </c>
      <c r="AE955" t="s">
        <v>78</v>
      </c>
      <c r="AF955" t="s">
        <v>55</v>
      </c>
      <c r="AG955" t="s">
        <v>78</v>
      </c>
      <c r="AH955" t="s">
        <v>55</v>
      </c>
      <c r="AI955" t="s">
        <v>78</v>
      </c>
      <c r="AK955" t="s">
        <v>356</v>
      </c>
    </row>
    <row r="956" spans="1:37">
      <c r="B956" t="s">
        <v>56</v>
      </c>
      <c r="C956" t="s">
        <v>56</v>
      </c>
      <c r="D956" t="s">
        <v>56</v>
      </c>
      <c r="E956" t="s">
        <v>56</v>
      </c>
      <c r="F956" t="s">
        <v>56</v>
      </c>
      <c r="G956" t="s">
        <v>176</v>
      </c>
      <c r="H956" t="s">
        <v>211</v>
      </c>
      <c r="I956" t="s">
        <v>231</v>
      </c>
      <c r="J956" t="s">
        <v>250</v>
      </c>
      <c r="K956" t="s">
        <v>264</v>
      </c>
      <c r="L956" t="s">
        <v>276</v>
      </c>
      <c r="M956" t="s">
        <v>285</v>
      </c>
      <c r="N956" t="s">
        <v>295</v>
      </c>
      <c r="O956" t="s">
        <v>303</v>
      </c>
      <c r="P956" t="s">
        <v>56</v>
      </c>
      <c r="Q956" t="s">
        <v>317</v>
      </c>
      <c r="R956" t="s">
        <v>324</v>
      </c>
      <c r="S956" t="s">
        <v>331</v>
      </c>
      <c r="T956" t="s">
        <v>334</v>
      </c>
      <c r="U956" t="s">
        <v>338</v>
      </c>
      <c r="V956" t="s">
        <v>342</v>
      </c>
      <c r="W956" t="s">
        <v>346</v>
      </c>
      <c r="X956" t="s">
        <v>351</v>
      </c>
      <c r="AK956" t="s">
        <v>356</v>
      </c>
    </row>
    <row r="957" spans="1:37">
      <c r="B957" t="s">
        <v>57</v>
      </c>
      <c r="C957" t="s">
        <v>79</v>
      </c>
      <c r="D957" t="s">
        <v>98</v>
      </c>
      <c r="E957" t="s">
        <v>117</v>
      </c>
      <c r="F957" t="s">
        <v>151</v>
      </c>
      <c r="G957" t="s">
        <v>177</v>
      </c>
      <c r="H957" t="s">
        <v>212</v>
      </c>
      <c r="I957" t="s">
        <v>232</v>
      </c>
      <c r="J957" t="s">
        <v>251</v>
      </c>
      <c r="K957" t="s">
        <v>265</v>
      </c>
      <c r="L957" t="s">
        <v>277</v>
      </c>
      <c r="M957" t="s">
        <v>286</v>
      </c>
      <c r="N957" t="s">
        <v>296</v>
      </c>
      <c r="O957" t="s">
        <v>304</v>
      </c>
      <c r="P957" t="s">
        <v>311</v>
      </c>
      <c r="Q957" t="s">
        <v>318</v>
      </c>
      <c r="R957" t="s">
        <v>185</v>
      </c>
      <c r="S957" t="s">
        <v>159</v>
      </c>
      <c r="T957" t="s">
        <v>185</v>
      </c>
      <c r="U957" t="s">
        <v>339</v>
      </c>
      <c r="V957" t="s">
        <v>72</v>
      </c>
      <c r="W957" t="s">
        <v>347</v>
      </c>
      <c r="X957" t="s">
        <v>72</v>
      </c>
      <c r="Y957" t="s">
        <v>96</v>
      </c>
      <c r="AK957" t="s">
        <v>356</v>
      </c>
    </row>
    <row r="958" spans="1:37">
      <c r="B958" t="s">
        <v>58</v>
      </c>
      <c r="C958" t="s">
        <v>80</v>
      </c>
      <c r="D958" t="s">
        <v>99</v>
      </c>
      <c r="E958" t="s">
        <v>118</v>
      </c>
      <c r="F958" t="s">
        <v>152</v>
      </c>
      <c r="G958" t="s">
        <v>178</v>
      </c>
      <c r="H958" t="s">
        <v>213</v>
      </c>
      <c r="I958" t="s">
        <v>233</v>
      </c>
      <c r="J958" t="s">
        <v>252</v>
      </c>
      <c r="K958" t="s">
        <v>266</v>
      </c>
      <c r="L958" t="s">
        <v>278</v>
      </c>
      <c r="M958" t="s">
        <v>287</v>
      </c>
      <c r="N958" t="s">
        <v>297</v>
      </c>
      <c r="O958" t="s">
        <v>305</v>
      </c>
      <c r="P958" t="s">
        <v>312</v>
      </c>
      <c r="Q958" t="s">
        <v>319</v>
      </c>
      <c r="R958">
        <f>&gt;10       ветра      2.0     18  22 29</f>
        <v>0</v>
      </c>
      <c r="AK958" t="s">
        <v>356</v>
      </c>
    </row>
    <row r="959" spans="1:37">
      <c r="A959" t="s">
        <v>40</v>
      </c>
      <c r="B959" t="s">
        <v>59</v>
      </c>
      <c r="C959" t="s">
        <v>81</v>
      </c>
      <c r="D959" t="s">
        <v>100</v>
      </c>
      <c r="E959" t="s">
        <v>119</v>
      </c>
      <c r="F959" t="s">
        <v>153</v>
      </c>
      <c r="G959" t="s">
        <v>179</v>
      </c>
      <c r="H959" t="s">
        <v>214</v>
      </c>
      <c r="I959" t="s">
        <v>234</v>
      </c>
      <c r="AK959" t="s">
        <v>356</v>
      </c>
    </row>
    <row r="960" spans="1:37">
      <c r="A960" t="s">
        <v>40</v>
      </c>
      <c r="B960" t="s">
        <v>60</v>
      </c>
      <c r="C960" t="s">
        <v>82</v>
      </c>
      <c r="D960" t="s">
        <v>101</v>
      </c>
      <c r="E960" t="s">
        <v>120</v>
      </c>
      <c r="F960" t="s">
        <v>154</v>
      </c>
      <c r="G960" t="s">
        <v>180</v>
      </c>
      <c r="H960" t="s">
        <v>215</v>
      </c>
      <c r="I960" t="s">
        <v>235</v>
      </c>
      <c r="J960" t="s">
        <v>253</v>
      </c>
      <c r="K960" t="s">
        <v>267</v>
      </c>
      <c r="L960" t="s">
        <v>279</v>
      </c>
      <c r="M960" t="s">
        <v>288</v>
      </c>
      <c r="N960" t="s">
        <v>100</v>
      </c>
      <c r="O960" t="s">
        <v>306</v>
      </c>
      <c r="P960" t="s">
        <v>313</v>
      </c>
      <c r="Q960" t="s">
        <v>320</v>
      </c>
      <c r="R960" t="s">
        <v>325</v>
      </c>
      <c r="S960" t="s">
        <v>332</v>
      </c>
      <c r="T960" t="s">
        <v>119</v>
      </c>
      <c r="U960" t="s">
        <v>234</v>
      </c>
      <c r="V960" t="s">
        <v>343</v>
      </c>
      <c r="W960" t="s">
        <v>348</v>
      </c>
      <c r="X960" t="s">
        <v>352</v>
      </c>
      <c r="Y960" t="s">
        <v>354</v>
      </c>
      <c r="AK960" t="s">
        <v>356</v>
      </c>
    </row>
    <row r="961" spans="1:37">
      <c r="A961" t="s">
        <v>41</v>
      </c>
      <c r="B961" t="s">
        <v>61</v>
      </c>
      <c r="C961" t="s">
        <v>83</v>
      </c>
      <c r="D961" t="s">
        <v>102</v>
      </c>
      <c r="E961" t="s">
        <v>121</v>
      </c>
      <c r="F961" t="s">
        <v>155</v>
      </c>
      <c r="G961" t="s">
        <v>181</v>
      </c>
      <c r="H961" t="s">
        <v>216</v>
      </c>
      <c r="I961" t="s">
        <v>236</v>
      </c>
      <c r="AK961" t="s">
        <v>356</v>
      </c>
    </row>
    <row r="962" spans="1:37">
      <c r="A962" t="s">
        <v>42</v>
      </c>
      <c r="B962" t="s">
        <v>62</v>
      </c>
      <c r="C962" t="s">
        <v>84</v>
      </c>
      <c r="D962" t="s">
        <v>103</v>
      </c>
      <c r="E962" t="s">
        <v>122</v>
      </c>
      <c r="F962" t="s">
        <v>156</v>
      </c>
      <c r="G962" t="s">
        <v>182</v>
      </c>
      <c r="H962" t="s">
        <v>83</v>
      </c>
      <c r="I962" t="s">
        <v>237</v>
      </c>
      <c r="J962" t="s">
        <v>254</v>
      </c>
      <c r="K962" t="s">
        <v>268</v>
      </c>
      <c r="L962" t="s">
        <v>280</v>
      </c>
      <c r="M962" t="s">
        <v>289</v>
      </c>
      <c r="N962" t="s">
        <v>298</v>
      </c>
      <c r="O962" t="s">
        <v>307</v>
      </c>
      <c r="P962" t="s">
        <v>314</v>
      </c>
      <c r="Q962" t="s">
        <v>216</v>
      </c>
      <c r="R962" t="s">
        <v>326</v>
      </c>
      <c r="S962" t="s">
        <v>333</v>
      </c>
      <c r="T962" t="s">
        <v>335</v>
      </c>
      <c r="U962" t="s">
        <v>340</v>
      </c>
      <c r="V962" t="s">
        <v>344</v>
      </c>
      <c r="W962" t="s">
        <v>349</v>
      </c>
      <c r="AK962" t="s">
        <v>356</v>
      </c>
    </row>
    <row r="963" spans="1:37">
      <c r="A963" t="s">
        <v>43</v>
      </c>
      <c r="B963" t="s">
        <v>63</v>
      </c>
      <c r="C963" t="s">
        <v>85</v>
      </c>
      <c r="D963" t="s">
        <v>104</v>
      </c>
      <c r="E963" t="s">
        <v>123</v>
      </c>
      <c r="F963" t="s">
        <v>157</v>
      </c>
      <c r="G963" t="s">
        <v>183</v>
      </c>
      <c r="AK963" t="s">
        <v>356</v>
      </c>
    </row>
    <row r="964" spans="1:37">
      <c r="A964" t="s">
        <v>44</v>
      </c>
      <c r="B964" t="s">
        <v>64</v>
      </c>
      <c r="C964" t="s">
        <v>86</v>
      </c>
      <c r="D964" t="s">
        <v>105</v>
      </c>
      <c r="E964" t="s">
        <v>124</v>
      </c>
      <c r="F964" t="s">
        <v>158</v>
      </c>
      <c r="G964" t="s">
        <v>184</v>
      </c>
      <c r="AK964" t="s">
        <v>356</v>
      </c>
    </row>
    <row r="965" spans="1:37">
      <c r="A965" t="s">
        <v>45</v>
      </c>
      <c r="B965" t="s">
        <v>65</v>
      </c>
      <c r="C965" t="s">
        <v>87</v>
      </c>
      <c r="D965" t="s">
        <v>106</v>
      </c>
      <c r="E965" t="s">
        <v>125</v>
      </c>
      <c r="F965" t="s">
        <v>159</v>
      </c>
      <c r="G965" t="s">
        <v>185</v>
      </c>
      <c r="H965" t="s">
        <v>159</v>
      </c>
      <c r="I965" t="s">
        <v>185</v>
      </c>
      <c r="J965" t="s">
        <v>255</v>
      </c>
      <c r="AK965" t="s">
        <v>356</v>
      </c>
    </row>
    <row r="966" spans="1:37">
      <c r="A966" t="s">
        <v>46</v>
      </c>
      <c r="B966" t="s">
        <v>66</v>
      </c>
      <c r="C966" t="s">
        <v>88</v>
      </c>
      <c r="D966" t="s">
        <v>76</v>
      </c>
      <c r="E966" t="s">
        <v>126</v>
      </c>
      <c r="F966" t="s">
        <v>160</v>
      </c>
      <c r="G966" t="s">
        <v>186</v>
      </c>
      <c r="H966" t="s">
        <v>217</v>
      </c>
      <c r="I966" t="s">
        <v>238</v>
      </c>
      <c r="J966" t="s">
        <v>256</v>
      </c>
      <c r="K966" t="s">
        <v>265</v>
      </c>
      <c r="L966" t="s">
        <v>281</v>
      </c>
      <c r="M966" t="s">
        <v>290</v>
      </c>
      <c r="N966" t="s">
        <v>299</v>
      </c>
      <c r="O966" t="s">
        <v>308</v>
      </c>
      <c r="P966" t="s">
        <v>228</v>
      </c>
      <c r="Q966" t="s">
        <v>72</v>
      </c>
      <c r="R966" t="s">
        <v>327</v>
      </c>
      <c r="S966" t="s">
        <v>327</v>
      </c>
      <c r="T966" t="s">
        <v>336</v>
      </c>
      <c r="U966" t="s">
        <v>336</v>
      </c>
      <c r="V966" t="s">
        <v>336</v>
      </c>
      <c r="W966" t="s">
        <v>336</v>
      </c>
      <c r="X966" t="s">
        <v>353</v>
      </c>
      <c r="AK966" t="s">
        <v>356</v>
      </c>
    </row>
    <row r="967" spans="1:37">
      <c r="A967" t="s">
        <v>37</v>
      </c>
      <c r="B967" t="s">
        <v>49</v>
      </c>
      <c r="C967" t="s">
        <v>73</v>
      </c>
      <c r="D967" t="s">
        <v>94</v>
      </c>
      <c r="E967" t="s">
        <v>112</v>
      </c>
      <c r="F967" t="s">
        <v>146</v>
      </c>
      <c r="G967" t="s">
        <v>172</v>
      </c>
      <c r="H967" t="s">
        <v>207</v>
      </c>
      <c r="I967" t="s">
        <v>226</v>
      </c>
      <c r="J967" t="s">
        <v>246</v>
      </c>
      <c r="K967" t="s">
        <v>259</v>
      </c>
      <c r="AK967" t="s">
        <v>356</v>
      </c>
    </row>
    <row r="968" spans="1:37">
      <c r="A968" t="s">
        <v>38</v>
      </c>
      <c r="B968" t="s">
        <v>50</v>
      </c>
      <c r="C968" t="s">
        <v>74</v>
      </c>
      <c r="D968" t="s">
        <v>95</v>
      </c>
      <c r="E968" t="s">
        <v>113</v>
      </c>
      <c r="F968" t="s">
        <v>147</v>
      </c>
      <c r="G968" t="s">
        <v>173</v>
      </c>
      <c r="H968" t="s">
        <v>208</v>
      </c>
      <c r="I968" t="s">
        <v>227</v>
      </c>
      <c r="J968" t="s">
        <v>115</v>
      </c>
      <c r="K968" t="s">
        <v>260</v>
      </c>
      <c r="L968" t="s">
        <v>273</v>
      </c>
      <c r="M968" t="s">
        <v>282</v>
      </c>
      <c r="N968" t="s">
        <v>291</v>
      </c>
      <c r="AK968" t="s">
        <v>356</v>
      </c>
    </row>
    <row r="969" spans="1:37">
      <c r="B969" t="s">
        <v>51</v>
      </c>
      <c r="C969" t="s">
        <v>75</v>
      </c>
      <c r="D969" t="s">
        <v>52</v>
      </c>
      <c r="E969" t="s">
        <v>114</v>
      </c>
      <c r="F969" t="s">
        <v>148</v>
      </c>
      <c r="G969" t="s">
        <v>148</v>
      </c>
      <c r="H969" t="s">
        <v>209</v>
      </c>
      <c r="I969" t="s">
        <v>228</v>
      </c>
      <c r="J969" t="s">
        <v>247</v>
      </c>
      <c r="K969" t="s">
        <v>261</v>
      </c>
      <c r="L969" t="s">
        <v>274</v>
      </c>
      <c r="M969" t="s">
        <v>283</v>
      </c>
      <c r="N969" t="s">
        <v>292</v>
      </c>
      <c r="O969" t="s">
        <v>300</v>
      </c>
      <c r="AK969" t="s">
        <v>356</v>
      </c>
    </row>
    <row r="970" spans="1:37">
      <c r="B970" t="s">
        <v>52</v>
      </c>
      <c r="C970" t="s">
        <v>76</v>
      </c>
      <c r="D970" t="s">
        <v>96</v>
      </c>
      <c r="E970" t="s">
        <v>115</v>
      </c>
      <c r="F970" t="s">
        <v>149</v>
      </c>
      <c r="G970" t="s">
        <v>174</v>
      </c>
      <c r="H970" t="s">
        <v>96</v>
      </c>
      <c r="I970" t="s">
        <v>229</v>
      </c>
      <c r="J970" t="s">
        <v>248</v>
      </c>
      <c r="K970" t="s">
        <v>262</v>
      </c>
      <c r="L970" t="s">
        <v>52</v>
      </c>
      <c r="M970" t="s">
        <v>76</v>
      </c>
      <c r="N970" t="s">
        <v>293</v>
      </c>
      <c r="O970" t="s">
        <v>301</v>
      </c>
      <c r="P970" t="s">
        <v>309</v>
      </c>
      <c r="Q970" t="s">
        <v>315</v>
      </c>
      <c r="R970" t="s">
        <v>228</v>
      </c>
      <c r="S970" t="s">
        <v>328</v>
      </c>
      <c r="T970" t="s">
        <v>149</v>
      </c>
      <c r="U970" t="s">
        <v>337</v>
      </c>
      <c r="V970" t="s">
        <v>341</v>
      </c>
      <c r="W970" t="s">
        <v>345</v>
      </c>
      <c r="X970" t="s">
        <v>350</v>
      </c>
      <c r="AK970" t="s">
        <v>356</v>
      </c>
    </row>
    <row r="971" spans="1:37">
      <c r="B971" t="s">
        <v>53</v>
      </c>
      <c r="C971" t="s">
        <v>77</v>
      </c>
      <c r="D971" t="s">
        <v>97</v>
      </c>
      <c r="E971" t="s">
        <v>116</v>
      </c>
      <c r="F971" t="s">
        <v>150</v>
      </c>
      <c r="G971" t="s">
        <v>175</v>
      </c>
      <c r="H971" t="s">
        <v>210</v>
      </c>
      <c r="I971" t="s">
        <v>230</v>
      </c>
      <c r="J971" t="s">
        <v>249</v>
      </c>
      <c r="K971" t="s">
        <v>263</v>
      </c>
      <c r="L971" t="s">
        <v>275</v>
      </c>
      <c r="M971" t="s">
        <v>284</v>
      </c>
      <c r="N971" t="s">
        <v>294</v>
      </c>
      <c r="O971" t="s">
        <v>302</v>
      </c>
      <c r="P971" t="s">
        <v>310</v>
      </c>
      <c r="Q971" t="s">
        <v>316</v>
      </c>
      <c r="R971" t="s">
        <v>322</v>
      </c>
      <c r="S971" t="s">
        <v>329</v>
      </c>
      <c r="AK971" t="s">
        <v>356</v>
      </c>
    </row>
    <row r="972" spans="1:37">
      <c r="A972" t="s">
        <v>39</v>
      </c>
      <c r="B972" t="s">
        <v>54</v>
      </c>
      <c r="C972" t="s">
        <v>54</v>
      </c>
      <c r="D972" t="s">
        <v>54</v>
      </c>
      <c r="E972" t="s">
        <v>54</v>
      </c>
      <c r="F972" t="s">
        <v>54</v>
      </c>
      <c r="G972" t="s">
        <v>54</v>
      </c>
      <c r="H972" t="s">
        <v>54</v>
      </c>
      <c r="I972" t="s">
        <v>54</v>
      </c>
      <c r="J972" t="s">
        <v>54</v>
      </c>
      <c r="K972" t="s">
        <v>54</v>
      </c>
      <c r="L972" t="s">
        <v>54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323</v>
      </c>
      <c r="S972" t="s">
        <v>330</v>
      </c>
      <c r="AK972" t="s">
        <v>356</v>
      </c>
    </row>
    <row r="973" spans="1:37">
      <c r="B973" t="s">
        <v>55</v>
      </c>
      <c r="C973" t="s">
        <v>78</v>
      </c>
      <c r="D973" t="s">
        <v>55</v>
      </c>
      <c r="E973" t="s">
        <v>78</v>
      </c>
      <c r="F973" t="s">
        <v>55</v>
      </c>
      <c r="G973" t="s">
        <v>78</v>
      </c>
      <c r="H973" t="s">
        <v>55</v>
      </c>
      <c r="I973" t="s">
        <v>78</v>
      </c>
      <c r="J973" t="s">
        <v>55</v>
      </c>
      <c r="K973" t="s">
        <v>78</v>
      </c>
      <c r="L973" t="s">
        <v>55</v>
      </c>
      <c r="M973" t="s">
        <v>78</v>
      </c>
      <c r="N973" t="s">
        <v>55</v>
      </c>
      <c r="O973" t="s">
        <v>78</v>
      </c>
      <c r="P973" t="s">
        <v>55</v>
      </c>
      <c r="Q973" t="s">
        <v>78</v>
      </c>
      <c r="R973" t="s">
        <v>55</v>
      </c>
      <c r="S973" t="s">
        <v>78</v>
      </c>
      <c r="T973" t="s">
        <v>55</v>
      </c>
      <c r="U973" t="s">
        <v>78</v>
      </c>
      <c r="V973" t="s">
        <v>55</v>
      </c>
      <c r="W973" t="s">
        <v>78</v>
      </c>
      <c r="X973" t="s">
        <v>55</v>
      </c>
      <c r="Y973" t="s">
        <v>78</v>
      </c>
      <c r="Z973" t="s">
        <v>55</v>
      </c>
      <c r="AA973" t="s">
        <v>78</v>
      </c>
      <c r="AB973" t="s">
        <v>55</v>
      </c>
      <c r="AC973" t="s">
        <v>78</v>
      </c>
      <c r="AD973" t="s">
        <v>55</v>
      </c>
      <c r="AE973" t="s">
        <v>78</v>
      </c>
      <c r="AF973" t="s">
        <v>55</v>
      </c>
      <c r="AG973" t="s">
        <v>78</v>
      </c>
      <c r="AH973" t="s">
        <v>55</v>
      </c>
      <c r="AI973" t="s">
        <v>78</v>
      </c>
      <c r="AK973" t="s">
        <v>356</v>
      </c>
    </row>
    <row r="974" spans="1:37">
      <c r="B974" t="s">
        <v>56</v>
      </c>
      <c r="C974" t="s">
        <v>56</v>
      </c>
      <c r="D974" t="s">
        <v>56</v>
      </c>
      <c r="E974" t="s">
        <v>56</v>
      </c>
      <c r="F974" t="s">
        <v>56</v>
      </c>
      <c r="G974" t="s">
        <v>176</v>
      </c>
      <c r="H974" t="s">
        <v>211</v>
      </c>
      <c r="I974" t="s">
        <v>231</v>
      </c>
      <c r="J974" t="s">
        <v>250</v>
      </c>
      <c r="K974" t="s">
        <v>264</v>
      </c>
      <c r="L974" t="s">
        <v>276</v>
      </c>
      <c r="M974" t="s">
        <v>285</v>
      </c>
      <c r="N974" t="s">
        <v>295</v>
      </c>
      <c r="O974" t="s">
        <v>303</v>
      </c>
      <c r="P974" t="s">
        <v>56</v>
      </c>
      <c r="Q974" t="s">
        <v>317</v>
      </c>
      <c r="R974" t="s">
        <v>324</v>
      </c>
      <c r="S974" t="s">
        <v>331</v>
      </c>
      <c r="T974" t="s">
        <v>334</v>
      </c>
      <c r="U974" t="s">
        <v>338</v>
      </c>
      <c r="V974" t="s">
        <v>342</v>
      </c>
      <c r="W974" t="s">
        <v>346</v>
      </c>
      <c r="X974" t="s">
        <v>351</v>
      </c>
      <c r="AK974" t="s">
        <v>356</v>
      </c>
    </row>
    <row r="975" spans="1:37">
      <c r="B975" t="s">
        <v>57</v>
      </c>
      <c r="C975" t="s">
        <v>79</v>
      </c>
      <c r="D975" t="s">
        <v>98</v>
      </c>
      <c r="E975" t="s">
        <v>117</v>
      </c>
      <c r="F975" t="s">
        <v>151</v>
      </c>
      <c r="G975" t="s">
        <v>177</v>
      </c>
      <c r="H975" t="s">
        <v>212</v>
      </c>
      <c r="I975" t="s">
        <v>232</v>
      </c>
      <c r="J975" t="s">
        <v>251</v>
      </c>
      <c r="K975" t="s">
        <v>265</v>
      </c>
      <c r="L975" t="s">
        <v>277</v>
      </c>
      <c r="M975" t="s">
        <v>286</v>
      </c>
      <c r="N975" t="s">
        <v>296</v>
      </c>
      <c r="O975" t="s">
        <v>304</v>
      </c>
      <c r="P975" t="s">
        <v>311</v>
      </c>
      <c r="Q975" t="s">
        <v>318</v>
      </c>
      <c r="R975" t="s">
        <v>185</v>
      </c>
      <c r="S975" t="s">
        <v>159</v>
      </c>
      <c r="T975" t="s">
        <v>185</v>
      </c>
      <c r="U975" t="s">
        <v>339</v>
      </c>
      <c r="V975" t="s">
        <v>72</v>
      </c>
      <c r="W975" t="s">
        <v>347</v>
      </c>
      <c r="X975" t="s">
        <v>72</v>
      </c>
      <c r="Y975" t="s">
        <v>96</v>
      </c>
      <c r="AK975" t="s">
        <v>356</v>
      </c>
    </row>
    <row r="976" spans="1:37">
      <c r="B976" t="s">
        <v>58</v>
      </c>
      <c r="C976" t="s">
        <v>80</v>
      </c>
      <c r="D976" t="s">
        <v>99</v>
      </c>
      <c r="E976" t="s">
        <v>118</v>
      </c>
      <c r="F976" t="s">
        <v>152</v>
      </c>
      <c r="G976" t="s">
        <v>178</v>
      </c>
      <c r="H976" t="s">
        <v>213</v>
      </c>
      <c r="I976" t="s">
        <v>233</v>
      </c>
      <c r="J976" t="s">
        <v>252</v>
      </c>
      <c r="K976" t="s">
        <v>266</v>
      </c>
      <c r="L976" t="s">
        <v>278</v>
      </c>
      <c r="M976" t="s">
        <v>287</v>
      </c>
      <c r="N976" t="s">
        <v>297</v>
      </c>
      <c r="O976" t="s">
        <v>305</v>
      </c>
      <c r="P976" t="s">
        <v>312</v>
      </c>
      <c r="Q976" t="s">
        <v>319</v>
      </c>
      <c r="R976">
        <f>&gt;10       ветра      3.1     24  29</f>
        <v>0</v>
      </c>
      <c r="AK976" t="s">
        <v>356</v>
      </c>
    </row>
    <row r="977" spans="1:37">
      <c r="A977" t="s">
        <v>40</v>
      </c>
      <c r="B977" t="s">
        <v>59</v>
      </c>
      <c r="C977" t="s">
        <v>81</v>
      </c>
      <c r="D977" t="s">
        <v>100</v>
      </c>
      <c r="E977" t="s">
        <v>119</v>
      </c>
      <c r="F977" t="s">
        <v>153</v>
      </c>
      <c r="G977" t="s">
        <v>179</v>
      </c>
      <c r="H977" t="s">
        <v>214</v>
      </c>
      <c r="I977" t="s">
        <v>234</v>
      </c>
      <c r="AK977" t="s">
        <v>356</v>
      </c>
    </row>
    <row r="978" spans="1:37">
      <c r="A978" t="s">
        <v>40</v>
      </c>
      <c r="B978" t="s">
        <v>60</v>
      </c>
      <c r="C978" t="s">
        <v>82</v>
      </c>
      <c r="D978" t="s">
        <v>101</v>
      </c>
      <c r="E978" t="s">
        <v>120</v>
      </c>
      <c r="F978" t="s">
        <v>154</v>
      </c>
      <c r="G978" t="s">
        <v>180</v>
      </c>
      <c r="H978" t="s">
        <v>215</v>
      </c>
      <c r="I978" t="s">
        <v>235</v>
      </c>
      <c r="J978" t="s">
        <v>253</v>
      </c>
      <c r="K978" t="s">
        <v>267</v>
      </c>
      <c r="L978" t="s">
        <v>279</v>
      </c>
      <c r="M978" t="s">
        <v>288</v>
      </c>
      <c r="N978" t="s">
        <v>100</v>
      </c>
      <c r="O978" t="s">
        <v>306</v>
      </c>
      <c r="P978" t="s">
        <v>313</v>
      </c>
      <c r="Q978" t="s">
        <v>320</v>
      </c>
      <c r="R978" t="s">
        <v>325</v>
      </c>
      <c r="S978" t="s">
        <v>332</v>
      </c>
      <c r="T978" t="s">
        <v>119</v>
      </c>
      <c r="U978" t="s">
        <v>234</v>
      </c>
      <c r="V978" t="s">
        <v>343</v>
      </c>
      <c r="W978" t="s">
        <v>348</v>
      </c>
      <c r="X978" t="s">
        <v>352</v>
      </c>
      <c r="Y978" t="s">
        <v>354</v>
      </c>
      <c r="AK978" t="s">
        <v>356</v>
      </c>
    </row>
    <row r="979" spans="1:37">
      <c r="A979" t="s">
        <v>41</v>
      </c>
      <c r="B979" t="s">
        <v>61</v>
      </c>
      <c r="C979" t="s">
        <v>83</v>
      </c>
      <c r="D979" t="s">
        <v>102</v>
      </c>
      <c r="E979" t="s">
        <v>121</v>
      </c>
      <c r="F979" t="s">
        <v>155</v>
      </c>
      <c r="G979" t="s">
        <v>181</v>
      </c>
      <c r="H979" t="s">
        <v>216</v>
      </c>
      <c r="I979" t="s">
        <v>236</v>
      </c>
      <c r="AK979" t="s">
        <v>356</v>
      </c>
    </row>
    <row r="980" spans="1:37">
      <c r="A980" t="s">
        <v>42</v>
      </c>
      <c r="B980" t="s">
        <v>62</v>
      </c>
      <c r="C980" t="s">
        <v>84</v>
      </c>
      <c r="D980" t="s">
        <v>103</v>
      </c>
      <c r="E980" t="s">
        <v>122</v>
      </c>
      <c r="F980" t="s">
        <v>156</v>
      </c>
      <c r="G980" t="s">
        <v>182</v>
      </c>
      <c r="H980" t="s">
        <v>83</v>
      </c>
      <c r="I980" t="s">
        <v>237</v>
      </c>
      <c r="J980" t="s">
        <v>254</v>
      </c>
      <c r="K980" t="s">
        <v>268</v>
      </c>
      <c r="L980" t="s">
        <v>280</v>
      </c>
      <c r="M980" t="s">
        <v>289</v>
      </c>
      <c r="N980" t="s">
        <v>298</v>
      </c>
      <c r="O980" t="s">
        <v>307</v>
      </c>
      <c r="P980" t="s">
        <v>314</v>
      </c>
      <c r="Q980" t="s">
        <v>216</v>
      </c>
      <c r="R980" t="s">
        <v>326</v>
      </c>
      <c r="S980" t="s">
        <v>333</v>
      </c>
      <c r="T980" t="s">
        <v>335</v>
      </c>
      <c r="U980" t="s">
        <v>340</v>
      </c>
      <c r="V980" t="s">
        <v>344</v>
      </c>
      <c r="W980" t="s">
        <v>349</v>
      </c>
      <c r="AK980" t="s">
        <v>356</v>
      </c>
    </row>
    <row r="981" spans="1:37">
      <c r="A981" t="s">
        <v>43</v>
      </c>
      <c r="B981" t="s">
        <v>63</v>
      </c>
      <c r="C981" t="s">
        <v>85</v>
      </c>
      <c r="D981" t="s">
        <v>104</v>
      </c>
      <c r="E981" t="s">
        <v>123</v>
      </c>
      <c r="F981" t="s">
        <v>157</v>
      </c>
      <c r="G981" t="s">
        <v>183</v>
      </c>
      <c r="AK981" t="s">
        <v>356</v>
      </c>
    </row>
    <row r="982" spans="1:37">
      <c r="A982" t="s">
        <v>44</v>
      </c>
      <c r="B982" t="s">
        <v>64</v>
      </c>
      <c r="C982" t="s">
        <v>86</v>
      </c>
      <c r="D982" t="s">
        <v>105</v>
      </c>
      <c r="E982" t="s">
        <v>124</v>
      </c>
      <c r="F982" t="s">
        <v>158</v>
      </c>
      <c r="G982" t="s">
        <v>184</v>
      </c>
      <c r="AK982" t="s">
        <v>356</v>
      </c>
    </row>
    <row r="983" spans="1:37">
      <c r="A983" t="s">
        <v>45</v>
      </c>
      <c r="B983" t="s">
        <v>65</v>
      </c>
      <c r="C983" t="s">
        <v>87</v>
      </c>
      <c r="D983" t="s">
        <v>106</v>
      </c>
      <c r="E983" t="s">
        <v>125</v>
      </c>
      <c r="F983" t="s">
        <v>159</v>
      </c>
      <c r="G983" t="s">
        <v>185</v>
      </c>
      <c r="H983" t="s">
        <v>159</v>
      </c>
      <c r="I983" t="s">
        <v>185</v>
      </c>
      <c r="J983" t="s">
        <v>255</v>
      </c>
      <c r="AK983" t="s">
        <v>356</v>
      </c>
    </row>
    <row r="984" spans="1:37">
      <c r="A984" t="s">
        <v>46</v>
      </c>
      <c r="B984" t="s">
        <v>66</v>
      </c>
      <c r="C984" t="s">
        <v>88</v>
      </c>
      <c r="D984" t="s">
        <v>76</v>
      </c>
      <c r="E984" t="s">
        <v>126</v>
      </c>
      <c r="F984" t="s">
        <v>160</v>
      </c>
      <c r="G984" t="s">
        <v>186</v>
      </c>
      <c r="H984" t="s">
        <v>217</v>
      </c>
      <c r="I984" t="s">
        <v>238</v>
      </c>
      <c r="J984" t="s">
        <v>256</v>
      </c>
      <c r="K984" t="s">
        <v>265</v>
      </c>
      <c r="L984" t="s">
        <v>281</v>
      </c>
      <c r="M984" t="s">
        <v>290</v>
      </c>
      <c r="N984" t="s">
        <v>299</v>
      </c>
      <c r="O984" t="s">
        <v>308</v>
      </c>
      <c r="P984" t="s">
        <v>228</v>
      </c>
      <c r="Q984" t="s">
        <v>72</v>
      </c>
      <c r="R984" t="s">
        <v>327</v>
      </c>
      <c r="S984" t="s">
        <v>327</v>
      </c>
      <c r="T984" t="s">
        <v>336</v>
      </c>
      <c r="U984" t="s">
        <v>336</v>
      </c>
      <c r="V984" t="s">
        <v>336</v>
      </c>
      <c r="W984" t="s">
        <v>336</v>
      </c>
      <c r="X984" t="s">
        <v>353</v>
      </c>
      <c r="AK984" t="s">
        <v>356</v>
      </c>
    </row>
    <row r="985" spans="1:37">
      <c r="B985" t="s">
        <v>67</v>
      </c>
      <c r="C985" t="s">
        <v>89</v>
      </c>
      <c r="D985" t="s">
        <v>107</v>
      </c>
      <c r="AK985" t="s">
        <v>356</v>
      </c>
    </row>
    <row r="986" spans="1:37">
      <c r="B986" t="s">
        <v>68</v>
      </c>
      <c r="C986" t="s">
        <v>90</v>
      </c>
      <c r="D986" t="s">
        <v>108</v>
      </c>
      <c r="AK986" t="s">
        <v>356</v>
      </c>
    </row>
    <row r="987" spans="1:37">
      <c r="A987" t="s">
        <v>47</v>
      </c>
      <c r="B987" t="s">
        <v>69</v>
      </c>
      <c r="C987" t="s">
        <v>91</v>
      </c>
      <c r="D987" t="s">
        <v>109</v>
      </c>
      <c r="E987" t="s">
        <v>109</v>
      </c>
      <c r="F987" t="s">
        <v>109</v>
      </c>
      <c r="G987" t="s">
        <v>109</v>
      </c>
      <c r="H987" t="s">
        <v>109</v>
      </c>
      <c r="I987" t="s">
        <v>239</v>
      </c>
      <c r="AK987" t="s">
        <v>356</v>
      </c>
    </row>
    <row r="988" spans="1:37">
      <c r="B988" t="s">
        <v>70</v>
      </c>
      <c r="C988" t="s">
        <v>92</v>
      </c>
      <c r="D988" t="s">
        <v>110</v>
      </c>
      <c r="E988" t="s">
        <v>127</v>
      </c>
      <c r="F988" t="s">
        <v>161</v>
      </c>
      <c r="G988" t="s">
        <v>187</v>
      </c>
      <c r="H988" t="s">
        <v>218</v>
      </c>
      <c r="AK988" t="s">
        <v>356</v>
      </c>
    </row>
    <row r="989" spans="1:37">
      <c r="B989" t="s">
        <v>71</v>
      </c>
      <c r="C989" t="s">
        <v>93</v>
      </c>
      <c r="D989" t="s">
        <v>111</v>
      </c>
      <c r="E989" t="s">
        <v>128</v>
      </c>
      <c r="F989" t="s">
        <v>162</v>
      </c>
      <c r="G989" t="s">
        <v>188</v>
      </c>
      <c r="H989" t="s">
        <v>219</v>
      </c>
      <c r="I989" t="s">
        <v>240</v>
      </c>
      <c r="J989" t="s">
        <v>257</v>
      </c>
      <c r="K989" t="s">
        <v>269</v>
      </c>
      <c r="L989" t="s">
        <v>109</v>
      </c>
      <c r="M989" t="s">
        <v>109</v>
      </c>
      <c r="N989" t="s">
        <v>109</v>
      </c>
      <c r="O989" t="s">
        <v>109</v>
      </c>
      <c r="P989" t="s">
        <v>109</v>
      </c>
      <c r="Q989" t="s">
        <v>321</v>
      </c>
      <c r="AK989" t="s">
        <v>356</v>
      </c>
    </row>
    <row r="990" spans="1:37">
      <c r="A990" t="s">
        <v>48</v>
      </c>
      <c r="B990" t="s">
        <v>71</v>
      </c>
      <c r="C990" t="s">
        <v>93</v>
      </c>
      <c r="D990" t="s">
        <v>111</v>
      </c>
      <c r="E990" t="s">
        <v>128</v>
      </c>
      <c r="F990" t="s">
        <v>163</v>
      </c>
      <c r="G990" t="s">
        <v>189</v>
      </c>
      <c r="H990" t="s">
        <v>220</v>
      </c>
      <c r="I990" t="s">
        <v>241</v>
      </c>
      <c r="J990" t="s">
        <v>258</v>
      </c>
      <c r="K990" t="s">
        <v>270</v>
      </c>
      <c r="AK990" t="s">
        <v>356</v>
      </c>
    </row>
    <row r="991" spans="1:37">
      <c r="B991" t="s">
        <v>72</v>
      </c>
      <c r="C991" t="s">
        <v>72</v>
      </c>
      <c r="D991" t="s">
        <v>72</v>
      </c>
      <c r="E991" t="s">
        <v>130</v>
      </c>
      <c r="F991" t="s">
        <v>130</v>
      </c>
      <c r="G991" t="s">
        <v>193</v>
      </c>
      <c r="H991" t="s">
        <v>193</v>
      </c>
      <c r="I991" t="s">
        <v>243</v>
      </c>
      <c r="J991" t="s">
        <v>192</v>
      </c>
      <c r="K991" t="s">
        <v>272</v>
      </c>
      <c r="AK991" t="s">
        <v>356</v>
      </c>
    </row>
    <row r="992" spans="1:37">
      <c r="A992" t="s">
        <v>37</v>
      </c>
      <c r="B992" t="s">
        <v>49</v>
      </c>
      <c r="C992" t="s">
        <v>73</v>
      </c>
      <c r="D992" t="s">
        <v>94</v>
      </c>
      <c r="E992" t="s">
        <v>112</v>
      </c>
      <c r="F992" t="s">
        <v>146</v>
      </c>
      <c r="G992" t="s">
        <v>172</v>
      </c>
      <c r="H992" t="s">
        <v>207</v>
      </c>
      <c r="I992" t="s">
        <v>226</v>
      </c>
      <c r="J992" t="s">
        <v>246</v>
      </c>
      <c r="K992" t="s">
        <v>259</v>
      </c>
      <c r="AK992" t="s">
        <v>356</v>
      </c>
    </row>
    <row r="993" spans="1:37">
      <c r="A993" t="s">
        <v>38</v>
      </c>
      <c r="B993" t="s">
        <v>50</v>
      </c>
      <c r="C993" t="s">
        <v>74</v>
      </c>
      <c r="D993" t="s">
        <v>95</v>
      </c>
      <c r="E993" t="s">
        <v>113</v>
      </c>
      <c r="F993" t="s">
        <v>147</v>
      </c>
      <c r="G993" t="s">
        <v>173</v>
      </c>
      <c r="H993" t="s">
        <v>208</v>
      </c>
      <c r="I993" t="s">
        <v>227</v>
      </c>
      <c r="J993" t="s">
        <v>115</v>
      </c>
      <c r="K993" t="s">
        <v>260</v>
      </c>
      <c r="L993" t="s">
        <v>273</v>
      </c>
      <c r="M993" t="s">
        <v>282</v>
      </c>
      <c r="N993" t="s">
        <v>291</v>
      </c>
      <c r="AK993" t="s">
        <v>356</v>
      </c>
    </row>
    <row r="994" spans="1:37">
      <c r="B994" t="s">
        <v>51</v>
      </c>
      <c r="C994" t="s">
        <v>75</v>
      </c>
      <c r="D994" t="s">
        <v>52</v>
      </c>
      <c r="E994" t="s">
        <v>114</v>
      </c>
      <c r="F994" t="s">
        <v>148</v>
      </c>
      <c r="G994" t="s">
        <v>148</v>
      </c>
      <c r="H994" t="s">
        <v>209</v>
      </c>
      <c r="I994" t="s">
        <v>228</v>
      </c>
      <c r="J994" t="s">
        <v>247</v>
      </c>
      <c r="K994" t="s">
        <v>261</v>
      </c>
      <c r="L994" t="s">
        <v>274</v>
      </c>
      <c r="M994" t="s">
        <v>283</v>
      </c>
      <c r="N994" t="s">
        <v>292</v>
      </c>
      <c r="O994" t="s">
        <v>300</v>
      </c>
      <c r="AK994" t="s">
        <v>356</v>
      </c>
    </row>
    <row r="995" spans="1:37">
      <c r="B995" t="s">
        <v>52</v>
      </c>
      <c r="C995" t="s">
        <v>76</v>
      </c>
      <c r="D995" t="s">
        <v>96</v>
      </c>
      <c r="E995" t="s">
        <v>115</v>
      </c>
      <c r="F995" t="s">
        <v>149</v>
      </c>
      <c r="G995" t="s">
        <v>174</v>
      </c>
      <c r="H995" t="s">
        <v>96</v>
      </c>
      <c r="I995" t="s">
        <v>229</v>
      </c>
      <c r="J995" t="s">
        <v>248</v>
      </c>
      <c r="K995" t="s">
        <v>262</v>
      </c>
      <c r="L995" t="s">
        <v>52</v>
      </c>
      <c r="M995" t="s">
        <v>76</v>
      </c>
      <c r="N995" t="s">
        <v>293</v>
      </c>
      <c r="O995" t="s">
        <v>301</v>
      </c>
      <c r="P995" t="s">
        <v>309</v>
      </c>
      <c r="Q995" t="s">
        <v>315</v>
      </c>
      <c r="R995" t="s">
        <v>228</v>
      </c>
      <c r="S995" t="s">
        <v>328</v>
      </c>
      <c r="T995" t="s">
        <v>149</v>
      </c>
      <c r="U995" t="s">
        <v>337</v>
      </c>
      <c r="V995" t="s">
        <v>341</v>
      </c>
      <c r="W995" t="s">
        <v>345</v>
      </c>
      <c r="X995" t="s">
        <v>350</v>
      </c>
      <c r="AK995" t="s">
        <v>356</v>
      </c>
    </row>
    <row r="996" spans="1:37">
      <c r="B996" t="s">
        <v>53</v>
      </c>
      <c r="C996" t="s">
        <v>77</v>
      </c>
      <c r="D996" t="s">
        <v>97</v>
      </c>
      <c r="E996" t="s">
        <v>116</v>
      </c>
      <c r="F996" t="s">
        <v>150</v>
      </c>
      <c r="G996" t="s">
        <v>175</v>
      </c>
      <c r="H996" t="s">
        <v>210</v>
      </c>
      <c r="I996" t="s">
        <v>230</v>
      </c>
      <c r="J996" t="s">
        <v>249</v>
      </c>
      <c r="K996" t="s">
        <v>263</v>
      </c>
      <c r="L996" t="s">
        <v>275</v>
      </c>
      <c r="M996" t="s">
        <v>284</v>
      </c>
      <c r="N996" t="s">
        <v>294</v>
      </c>
      <c r="O996" t="s">
        <v>302</v>
      </c>
      <c r="P996" t="s">
        <v>310</v>
      </c>
      <c r="Q996" t="s">
        <v>316</v>
      </c>
      <c r="R996" t="s">
        <v>322</v>
      </c>
      <c r="S996" t="s">
        <v>329</v>
      </c>
      <c r="AK996" t="s">
        <v>356</v>
      </c>
    </row>
    <row r="997" spans="1:37">
      <c r="A997" t="s">
        <v>39</v>
      </c>
      <c r="B997" t="s">
        <v>54</v>
      </c>
      <c r="C997" t="s">
        <v>54</v>
      </c>
      <c r="D997" t="s">
        <v>54</v>
      </c>
      <c r="E997" t="s">
        <v>54</v>
      </c>
      <c r="F997" t="s">
        <v>54</v>
      </c>
      <c r="G997" t="s">
        <v>54</v>
      </c>
      <c r="H997" t="s">
        <v>54</v>
      </c>
      <c r="I997" t="s">
        <v>54</v>
      </c>
      <c r="J997" t="s">
        <v>54</v>
      </c>
      <c r="K997" t="s">
        <v>54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323</v>
      </c>
      <c r="S997" t="s">
        <v>330</v>
      </c>
      <c r="AK997" t="s">
        <v>356</v>
      </c>
    </row>
    <row r="998" spans="1:37">
      <c r="B998" t="s">
        <v>55</v>
      </c>
      <c r="C998" t="s">
        <v>78</v>
      </c>
      <c r="D998" t="s">
        <v>55</v>
      </c>
      <c r="E998" t="s">
        <v>78</v>
      </c>
      <c r="F998" t="s">
        <v>55</v>
      </c>
      <c r="G998" t="s">
        <v>78</v>
      </c>
      <c r="H998" t="s">
        <v>55</v>
      </c>
      <c r="I998" t="s">
        <v>78</v>
      </c>
      <c r="J998" t="s">
        <v>55</v>
      </c>
      <c r="K998" t="s">
        <v>78</v>
      </c>
      <c r="L998" t="s">
        <v>55</v>
      </c>
      <c r="M998" t="s">
        <v>78</v>
      </c>
      <c r="N998" t="s">
        <v>55</v>
      </c>
      <c r="O998" t="s">
        <v>78</v>
      </c>
      <c r="P998" t="s">
        <v>55</v>
      </c>
      <c r="Q998" t="s">
        <v>78</v>
      </c>
      <c r="R998" t="s">
        <v>55</v>
      </c>
      <c r="S998" t="s">
        <v>78</v>
      </c>
      <c r="T998" t="s">
        <v>55</v>
      </c>
      <c r="U998" t="s">
        <v>78</v>
      </c>
      <c r="V998" t="s">
        <v>55</v>
      </c>
      <c r="W998" t="s">
        <v>78</v>
      </c>
      <c r="X998" t="s">
        <v>55</v>
      </c>
      <c r="Y998" t="s">
        <v>78</v>
      </c>
      <c r="Z998" t="s">
        <v>55</v>
      </c>
      <c r="AA998" t="s">
        <v>78</v>
      </c>
      <c r="AB998" t="s">
        <v>55</v>
      </c>
      <c r="AC998" t="s">
        <v>78</v>
      </c>
      <c r="AD998" t="s">
        <v>55</v>
      </c>
      <c r="AE998" t="s">
        <v>78</v>
      </c>
      <c r="AF998" t="s">
        <v>55</v>
      </c>
      <c r="AG998" t="s">
        <v>78</v>
      </c>
      <c r="AH998" t="s">
        <v>55</v>
      </c>
      <c r="AI998" t="s">
        <v>78</v>
      </c>
      <c r="AK998" t="s">
        <v>356</v>
      </c>
    </row>
    <row r="999" spans="1:37">
      <c r="B999" t="s">
        <v>56</v>
      </c>
      <c r="C999" t="s">
        <v>56</v>
      </c>
      <c r="D999" t="s">
        <v>56</v>
      </c>
      <c r="E999" t="s">
        <v>56</v>
      </c>
      <c r="F999" t="s">
        <v>56</v>
      </c>
      <c r="G999" t="s">
        <v>176</v>
      </c>
      <c r="H999" t="s">
        <v>211</v>
      </c>
      <c r="I999" t="s">
        <v>231</v>
      </c>
      <c r="J999" t="s">
        <v>250</v>
      </c>
      <c r="K999" t="s">
        <v>264</v>
      </c>
      <c r="L999" t="s">
        <v>276</v>
      </c>
      <c r="M999" t="s">
        <v>285</v>
      </c>
      <c r="N999" t="s">
        <v>295</v>
      </c>
      <c r="O999" t="s">
        <v>303</v>
      </c>
      <c r="P999" t="s">
        <v>56</v>
      </c>
      <c r="Q999" t="s">
        <v>317</v>
      </c>
      <c r="R999" t="s">
        <v>324</v>
      </c>
      <c r="S999" t="s">
        <v>331</v>
      </c>
      <c r="T999" t="s">
        <v>334</v>
      </c>
      <c r="U999" t="s">
        <v>338</v>
      </c>
      <c r="V999" t="s">
        <v>342</v>
      </c>
      <c r="W999" t="s">
        <v>346</v>
      </c>
      <c r="X999" t="s">
        <v>351</v>
      </c>
      <c r="AK999" t="s">
        <v>356</v>
      </c>
    </row>
    <row r="1000" spans="1:37">
      <c r="B1000" t="s">
        <v>57</v>
      </c>
      <c r="C1000" t="s">
        <v>79</v>
      </c>
      <c r="D1000" t="s">
        <v>98</v>
      </c>
      <c r="E1000" t="s">
        <v>117</v>
      </c>
      <c r="F1000" t="s">
        <v>151</v>
      </c>
      <c r="G1000" t="s">
        <v>177</v>
      </c>
      <c r="H1000" t="s">
        <v>212</v>
      </c>
      <c r="I1000" t="s">
        <v>232</v>
      </c>
      <c r="J1000" t="s">
        <v>251</v>
      </c>
      <c r="K1000" t="s">
        <v>265</v>
      </c>
      <c r="L1000" t="s">
        <v>277</v>
      </c>
      <c r="M1000" t="s">
        <v>286</v>
      </c>
      <c r="N1000" t="s">
        <v>296</v>
      </c>
      <c r="O1000" t="s">
        <v>304</v>
      </c>
      <c r="P1000" t="s">
        <v>311</v>
      </c>
      <c r="Q1000" t="s">
        <v>318</v>
      </c>
      <c r="R1000" t="s">
        <v>185</v>
      </c>
      <c r="S1000" t="s">
        <v>159</v>
      </c>
      <c r="T1000" t="s">
        <v>185</v>
      </c>
      <c r="U1000" t="s">
        <v>339</v>
      </c>
      <c r="V1000" t="s">
        <v>72</v>
      </c>
      <c r="W1000" t="s">
        <v>347</v>
      </c>
      <c r="X1000" t="s">
        <v>72</v>
      </c>
      <c r="Y1000" t="s">
        <v>96</v>
      </c>
      <c r="AK1000" t="s">
        <v>356</v>
      </c>
    </row>
    <row r="1001" spans="1:37">
      <c r="B1001" t="s">
        <v>58</v>
      </c>
      <c r="C1001" t="s">
        <v>80</v>
      </c>
      <c r="D1001" t="s">
        <v>99</v>
      </c>
      <c r="E1001" t="s">
        <v>118</v>
      </c>
      <c r="F1001" t="s">
        <v>152</v>
      </c>
      <c r="G1001" t="s">
        <v>178</v>
      </c>
      <c r="H1001" t="s">
        <v>213</v>
      </c>
      <c r="I1001" t="s">
        <v>233</v>
      </c>
      <c r="J1001" t="s">
        <v>252</v>
      </c>
      <c r="K1001" t="s">
        <v>266</v>
      </c>
      <c r="L1001" t="s">
        <v>278</v>
      </c>
      <c r="M1001" t="s">
        <v>287</v>
      </c>
      <c r="N1001" t="s">
        <v>297</v>
      </c>
      <c r="O1001" t="s">
        <v>305</v>
      </c>
      <c r="P1001" t="s">
        <v>312</v>
      </c>
      <c r="Q1001" t="s">
        <v>319</v>
      </c>
      <c r="R1001">
        <f>&gt;10       ветра      4.6     19  22</f>
        <v>0</v>
      </c>
      <c r="AK1001" t="s">
        <v>356</v>
      </c>
    </row>
    <row r="1002" spans="1:37">
      <c r="A1002" t="s">
        <v>40</v>
      </c>
      <c r="B1002" t="s">
        <v>59</v>
      </c>
      <c r="C1002" t="s">
        <v>81</v>
      </c>
      <c r="D1002" t="s">
        <v>100</v>
      </c>
      <c r="E1002" t="s">
        <v>119</v>
      </c>
      <c r="F1002" t="s">
        <v>153</v>
      </c>
      <c r="G1002" t="s">
        <v>179</v>
      </c>
      <c r="H1002" t="s">
        <v>214</v>
      </c>
      <c r="I1002" t="s">
        <v>234</v>
      </c>
      <c r="AK1002" t="s">
        <v>356</v>
      </c>
    </row>
    <row r="1003" spans="1:37">
      <c r="A1003" t="s">
        <v>40</v>
      </c>
      <c r="B1003" t="s">
        <v>60</v>
      </c>
      <c r="C1003" t="s">
        <v>82</v>
      </c>
      <c r="D1003" t="s">
        <v>101</v>
      </c>
      <c r="E1003" t="s">
        <v>120</v>
      </c>
      <c r="F1003" t="s">
        <v>154</v>
      </c>
      <c r="G1003" t="s">
        <v>180</v>
      </c>
      <c r="H1003" t="s">
        <v>215</v>
      </c>
      <c r="I1003" t="s">
        <v>235</v>
      </c>
      <c r="J1003" t="s">
        <v>253</v>
      </c>
      <c r="K1003" t="s">
        <v>267</v>
      </c>
      <c r="L1003" t="s">
        <v>279</v>
      </c>
      <c r="M1003" t="s">
        <v>288</v>
      </c>
      <c r="N1003" t="s">
        <v>100</v>
      </c>
      <c r="O1003" t="s">
        <v>306</v>
      </c>
      <c r="P1003" t="s">
        <v>313</v>
      </c>
      <c r="Q1003" t="s">
        <v>320</v>
      </c>
      <c r="R1003" t="s">
        <v>325</v>
      </c>
      <c r="S1003" t="s">
        <v>332</v>
      </c>
      <c r="T1003" t="s">
        <v>119</v>
      </c>
      <c r="U1003" t="s">
        <v>234</v>
      </c>
      <c r="V1003" t="s">
        <v>343</v>
      </c>
      <c r="W1003" t="s">
        <v>348</v>
      </c>
      <c r="X1003" t="s">
        <v>352</v>
      </c>
      <c r="Y1003" t="s">
        <v>354</v>
      </c>
      <c r="AK1003" t="s">
        <v>356</v>
      </c>
    </row>
    <row r="1004" spans="1:37">
      <c r="A1004" t="s">
        <v>41</v>
      </c>
      <c r="B1004" t="s">
        <v>61</v>
      </c>
      <c r="C1004" t="s">
        <v>83</v>
      </c>
      <c r="D1004" t="s">
        <v>102</v>
      </c>
      <c r="E1004" t="s">
        <v>121</v>
      </c>
      <c r="F1004" t="s">
        <v>155</v>
      </c>
      <c r="G1004" t="s">
        <v>181</v>
      </c>
      <c r="H1004" t="s">
        <v>216</v>
      </c>
      <c r="I1004" t="s">
        <v>236</v>
      </c>
      <c r="AK1004" t="s">
        <v>356</v>
      </c>
    </row>
    <row r="1005" spans="1:37">
      <c r="A1005" t="s">
        <v>42</v>
      </c>
      <c r="B1005" t="s">
        <v>62</v>
      </c>
      <c r="C1005" t="s">
        <v>84</v>
      </c>
      <c r="D1005" t="s">
        <v>103</v>
      </c>
      <c r="E1005" t="s">
        <v>122</v>
      </c>
      <c r="F1005" t="s">
        <v>156</v>
      </c>
      <c r="G1005" t="s">
        <v>182</v>
      </c>
      <c r="H1005" t="s">
        <v>83</v>
      </c>
      <c r="I1005" t="s">
        <v>237</v>
      </c>
      <c r="J1005" t="s">
        <v>254</v>
      </c>
      <c r="K1005" t="s">
        <v>268</v>
      </c>
      <c r="L1005" t="s">
        <v>280</v>
      </c>
      <c r="M1005" t="s">
        <v>289</v>
      </c>
      <c r="N1005" t="s">
        <v>298</v>
      </c>
      <c r="O1005" t="s">
        <v>307</v>
      </c>
      <c r="P1005" t="s">
        <v>314</v>
      </c>
      <c r="Q1005" t="s">
        <v>216</v>
      </c>
      <c r="R1005" t="s">
        <v>326</v>
      </c>
      <c r="S1005" t="s">
        <v>333</v>
      </c>
      <c r="T1005" t="s">
        <v>335</v>
      </c>
      <c r="U1005" t="s">
        <v>340</v>
      </c>
      <c r="V1005" t="s">
        <v>344</v>
      </c>
      <c r="W1005" t="s">
        <v>349</v>
      </c>
      <c r="AK1005" t="s">
        <v>356</v>
      </c>
    </row>
    <row r="1006" spans="1:37">
      <c r="A1006" t="s">
        <v>43</v>
      </c>
      <c r="B1006" t="s">
        <v>63</v>
      </c>
      <c r="C1006" t="s">
        <v>85</v>
      </c>
      <c r="D1006" t="s">
        <v>104</v>
      </c>
      <c r="E1006" t="s">
        <v>123</v>
      </c>
      <c r="F1006" t="s">
        <v>157</v>
      </c>
      <c r="G1006" t="s">
        <v>183</v>
      </c>
      <c r="AK1006" t="s">
        <v>356</v>
      </c>
    </row>
    <row r="1007" spans="1:37">
      <c r="A1007" t="s">
        <v>44</v>
      </c>
      <c r="B1007" t="s">
        <v>64</v>
      </c>
      <c r="C1007" t="s">
        <v>86</v>
      </c>
      <c r="D1007" t="s">
        <v>105</v>
      </c>
      <c r="E1007" t="s">
        <v>124</v>
      </c>
      <c r="F1007" t="s">
        <v>158</v>
      </c>
      <c r="G1007" t="s">
        <v>184</v>
      </c>
      <c r="AK1007" t="s">
        <v>356</v>
      </c>
    </row>
    <row r="1008" spans="1:37">
      <c r="A1008" t="s">
        <v>45</v>
      </c>
      <c r="B1008" t="s">
        <v>65</v>
      </c>
      <c r="C1008" t="s">
        <v>87</v>
      </c>
      <c r="D1008" t="s">
        <v>106</v>
      </c>
      <c r="E1008" t="s">
        <v>125</v>
      </c>
      <c r="F1008" t="s">
        <v>159</v>
      </c>
      <c r="G1008" t="s">
        <v>185</v>
      </c>
      <c r="H1008" t="s">
        <v>159</v>
      </c>
      <c r="I1008" t="s">
        <v>185</v>
      </c>
      <c r="J1008" t="s">
        <v>255</v>
      </c>
      <c r="AK1008" t="s">
        <v>356</v>
      </c>
    </row>
    <row r="1009" spans="1:37">
      <c r="A1009" t="s">
        <v>46</v>
      </c>
      <c r="B1009" t="s">
        <v>66</v>
      </c>
      <c r="C1009" t="s">
        <v>88</v>
      </c>
      <c r="D1009" t="s">
        <v>76</v>
      </c>
      <c r="E1009" t="s">
        <v>126</v>
      </c>
      <c r="F1009" t="s">
        <v>160</v>
      </c>
      <c r="G1009" t="s">
        <v>186</v>
      </c>
      <c r="H1009" t="s">
        <v>217</v>
      </c>
      <c r="I1009" t="s">
        <v>238</v>
      </c>
      <c r="J1009" t="s">
        <v>256</v>
      </c>
      <c r="K1009" t="s">
        <v>265</v>
      </c>
      <c r="L1009" t="s">
        <v>281</v>
      </c>
      <c r="M1009" t="s">
        <v>290</v>
      </c>
      <c r="N1009" t="s">
        <v>299</v>
      </c>
      <c r="O1009" t="s">
        <v>308</v>
      </c>
      <c r="P1009" t="s">
        <v>228</v>
      </c>
      <c r="Q1009" t="s">
        <v>72</v>
      </c>
      <c r="R1009" t="s">
        <v>327</v>
      </c>
      <c r="S1009" t="s">
        <v>327</v>
      </c>
      <c r="T1009" t="s">
        <v>336</v>
      </c>
      <c r="U1009" t="s">
        <v>336</v>
      </c>
      <c r="V1009" t="s">
        <v>336</v>
      </c>
      <c r="W1009" t="s">
        <v>336</v>
      </c>
      <c r="X1009" t="s">
        <v>353</v>
      </c>
      <c r="AK1009" t="s">
        <v>356</v>
      </c>
    </row>
    <row r="1010" spans="1:37">
      <c r="B1010" t="s">
        <v>67</v>
      </c>
      <c r="C1010" t="s">
        <v>89</v>
      </c>
      <c r="D1010" t="s">
        <v>107</v>
      </c>
      <c r="AK1010" t="s">
        <v>356</v>
      </c>
    </row>
    <row r="1011" spans="1:37">
      <c r="B1011" t="s">
        <v>68</v>
      </c>
      <c r="C1011" t="s">
        <v>90</v>
      </c>
      <c r="D1011" t="s">
        <v>108</v>
      </c>
      <c r="AK1011" t="s">
        <v>356</v>
      </c>
    </row>
    <row r="1012" spans="1:37">
      <c r="A1012" t="s">
        <v>47</v>
      </c>
      <c r="B1012" t="s">
        <v>69</v>
      </c>
      <c r="C1012" t="s">
        <v>91</v>
      </c>
      <c r="D1012" t="s">
        <v>109</v>
      </c>
      <c r="E1012" t="s">
        <v>109</v>
      </c>
      <c r="F1012" t="s">
        <v>109</v>
      </c>
      <c r="G1012" t="s">
        <v>109</v>
      </c>
      <c r="H1012" t="s">
        <v>109</v>
      </c>
      <c r="I1012" t="s">
        <v>239</v>
      </c>
      <c r="AK1012" t="s">
        <v>356</v>
      </c>
    </row>
    <row r="1013" spans="1:37">
      <c r="B1013" t="s">
        <v>70</v>
      </c>
      <c r="C1013" t="s">
        <v>92</v>
      </c>
      <c r="D1013" t="s">
        <v>110</v>
      </c>
      <c r="E1013" t="s">
        <v>127</v>
      </c>
      <c r="F1013" t="s">
        <v>161</v>
      </c>
      <c r="G1013" t="s">
        <v>187</v>
      </c>
      <c r="H1013" t="s">
        <v>218</v>
      </c>
      <c r="AK1013" t="s">
        <v>356</v>
      </c>
    </row>
    <row r="1014" spans="1:37">
      <c r="B1014" t="s">
        <v>71</v>
      </c>
      <c r="C1014" t="s">
        <v>93</v>
      </c>
      <c r="D1014" t="s">
        <v>111</v>
      </c>
      <c r="E1014" t="s">
        <v>128</v>
      </c>
      <c r="F1014" t="s">
        <v>162</v>
      </c>
      <c r="G1014" t="s">
        <v>188</v>
      </c>
      <c r="H1014" t="s">
        <v>219</v>
      </c>
      <c r="I1014" t="s">
        <v>240</v>
      </c>
      <c r="J1014" t="s">
        <v>257</v>
      </c>
      <c r="K1014" t="s">
        <v>269</v>
      </c>
      <c r="L1014" t="s">
        <v>109</v>
      </c>
      <c r="M1014" t="s">
        <v>109</v>
      </c>
      <c r="N1014" t="s">
        <v>109</v>
      </c>
      <c r="O1014" t="s">
        <v>109</v>
      </c>
      <c r="P1014" t="s">
        <v>109</v>
      </c>
      <c r="Q1014" t="s">
        <v>321</v>
      </c>
      <c r="AK1014" t="s">
        <v>356</v>
      </c>
    </row>
    <row r="1015" spans="1:37">
      <c r="A1015" t="s">
        <v>48</v>
      </c>
      <c r="B1015" t="s">
        <v>71</v>
      </c>
      <c r="C1015" t="s">
        <v>93</v>
      </c>
      <c r="D1015" t="s">
        <v>111</v>
      </c>
      <c r="E1015" t="s">
        <v>128</v>
      </c>
      <c r="F1015" t="s">
        <v>163</v>
      </c>
      <c r="G1015" t="s">
        <v>189</v>
      </c>
      <c r="H1015" t="s">
        <v>220</v>
      </c>
      <c r="I1015" t="s">
        <v>241</v>
      </c>
      <c r="J1015" t="s">
        <v>258</v>
      </c>
      <c r="K1015" t="s">
        <v>270</v>
      </c>
      <c r="AK1015" t="s">
        <v>356</v>
      </c>
    </row>
    <row r="1016" spans="1:37">
      <c r="B1016" t="s">
        <v>72</v>
      </c>
      <c r="C1016" t="s">
        <v>72</v>
      </c>
      <c r="D1016" t="s">
        <v>72</v>
      </c>
      <c r="E1016" t="s">
        <v>130</v>
      </c>
      <c r="F1016" t="s">
        <v>130</v>
      </c>
      <c r="G1016" t="s">
        <v>193</v>
      </c>
      <c r="H1016" t="s">
        <v>190</v>
      </c>
      <c r="I1016" t="s">
        <v>192</v>
      </c>
      <c r="J1016" t="s">
        <v>192</v>
      </c>
      <c r="K1016" t="s">
        <v>271</v>
      </c>
      <c r="AK1016" t="s">
        <v>356</v>
      </c>
    </row>
    <row r="1017" spans="1:37">
      <c r="A1017" t="s">
        <v>37</v>
      </c>
      <c r="B1017" t="s">
        <v>49</v>
      </c>
      <c r="C1017" t="s">
        <v>73</v>
      </c>
      <c r="D1017" t="s">
        <v>94</v>
      </c>
      <c r="E1017" t="s">
        <v>112</v>
      </c>
      <c r="F1017" t="s">
        <v>146</v>
      </c>
      <c r="G1017" t="s">
        <v>172</v>
      </c>
      <c r="H1017" t="s">
        <v>207</v>
      </c>
      <c r="I1017" t="s">
        <v>226</v>
      </c>
      <c r="J1017" t="s">
        <v>246</v>
      </c>
      <c r="K1017" t="s">
        <v>259</v>
      </c>
      <c r="AK1017" t="s">
        <v>356</v>
      </c>
    </row>
    <row r="1018" spans="1:37">
      <c r="A1018" t="s">
        <v>38</v>
      </c>
      <c r="B1018" t="s">
        <v>50</v>
      </c>
      <c r="C1018" t="s">
        <v>74</v>
      </c>
      <c r="D1018" t="s">
        <v>95</v>
      </c>
      <c r="E1018" t="s">
        <v>113</v>
      </c>
      <c r="F1018" t="s">
        <v>147</v>
      </c>
      <c r="G1018" t="s">
        <v>173</v>
      </c>
      <c r="H1018" t="s">
        <v>208</v>
      </c>
      <c r="I1018" t="s">
        <v>227</v>
      </c>
      <c r="J1018" t="s">
        <v>115</v>
      </c>
      <c r="K1018" t="s">
        <v>260</v>
      </c>
      <c r="L1018" t="s">
        <v>273</v>
      </c>
      <c r="M1018" t="s">
        <v>282</v>
      </c>
      <c r="N1018" t="s">
        <v>291</v>
      </c>
      <c r="AK1018" t="s">
        <v>356</v>
      </c>
    </row>
    <row r="1019" spans="1:37">
      <c r="B1019" t="s">
        <v>51</v>
      </c>
      <c r="C1019" t="s">
        <v>75</v>
      </c>
      <c r="D1019" t="s">
        <v>52</v>
      </c>
      <c r="E1019" t="s">
        <v>114</v>
      </c>
      <c r="F1019" t="s">
        <v>148</v>
      </c>
      <c r="G1019" t="s">
        <v>148</v>
      </c>
      <c r="H1019" t="s">
        <v>209</v>
      </c>
      <c r="I1019" t="s">
        <v>228</v>
      </c>
      <c r="J1019" t="s">
        <v>247</v>
      </c>
      <c r="K1019" t="s">
        <v>261</v>
      </c>
      <c r="L1019" t="s">
        <v>274</v>
      </c>
      <c r="M1019" t="s">
        <v>283</v>
      </c>
      <c r="N1019" t="s">
        <v>292</v>
      </c>
      <c r="O1019" t="s">
        <v>300</v>
      </c>
      <c r="AK1019" t="s">
        <v>356</v>
      </c>
    </row>
    <row r="1020" spans="1:37">
      <c r="B1020" t="s">
        <v>52</v>
      </c>
      <c r="C1020" t="s">
        <v>76</v>
      </c>
      <c r="D1020" t="s">
        <v>96</v>
      </c>
      <c r="E1020" t="s">
        <v>115</v>
      </c>
      <c r="F1020" t="s">
        <v>149</v>
      </c>
      <c r="G1020" t="s">
        <v>174</v>
      </c>
      <c r="H1020" t="s">
        <v>96</v>
      </c>
      <c r="I1020" t="s">
        <v>229</v>
      </c>
      <c r="J1020" t="s">
        <v>248</v>
      </c>
      <c r="K1020" t="s">
        <v>262</v>
      </c>
      <c r="L1020" t="s">
        <v>52</v>
      </c>
      <c r="M1020" t="s">
        <v>76</v>
      </c>
      <c r="N1020" t="s">
        <v>293</v>
      </c>
      <c r="O1020" t="s">
        <v>301</v>
      </c>
      <c r="P1020" t="s">
        <v>309</v>
      </c>
      <c r="Q1020" t="s">
        <v>315</v>
      </c>
      <c r="R1020" t="s">
        <v>228</v>
      </c>
      <c r="S1020" t="s">
        <v>328</v>
      </c>
      <c r="T1020" t="s">
        <v>149</v>
      </c>
      <c r="U1020" t="s">
        <v>337</v>
      </c>
      <c r="V1020" t="s">
        <v>341</v>
      </c>
      <c r="W1020" t="s">
        <v>345</v>
      </c>
      <c r="X1020" t="s">
        <v>350</v>
      </c>
      <c r="AK1020" t="s">
        <v>356</v>
      </c>
    </row>
    <row r="1021" spans="1:37">
      <c r="B1021" t="s">
        <v>53</v>
      </c>
      <c r="C1021" t="s">
        <v>77</v>
      </c>
      <c r="D1021" t="s">
        <v>97</v>
      </c>
      <c r="E1021" t="s">
        <v>116</v>
      </c>
      <c r="F1021" t="s">
        <v>150</v>
      </c>
      <c r="G1021" t="s">
        <v>175</v>
      </c>
      <c r="H1021" t="s">
        <v>210</v>
      </c>
      <c r="I1021" t="s">
        <v>230</v>
      </c>
      <c r="J1021" t="s">
        <v>249</v>
      </c>
      <c r="K1021" t="s">
        <v>263</v>
      </c>
      <c r="L1021" t="s">
        <v>275</v>
      </c>
      <c r="M1021" t="s">
        <v>284</v>
      </c>
      <c r="N1021" t="s">
        <v>294</v>
      </c>
      <c r="O1021" t="s">
        <v>302</v>
      </c>
      <c r="P1021" t="s">
        <v>310</v>
      </c>
      <c r="Q1021" t="s">
        <v>316</v>
      </c>
      <c r="R1021" t="s">
        <v>322</v>
      </c>
      <c r="S1021" t="s">
        <v>329</v>
      </c>
      <c r="AK1021" t="s">
        <v>356</v>
      </c>
    </row>
    <row r="1022" spans="1:37">
      <c r="A1022" t="s">
        <v>39</v>
      </c>
      <c r="B1022" t="s">
        <v>54</v>
      </c>
      <c r="C1022" t="s">
        <v>54</v>
      </c>
      <c r="D1022" t="s">
        <v>54</v>
      </c>
      <c r="E1022" t="s">
        <v>54</v>
      </c>
      <c r="F1022" t="s">
        <v>54</v>
      </c>
      <c r="G1022" t="s">
        <v>54</v>
      </c>
      <c r="H1022" t="s">
        <v>54</v>
      </c>
      <c r="I1022" t="s">
        <v>54</v>
      </c>
      <c r="J1022" t="s">
        <v>54</v>
      </c>
      <c r="K1022" t="s">
        <v>54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323</v>
      </c>
      <c r="S1022" t="s">
        <v>330</v>
      </c>
      <c r="AK1022" t="s">
        <v>356</v>
      </c>
    </row>
    <row r="1023" spans="1:37">
      <c r="B1023" t="s">
        <v>55</v>
      </c>
      <c r="C1023" t="s">
        <v>78</v>
      </c>
      <c r="D1023" t="s">
        <v>55</v>
      </c>
      <c r="E1023" t="s">
        <v>78</v>
      </c>
      <c r="F1023" t="s">
        <v>55</v>
      </c>
      <c r="G1023" t="s">
        <v>78</v>
      </c>
      <c r="H1023" t="s">
        <v>55</v>
      </c>
      <c r="I1023" t="s">
        <v>78</v>
      </c>
      <c r="J1023" t="s">
        <v>55</v>
      </c>
      <c r="K1023" t="s">
        <v>78</v>
      </c>
      <c r="L1023" t="s">
        <v>55</v>
      </c>
      <c r="M1023" t="s">
        <v>78</v>
      </c>
      <c r="N1023" t="s">
        <v>55</v>
      </c>
      <c r="O1023" t="s">
        <v>78</v>
      </c>
      <c r="P1023" t="s">
        <v>55</v>
      </c>
      <c r="Q1023" t="s">
        <v>78</v>
      </c>
      <c r="R1023" t="s">
        <v>55</v>
      </c>
      <c r="S1023" t="s">
        <v>78</v>
      </c>
      <c r="T1023" t="s">
        <v>55</v>
      </c>
      <c r="U1023" t="s">
        <v>78</v>
      </c>
      <c r="V1023" t="s">
        <v>55</v>
      </c>
      <c r="W1023" t="s">
        <v>78</v>
      </c>
      <c r="X1023" t="s">
        <v>55</v>
      </c>
      <c r="Y1023" t="s">
        <v>78</v>
      </c>
      <c r="Z1023" t="s">
        <v>55</v>
      </c>
      <c r="AA1023" t="s">
        <v>78</v>
      </c>
      <c r="AB1023" t="s">
        <v>55</v>
      </c>
      <c r="AC1023" t="s">
        <v>78</v>
      </c>
      <c r="AD1023" t="s">
        <v>55</v>
      </c>
      <c r="AE1023" t="s">
        <v>78</v>
      </c>
      <c r="AF1023" t="s">
        <v>55</v>
      </c>
      <c r="AG1023" t="s">
        <v>78</v>
      </c>
      <c r="AH1023" t="s">
        <v>55</v>
      </c>
      <c r="AI1023" t="s">
        <v>78</v>
      </c>
      <c r="AK1023" t="s">
        <v>356</v>
      </c>
    </row>
    <row r="1024" spans="1:37">
      <c r="B1024" t="s">
        <v>56</v>
      </c>
      <c r="C1024" t="s">
        <v>56</v>
      </c>
      <c r="D1024" t="s">
        <v>56</v>
      </c>
      <c r="E1024" t="s">
        <v>56</v>
      </c>
      <c r="F1024" t="s">
        <v>56</v>
      </c>
      <c r="G1024" t="s">
        <v>176</v>
      </c>
      <c r="H1024" t="s">
        <v>211</v>
      </c>
      <c r="I1024" t="s">
        <v>231</v>
      </c>
      <c r="J1024" t="s">
        <v>250</v>
      </c>
      <c r="K1024" t="s">
        <v>264</v>
      </c>
      <c r="L1024" t="s">
        <v>276</v>
      </c>
      <c r="M1024" t="s">
        <v>285</v>
      </c>
      <c r="N1024" t="s">
        <v>295</v>
      </c>
      <c r="O1024" t="s">
        <v>303</v>
      </c>
      <c r="P1024" t="s">
        <v>56</v>
      </c>
      <c r="Q1024" t="s">
        <v>317</v>
      </c>
      <c r="R1024" t="s">
        <v>324</v>
      </c>
      <c r="S1024" t="s">
        <v>331</v>
      </c>
      <c r="T1024" t="s">
        <v>334</v>
      </c>
      <c r="U1024" t="s">
        <v>338</v>
      </c>
      <c r="V1024" t="s">
        <v>342</v>
      </c>
      <c r="W1024" t="s">
        <v>346</v>
      </c>
      <c r="X1024" t="s">
        <v>351</v>
      </c>
      <c r="AK1024" t="s">
        <v>356</v>
      </c>
    </row>
    <row r="1025" spans="1:37">
      <c r="B1025" t="s">
        <v>57</v>
      </c>
      <c r="C1025" t="s">
        <v>79</v>
      </c>
      <c r="D1025" t="s">
        <v>98</v>
      </c>
      <c r="E1025" t="s">
        <v>117</v>
      </c>
      <c r="F1025" t="s">
        <v>151</v>
      </c>
      <c r="G1025" t="s">
        <v>177</v>
      </c>
      <c r="H1025" t="s">
        <v>212</v>
      </c>
      <c r="I1025" t="s">
        <v>232</v>
      </c>
      <c r="J1025" t="s">
        <v>251</v>
      </c>
      <c r="K1025" t="s">
        <v>265</v>
      </c>
      <c r="L1025" t="s">
        <v>277</v>
      </c>
      <c r="M1025" t="s">
        <v>286</v>
      </c>
      <c r="N1025" t="s">
        <v>296</v>
      </c>
      <c r="O1025" t="s">
        <v>304</v>
      </c>
      <c r="P1025" t="s">
        <v>311</v>
      </c>
      <c r="Q1025" t="s">
        <v>318</v>
      </c>
      <c r="R1025" t="s">
        <v>185</v>
      </c>
      <c r="S1025" t="s">
        <v>159</v>
      </c>
      <c r="T1025" t="s">
        <v>185</v>
      </c>
      <c r="U1025" t="s">
        <v>339</v>
      </c>
      <c r="V1025" t="s">
        <v>72</v>
      </c>
      <c r="W1025" t="s">
        <v>347</v>
      </c>
      <c r="X1025" t="s">
        <v>72</v>
      </c>
      <c r="Y1025" t="s">
        <v>96</v>
      </c>
      <c r="AK1025" t="s">
        <v>356</v>
      </c>
    </row>
    <row r="1026" spans="1:37">
      <c r="B1026" t="s">
        <v>58</v>
      </c>
      <c r="C1026" t="s">
        <v>80</v>
      </c>
      <c r="D1026" t="s">
        <v>99</v>
      </c>
      <c r="E1026" t="s">
        <v>118</v>
      </c>
      <c r="F1026" t="s">
        <v>152</v>
      </c>
      <c r="G1026" t="s">
        <v>178</v>
      </c>
      <c r="H1026" t="s">
        <v>213</v>
      </c>
      <c r="I1026" t="s">
        <v>233</v>
      </c>
      <c r="J1026" t="s">
        <v>252</v>
      </c>
      <c r="K1026" t="s">
        <v>266</v>
      </c>
      <c r="L1026" t="s">
        <v>278</v>
      </c>
      <c r="M1026" t="s">
        <v>287</v>
      </c>
      <c r="N1026" t="s">
        <v>297</v>
      </c>
      <c r="O1026" t="s">
        <v>305</v>
      </c>
      <c r="P1026" t="s">
        <v>312</v>
      </c>
      <c r="Q1026" t="s">
        <v>319</v>
      </c>
      <c r="R1026">
        <f>&gt;10       ветра      2.6     19  23 29</f>
        <v>0</v>
      </c>
      <c r="AK1026" t="s">
        <v>356</v>
      </c>
    </row>
    <row r="1027" spans="1:37">
      <c r="A1027" t="s">
        <v>40</v>
      </c>
      <c r="B1027" t="s">
        <v>59</v>
      </c>
      <c r="C1027" t="s">
        <v>81</v>
      </c>
      <c r="D1027" t="s">
        <v>100</v>
      </c>
      <c r="E1027" t="s">
        <v>119</v>
      </c>
      <c r="F1027" t="s">
        <v>153</v>
      </c>
      <c r="G1027" t="s">
        <v>179</v>
      </c>
      <c r="H1027" t="s">
        <v>214</v>
      </c>
      <c r="I1027" t="s">
        <v>234</v>
      </c>
      <c r="AK1027" t="s">
        <v>356</v>
      </c>
    </row>
    <row r="1028" spans="1:37">
      <c r="A1028" t="s">
        <v>40</v>
      </c>
      <c r="B1028" t="s">
        <v>60</v>
      </c>
      <c r="C1028" t="s">
        <v>82</v>
      </c>
      <c r="D1028" t="s">
        <v>101</v>
      </c>
      <c r="E1028" t="s">
        <v>120</v>
      </c>
      <c r="F1028" t="s">
        <v>154</v>
      </c>
      <c r="G1028" t="s">
        <v>180</v>
      </c>
      <c r="H1028" t="s">
        <v>215</v>
      </c>
      <c r="I1028" t="s">
        <v>235</v>
      </c>
      <c r="J1028" t="s">
        <v>253</v>
      </c>
      <c r="K1028" t="s">
        <v>267</v>
      </c>
      <c r="L1028" t="s">
        <v>279</v>
      </c>
      <c r="M1028" t="s">
        <v>288</v>
      </c>
      <c r="N1028" t="s">
        <v>100</v>
      </c>
      <c r="O1028" t="s">
        <v>306</v>
      </c>
      <c r="P1028" t="s">
        <v>313</v>
      </c>
      <c r="Q1028" t="s">
        <v>320</v>
      </c>
      <c r="R1028" t="s">
        <v>325</v>
      </c>
      <c r="S1028" t="s">
        <v>332</v>
      </c>
      <c r="T1028" t="s">
        <v>119</v>
      </c>
      <c r="U1028" t="s">
        <v>234</v>
      </c>
      <c r="V1028" t="s">
        <v>343</v>
      </c>
      <c r="W1028" t="s">
        <v>348</v>
      </c>
      <c r="X1028" t="s">
        <v>352</v>
      </c>
      <c r="Y1028" t="s">
        <v>354</v>
      </c>
      <c r="AK1028" t="s">
        <v>356</v>
      </c>
    </row>
    <row r="1029" spans="1:37">
      <c r="A1029" t="s">
        <v>41</v>
      </c>
      <c r="B1029" t="s">
        <v>61</v>
      </c>
      <c r="C1029" t="s">
        <v>83</v>
      </c>
      <c r="D1029" t="s">
        <v>102</v>
      </c>
      <c r="E1029" t="s">
        <v>121</v>
      </c>
      <c r="F1029" t="s">
        <v>155</v>
      </c>
      <c r="G1029" t="s">
        <v>181</v>
      </c>
      <c r="H1029" t="s">
        <v>216</v>
      </c>
      <c r="I1029" t="s">
        <v>236</v>
      </c>
      <c r="AK1029" t="s">
        <v>356</v>
      </c>
    </row>
    <row r="1030" spans="1:37">
      <c r="A1030" t="s">
        <v>42</v>
      </c>
      <c r="B1030" t="s">
        <v>62</v>
      </c>
      <c r="C1030" t="s">
        <v>84</v>
      </c>
      <c r="D1030" t="s">
        <v>103</v>
      </c>
      <c r="E1030" t="s">
        <v>122</v>
      </c>
      <c r="F1030" t="s">
        <v>156</v>
      </c>
      <c r="G1030" t="s">
        <v>182</v>
      </c>
      <c r="H1030" t="s">
        <v>83</v>
      </c>
      <c r="I1030" t="s">
        <v>237</v>
      </c>
      <c r="J1030" t="s">
        <v>254</v>
      </c>
      <c r="K1030" t="s">
        <v>268</v>
      </c>
      <c r="L1030" t="s">
        <v>280</v>
      </c>
      <c r="M1030" t="s">
        <v>289</v>
      </c>
      <c r="N1030" t="s">
        <v>298</v>
      </c>
      <c r="O1030" t="s">
        <v>307</v>
      </c>
      <c r="P1030" t="s">
        <v>314</v>
      </c>
      <c r="Q1030" t="s">
        <v>216</v>
      </c>
      <c r="R1030" t="s">
        <v>326</v>
      </c>
      <c r="S1030" t="s">
        <v>333</v>
      </c>
      <c r="T1030" t="s">
        <v>335</v>
      </c>
      <c r="U1030" t="s">
        <v>340</v>
      </c>
      <c r="V1030" t="s">
        <v>344</v>
      </c>
      <c r="W1030" t="s">
        <v>349</v>
      </c>
      <c r="AK1030" t="s">
        <v>356</v>
      </c>
    </row>
    <row r="1031" spans="1:37">
      <c r="A1031" t="s">
        <v>43</v>
      </c>
      <c r="B1031" t="s">
        <v>63</v>
      </c>
      <c r="C1031" t="s">
        <v>85</v>
      </c>
      <c r="D1031" t="s">
        <v>104</v>
      </c>
      <c r="E1031" t="s">
        <v>123</v>
      </c>
      <c r="F1031" t="s">
        <v>157</v>
      </c>
      <c r="G1031" t="s">
        <v>183</v>
      </c>
      <c r="AK1031" t="s">
        <v>356</v>
      </c>
    </row>
    <row r="1032" spans="1:37">
      <c r="A1032" t="s">
        <v>44</v>
      </c>
      <c r="B1032" t="s">
        <v>64</v>
      </c>
      <c r="C1032" t="s">
        <v>86</v>
      </c>
      <c r="D1032" t="s">
        <v>105</v>
      </c>
      <c r="E1032" t="s">
        <v>124</v>
      </c>
      <c r="F1032" t="s">
        <v>158</v>
      </c>
      <c r="G1032" t="s">
        <v>184</v>
      </c>
      <c r="AK1032" t="s">
        <v>356</v>
      </c>
    </row>
    <row r="1033" spans="1:37">
      <c r="A1033" t="s">
        <v>45</v>
      </c>
      <c r="B1033" t="s">
        <v>65</v>
      </c>
      <c r="C1033" t="s">
        <v>87</v>
      </c>
      <c r="D1033" t="s">
        <v>106</v>
      </c>
      <c r="E1033" t="s">
        <v>125</v>
      </c>
      <c r="F1033" t="s">
        <v>159</v>
      </c>
      <c r="G1033" t="s">
        <v>185</v>
      </c>
      <c r="H1033" t="s">
        <v>159</v>
      </c>
      <c r="I1033" t="s">
        <v>185</v>
      </c>
      <c r="J1033" t="s">
        <v>255</v>
      </c>
      <c r="AK1033" t="s">
        <v>356</v>
      </c>
    </row>
    <row r="1034" spans="1:37">
      <c r="A1034" t="s">
        <v>46</v>
      </c>
      <c r="B1034" t="s">
        <v>66</v>
      </c>
      <c r="C1034" t="s">
        <v>88</v>
      </c>
      <c r="D1034" t="s">
        <v>76</v>
      </c>
      <c r="E1034" t="s">
        <v>126</v>
      </c>
      <c r="F1034" t="s">
        <v>160</v>
      </c>
      <c r="G1034" t="s">
        <v>186</v>
      </c>
      <c r="H1034" t="s">
        <v>217</v>
      </c>
      <c r="I1034" t="s">
        <v>238</v>
      </c>
      <c r="J1034" t="s">
        <v>256</v>
      </c>
      <c r="K1034" t="s">
        <v>265</v>
      </c>
      <c r="L1034" t="s">
        <v>281</v>
      </c>
      <c r="M1034" t="s">
        <v>290</v>
      </c>
      <c r="N1034" t="s">
        <v>299</v>
      </c>
      <c r="O1034" t="s">
        <v>308</v>
      </c>
      <c r="P1034" t="s">
        <v>228</v>
      </c>
      <c r="Q1034" t="s">
        <v>72</v>
      </c>
      <c r="R1034" t="s">
        <v>327</v>
      </c>
      <c r="S1034" t="s">
        <v>327</v>
      </c>
      <c r="T1034" t="s">
        <v>336</v>
      </c>
      <c r="U1034" t="s">
        <v>336</v>
      </c>
      <c r="V1034" t="s">
        <v>336</v>
      </c>
      <c r="W1034" t="s">
        <v>336</v>
      </c>
      <c r="X1034" t="s">
        <v>353</v>
      </c>
      <c r="AK1034" t="s">
        <v>356</v>
      </c>
    </row>
    <row r="1035" spans="1:37">
      <c r="A1035" t="s">
        <v>37</v>
      </c>
      <c r="B1035" t="s">
        <v>49</v>
      </c>
      <c r="C1035" t="s">
        <v>73</v>
      </c>
      <c r="D1035" t="s">
        <v>94</v>
      </c>
      <c r="E1035" t="s">
        <v>112</v>
      </c>
      <c r="F1035" t="s">
        <v>146</v>
      </c>
      <c r="G1035" t="s">
        <v>172</v>
      </c>
      <c r="H1035" t="s">
        <v>207</v>
      </c>
      <c r="I1035" t="s">
        <v>226</v>
      </c>
      <c r="J1035" t="s">
        <v>246</v>
      </c>
      <c r="K1035" t="s">
        <v>259</v>
      </c>
      <c r="AK1035" t="s">
        <v>356</v>
      </c>
    </row>
    <row r="1036" spans="1:37">
      <c r="A1036" t="s">
        <v>38</v>
      </c>
      <c r="B1036" t="s">
        <v>50</v>
      </c>
      <c r="C1036" t="s">
        <v>74</v>
      </c>
      <c r="D1036" t="s">
        <v>95</v>
      </c>
      <c r="E1036" t="s">
        <v>113</v>
      </c>
      <c r="F1036" t="s">
        <v>147</v>
      </c>
      <c r="G1036" t="s">
        <v>173</v>
      </c>
      <c r="H1036" t="s">
        <v>208</v>
      </c>
      <c r="I1036" t="s">
        <v>227</v>
      </c>
      <c r="J1036" t="s">
        <v>115</v>
      </c>
      <c r="K1036" t="s">
        <v>260</v>
      </c>
      <c r="L1036" t="s">
        <v>273</v>
      </c>
      <c r="M1036" t="s">
        <v>282</v>
      </c>
      <c r="N1036" t="s">
        <v>291</v>
      </c>
      <c r="AK1036" t="s">
        <v>356</v>
      </c>
    </row>
    <row r="1037" spans="1:37">
      <c r="B1037" t="s">
        <v>51</v>
      </c>
      <c r="C1037" t="s">
        <v>75</v>
      </c>
      <c r="D1037" t="s">
        <v>52</v>
      </c>
      <c r="E1037" t="s">
        <v>114</v>
      </c>
      <c r="F1037" t="s">
        <v>148</v>
      </c>
      <c r="G1037" t="s">
        <v>148</v>
      </c>
      <c r="H1037" t="s">
        <v>209</v>
      </c>
      <c r="I1037" t="s">
        <v>228</v>
      </c>
      <c r="J1037" t="s">
        <v>247</v>
      </c>
      <c r="K1037" t="s">
        <v>261</v>
      </c>
      <c r="L1037" t="s">
        <v>274</v>
      </c>
      <c r="M1037" t="s">
        <v>283</v>
      </c>
      <c r="N1037" t="s">
        <v>292</v>
      </c>
      <c r="O1037" t="s">
        <v>300</v>
      </c>
      <c r="AK1037" t="s">
        <v>356</v>
      </c>
    </row>
    <row r="1038" spans="1:37">
      <c r="B1038" t="s">
        <v>52</v>
      </c>
      <c r="C1038" t="s">
        <v>76</v>
      </c>
      <c r="D1038" t="s">
        <v>96</v>
      </c>
      <c r="E1038" t="s">
        <v>115</v>
      </c>
      <c r="F1038" t="s">
        <v>149</v>
      </c>
      <c r="G1038" t="s">
        <v>174</v>
      </c>
      <c r="H1038" t="s">
        <v>96</v>
      </c>
      <c r="I1038" t="s">
        <v>229</v>
      </c>
      <c r="J1038" t="s">
        <v>248</v>
      </c>
      <c r="K1038" t="s">
        <v>262</v>
      </c>
      <c r="L1038" t="s">
        <v>52</v>
      </c>
      <c r="M1038" t="s">
        <v>76</v>
      </c>
      <c r="N1038" t="s">
        <v>293</v>
      </c>
      <c r="O1038" t="s">
        <v>301</v>
      </c>
      <c r="P1038" t="s">
        <v>309</v>
      </c>
      <c r="Q1038" t="s">
        <v>315</v>
      </c>
      <c r="R1038" t="s">
        <v>228</v>
      </c>
      <c r="S1038" t="s">
        <v>328</v>
      </c>
      <c r="T1038" t="s">
        <v>149</v>
      </c>
      <c r="U1038" t="s">
        <v>337</v>
      </c>
      <c r="V1038" t="s">
        <v>341</v>
      </c>
      <c r="W1038" t="s">
        <v>345</v>
      </c>
      <c r="X1038" t="s">
        <v>350</v>
      </c>
      <c r="AK1038" t="s">
        <v>356</v>
      </c>
    </row>
    <row r="1039" spans="1:37">
      <c r="B1039" t="s">
        <v>53</v>
      </c>
      <c r="C1039" t="s">
        <v>77</v>
      </c>
      <c r="D1039" t="s">
        <v>97</v>
      </c>
      <c r="E1039" t="s">
        <v>116</v>
      </c>
      <c r="F1039" t="s">
        <v>150</v>
      </c>
      <c r="G1039" t="s">
        <v>175</v>
      </c>
      <c r="H1039" t="s">
        <v>210</v>
      </c>
      <c r="I1039" t="s">
        <v>230</v>
      </c>
      <c r="J1039" t="s">
        <v>249</v>
      </c>
      <c r="K1039" t="s">
        <v>263</v>
      </c>
      <c r="L1039" t="s">
        <v>275</v>
      </c>
      <c r="M1039" t="s">
        <v>284</v>
      </c>
      <c r="N1039" t="s">
        <v>294</v>
      </c>
      <c r="O1039" t="s">
        <v>302</v>
      </c>
      <c r="P1039" t="s">
        <v>310</v>
      </c>
      <c r="Q1039" t="s">
        <v>316</v>
      </c>
      <c r="R1039" t="s">
        <v>322</v>
      </c>
      <c r="S1039" t="s">
        <v>329</v>
      </c>
      <c r="AK1039" t="s">
        <v>356</v>
      </c>
    </row>
    <row r="1040" spans="1:37">
      <c r="A1040" t="s">
        <v>39</v>
      </c>
      <c r="B1040" t="s">
        <v>54</v>
      </c>
      <c r="C1040" t="s">
        <v>54</v>
      </c>
      <c r="D1040" t="s">
        <v>54</v>
      </c>
      <c r="E1040" t="s">
        <v>54</v>
      </c>
      <c r="F1040" t="s">
        <v>54</v>
      </c>
      <c r="G1040" t="s">
        <v>54</v>
      </c>
      <c r="H1040" t="s">
        <v>54</v>
      </c>
      <c r="I1040" t="s">
        <v>54</v>
      </c>
      <c r="J1040" t="s">
        <v>54</v>
      </c>
      <c r="K1040" t="s">
        <v>54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323</v>
      </c>
      <c r="S1040" t="s">
        <v>330</v>
      </c>
      <c r="AK1040" t="s">
        <v>356</v>
      </c>
    </row>
    <row r="1041" spans="1:37">
      <c r="B1041" t="s">
        <v>55</v>
      </c>
      <c r="C1041" t="s">
        <v>78</v>
      </c>
      <c r="D1041" t="s">
        <v>55</v>
      </c>
      <c r="E1041" t="s">
        <v>78</v>
      </c>
      <c r="F1041" t="s">
        <v>55</v>
      </c>
      <c r="G1041" t="s">
        <v>78</v>
      </c>
      <c r="H1041" t="s">
        <v>55</v>
      </c>
      <c r="I1041" t="s">
        <v>78</v>
      </c>
      <c r="J1041" t="s">
        <v>55</v>
      </c>
      <c r="K1041" t="s">
        <v>78</v>
      </c>
      <c r="L1041" t="s">
        <v>55</v>
      </c>
      <c r="M1041" t="s">
        <v>78</v>
      </c>
      <c r="N1041" t="s">
        <v>55</v>
      </c>
      <c r="O1041" t="s">
        <v>78</v>
      </c>
      <c r="P1041" t="s">
        <v>55</v>
      </c>
      <c r="Q1041" t="s">
        <v>78</v>
      </c>
      <c r="R1041" t="s">
        <v>55</v>
      </c>
      <c r="S1041" t="s">
        <v>78</v>
      </c>
      <c r="T1041" t="s">
        <v>55</v>
      </c>
      <c r="U1041" t="s">
        <v>78</v>
      </c>
      <c r="V1041" t="s">
        <v>55</v>
      </c>
      <c r="W1041" t="s">
        <v>78</v>
      </c>
      <c r="X1041" t="s">
        <v>55</v>
      </c>
      <c r="Y1041" t="s">
        <v>78</v>
      </c>
      <c r="Z1041" t="s">
        <v>55</v>
      </c>
      <c r="AA1041" t="s">
        <v>78</v>
      </c>
      <c r="AB1041" t="s">
        <v>55</v>
      </c>
      <c r="AC1041" t="s">
        <v>78</v>
      </c>
      <c r="AD1041" t="s">
        <v>55</v>
      </c>
      <c r="AE1041" t="s">
        <v>78</v>
      </c>
      <c r="AF1041" t="s">
        <v>55</v>
      </c>
      <c r="AG1041" t="s">
        <v>78</v>
      </c>
      <c r="AH1041" t="s">
        <v>55</v>
      </c>
      <c r="AI1041" t="s">
        <v>78</v>
      </c>
      <c r="AK1041" t="s">
        <v>356</v>
      </c>
    </row>
    <row r="1042" spans="1:37">
      <c r="B1042" t="s">
        <v>56</v>
      </c>
      <c r="C1042" t="s">
        <v>56</v>
      </c>
      <c r="D1042" t="s">
        <v>56</v>
      </c>
      <c r="E1042" t="s">
        <v>56</v>
      </c>
      <c r="F1042" t="s">
        <v>56</v>
      </c>
      <c r="G1042" t="s">
        <v>176</v>
      </c>
      <c r="H1042" t="s">
        <v>211</v>
      </c>
      <c r="I1042" t="s">
        <v>231</v>
      </c>
      <c r="J1042" t="s">
        <v>250</v>
      </c>
      <c r="K1042" t="s">
        <v>264</v>
      </c>
      <c r="L1042" t="s">
        <v>276</v>
      </c>
      <c r="M1042" t="s">
        <v>285</v>
      </c>
      <c r="N1042" t="s">
        <v>295</v>
      </c>
      <c r="O1042" t="s">
        <v>303</v>
      </c>
      <c r="P1042" t="s">
        <v>56</v>
      </c>
      <c r="Q1042" t="s">
        <v>317</v>
      </c>
      <c r="R1042" t="s">
        <v>324</v>
      </c>
      <c r="S1042" t="s">
        <v>331</v>
      </c>
      <c r="T1042" t="s">
        <v>334</v>
      </c>
      <c r="U1042" t="s">
        <v>338</v>
      </c>
      <c r="V1042" t="s">
        <v>342</v>
      </c>
      <c r="W1042" t="s">
        <v>346</v>
      </c>
      <c r="X1042" t="s">
        <v>351</v>
      </c>
      <c r="AK1042" t="s">
        <v>356</v>
      </c>
    </row>
    <row r="1043" spans="1:37">
      <c r="B1043" t="s">
        <v>57</v>
      </c>
      <c r="C1043" t="s">
        <v>79</v>
      </c>
      <c r="D1043" t="s">
        <v>98</v>
      </c>
      <c r="E1043" t="s">
        <v>117</v>
      </c>
      <c r="F1043" t="s">
        <v>151</v>
      </c>
      <c r="G1043" t="s">
        <v>177</v>
      </c>
      <c r="H1043" t="s">
        <v>212</v>
      </c>
      <c r="I1043" t="s">
        <v>232</v>
      </c>
      <c r="J1043" t="s">
        <v>251</v>
      </c>
      <c r="K1043" t="s">
        <v>265</v>
      </c>
      <c r="L1043" t="s">
        <v>277</v>
      </c>
      <c r="M1043" t="s">
        <v>286</v>
      </c>
      <c r="N1043" t="s">
        <v>296</v>
      </c>
      <c r="O1043" t="s">
        <v>304</v>
      </c>
      <c r="P1043" t="s">
        <v>311</v>
      </c>
      <c r="Q1043" t="s">
        <v>318</v>
      </c>
      <c r="R1043" t="s">
        <v>185</v>
      </c>
      <c r="S1043" t="s">
        <v>159</v>
      </c>
      <c r="T1043" t="s">
        <v>185</v>
      </c>
      <c r="U1043" t="s">
        <v>339</v>
      </c>
      <c r="V1043" t="s">
        <v>72</v>
      </c>
      <c r="W1043" t="s">
        <v>347</v>
      </c>
      <c r="X1043" t="s">
        <v>72</v>
      </c>
      <c r="Y1043" t="s">
        <v>96</v>
      </c>
      <c r="AK1043" t="s">
        <v>356</v>
      </c>
    </row>
    <row r="1044" spans="1:37">
      <c r="B1044" t="s">
        <v>58</v>
      </c>
      <c r="C1044" t="s">
        <v>80</v>
      </c>
      <c r="D1044" t="s">
        <v>99</v>
      </c>
      <c r="E1044" t="s">
        <v>118</v>
      </c>
      <c r="F1044" t="s">
        <v>152</v>
      </c>
      <c r="G1044" t="s">
        <v>178</v>
      </c>
      <c r="H1044" t="s">
        <v>213</v>
      </c>
      <c r="I1044" t="s">
        <v>233</v>
      </c>
      <c r="J1044" t="s">
        <v>252</v>
      </c>
      <c r="K1044" t="s">
        <v>266</v>
      </c>
      <c r="L1044" t="s">
        <v>278</v>
      </c>
      <c r="M1044" t="s">
        <v>287</v>
      </c>
      <c r="N1044" t="s">
        <v>297</v>
      </c>
      <c r="O1044" t="s">
        <v>305</v>
      </c>
      <c r="P1044" t="s">
        <v>312</v>
      </c>
      <c r="Q1044" t="s">
        <v>319</v>
      </c>
      <c r="R1044">
        <f>&gt;10       ветра      2.5     19  22</f>
        <v>0</v>
      </c>
      <c r="AK1044" t="s">
        <v>356</v>
      </c>
    </row>
    <row r="1045" spans="1:37">
      <c r="A1045" t="s">
        <v>40</v>
      </c>
      <c r="B1045" t="s">
        <v>59</v>
      </c>
      <c r="C1045" t="s">
        <v>81</v>
      </c>
      <c r="D1045" t="s">
        <v>100</v>
      </c>
      <c r="E1045" t="s">
        <v>119</v>
      </c>
      <c r="F1045" t="s">
        <v>153</v>
      </c>
      <c r="G1045" t="s">
        <v>179</v>
      </c>
      <c r="H1045" t="s">
        <v>214</v>
      </c>
      <c r="I1045" t="s">
        <v>234</v>
      </c>
      <c r="AK1045" t="s">
        <v>356</v>
      </c>
    </row>
    <row r="1046" spans="1:37">
      <c r="A1046" t="s">
        <v>40</v>
      </c>
      <c r="B1046" t="s">
        <v>60</v>
      </c>
      <c r="C1046" t="s">
        <v>82</v>
      </c>
      <c r="D1046" t="s">
        <v>101</v>
      </c>
      <c r="E1046" t="s">
        <v>120</v>
      </c>
      <c r="F1046" t="s">
        <v>154</v>
      </c>
      <c r="G1046" t="s">
        <v>180</v>
      </c>
      <c r="H1046" t="s">
        <v>215</v>
      </c>
      <c r="I1046" t="s">
        <v>235</v>
      </c>
      <c r="J1046" t="s">
        <v>253</v>
      </c>
      <c r="K1046" t="s">
        <v>267</v>
      </c>
      <c r="L1046" t="s">
        <v>279</v>
      </c>
      <c r="M1046" t="s">
        <v>288</v>
      </c>
      <c r="N1046" t="s">
        <v>100</v>
      </c>
      <c r="O1046" t="s">
        <v>306</v>
      </c>
      <c r="P1046" t="s">
        <v>313</v>
      </c>
      <c r="Q1046" t="s">
        <v>320</v>
      </c>
      <c r="R1046" t="s">
        <v>325</v>
      </c>
      <c r="S1046" t="s">
        <v>332</v>
      </c>
      <c r="T1046" t="s">
        <v>119</v>
      </c>
      <c r="U1046" t="s">
        <v>234</v>
      </c>
      <c r="V1046" t="s">
        <v>343</v>
      </c>
      <c r="W1046" t="s">
        <v>348</v>
      </c>
      <c r="X1046" t="s">
        <v>352</v>
      </c>
      <c r="Y1046" t="s">
        <v>354</v>
      </c>
      <c r="AK1046" t="s">
        <v>356</v>
      </c>
    </row>
    <row r="1047" spans="1:37">
      <c r="A1047" t="s">
        <v>41</v>
      </c>
      <c r="B1047" t="s">
        <v>61</v>
      </c>
      <c r="C1047" t="s">
        <v>83</v>
      </c>
      <c r="D1047" t="s">
        <v>102</v>
      </c>
      <c r="E1047" t="s">
        <v>121</v>
      </c>
      <c r="F1047" t="s">
        <v>155</v>
      </c>
      <c r="G1047" t="s">
        <v>181</v>
      </c>
      <c r="H1047" t="s">
        <v>216</v>
      </c>
      <c r="I1047" t="s">
        <v>236</v>
      </c>
      <c r="AK1047" t="s">
        <v>356</v>
      </c>
    </row>
    <row r="1048" spans="1:37">
      <c r="A1048" t="s">
        <v>42</v>
      </c>
      <c r="B1048" t="s">
        <v>62</v>
      </c>
      <c r="C1048" t="s">
        <v>84</v>
      </c>
      <c r="D1048" t="s">
        <v>103</v>
      </c>
      <c r="E1048" t="s">
        <v>122</v>
      </c>
      <c r="F1048" t="s">
        <v>156</v>
      </c>
      <c r="G1048" t="s">
        <v>182</v>
      </c>
      <c r="H1048" t="s">
        <v>83</v>
      </c>
      <c r="I1048" t="s">
        <v>237</v>
      </c>
      <c r="J1048" t="s">
        <v>254</v>
      </c>
      <c r="K1048" t="s">
        <v>268</v>
      </c>
      <c r="L1048" t="s">
        <v>280</v>
      </c>
      <c r="M1048" t="s">
        <v>289</v>
      </c>
      <c r="N1048" t="s">
        <v>298</v>
      </c>
      <c r="O1048" t="s">
        <v>307</v>
      </c>
      <c r="P1048" t="s">
        <v>314</v>
      </c>
      <c r="Q1048" t="s">
        <v>216</v>
      </c>
      <c r="R1048" t="s">
        <v>326</v>
      </c>
      <c r="S1048" t="s">
        <v>333</v>
      </c>
      <c r="T1048" t="s">
        <v>335</v>
      </c>
      <c r="U1048" t="s">
        <v>340</v>
      </c>
      <c r="V1048" t="s">
        <v>344</v>
      </c>
      <c r="W1048" t="s">
        <v>349</v>
      </c>
      <c r="AK1048" t="s">
        <v>356</v>
      </c>
    </row>
    <row r="1049" spans="1:37">
      <c r="A1049" t="s">
        <v>43</v>
      </c>
      <c r="B1049" t="s">
        <v>63</v>
      </c>
      <c r="C1049" t="s">
        <v>85</v>
      </c>
      <c r="D1049" t="s">
        <v>104</v>
      </c>
      <c r="E1049" t="s">
        <v>123</v>
      </c>
      <c r="F1049" t="s">
        <v>157</v>
      </c>
      <c r="G1049" t="s">
        <v>183</v>
      </c>
      <c r="AK1049" t="s">
        <v>356</v>
      </c>
    </row>
    <row r="1050" spans="1:37">
      <c r="A1050" t="s">
        <v>44</v>
      </c>
      <c r="B1050" t="s">
        <v>64</v>
      </c>
      <c r="C1050" t="s">
        <v>86</v>
      </c>
      <c r="D1050" t="s">
        <v>105</v>
      </c>
      <c r="E1050" t="s">
        <v>124</v>
      </c>
      <c r="F1050" t="s">
        <v>158</v>
      </c>
      <c r="G1050" t="s">
        <v>184</v>
      </c>
      <c r="AK1050" t="s">
        <v>356</v>
      </c>
    </row>
    <row r="1051" spans="1:37">
      <c r="A1051" t="s">
        <v>45</v>
      </c>
      <c r="B1051" t="s">
        <v>65</v>
      </c>
      <c r="C1051" t="s">
        <v>87</v>
      </c>
      <c r="D1051" t="s">
        <v>106</v>
      </c>
      <c r="E1051" t="s">
        <v>125</v>
      </c>
      <c r="F1051" t="s">
        <v>159</v>
      </c>
      <c r="G1051" t="s">
        <v>185</v>
      </c>
      <c r="H1051" t="s">
        <v>159</v>
      </c>
      <c r="I1051" t="s">
        <v>185</v>
      </c>
      <c r="J1051" t="s">
        <v>255</v>
      </c>
      <c r="AK1051" t="s">
        <v>356</v>
      </c>
    </row>
    <row r="1052" spans="1:37">
      <c r="A1052" t="s">
        <v>46</v>
      </c>
      <c r="B1052" t="s">
        <v>66</v>
      </c>
      <c r="C1052" t="s">
        <v>88</v>
      </c>
      <c r="D1052" t="s">
        <v>76</v>
      </c>
      <c r="E1052" t="s">
        <v>126</v>
      </c>
      <c r="F1052" t="s">
        <v>160</v>
      </c>
      <c r="G1052" t="s">
        <v>186</v>
      </c>
      <c r="H1052" t="s">
        <v>217</v>
      </c>
      <c r="I1052" t="s">
        <v>238</v>
      </c>
      <c r="J1052" t="s">
        <v>256</v>
      </c>
      <c r="K1052" t="s">
        <v>265</v>
      </c>
      <c r="L1052" t="s">
        <v>281</v>
      </c>
      <c r="M1052" t="s">
        <v>290</v>
      </c>
      <c r="N1052" t="s">
        <v>299</v>
      </c>
      <c r="O1052" t="s">
        <v>308</v>
      </c>
      <c r="P1052" t="s">
        <v>228</v>
      </c>
      <c r="Q1052" t="s">
        <v>72</v>
      </c>
      <c r="R1052" t="s">
        <v>327</v>
      </c>
      <c r="S1052" t="s">
        <v>327</v>
      </c>
      <c r="T1052" t="s">
        <v>336</v>
      </c>
      <c r="U1052" t="s">
        <v>336</v>
      </c>
      <c r="V1052" t="s">
        <v>336</v>
      </c>
      <c r="W1052" t="s">
        <v>336</v>
      </c>
      <c r="X1052" t="s">
        <v>353</v>
      </c>
      <c r="AK1052" t="s">
        <v>356</v>
      </c>
    </row>
    <row r="1053" spans="1:37">
      <c r="A1053" t="s">
        <v>37</v>
      </c>
      <c r="B1053" t="s">
        <v>49</v>
      </c>
      <c r="C1053" t="s">
        <v>73</v>
      </c>
      <c r="D1053" t="s">
        <v>94</v>
      </c>
      <c r="E1053" t="s">
        <v>112</v>
      </c>
      <c r="F1053" t="s">
        <v>146</v>
      </c>
      <c r="G1053" t="s">
        <v>172</v>
      </c>
      <c r="H1053" t="s">
        <v>207</v>
      </c>
      <c r="I1053" t="s">
        <v>226</v>
      </c>
      <c r="J1053" t="s">
        <v>246</v>
      </c>
      <c r="K1053" t="s">
        <v>259</v>
      </c>
      <c r="AK1053" t="s">
        <v>356</v>
      </c>
    </row>
    <row r="1054" spans="1:37">
      <c r="A1054" t="s">
        <v>38</v>
      </c>
      <c r="B1054" t="s">
        <v>50</v>
      </c>
      <c r="C1054" t="s">
        <v>74</v>
      </c>
      <c r="D1054" t="s">
        <v>95</v>
      </c>
      <c r="E1054" t="s">
        <v>113</v>
      </c>
      <c r="F1054" t="s">
        <v>147</v>
      </c>
      <c r="G1054" t="s">
        <v>173</v>
      </c>
      <c r="H1054" t="s">
        <v>208</v>
      </c>
      <c r="I1054" t="s">
        <v>227</v>
      </c>
      <c r="J1054" t="s">
        <v>115</v>
      </c>
      <c r="K1054" t="s">
        <v>260</v>
      </c>
      <c r="L1054" t="s">
        <v>273</v>
      </c>
      <c r="M1054" t="s">
        <v>282</v>
      </c>
      <c r="N1054" t="s">
        <v>291</v>
      </c>
      <c r="AK1054" t="s">
        <v>356</v>
      </c>
    </row>
    <row r="1055" spans="1:37">
      <c r="B1055" t="s">
        <v>51</v>
      </c>
      <c r="C1055" t="s">
        <v>75</v>
      </c>
      <c r="D1055" t="s">
        <v>52</v>
      </c>
      <c r="E1055" t="s">
        <v>114</v>
      </c>
      <c r="F1055" t="s">
        <v>148</v>
      </c>
      <c r="G1055" t="s">
        <v>148</v>
      </c>
      <c r="H1055" t="s">
        <v>209</v>
      </c>
      <c r="I1055" t="s">
        <v>228</v>
      </c>
      <c r="J1055" t="s">
        <v>247</v>
      </c>
      <c r="K1055" t="s">
        <v>261</v>
      </c>
      <c r="L1055" t="s">
        <v>274</v>
      </c>
      <c r="M1055" t="s">
        <v>283</v>
      </c>
      <c r="N1055" t="s">
        <v>292</v>
      </c>
      <c r="O1055" t="s">
        <v>300</v>
      </c>
      <c r="AK1055" t="s">
        <v>356</v>
      </c>
    </row>
    <row r="1056" spans="1:37">
      <c r="B1056" t="s">
        <v>52</v>
      </c>
      <c r="C1056" t="s">
        <v>76</v>
      </c>
      <c r="D1056" t="s">
        <v>96</v>
      </c>
      <c r="E1056" t="s">
        <v>115</v>
      </c>
      <c r="F1056" t="s">
        <v>149</v>
      </c>
      <c r="G1056" t="s">
        <v>174</v>
      </c>
      <c r="H1056" t="s">
        <v>96</v>
      </c>
      <c r="I1056" t="s">
        <v>229</v>
      </c>
      <c r="J1056" t="s">
        <v>248</v>
      </c>
      <c r="K1056" t="s">
        <v>262</v>
      </c>
      <c r="L1056" t="s">
        <v>52</v>
      </c>
      <c r="M1056" t="s">
        <v>76</v>
      </c>
      <c r="N1056" t="s">
        <v>293</v>
      </c>
      <c r="O1056" t="s">
        <v>301</v>
      </c>
      <c r="P1056" t="s">
        <v>309</v>
      </c>
      <c r="Q1056" t="s">
        <v>315</v>
      </c>
      <c r="R1056" t="s">
        <v>228</v>
      </c>
      <c r="S1056" t="s">
        <v>328</v>
      </c>
      <c r="T1056" t="s">
        <v>149</v>
      </c>
      <c r="U1056" t="s">
        <v>337</v>
      </c>
      <c r="V1056" t="s">
        <v>341</v>
      </c>
      <c r="W1056" t="s">
        <v>345</v>
      </c>
      <c r="X1056" t="s">
        <v>350</v>
      </c>
      <c r="AK1056" t="s">
        <v>356</v>
      </c>
    </row>
    <row r="1057" spans="1:37">
      <c r="B1057" t="s">
        <v>53</v>
      </c>
      <c r="C1057" t="s">
        <v>77</v>
      </c>
      <c r="D1057" t="s">
        <v>97</v>
      </c>
      <c r="E1057" t="s">
        <v>116</v>
      </c>
      <c r="F1057" t="s">
        <v>150</v>
      </c>
      <c r="G1057" t="s">
        <v>175</v>
      </c>
      <c r="H1057" t="s">
        <v>210</v>
      </c>
      <c r="I1057" t="s">
        <v>230</v>
      </c>
      <c r="J1057" t="s">
        <v>249</v>
      </c>
      <c r="K1057" t="s">
        <v>263</v>
      </c>
      <c r="L1057" t="s">
        <v>275</v>
      </c>
      <c r="M1057" t="s">
        <v>284</v>
      </c>
      <c r="N1057" t="s">
        <v>294</v>
      </c>
      <c r="O1057" t="s">
        <v>302</v>
      </c>
      <c r="P1057" t="s">
        <v>310</v>
      </c>
      <c r="Q1057" t="s">
        <v>316</v>
      </c>
      <c r="R1057" t="s">
        <v>322</v>
      </c>
      <c r="S1057" t="s">
        <v>329</v>
      </c>
      <c r="AK1057" t="s">
        <v>356</v>
      </c>
    </row>
    <row r="1058" spans="1:37">
      <c r="A1058" t="s">
        <v>39</v>
      </c>
      <c r="B1058" t="s">
        <v>54</v>
      </c>
      <c r="C1058" t="s">
        <v>54</v>
      </c>
      <c r="D1058" t="s">
        <v>54</v>
      </c>
      <c r="E1058" t="s">
        <v>54</v>
      </c>
      <c r="F1058" t="s">
        <v>54</v>
      </c>
      <c r="G1058" t="s">
        <v>54</v>
      </c>
      <c r="H1058" t="s">
        <v>54</v>
      </c>
      <c r="I1058" t="s">
        <v>54</v>
      </c>
      <c r="J1058" t="s">
        <v>54</v>
      </c>
      <c r="K1058" t="s">
        <v>54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323</v>
      </c>
      <c r="S1058" t="s">
        <v>330</v>
      </c>
      <c r="AK1058" t="s">
        <v>356</v>
      </c>
    </row>
    <row r="1059" spans="1:37">
      <c r="B1059" t="s">
        <v>55</v>
      </c>
      <c r="C1059" t="s">
        <v>78</v>
      </c>
      <c r="D1059" t="s">
        <v>55</v>
      </c>
      <c r="E1059" t="s">
        <v>78</v>
      </c>
      <c r="F1059" t="s">
        <v>55</v>
      </c>
      <c r="G1059" t="s">
        <v>78</v>
      </c>
      <c r="H1059" t="s">
        <v>55</v>
      </c>
      <c r="I1059" t="s">
        <v>78</v>
      </c>
      <c r="J1059" t="s">
        <v>55</v>
      </c>
      <c r="K1059" t="s">
        <v>78</v>
      </c>
      <c r="L1059" t="s">
        <v>55</v>
      </c>
      <c r="M1059" t="s">
        <v>78</v>
      </c>
      <c r="N1059" t="s">
        <v>55</v>
      </c>
      <c r="O1059" t="s">
        <v>78</v>
      </c>
      <c r="P1059" t="s">
        <v>55</v>
      </c>
      <c r="Q1059" t="s">
        <v>78</v>
      </c>
      <c r="R1059" t="s">
        <v>55</v>
      </c>
      <c r="S1059" t="s">
        <v>78</v>
      </c>
      <c r="T1059" t="s">
        <v>55</v>
      </c>
      <c r="U1059" t="s">
        <v>78</v>
      </c>
      <c r="V1059" t="s">
        <v>55</v>
      </c>
      <c r="W1059" t="s">
        <v>78</v>
      </c>
      <c r="X1059" t="s">
        <v>55</v>
      </c>
      <c r="Y1059" t="s">
        <v>78</v>
      </c>
      <c r="Z1059" t="s">
        <v>55</v>
      </c>
      <c r="AA1059" t="s">
        <v>78</v>
      </c>
      <c r="AB1059" t="s">
        <v>55</v>
      </c>
      <c r="AC1059" t="s">
        <v>78</v>
      </c>
      <c r="AD1059" t="s">
        <v>55</v>
      </c>
      <c r="AE1059" t="s">
        <v>78</v>
      </c>
      <c r="AF1059" t="s">
        <v>55</v>
      </c>
      <c r="AG1059" t="s">
        <v>78</v>
      </c>
      <c r="AH1059" t="s">
        <v>55</v>
      </c>
      <c r="AI1059" t="s">
        <v>78</v>
      </c>
      <c r="AK1059" t="s">
        <v>356</v>
      </c>
    </row>
    <row r="1060" spans="1:37">
      <c r="B1060" t="s">
        <v>56</v>
      </c>
      <c r="C1060" t="s">
        <v>56</v>
      </c>
      <c r="D1060" t="s">
        <v>56</v>
      </c>
      <c r="E1060" t="s">
        <v>56</v>
      </c>
      <c r="F1060" t="s">
        <v>56</v>
      </c>
      <c r="G1060" t="s">
        <v>176</v>
      </c>
      <c r="H1060" t="s">
        <v>211</v>
      </c>
      <c r="I1060" t="s">
        <v>231</v>
      </c>
      <c r="J1060" t="s">
        <v>250</v>
      </c>
      <c r="K1060" t="s">
        <v>264</v>
      </c>
      <c r="L1060" t="s">
        <v>276</v>
      </c>
      <c r="M1060" t="s">
        <v>285</v>
      </c>
      <c r="N1060" t="s">
        <v>295</v>
      </c>
      <c r="O1060" t="s">
        <v>303</v>
      </c>
      <c r="P1060" t="s">
        <v>56</v>
      </c>
      <c r="Q1060" t="s">
        <v>317</v>
      </c>
      <c r="R1060" t="s">
        <v>324</v>
      </c>
      <c r="S1060" t="s">
        <v>331</v>
      </c>
      <c r="T1060" t="s">
        <v>334</v>
      </c>
      <c r="U1060" t="s">
        <v>338</v>
      </c>
      <c r="V1060" t="s">
        <v>342</v>
      </c>
      <c r="W1060" t="s">
        <v>346</v>
      </c>
      <c r="X1060" t="s">
        <v>351</v>
      </c>
      <c r="AK1060" t="s">
        <v>356</v>
      </c>
    </row>
    <row r="1061" spans="1:37">
      <c r="B1061" t="s">
        <v>57</v>
      </c>
      <c r="C1061" t="s">
        <v>79</v>
      </c>
      <c r="D1061" t="s">
        <v>98</v>
      </c>
      <c r="E1061" t="s">
        <v>117</v>
      </c>
      <c r="F1061" t="s">
        <v>151</v>
      </c>
      <c r="G1061" t="s">
        <v>177</v>
      </c>
      <c r="H1061" t="s">
        <v>212</v>
      </c>
      <c r="I1061" t="s">
        <v>232</v>
      </c>
      <c r="J1061" t="s">
        <v>251</v>
      </c>
      <c r="K1061" t="s">
        <v>265</v>
      </c>
      <c r="L1061" t="s">
        <v>277</v>
      </c>
      <c r="M1061" t="s">
        <v>286</v>
      </c>
      <c r="N1061" t="s">
        <v>296</v>
      </c>
      <c r="O1061" t="s">
        <v>304</v>
      </c>
      <c r="P1061" t="s">
        <v>311</v>
      </c>
      <c r="Q1061" t="s">
        <v>318</v>
      </c>
      <c r="R1061" t="s">
        <v>185</v>
      </c>
      <c r="S1061" t="s">
        <v>159</v>
      </c>
      <c r="T1061" t="s">
        <v>185</v>
      </c>
      <c r="U1061" t="s">
        <v>339</v>
      </c>
      <c r="V1061" t="s">
        <v>72</v>
      </c>
      <c r="W1061" t="s">
        <v>347</v>
      </c>
      <c r="X1061" t="s">
        <v>72</v>
      </c>
      <c r="Y1061" t="s">
        <v>96</v>
      </c>
      <c r="AK1061" t="s">
        <v>356</v>
      </c>
    </row>
    <row r="1062" spans="1:37">
      <c r="B1062" t="s">
        <v>58</v>
      </c>
      <c r="C1062" t="s">
        <v>80</v>
      </c>
      <c r="D1062" t="s">
        <v>99</v>
      </c>
      <c r="E1062" t="s">
        <v>118</v>
      </c>
      <c r="F1062" t="s">
        <v>152</v>
      </c>
      <c r="G1062" t="s">
        <v>178</v>
      </c>
      <c r="H1062" t="s">
        <v>213</v>
      </c>
      <c r="I1062" t="s">
        <v>233</v>
      </c>
      <c r="J1062" t="s">
        <v>252</v>
      </c>
      <c r="K1062" t="s">
        <v>266</v>
      </c>
      <c r="L1062" t="s">
        <v>278</v>
      </c>
      <c r="M1062" t="s">
        <v>287</v>
      </c>
      <c r="N1062" t="s">
        <v>297</v>
      </c>
      <c r="O1062" t="s">
        <v>305</v>
      </c>
      <c r="P1062" t="s">
        <v>312</v>
      </c>
      <c r="Q1062" t="s">
        <v>319</v>
      </c>
      <c r="R1062">
        <f>&gt;10       ветра      2.8     20  29</f>
        <v>0</v>
      </c>
      <c r="AK1062" t="s">
        <v>356</v>
      </c>
    </row>
    <row r="1063" spans="1:37">
      <c r="A1063" t="s">
        <v>40</v>
      </c>
      <c r="B1063" t="s">
        <v>59</v>
      </c>
      <c r="C1063" t="s">
        <v>81</v>
      </c>
      <c r="D1063" t="s">
        <v>100</v>
      </c>
      <c r="E1063" t="s">
        <v>119</v>
      </c>
      <c r="F1063" t="s">
        <v>153</v>
      </c>
      <c r="G1063" t="s">
        <v>179</v>
      </c>
      <c r="H1063" t="s">
        <v>214</v>
      </c>
      <c r="I1063" t="s">
        <v>234</v>
      </c>
      <c r="AK1063" t="s">
        <v>356</v>
      </c>
    </row>
    <row r="1064" spans="1:37">
      <c r="A1064" t="s">
        <v>40</v>
      </c>
      <c r="B1064" t="s">
        <v>60</v>
      </c>
      <c r="C1064" t="s">
        <v>82</v>
      </c>
      <c r="D1064" t="s">
        <v>101</v>
      </c>
      <c r="E1064" t="s">
        <v>120</v>
      </c>
      <c r="F1064" t="s">
        <v>154</v>
      </c>
      <c r="G1064" t="s">
        <v>180</v>
      </c>
      <c r="H1064" t="s">
        <v>215</v>
      </c>
      <c r="I1064" t="s">
        <v>235</v>
      </c>
      <c r="J1064" t="s">
        <v>253</v>
      </c>
      <c r="K1064" t="s">
        <v>267</v>
      </c>
      <c r="L1064" t="s">
        <v>279</v>
      </c>
      <c r="M1064" t="s">
        <v>288</v>
      </c>
      <c r="N1064" t="s">
        <v>100</v>
      </c>
      <c r="O1064" t="s">
        <v>306</v>
      </c>
      <c r="P1064" t="s">
        <v>313</v>
      </c>
      <c r="Q1064" t="s">
        <v>320</v>
      </c>
      <c r="R1064" t="s">
        <v>325</v>
      </c>
      <c r="S1064" t="s">
        <v>332</v>
      </c>
      <c r="T1064" t="s">
        <v>119</v>
      </c>
      <c r="U1064" t="s">
        <v>234</v>
      </c>
      <c r="V1064" t="s">
        <v>343</v>
      </c>
      <c r="W1064" t="s">
        <v>348</v>
      </c>
      <c r="X1064" t="s">
        <v>352</v>
      </c>
      <c r="Y1064" t="s">
        <v>354</v>
      </c>
      <c r="AK1064" t="s">
        <v>356</v>
      </c>
    </row>
    <row r="1065" spans="1:37">
      <c r="A1065" t="s">
        <v>41</v>
      </c>
      <c r="B1065" t="s">
        <v>61</v>
      </c>
      <c r="C1065" t="s">
        <v>83</v>
      </c>
      <c r="D1065" t="s">
        <v>102</v>
      </c>
      <c r="E1065" t="s">
        <v>121</v>
      </c>
      <c r="F1065" t="s">
        <v>155</v>
      </c>
      <c r="G1065" t="s">
        <v>181</v>
      </c>
      <c r="H1065" t="s">
        <v>216</v>
      </c>
      <c r="I1065" t="s">
        <v>236</v>
      </c>
      <c r="AK1065" t="s">
        <v>356</v>
      </c>
    </row>
    <row r="1066" spans="1:37">
      <c r="A1066" t="s">
        <v>42</v>
      </c>
      <c r="B1066" t="s">
        <v>62</v>
      </c>
      <c r="C1066" t="s">
        <v>84</v>
      </c>
      <c r="D1066" t="s">
        <v>103</v>
      </c>
      <c r="E1066" t="s">
        <v>122</v>
      </c>
      <c r="F1066" t="s">
        <v>156</v>
      </c>
      <c r="G1066" t="s">
        <v>182</v>
      </c>
      <c r="H1066" t="s">
        <v>83</v>
      </c>
      <c r="I1066" t="s">
        <v>237</v>
      </c>
      <c r="J1066" t="s">
        <v>254</v>
      </c>
      <c r="K1066" t="s">
        <v>268</v>
      </c>
      <c r="L1066" t="s">
        <v>280</v>
      </c>
      <c r="M1066" t="s">
        <v>289</v>
      </c>
      <c r="N1066" t="s">
        <v>298</v>
      </c>
      <c r="O1066" t="s">
        <v>307</v>
      </c>
      <c r="P1066" t="s">
        <v>314</v>
      </c>
      <c r="Q1066" t="s">
        <v>216</v>
      </c>
      <c r="R1066" t="s">
        <v>326</v>
      </c>
      <c r="S1066" t="s">
        <v>333</v>
      </c>
      <c r="T1066" t="s">
        <v>335</v>
      </c>
      <c r="U1066" t="s">
        <v>340</v>
      </c>
      <c r="V1066" t="s">
        <v>344</v>
      </c>
      <c r="W1066" t="s">
        <v>349</v>
      </c>
      <c r="AK1066" t="s">
        <v>356</v>
      </c>
    </row>
    <row r="1067" spans="1:37">
      <c r="A1067" t="s">
        <v>43</v>
      </c>
      <c r="B1067" t="s">
        <v>63</v>
      </c>
      <c r="C1067" t="s">
        <v>85</v>
      </c>
      <c r="D1067" t="s">
        <v>104</v>
      </c>
      <c r="E1067" t="s">
        <v>123</v>
      </c>
      <c r="F1067" t="s">
        <v>157</v>
      </c>
      <c r="G1067" t="s">
        <v>183</v>
      </c>
      <c r="AK1067" t="s">
        <v>356</v>
      </c>
    </row>
    <row r="1068" spans="1:37">
      <c r="A1068" t="s">
        <v>44</v>
      </c>
      <c r="B1068" t="s">
        <v>64</v>
      </c>
      <c r="C1068" t="s">
        <v>86</v>
      </c>
      <c r="D1068" t="s">
        <v>105</v>
      </c>
      <c r="E1068" t="s">
        <v>124</v>
      </c>
      <c r="F1068" t="s">
        <v>158</v>
      </c>
      <c r="G1068" t="s">
        <v>184</v>
      </c>
      <c r="AK1068" t="s">
        <v>356</v>
      </c>
    </row>
    <row r="1069" spans="1:37">
      <c r="A1069" t="s">
        <v>45</v>
      </c>
      <c r="B1069" t="s">
        <v>65</v>
      </c>
      <c r="C1069" t="s">
        <v>87</v>
      </c>
      <c r="D1069" t="s">
        <v>106</v>
      </c>
      <c r="E1069" t="s">
        <v>125</v>
      </c>
      <c r="F1069" t="s">
        <v>159</v>
      </c>
      <c r="G1069" t="s">
        <v>185</v>
      </c>
      <c r="H1069" t="s">
        <v>159</v>
      </c>
      <c r="I1069" t="s">
        <v>185</v>
      </c>
      <c r="J1069" t="s">
        <v>255</v>
      </c>
      <c r="AK1069" t="s">
        <v>356</v>
      </c>
    </row>
    <row r="1070" spans="1:37">
      <c r="A1070" t="s">
        <v>46</v>
      </c>
      <c r="B1070" t="s">
        <v>66</v>
      </c>
      <c r="C1070" t="s">
        <v>88</v>
      </c>
      <c r="D1070" t="s">
        <v>76</v>
      </c>
      <c r="E1070" t="s">
        <v>126</v>
      </c>
      <c r="F1070" t="s">
        <v>160</v>
      </c>
      <c r="G1070" t="s">
        <v>186</v>
      </c>
      <c r="H1070" t="s">
        <v>217</v>
      </c>
      <c r="I1070" t="s">
        <v>238</v>
      </c>
      <c r="J1070" t="s">
        <v>256</v>
      </c>
      <c r="K1070" t="s">
        <v>265</v>
      </c>
      <c r="L1070" t="s">
        <v>281</v>
      </c>
      <c r="M1070" t="s">
        <v>290</v>
      </c>
      <c r="N1070" t="s">
        <v>299</v>
      </c>
      <c r="O1070" t="s">
        <v>308</v>
      </c>
      <c r="P1070" t="s">
        <v>228</v>
      </c>
      <c r="Q1070" t="s">
        <v>72</v>
      </c>
      <c r="R1070" t="s">
        <v>327</v>
      </c>
      <c r="S1070" t="s">
        <v>327</v>
      </c>
      <c r="T1070" t="s">
        <v>336</v>
      </c>
      <c r="U1070" t="s">
        <v>336</v>
      </c>
      <c r="V1070" t="s">
        <v>336</v>
      </c>
      <c r="W1070" t="s">
        <v>336</v>
      </c>
      <c r="X1070" t="s">
        <v>353</v>
      </c>
      <c r="AK1070" t="s">
        <v>356</v>
      </c>
    </row>
    <row r="1071" spans="1:37">
      <c r="A1071" t="s">
        <v>37</v>
      </c>
      <c r="B1071" t="s">
        <v>49</v>
      </c>
      <c r="C1071" t="s">
        <v>73</v>
      </c>
      <c r="D1071" t="s">
        <v>94</v>
      </c>
      <c r="E1071" t="s">
        <v>112</v>
      </c>
      <c r="F1071" t="s">
        <v>146</v>
      </c>
      <c r="G1071" t="s">
        <v>172</v>
      </c>
      <c r="H1071" t="s">
        <v>207</v>
      </c>
      <c r="I1071" t="s">
        <v>226</v>
      </c>
      <c r="J1071" t="s">
        <v>246</v>
      </c>
      <c r="K1071" t="s">
        <v>259</v>
      </c>
      <c r="AK1071" t="s">
        <v>356</v>
      </c>
    </row>
    <row r="1072" spans="1:37">
      <c r="A1072" t="s">
        <v>38</v>
      </c>
      <c r="B1072" t="s">
        <v>50</v>
      </c>
      <c r="C1072" t="s">
        <v>74</v>
      </c>
      <c r="D1072" t="s">
        <v>95</v>
      </c>
      <c r="E1072" t="s">
        <v>113</v>
      </c>
      <c r="F1072" t="s">
        <v>147</v>
      </c>
      <c r="G1072" t="s">
        <v>173</v>
      </c>
      <c r="H1072" t="s">
        <v>208</v>
      </c>
      <c r="I1072" t="s">
        <v>227</v>
      </c>
      <c r="J1072" t="s">
        <v>115</v>
      </c>
      <c r="K1072" t="s">
        <v>260</v>
      </c>
      <c r="L1072" t="s">
        <v>273</v>
      </c>
      <c r="M1072" t="s">
        <v>282</v>
      </c>
      <c r="N1072" t="s">
        <v>291</v>
      </c>
      <c r="AK1072" t="s">
        <v>356</v>
      </c>
    </row>
    <row r="1073" spans="1:37">
      <c r="B1073" t="s">
        <v>51</v>
      </c>
      <c r="C1073" t="s">
        <v>75</v>
      </c>
      <c r="D1073" t="s">
        <v>52</v>
      </c>
      <c r="E1073" t="s">
        <v>114</v>
      </c>
      <c r="F1073" t="s">
        <v>148</v>
      </c>
      <c r="G1073" t="s">
        <v>148</v>
      </c>
      <c r="H1073" t="s">
        <v>209</v>
      </c>
      <c r="I1073" t="s">
        <v>228</v>
      </c>
      <c r="J1073" t="s">
        <v>247</v>
      </c>
      <c r="K1073" t="s">
        <v>261</v>
      </c>
      <c r="L1073" t="s">
        <v>274</v>
      </c>
      <c r="M1073" t="s">
        <v>283</v>
      </c>
      <c r="N1073" t="s">
        <v>292</v>
      </c>
      <c r="O1073" t="s">
        <v>300</v>
      </c>
      <c r="AK1073" t="s">
        <v>356</v>
      </c>
    </row>
    <row r="1074" spans="1:37">
      <c r="B1074" t="s">
        <v>52</v>
      </c>
      <c r="C1074" t="s">
        <v>76</v>
      </c>
      <c r="D1074" t="s">
        <v>96</v>
      </c>
      <c r="E1074" t="s">
        <v>115</v>
      </c>
      <c r="F1074" t="s">
        <v>149</v>
      </c>
      <c r="G1074" t="s">
        <v>174</v>
      </c>
      <c r="H1074" t="s">
        <v>96</v>
      </c>
      <c r="I1074" t="s">
        <v>229</v>
      </c>
      <c r="J1074" t="s">
        <v>248</v>
      </c>
      <c r="K1074" t="s">
        <v>262</v>
      </c>
      <c r="L1074" t="s">
        <v>52</v>
      </c>
      <c r="M1074" t="s">
        <v>76</v>
      </c>
      <c r="N1074" t="s">
        <v>293</v>
      </c>
      <c r="O1074" t="s">
        <v>301</v>
      </c>
      <c r="P1074" t="s">
        <v>309</v>
      </c>
      <c r="Q1074" t="s">
        <v>315</v>
      </c>
      <c r="R1074" t="s">
        <v>228</v>
      </c>
      <c r="S1074" t="s">
        <v>328</v>
      </c>
      <c r="T1074" t="s">
        <v>149</v>
      </c>
      <c r="U1074" t="s">
        <v>337</v>
      </c>
      <c r="V1074" t="s">
        <v>341</v>
      </c>
      <c r="W1074" t="s">
        <v>345</v>
      </c>
      <c r="X1074" t="s">
        <v>350</v>
      </c>
      <c r="AK1074" t="s">
        <v>356</v>
      </c>
    </row>
    <row r="1075" spans="1:37">
      <c r="B1075" t="s">
        <v>53</v>
      </c>
      <c r="C1075" t="s">
        <v>77</v>
      </c>
      <c r="D1075" t="s">
        <v>97</v>
      </c>
      <c r="E1075" t="s">
        <v>116</v>
      </c>
      <c r="F1075" t="s">
        <v>150</v>
      </c>
      <c r="G1075" t="s">
        <v>175</v>
      </c>
      <c r="H1075" t="s">
        <v>210</v>
      </c>
      <c r="I1075" t="s">
        <v>230</v>
      </c>
      <c r="J1075" t="s">
        <v>249</v>
      </c>
      <c r="K1075" t="s">
        <v>263</v>
      </c>
      <c r="L1075" t="s">
        <v>275</v>
      </c>
      <c r="M1075" t="s">
        <v>284</v>
      </c>
      <c r="N1075" t="s">
        <v>294</v>
      </c>
      <c r="O1075" t="s">
        <v>302</v>
      </c>
      <c r="P1075" t="s">
        <v>310</v>
      </c>
      <c r="Q1075" t="s">
        <v>316</v>
      </c>
      <c r="R1075" t="s">
        <v>322</v>
      </c>
      <c r="S1075" t="s">
        <v>329</v>
      </c>
      <c r="AK1075" t="s">
        <v>356</v>
      </c>
    </row>
    <row r="1076" spans="1:37">
      <c r="A1076" t="s">
        <v>39</v>
      </c>
      <c r="B1076" t="s">
        <v>54</v>
      </c>
      <c r="C1076" t="s">
        <v>54</v>
      </c>
      <c r="D1076" t="s">
        <v>54</v>
      </c>
      <c r="E1076" t="s">
        <v>54</v>
      </c>
      <c r="F1076" t="s">
        <v>54</v>
      </c>
      <c r="G1076" t="s">
        <v>54</v>
      </c>
      <c r="H1076" t="s">
        <v>54</v>
      </c>
      <c r="I1076" t="s">
        <v>54</v>
      </c>
      <c r="J1076" t="s">
        <v>54</v>
      </c>
      <c r="K1076" t="s">
        <v>54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323</v>
      </c>
      <c r="S1076" t="s">
        <v>330</v>
      </c>
      <c r="AK1076" t="s">
        <v>356</v>
      </c>
    </row>
    <row r="1077" spans="1:37">
      <c r="B1077" t="s">
        <v>55</v>
      </c>
      <c r="C1077" t="s">
        <v>78</v>
      </c>
      <c r="D1077" t="s">
        <v>55</v>
      </c>
      <c r="E1077" t="s">
        <v>78</v>
      </c>
      <c r="F1077" t="s">
        <v>55</v>
      </c>
      <c r="G1077" t="s">
        <v>78</v>
      </c>
      <c r="H1077" t="s">
        <v>55</v>
      </c>
      <c r="I1077" t="s">
        <v>78</v>
      </c>
      <c r="J1077" t="s">
        <v>55</v>
      </c>
      <c r="K1077" t="s">
        <v>78</v>
      </c>
      <c r="L1077" t="s">
        <v>55</v>
      </c>
      <c r="M1077" t="s">
        <v>78</v>
      </c>
      <c r="N1077" t="s">
        <v>55</v>
      </c>
      <c r="O1077" t="s">
        <v>78</v>
      </c>
      <c r="P1077" t="s">
        <v>55</v>
      </c>
      <c r="Q1077" t="s">
        <v>78</v>
      </c>
      <c r="R1077" t="s">
        <v>55</v>
      </c>
      <c r="S1077" t="s">
        <v>78</v>
      </c>
      <c r="T1077" t="s">
        <v>55</v>
      </c>
      <c r="U1077" t="s">
        <v>78</v>
      </c>
      <c r="V1077" t="s">
        <v>55</v>
      </c>
      <c r="W1077" t="s">
        <v>78</v>
      </c>
      <c r="X1077" t="s">
        <v>55</v>
      </c>
      <c r="Y1077" t="s">
        <v>78</v>
      </c>
      <c r="Z1077" t="s">
        <v>55</v>
      </c>
      <c r="AA1077" t="s">
        <v>78</v>
      </c>
      <c r="AB1077" t="s">
        <v>55</v>
      </c>
      <c r="AC1077" t="s">
        <v>78</v>
      </c>
      <c r="AD1077" t="s">
        <v>55</v>
      </c>
      <c r="AE1077" t="s">
        <v>78</v>
      </c>
      <c r="AF1077" t="s">
        <v>55</v>
      </c>
      <c r="AG1077" t="s">
        <v>78</v>
      </c>
      <c r="AH1077" t="s">
        <v>55</v>
      </c>
      <c r="AI1077" t="s">
        <v>78</v>
      </c>
      <c r="AK1077" t="s">
        <v>356</v>
      </c>
    </row>
    <row r="1078" spans="1:37">
      <c r="B1078" t="s">
        <v>56</v>
      </c>
      <c r="C1078" t="s">
        <v>56</v>
      </c>
      <c r="D1078" t="s">
        <v>56</v>
      </c>
      <c r="E1078" t="s">
        <v>56</v>
      </c>
      <c r="F1078" t="s">
        <v>56</v>
      </c>
      <c r="G1078" t="s">
        <v>176</v>
      </c>
      <c r="H1078" t="s">
        <v>211</v>
      </c>
      <c r="I1078" t="s">
        <v>231</v>
      </c>
      <c r="J1078" t="s">
        <v>250</v>
      </c>
      <c r="K1078" t="s">
        <v>264</v>
      </c>
      <c r="L1078" t="s">
        <v>276</v>
      </c>
      <c r="M1078" t="s">
        <v>285</v>
      </c>
      <c r="N1078" t="s">
        <v>295</v>
      </c>
      <c r="O1078" t="s">
        <v>303</v>
      </c>
      <c r="P1078" t="s">
        <v>56</v>
      </c>
      <c r="Q1078" t="s">
        <v>317</v>
      </c>
      <c r="R1078" t="s">
        <v>324</v>
      </c>
      <c r="S1078" t="s">
        <v>331</v>
      </c>
      <c r="T1078" t="s">
        <v>334</v>
      </c>
      <c r="U1078" t="s">
        <v>338</v>
      </c>
      <c r="V1078" t="s">
        <v>342</v>
      </c>
      <c r="W1078" t="s">
        <v>346</v>
      </c>
      <c r="X1078" t="s">
        <v>351</v>
      </c>
      <c r="AK1078" t="s">
        <v>356</v>
      </c>
    </row>
    <row r="1079" spans="1:37">
      <c r="B1079" t="s">
        <v>57</v>
      </c>
      <c r="C1079" t="s">
        <v>79</v>
      </c>
      <c r="D1079" t="s">
        <v>98</v>
      </c>
      <c r="E1079" t="s">
        <v>117</v>
      </c>
      <c r="F1079" t="s">
        <v>151</v>
      </c>
      <c r="G1079" t="s">
        <v>177</v>
      </c>
      <c r="H1079" t="s">
        <v>212</v>
      </c>
      <c r="I1079" t="s">
        <v>232</v>
      </c>
      <c r="J1079" t="s">
        <v>251</v>
      </c>
      <c r="K1079" t="s">
        <v>265</v>
      </c>
      <c r="L1079" t="s">
        <v>277</v>
      </c>
      <c r="M1079" t="s">
        <v>286</v>
      </c>
      <c r="N1079" t="s">
        <v>296</v>
      </c>
      <c r="O1079" t="s">
        <v>304</v>
      </c>
      <c r="P1079" t="s">
        <v>311</v>
      </c>
      <c r="Q1079" t="s">
        <v>318</v>
      </c>
      <c r="R1079" t="s">
        <v>185</v>
      </c>
      <c r="S1079" t="s">
        <v>159</v>
      </c>
      <c r="T1079" t="s">
        <v>185</v>
      </c>
      <c r="U1079" t="s">
        <v>339</v>
      </c>
      <c r="V1079" t="s">
        <v>72</v>
      </c>
      <c r="W1079" t="s">
        <v>347</v>
      </c>
      <c r="X1079" t="s">
        <v>72</v>
      </c>
      <c r="Y1079" t="s">
        <v>96</v>
      </c>
      <c r="AK1079" t="s">
        <v>356</v>
      </c>
    </row>
    <row r="1080" spans="1:37">
      <c r="B1080" t="s">
        <v>58</v>
      </c>
      <c r="C1080" t="s">
        <v>80</v>
      </c>
      <c r="D1080" t="s">
        <v>99</v>
      </c>
      <c r="E1080" t="s">
        <v>118</v>
      </c>
      <c r="F1080" t="s">
        <v>152</v>
      </c>
      <c r="G1080" t="s">
        <v>178</v>
      </c>
      <c r="H1080" t="s">
        <v>213</v>
      </c>
      <c r="I1080" t="s">
        <v>233</v>
      </c>
      <c r="J1080" t="s">
        <v>252</v>
      </c>
      <c r="K1080" t="s">
        <v>266</v>
      </c>
      <c r="L1080" t="s">
        <v>278</v>
      </c>
      <c r="M1080" t="s">
        <v>287</v>
      </c>
      <c r="N1080" t="s">
        <v>297</v>
      </c>
      <c r="O1080" t="s">
        <v>305</v>
      </c>
      <c r="P1080" t="s">
        <v>312</v>
      </c>
      <c r="Q1080" t="s">
        <v>319</v>
      </c>
      <c r="R1080">
        <f>&gt;10       ветра      3.1     22  22</f>
        <v>0</v>
      </c>
      <c r="AK1080" t="s">
        <v>356</v>
      </c>
    </row>
    <row r="1081" spans="1:37">
      <c r="A1081" t="s">
        <v>40</v>
      </c>
      <c r="B1081" t="s">
        <v>59</v>
      </c>
      <c r="C1081" t="s">
        <v>81</v>
      </c>
      <c r="D1081" t="s">
        <v>100</v>
      </c>
      <c r="E1081" t="s">
        <v>119</v>
      </c>
      <c r="F1081" t="s">
        <v>153</v>
      </c>
      <c r="G1081" t="s">
        <v>179</v>
      </c>
      <c r="H1081" t="s">
        <v>214</v>
      </c>
      <c r="I1081" t="s">
        <v>234</v>
      </c>
      <c r="AK1081" t="s">
        <v>356</v>
      </c>
    </row>
    <row r="1082" spans="1:37">
      <c r="A1082" t="s">
        <v>40</v>
      </c>
      <c r="B1082" t="s">
        <v>60</v>
      </c>
      <c r="C1082" t="s">
        <v>82</v>
      </c>
      <c r="D1082" t="s">
        <v>101</v>
      </c>
      <c r="E1082" t="s">
        <v>120</v>
      </c>
      <c r="F1082" t="s">
        <v>154</v>
      </c>
      <c r="G1082" t="s">
        <v>180</v>
      </c>
      <c r="H1082" t="s">
        <v>215</v>
      </c>
      <c r="I1082" t="s">
        <v>235</v>
      </c>
      <c r="J1082" t="s">
        <v>253</v>
      </c>
      <c r="K1082" t="s">
        <v>267</v>
      </c>
      <c r="L1082" t="s">
        <v>279</v>
      </c>
      <c r="M1082" t="s">
        <v>288</v>
      </c>
      <c r="N1082" t="s">
        <v>100</v>
      </c>
      <c r="O1082" t="s">
        <v>306</v>
      </c>
      <c r="P1082" t="s">
        <v>313</v>
      </c>
      <c r="Q1082" t="s">
        <v>320</v>
      </c>
      <c r="R1082" t="s">
        <v>325</v>
      </c>
      <c r="S1082" t="s">
        <v>332</v>
      </c>
      <c r="T1082" t="s">
        <v>119</v>
      </c>
      <c r="U1082" t="s">
        <v>234</v>
      </c>
      <c r="V1082" t="s">
        <v>343</v>
      </c>
      <c r="W1082" t="s">
        <v>348</v>
      </c>
      <c r="X1082" t="s">
        <v>352</v>
      </c>
      <c r="Y1082" t="s">
        <v>354</v>
      </c>
      <c r="AK1082" t="s">
        <v>356</v>
      </c>
    </row>
    <row r="1083" spans="1:37">
      <c r="A1083" t="s">
        <v>41</v>
      </c>
      <c r="B1083" t="s">
        <v>61</v>
      </c>
      <c r="C1083" t="s">
        <v>83</v>
      </c>
      <c r="D1083" t="s">
        <v>102</v>
      </c>
      <c r="E1083" t="s">
        <v>121</v>
      </c>
      <c r="F1083" t="s">
        <v>155</v>
      </c>
      <c r="G1083" t="s">
        <v>181</v>
      </c>
      <c r="H1083" t="s">
        <v>216</v>
      </c>
      <c r="I1083" t="s">
        <v>236</v>
      </c>
      <c r="AK1083" t="s">
        <v>356</v>
      </c>
    </row>
    <row r="1084" spans="1:37">
      <c r="A1084" t="s">
        <v>42</v>
      </c>
      <c r="B1084" t="s">
        <v>62</v>
      </c>
      <c r="C1084" t="s">
        <v>84</v>
      </c>
      <c r="D1084" t="s">
        <v>103</v>
      </c>
      <c r="E1084" t="s">
        <v>122</v>
      </c>
      <c r="F1084" t="s">
        <v>156</v>
      </c>
      <c r="G1084" t="s">
        <v>182</v>
      </c>
      <c r="H1084" t="s">
        <v>83</v>
      </c>
      <c r="I1084" t="s">
        <v>237</v>
      </c>
      <c r="J1084" t="s">
        <v>254</v>
      </c>
      <c r="K1084" t="s">
        <v>268</v>
      </c>
      <c r="L1084" t="s">
        <v>280</v>
      </c>
      <c r="M1084" t="s">
        <v>289</v>
      </c>
      <c r="N1084" t="s">
        <v>298</v>
      </c>
      <c r="O1084" t="s">
        <v>307</v>
      </c>
      <c r="P1084" t="s">
        <v>314</v>
      </c>
      <c r="Q1084" t="s">
        <v>216</v>
      </c>
      <c r="R1084" t="s">
        <v>326</v>
      </c>
      <c r="S1084" t="s">
        <v>333</v>
      </c>
      <c r="T1084" t="s">
        <v>335</v>
      </c>
      <c r="U1084" t="s">
        <v>340</v>
      </c>
      <c r="V1084" t="s">
        <v>344</v>
      </c>
      <c r="W1084" t="s">
        <v>349</v>
      </c>
      <c r="AK1084" t="s">
        <v>356</v>
      </c>
    </row>
    <row r="1085" spans="1:37">
      <c r="A1085" t="s">
        <v>43</v>
      </c>
      <c r="B1085" t="s">
        <v>63</v>
      </c>
      <c r="C1085" t="s">
        <v>85</v>
      </c>
      <c r="D1085" t="s">
        <v>104</v>
      </c>
      <c r="E1085" t="s">
        <v>123</v>
      </c>
      <c r="F1085" t="s">
        <v>157</v>
      </c>
      <c r="G1085" t="s">
        <v>183</v>
      </c>
      <c r="AK1085" t="s">
        <v>356</v>
      </c>
    </row>
    <row r="1086" spans="1:37">
      <c r="A1086" t="s">
        <v>44</v>
      </c>
      <c r="B1086" t="s">
        <v>64</v>
      </c>
      <c r="C1086" t="s">
        <v>86</v>
      </c>
      <c r="D1086" t="s">
        <v>105</v>
      </c>
      <c r="E1086" t="s">
        <v>124</v>
      </c>
      <c r="F1086" t="s">
        <v>158</v>
      </c>
      <c r="G1086" t="s">
        <v>184</v>
      </c>
      <c r="AK1086" t="s">
        <v>356</v>
      </c>
    </row>
    <row r="1087" spans="1:37">
      <c r="A1087" t="s">
        <v>45</v>
      </c>
      <c r="B1087" t="s">
        <v>65</v>
      </c>
      <c r="C1087" t="s">
        <v>87</v>
      </c>
      <c r="D1087" t="s">
        <v>106</v>
      </c>
      <c r="E1087" t="s">
        <v>125</v>
      </c>
      <c r="F1087" t="s">
        <v>159</v>
      </c>
      <c r="G1087" t="s">
        <v>185</v>
      </c>
      <c r="H1087" t="s">
        <v>159</v>
      </c>
      <c r="I1087" t="s">
        <v>185</v>
      </c>
      <c r="J1087" t="s">
        <v>255</v>
      </c>
      <c r="AK1087" t="s">
        <v>356</v>
      </c>
    </row>
    <row r="1088" spans="1:37">
      <c r="A1088" t="s">
        <v>46</v>
      </c>
      <c r="B1088" t="s">
        <v>66</v>
      </c>
      <c r="C1088" t="s">
        <v>88</v>
      </c>
      <c r="D1088" t="s">
        <v>76</v>
      </c>
      <c r="E1088" t="s">
        <v>126</v>
      </c>
      <c r="F1088" t="s">
        <v>160</v>
      </c>
      <c r="G1088" t="s">
        <v>186</v>
      </c>
      <c r="H1088" t="s">
        <v>217</v>
      </c>
      <c r="I1088" t="s">
        <v>238</v>
      </c>
      <c r="J1088" t="s">
        <v>256</v>
      </c>
      <c r="K1088" t="s">
        <v>265</v>
      </c>
      <c r="L1088" t="s">
        <v>281</v>
      </c>
      <c r="M1088" t="s">
        <v>290</v>
      </c>
      <c r="N1088" t="s">
        <v>299</v>
      </c>
      <c r="O1088" t="s">
        <v>308</v>
      </c>
      <c r="P1088" t="s">
        <v>228</v>
      </c>
      <c r="Q1088" t="s">
        <v>72</v>
      </c>
      <c r="R1088" t="s">
        <v>327</v>
      </c>
      <c r="S1088" t="s">
        <v>327</v>
      </c>
      <c r="T1088" t="s">
        <v>336</v>
      </c>
      <c r="U1088" t="s">
        <v>336</v>
      </c>
      <c r="V1088" t="s">
        <v>336</v>
      </c>
      <c r="W1088" t="s">
        <v>336</v>
      </c>
      <c r="X1088" t="s">
        <v>353</v>
      </c>
      <c r="AK1088" t="s">
        <v>356</v>
      </c>
    </row>
    <row r="1089" spans="1:37">
      <c r="A1089" t="s">
        <v>37</v>
      </c>
      <c r="B1089" t="s">
        <v>49</v>
      </c>
      <c r="C1089" t="s">
        <v>73</v>
      </c>
      <c r="D1089" t="s">
        <v>94</v>
      </c>
      <c r="E1089" t="s">
        <v>112</v>
      </c>
      <c r="F1089" t="s">
        <v>146</v>
      </c>
      <c r="G1089" t="s">
        <v>172</v>
      </c>
      <c r="H1089" t="s">
        <v>207</v>
      </c>
      <c r="I1089" t="s">
        <v>226</v>
      </c>
      <c r="J1089" t="s">
        <v>246</v>
      </c>
      <c r="K1089" t="s">
        <v>259</v>
      </c>
      <c r="AK1089" t="s">
        <v>356</v>
      </c>
    </row>
    <row r="1090" spans="1:37">
      <c r="A1090" t="s">
        <v>38</v>
      </c>
      <c r="B1090" t="s">
        <v>50</v>
      </c>
      <c r="C1090" t="s">
        <v>74</v>
      </c>
      <c r="D1090" t="s">
        <v>95</v>
      </c>
      <c r="E1090" t="s">
        <v>113</v>
      </c>
      <c r="F1090" t="s">
        <v>147</v>
      </c>
      <c r="G1090" t="s">
        <v>173</v>
      </c>
      <c r="H1090" t="s">
        <v>208</v>
      </c>
      <c r="I1090" t="s">
        <v>227</v>
      </c>
      <c r="J1090" t="s">
        <v>115</v>
      </c>
      <c r="K1090" t="s">
        <v>260</v>
      </c>
      <c r="L1090" t="s">
        <v>273</v>
      </c>
      <c r="M1090" t="s">
        <v>282</v>
      </c>
      <c r="N1090" t="s">
        <v>291</v>
      </c>
      <c r="AK1090" t="s">
        <v>356</v>
      </c>
    </row>
    <row r="1091" spans="1:37">
      <c r="B1091" t="s">
        <v>51</v>
      </c>
      <c r="C1091" t="s">
        <v>75</v>
      </c>
      <c r="D1091" t="s">
        <v>52</v>
      </c>
      <c r="E1091" t="s">
        <v>114</v>
      </c>
      <c r="F1091" t="s">
        <v>148</v>
      </c>
      <c r="G1091" t="s">
        <v>148</v>
      </c>
      <c r="H1091" t="s">
        <v>209</v>
      </c>
      <c r="I1091" t="s">
        <v>228</v>
      </c>
      <c r="J1091" t="s">
        <v>247</v>
      </c>
      <c r="K1091" t="s">
        <v>261</v>
      </c>
      <c r="L1091" t="s">
        <v>274</v>
      </c>
      <c r="M1091" t="s">
        <v>283</v>
      </c>
      <c r="N1091" t="s">
        <v>292</v>
      </c>
      <c r="O1091" t="s">
        <v>300</v>
      </c>
      <c r="AK1091" t="s">
        <v>356</v>
      </c>
    </row>
    <row r="1092" spans="1:37">
      <c r="B1092" t="s">
        <v>52</v>
      </c>
      <c r="C1092" t="s">
        <v>76</v>
      </c>
      <c r="D1092" t="s">
        <v>96</v>
      </c>
      <c r="E1092" t="s">
        <v>115</v>
      </c>
      <c r="F1092" t="s">
        <v>149</v>
      </c>
      <c r="G1092" t="s">
        <v>174</v>
      </c>
      <c r="H1092" t="s">
        <v>96</v>
      </c>
      <c r="I1092" t="s">
        <v>229</v>
      </c>
      <c r="J1092" t="s">
        <v>248</v>
      </c>
      <c r="K1092" t="s">
        <v>262</v>
      </c>
      <c r="L1092" t="s">
        <v>52</v>
      </c>
      <c r="M1092" t="s">
        <v>76</v>
      </c>
      <c r="N1092" t="s">
        <v>293</v>
      </c>
      <c r="O1092" t="s">
        <v>301</v>
      </c>
      <c r="P1092" t="s">
        <v>309</v>
      </c>
      <c r="Q1092" t="s">
        <v>315</v>
      </c>
      <c r="R1092" t="s">
        <v>228</v>
      </c>
      <c r="S1092" t="s">
        <v>328</v>
      </c>
      <c r="T1092" t="s">
        <v>149</v>
      </c>
      <c r="U1092" t="s">
        <v>337</v>
      </c>
      <c r="V1092" t="s">
        <v>341</v>
      </c>
      <c r="W1092" t="s">
        <v>345</v>
      </c>
      <c r="X1092" t="s">
        <v>350</v>
      </c>
      <c r="AK1092" t="s">
        <v>356</v>
      </c>
    </row>
    <row r="1093" spans="1:37">
      <c r="B1093" t="s">
        <v>53</v>
      </c>
      <c r="C1093" t="s">
        <v>77</v>
      </c>
      <c r="D1093" t="s">
        <v>97</v>
      </c>
      <c r="E1093" t="s">
        <v>116</v>
      </c>
      <c r="F1093" t="s">
        <v>150</v>
      </c>
      <c r="G1093" t="s">
        <v>175</v>
      </c>
      <c r="H1093" t="s">
        <v>210</v>
      </c>
      <c r="I1093" t="s">
        <v>230</v>
      </c>
      <c r="J1093" t="s">
        <v>249</v>
      </c>
      <c r="K1093" t="s">
        <v>263</v>
      </c>
      <c r="L1093" t="s">
        <v>275</v>
      </c>
      <c r="M1093" t="s">
        <v>284</v>
      </c>
      <c r="N1093" t="s">
        <v>294</v>
      </c>
      <c r="O1093" t="s">
        <v>302</v>
      </c>
      <c r="P1093" t="s">
        <v>310</v>
      </c>
      <c r="Q1093" t="s">
        <v>316</v>
      </c>
      <c r="R1093" t="s">
        <v>322</v>
      </c>
      <c r="S1093" t="s">
        <v>329</v>
      </c>
      <c r="AK1093" t="s">
        <v>356</v>
      </c>
    </row>
    <row r="1094" spans="1:37">
      <c r="A1094" t="s">
        <v>39</v>
      </c>
      <c r="B1094" t="s">
        <v>54</v>
      </c>
      <c r="C1094" t="s">
        <v>54</v>
      </c>
      <c r="D1094" t="s">
        <v>54</v>
      </c>
      <c r="E1094" t="s">
        <v>54</v>
      </c>
      <c r="F1094" t="s">
        <v>54</v>
      </c>
      <c r="G1094" t="s">
        <v>54</v>
      </c>
      <c r="H1094" t="s">
        <v>54</v>
      </c>
      <c r="I1094" t="s">
        <v>54</v>
      </c>
      <c r="J1094" t="s">
        <v>54</v>
      </c>
      <c r="K1094" t="s">
        <v>54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 t="s">
        <v>323</v>
      </c>
      <c r="S1094" t="s">
        <v>330</v>
      </c>
      <c r="AK1094" t="s">
        <v>356</v>
      </c>
    </row>
    <row r="1095" spans="1:37">
      <c r="B1095" t="s">
        <v>55</v>
      </c>
      <c r="C1095" t="s">
        <v>78</v>
      </c>
      <c r="D1095" t="s">
        <v>55</v>
      </c>
      <c r="E1095" t="s">
        <v>78</v>
      </c>
      <c r="F1095" t="s">
        <v>55</v>
      </c>
      <c r="G1095" t="s">
        <v>78</v>
      </c>
      <c r="H1095" t="s">
        <v>55</v>
      </c>
      <c r="I1095" t="s">
        <v>78</v>
      </c>
      <c r="J1095" t="s">
        <v>55</v>
      </c>
      <c r="K1095" t="s">
        <v>78</v>
      </c>
      <c r="L1095" t="s">
        <v>55</v>
      </c>
      <c r="M1095" t="s">
        <v>78</v>
      </c>
      <c r="N1095" t="s">
        <v>55</v>
      </c>
      <c r="O1095" t="s">
        <v>78</v>
      </c>
      <c r="P1095" t="s">
        <v>55</v>
      </c>
      <c r="Q1095" t="s">
        <v>78</v>
      </c>
      <c r="R1095" t="s">
        <v>55</v>
      </c>
      <c r="S1095" t="s">
        <v>78</v>
      </c>
      <c r="T1095" t="s">
        <v>55</v>
      </c>
      <c r="U1095" t="s">
        <v>78</v>
      </c>
      <c r="V1095" t="s">
        <v>55</v>
      </c>
      <c r="W1095" t="s">
        <v>78</v>
      </c>
      <c r="X1095" t="s">
        <v>55</v>
      </c>
      <c r="Y1095" t="s">
        <v>78</v>
      </c>
      <c r="Z1095" t="s">
        <v>55</v>
      </c>
      <c r="AA1095" t="s">
        <v>78</v>
      </c>
      <c r="AB1095" t="s">
        <v>55</v>
      </c>
      <c r="AC1095" t="s">
        <v>78</v>
      </c>
      <c r="AD1095" t="s">
        <v>55</v>
      </c>
      <c r="AE1095" t="s">
        <v>78</v>
      </c>
      <c r="AF1095" t="s">
        <v>55</v>
      </c>
      <c r="AG1095" t="s">
        <v>78</v>
      </c>
      <c r="AH1095" t="s">
        <v>55</v>
      </c>
      <c r="AI1095" t="s">
        <v>78</v>
      </c>
      <c r="AK1095" t="s">
        <v>356</v>
      </c>
    </row>
    <row r="1096" spans="1:37">
      <c r="B1096" t="s">
        <v>56</v>
      </c>
      <c r="C1096" t="s">
        <v>56</v>
      </c>
      <c r="D1096" t="s">
        <v>56</v>
      </c>
      <c r="E1096" t="s">
        <v>56</v>
      </c>
      <c r="F1096" t="s">
        <v>56</v>
      </c>
      <c r="G1096" t="s">
        <v>176</v>
      </c>
      <c r="H1096" t="s">
        <v>211</v>
      </c>
      <c r="I1096" t="s">
        <v>231</v>
      </c>
      <c r="J1096" t="s">
        <v>250</v>
      </c>
      <c r="K1096" t="s">
        <v>264</v>
      </c>
      <c r="L1096" t="s">
        <v>276</v>
      </c>
      <c r="M1096" t="s">
        <v>285</v>
      </c>
      <c r="N1096" t="s">
        <v>295</v>
      </c>
      <c r="O1096" t="s">
        <v>303</v>
      </c>
      <c r="P1096" t="s">
        <v>56</v>
      </c>
      <c r="Q1096" t="s">
        <v>317</v>
      </c>
      <c r="R1096" t="s">
        <v>324</v>
      </c>
      <c r="S1096" t="s">
        <v>331</v>
      </c>
      <c r="T1096" t="s">
        <v>334</v>
      </c>
      <c r="U1096" t="s">
        <v>338</v>
      </c>
      <c r="V1096" t="s">
        <v>342</v>
      </c>
      <c r="W1096" t="s">
        <v>346</v>
      </c>
      <c r="X1096" t="s">
        <v>351</v>
      </c>
      <c r="AK1096" t="s">
        <v>356</v>
      </c>
    </row>
    <row r="1097" spans="1:37">
      <c r="B1097" t="s">
        <v>57</v>
      </c>
      <c r="C1097" t="s">
        <v>79</v>
      </c>
      <c r="D1097" t="s">
        <v>98</v>
      </c>
      <c r="E1097" t="s">
        <v>117</v>
      </c>
      <c r="F1097" t="s">
        <v>151</v>
      </c>
      <c r="G1097" t="s">
        <v>177</v>
      </c>
      <c r="H1097" t="s">
        <v>212</v>
      </c>
      <c r="I1097" t="s">
        <v>232</v>
      </c>
      <c r="J1097" t="s">
        <v>251</v>
      </c>
      <c r="K1097" t="s">
        <v>265</v>
      </c>
      <c r="L1097" t="s">
        <v>277</v>
      </c>
      <c r="M1097" t="s">
        <v>286</v>
      </c>
      <c r="N1097" t="s">
        <v>296</v>
      </c>
      <c r="O1097" t="s">
        <v>304</v>
      </c>
      <c r="P1097" t="s">
        <v>311</v>
      </c>
      <c r="Q1097" t="s">
        <v>318</v>
      </c>
      <c r="R1097" t="s">
        <v>185</v>
      </c>
      <c r="S1097" t="s">
        <v>159</v>
      </c>
      <c r="T1097" t="s">
        <v>185</v>
      </c>
      <c r="U1097" t="s">
        <v>339</v>
      </c>
      <c r="V1097" t="s">
        <v>72</v>
      </c>
      <c r="W1097" t="s">
        <v>347</v>
      </c>
      <c r="X1097" t="s">
        <v>72</v>
      </c>
      <c r="Y1097" t="s">
        <v>96</v>
      </c>
      <c r="AK1097" t="s">
        <v>356</v>
      </c>
    </row>
    <row r="1098" spans="1:37">
      <c r="B1098" t="s">
        <v>58</v>
      </c>
      <c r="C1098" t="s">
        <v>80</v>
      </c>
      <c r="D1098" t="s">
        <v>99</v>
      </c>
      <c r="E1098" t="s">
        <v>118</v>
      </c>
      <c r="F1098" t="s">
        <v>152</v>
      </c>
      <c r="G1098" t="s">
        <v>178</v>
      </c>
      <c r="H1098" t="s">
        <v>213</v>
      </c>
      <c r="I1098" t="s">
        <v>233</v>
      </c>
      <c r="J1098" t="s">
        <v>252</v>
      </c>
      <c r="K1098" t="s">
        <v>266</v>
      </c>
      <c r="L1098" t="s">
        <v>278</v>
      </c>
      <c r="M1098" t="s">
        <v>287</v>
      </c>
      <c r="N1098" t="s">
        <v>297</v>
      </c>
      <c r="O1098" t="s">
        <v>305</v>
      </c>
      <c r="P1098" t="s">
        <v>312</v>
      </c>
      <c r="Q1098" t="s">
        <v>319</v>
      </c>
      <c r="R1098">
        <f>&gt;10       ветра      3.3     20  23</f>
        <v>0</v>
      </c>
      <c r="AK1098" t="s">
        <v>356</v>
      </c>
    </row>
    <row r="1099" spans="1:37">
      <c r="A1099" t="s">
        <v>40</v>
      </c>
      <c r="B1099" t="s">
        <v>59</v>
      </c>
      <c r="C1099" t="s">
        <v>81</v>
      </c>
      <c r="D1099" t="s">
        <v>100</v>
      </c>
      <c r="E1099" t="s">
        <v>119</v>
      </c>
      <c r="F1099" t="s">
        <v>153</v>
      </c>
      <c r="G1099" t="s">
        <v>179</v>
      </c>
      <c r="H1099" t="s">
        <v>214</v>
      </c>
      <c r="I1099" t="s">
        <v>234</v>
      </c>
      <c r="AK1099" t="s">
        <v>356</v>
      </c>
    </row>
    <row r="1100" spans="1:37">
      <c r="A1100" t="s">
        <v>40</v>
      </c>
      <c r="B1100" t="s">
        <v>60</v>
      </c>
      <c r="C1100" t="s">
        <v>82</v>
      </c>
      <c r="D1100" t="s">
        <v>101</v>
      </c>
      <c r="E1100" t="s">
        <v>120</v>
      </c>
      <c r="F1100" t="s">
        <v>154</v>
      </c>
      <c r="G1100" t="s">
        <v>180</v>
      </c>
      <c r="H1100" t="s">
        <v>215</v>
      </c>
      <c r="I1100" t="s">
        <v>235</v>
      </c>
      <c r="J1100" t="s">
        <v>253</v>
      </c>
      <c r="K1100" t="s">
        <v>267</v>
      </c>
      <c r="L1100" t="s">
        <v>279</v>
      </c>
      <c r="M1100" t="s">
        <v>288</v>
      </c>
      <c r="N1100" t="s">
        <v>100</v>
      </c>
      <c r="O1100" t="s">
        <v>306</v>
      </c>
      <c r="P1100" t="s">
        <v>313</v>
      </c>
      <c r="Q1100" t="s">
        <v>320</v>
      </c>
      <c r="R1100" t="s">
        <v>325</v>
      </c>
      <c r="S1100" t="s">
        <v>332</v>
      </c>
      <c r="T1100" t="s">
        <v>119</v>
      </c>
      <c r="U1100" t="s">
        <v>234</v>
      </c>
      <c r="V1100" t="s">
        <v>343</v>
      </c>
      <c r="W1100" t="s">
        <v>348</v>
      </c>
      <c r="X1100" t="s">
        <v>352</v>
      </c>
      <c r="Y1100" t="s">
        <v>354</v>
      </c>
      <c r="AK1100" t="s">
        <v>356</v>
      </c>
    </row>
    <row r="1101" spans="1:37">
      <c r="A1101" t="s">
        <v>41</v>
      </c>
      <c r="B1101" t="s">
        <v>61</v>
      </c>
      <c r="C1101" t="s">
        <v>83</v>
      </c>
      <c r="D1101" t="s">
        <v>102</v>
      </c>
      <c r="E1101" t="s">
        <v>121</v>
      </c>
      <c r="F1101" t="s">
        <v>155</v>
      </c>
      <c r="G1101" t="s">
        <v>181</v>
      </c>
      <c r="H1101" t="s">
        <v>216</v>
      </c>
      <c r="I1101" t="s">
        <v>236</v>
      </c>
      <c r="AK1101" t="s">
        <v>356</v>
      </c>
    </row>
    <row r="1102" spans="1:37">
      <c r="A1102" t="s">
        <v>42</v>
      </c>
      <c r="B1102" t="s">
        <v>62</v>
      </c>
      <c r="C1102" t="s">
        <v>84</v>
      </c>
      <c r="D1102" t="s">
        <v>103</v>
      </c>
      <c r="E1102" t="s">
        <v>122</v>
      </c>
      <c r="F1102" t="s">
        <v>156</v>
      </c>
      <c r="G1102" t="s">
        <v>182</v>
      </c>
      <c r="H1102" t="s">
        <v>83</v>
      </c>
      <c r="I1102" t="s">
        <v>237</v>
      </c>
      <c r="J1102" t="s">
        <v>254</v>
      </c>
      <c r="K1102" t="s">
        <v>268</v>
      </c>
      <c r="L1102" t="s">
        <v>280</v>
      </c>
      <c r="M1102" t="s">
        <v>289</v>
      </c>
      <c r="N1102" t="s">
        <v>298</v>
      </c>
      <c r="O1102" t="s">
        <v>307</v>
      </c>
      <c r="P1102" t="s">
        <v>314</v>
      </c>
      <c r="Q1102" t="s">
        <v>216</v>
      </c>
      <c r="R1102" t="s">
        <v>326</v>
      </c>
      <c r="S1102" t="s">
        <v>333</v>
      </c>
      <c r="T1102" t="s">
        <v>335</v>
      </c>
      <c r="U1102" t="s">
        <v>340</v>
      </c>
      <c r="V1102" t="s">
        <v>344</v>
      </c>
      <c r="W1102" t="s">
        <v>349</v>
      </c>
      <c r="AK1102" t="s">
        <v>356</v>
      </c>
    </row>
    <row r="1103" spans="1:37">
      <c r="A1103" t="s">
        <v>43</v>
      </c>
      <c r="B1103" t="s">
        <v>63</v>
      </c>
      <c r="C1103" t="s">
        <v>85</v>
      </c>
      <c r="D1103" t="s">
        <v>104</v>
      </c>
      <c r="E1103" t="s">
        <v>123</v>
      </c>
      <c r="F1103" t="s">
        <v>157</v>
      </c>
      <c r="G1103" t="s">
        <v>183</v>
      </c>
      <c r="AK1103" t="s">
        <v>356</v>
      </c>
    </row>
    <row r="1104" spans="1:37">
      <c r="A1104" t="s">
        <v>44</v>
      </c>
      <c r="B1104" t="s">
        <v>64</v>
      </c>
      <c r="C1104" t="s">
        <v>86</v>
      </c>
      <c r="D1104" t="s">
        <v>105</v>
      </c>
      <c r="E1104" t="s">
        <v>124</v>
      </c>
      <c r="F1104" t="s">
        <v>158</v>
      </c>
      <c r="G1104" t="s">
        <v>184</v>
      </c>
      <c r="AK1104" t="s">
        <v>356</v>
      </c>
    </row>
    <row r="1105" spans="1:37">
      <c r="A1105" t="s">
        <v>45</v>
      </c>
      <c r="B1105" t="s">
        <v>65</v>
      </c>
      <c r="C1105" t="s">
        <v>87</v>
      </c>
      <c r="D1105" t="s">
        <v>106</v>
      </c>
      <c r="E1105" t="s">
        <v>125</v>
      </c>
      <c r="F1105" t="s">
        <v>159</v>
      </c>
      <c r="G1105" t="s">
        <v>185</v>
      </c>
      <c r="H1105" t="s">
        <v>159</v>
      </c>
      <c r="I1105" t="s">
        <v>185</v>
      </c>
      <c r="J1105" t="s">
        <v>255</v>
      </c>
      <c r="AK1105" t="s">
        <v>356</v>
      </c>
    </row>
    <row r="1106" spans="1:37">
      <c r="A1106" t="s">
        <v>46</v>
      </c>
      <c r="B1106" t="s">
        <v>66</v>
      </c>
      <c r="C1106" t="s">
        <v>88</v>
      </c>
      <c r="D1106" t="s">
        <v>76</v>
      </c>
      <c r="E1106" t="s">
        <v>126</v>
      </c>
      <c r="F1106" t="s">
        <v>160</v>
      </c>
      <c r="G1106" t="s">
        <v>186</v>
      </c>
      <c r="H1106" t="s">
        <v>217</v>
      </c>
      <c r="I1106" t="s">
        <v>238</v>
      </c>
      <c r="J1106" t="s">
        <v>256</v>
      </c>
      <c r="K1106" t="s">
        <v>265</v>
      </c>
      <c r="L1106" t="s">
        <v>281</v>
      </c>
      <c r="M1106" t="s">
        <v>290</v>
      </c>
      <c r="N1106" t="s">
        <v>299</v>
      </c>
      <c r="O1106" t="s">
        <v>308</v>
      </c>
      <c r="P1106" t="s">
        <v>228</v>
      </c>
      <c r="Q1106" t="s">
        <v>72</v>
      </c>
      <c r="R1106" t="s">
        <v>327</v>
      </c>
      <c r="S1106" t="s">
        <v>327</v>
      </c>
      <c r="T1106" t="s">
        <v>336</v>
      </c>
      <c r="U1106" t="s">
        <v>336</v>
      </c>
      <c r="V1106" t="s">
        <v>336</v>
      </c>
      <c r="W1106" t="s">
        <v>336</v>
      </c>
      <c r="X1106" t="s">
        <v>353</v>
      </c>
      <c r="AK1106" t="s">
        <v>356</v>
      </c>
    </row>
    <row r="1107" spans="1:37">
      <c r="A1107" t="s">
        <v>37</v>
      </c>
      <c r="B1107" t="s">
        <v>49</v>
      </c>
      <c r="C1107" t="s">
        <v>73</v>
      </c>
      <c r="D1107" t="s">
        <v>94</v>
      </c>
      <c r="E1107" t="s">
        <v>112</v>
      </c>
      <c r="F1107" t="s">
        <v>146</v>
      </c>
      <c r="G1107" t="s">
        <v>172</v>
      </c>
      <c r="H1107" t="s">
        <v>207</v>
      </c>
      <c r="I1107" t="s">
        <v>226</v>
      </c>
      <c r="J1107" t="s">
        <v>246</v>
      </c>
      <c r="K1107" t="s">
        <v>259</v>
      </c>
      <c r="AK1107" t="s">
        <v>356</v>
      </c>
    </row>
    <row r="1108" spans="1:37">
      <c r="A1108" t="s">
        <v>38</v>
      </c>
      <c r="B1108" t="s">
        <v>50</v>
      </c>
      <c r="C1108" t="s">
        <v>74</v>
      </c>
      <c r="D1108" t="s">
        <v>95</v>
      </c>
      <c r="E1108" t="s">
        <v>113</v>
      </c>
      <c r="F1108" t="s">
        <v>147</v>
      </c>
      <c r="G1108" t="s">
        <v>173</v>
      </c>
      <c r="H1108" t="s">
        <v>208</v>
      </c>
      <c r="I1108" t="s">
        <v>227</v>
      </c>
      <c r="J1108" t="s">
        <v>115</v>
      </c>
      <c r="K1108" t="s">
        <v>260</v>
      </c>
      <c r="L1108" t="s">
        <v>273</v>
      </c>
      <c r="M1108" t="s">
        <v>282</v>
      </c>
      <c r="N1108" t="s">
        <v>291</v>
      </c>
      <c r="AK1108" t="s">
        <v>356</v>
      </c>
    </row>
    <row r="1109" spans="1:37">
      <c r="B1109" t="s">
        <v>51</v>
      </c>
      <c r="C1109" t="s">
        <v>75</v>
      </c>
      <c r="D1109" t="s">
        <v>52</v>
      </c>
      <c r="E1109" t="s">
        <v>114</v>
      </c>
      <c r="F1109" t="s">
        <v>148</v>
      </c>
      <c r="G1109" t="s">
        <v>148</v>
      </c>
      <c r="H1109" t="s">
        <v>209</v>
      </c>
      <c r="I1109" t="s">
        <v>228</v>
      </c>
      <c r="J1109" t="s">
        <v>247</v>
      </c>
      <c r="K1109" t="s">
        <v>261</v>
      </c>
      <c r="L1109" t="s">
        <v>274</v>
      </c>
      <c r="M1109" t="s">
        <v>283</v>
      </c>
      <c r="N1109" t="s">
        <v>292</v>
      </c>
      <c r="O1109" t="s">
        <v>300</v>
      </c>
      <c r="AK1109" t="s">
        <v>356</v>
      </c>
    </row>
    <row r="1110" spans="1:37">
      <c r="B1110" t="s">
        <v>52</v>
      </c>
      <c r="C1110" t="s">
        <v>76</v>
      </c>
      <c r="D1110" t="s">
        <v>96</v>
      </c>
      <c r="E1110" t="s">
        <v>115</v>
      </c>
      <c r="F1110" t="s">
        <v>149</v>
      </c>
      <c r="G1110" t="s">
        <v>174</v>
      </c>
      <c r="H1110" t="s">
        <v>96</v>
      </c>
      <c r="I1110" t="s">
        <v>229</v>
      </c>
      <c r="J1110" t="s">
        <v>248</v>
      </c>
      <c r="K1110" t="s">
        <v>262</v>
      </c>
      <c r="L1110" t="s">
        <v>52</v>
      </c>
      <c r="M1110" t="s">
        <v>76</v>
      </c>
      <c r="N1110" t="s">
        <v>293</v>
      </c>
      <c r="O1110" t="s">
        <v>301</v>
      </c>
      <c r="P1110" t="s">
        <v>309</v>
      </c>
      <c r="Q1110" t="s">
        <v>315</v>
      </c>
      <c r="R1110" t="s">
        <v>228</v>
      </c>
      <c r="S1110" t="s">
        <v>328</v>
      </c>
      <c r="T1110" t="s">
        <v>149</v>
      </c>
      <c r="U1110" t="s">
        <v>337</v>
      </c>
      <c r="V1110" t="s">
        <v>341</v>
      </c>
      <c r="W1110" t="s">
        <v>345</v>
      </c>
      <c r="X1110" t="s">
        <v>350</v>
      </c>
      <c r="AK1110" t="s">
        <v>356</v>
      </c>
    </row>
    <row r="1111" spans="1:37">
      <c r="B1111" t="s">
        <v>53</v>
      </c>
      <c r="C1111" t="s">
        <v>77</v>
      </c>
      <c r="D1111" t="s">
        <v>97</v>
      </c>
      <c r="E1111" t="s">
        <v>116</v>
      </c>
      <c r="F1111" t="s">
        <v>150</v>
      </c>
      <c r="G1111" t="s">
        <v>175</v>
      </c>
      <c r="H1111" t="s">
        <v>210</v>
      </c>
      <c r="I1111" t="s">
        <v>230</v>
      </c>
      <c r="J1111" t="s">
        <v>249</v>
      </c>
      <c r="K1111" t="s">
        <v>263</v>
      </c>
      <c r="L1111" t="s">
        <v>275</v>
      </c>
      <c r="M1111" t="s">
        <v>284</v>
      </c>
      <c r="N1111" t="s">
        <v>294</v>
      </c>
      <c r="O1111" t="s">
        <v>302</v>
      </c>
      <c r="P1111" t="s">
        <v>310</v>
      </c>
      <c r="Q1111" t="s">
        <v>316</v>
      </c>
      <c r="R1111" t="s">
        <v>322</v>
      </c>
      <c r="S1111" t="s">
        <v>329</v>
      </c>
      <c r="AK1111" t="s">
        <v>356</v>
      </c>
    </row>
    <row r="1112" spans="1:37">
      <c r="A1112" t="s">
        <v>39</v>
      </c>
      <c r="B1112" t="s">
        <v>54</v>
      </c>
      <c r="C1112" t="s">
        <v>54</v>
      </c>
      <c r="D1112" t="s">
        <v>54</v>
      </c>
      <c r="E1112" t="s">
        <v>54</v>
      </c>
      <c r="F1112" t="s">
        <v>54</v>
      </c>
      <c r="G1112" t="s">
        <v>54</v>
      </c>
      <c r="H1112" t="s">
        <v>54</v>
      </c>
      <c r="I1112" t="s">
        <v>54</v>
      </c>
      <c r="J1112" t="s">
        <v>54</v>
      </c>
      <c r="K1112" t="s">
        <v>54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323</v>
      </c>
      <c r="S1112" t="s">
        <v>330</v>
      </c>
      <c r="AK1112" t="s">
        <v>356</v>
      </c>
    </row>
    <row r="1113" spans="1:37">
      <c r="B1113" t="s">
        <v>55</v>
      </c>
      <c r="C1113" t="s">
        <v>78</v>
      </c>
      <c r="D1113" t="s">
        <v>55</v>
      </c>
      <c r="E1113" t="s">
        <v>78</v>
      </c>
      <c r="F1113" t="s">
        <v>55</v>
      </c>
      <c r="G1113" t="s">
        <v>78</v>
      </c>
      <c r="H1113" t="s">
        <v>55</v>
      </c>
      <c r="I1113" t="s">
        <v>78</v>
      </c>
      <c r="J1113" t="s">
        <v>55</v>
      </c>
      <c r="K1113" t="s">
        <v>78</v>
      </c>
      <c r="L1113" t="s">
        <v>55</v>
      </c>
      <c r="M1113" t="s">
        <v>78</v>
      </c>
      <c r="N1113" t="s">
        <v>55</v>
      </c>
      <c r="O1113" t="s">
        <v>78</v>
      </c>
      <c r="P1113" t="s">
        <v>55</v>
      </c>
      <c r="Q1113" t="s">
        <v>78</v>
      </c>
      <c r="R1113" t="s">
        <v>55</v>
      </c>
      <c r="S1113" t="s">
        <v>78</v>
      </c>
      <c r="T1113" t="s">
        <v>55</v>
      </c>
      <c r="U1113" t="s">
        <v>78</v>
      </c>
      <c r="V1113" t="s">
        <v>55</v>
      </c>
      <c r="W1113" t="s">
        <v>78</v>
      </c>
      <c r="X1113" t="s">
        <v>55</v>
      </c>
      <c r="Y1113" t="s">
        <v>78</v>
      </c>
      <c r="Z1113" t="s">
        <v>55</v>
      </c>
      <c r="AA1113" t="s">
        <v>78</v>
      </c>
      <c r="AB1113" t="s">
        <v>55</v>
      </c>
      <c r="AC1113" t="s">
        <v>78</v>
      </c>
      <c r="AD1113" t="s">
        <v>55</v>
      </c>
      <c r="AE1113" t="s">
        <v>78</v>
      </c>
      <c r="AF1113" t="s">
        <v>55</v>
      </c>
      <c r="AG1113" t="s">
        <v>78</v>
      </c>
      <c r="AH1113" t="s">
        <v>55</v>
      </c>
      <c r="AI1113" t="s">
        <v>78</v>
      </c>
      <c r="AK1113" t="s">
        <v>356</v>
      </c>
    </row>
    <row r="1114" spans="1:37">
      <c r="B1114" t="s">
        <v>56</v>
      </c>
      <c r="C1114" t="s">
        <v>56</v>
      </c>
      <c r="D1114" t="s">
        <v>56</v>
      </c>
      <c r="E1114" t="s">
        <v>56</v>
      </c>
      <c r="F1114" t="s">
        <v>56</v>
      </c>
      <c r="G1114" t="s">
        <v>176</v>
      </c>
      <c r="H1114" t="s">
        <v>211</v>
      </c>
      <c r="I1114" t="s">
        <v>231</v>
      </c>
      <c r="J1114" t="s">
        <v>250</v>
      </c>
      <c r="K1114" t="s">
        <v>264</v>
      </c>
      <c r="L1114" t="s">
        <v>276</v>
      </c>
      <c r="M1114" t="s">
        <v>285</v>
      </c>
      <c r="N1114" t="s">
        <v>295</v>
      </c>
      <c r="O1114" t="s">
        <v>303</v>
      </c>
      <c r="P1114" t="s">
        <v>56</v>
      </c>
      <c r="Q1114" t="s">
        <v>317</v>
      </c>
      <c r="R1114" t="s">
        <v>324</v>
      </c>
      <c r="S1114" t="s">
        <v>331</v>
      </c>
      <c r="T1114" t="s">
        <v>334</v>
      </c>
      <c r="U1114" t="s">
        <v>338</v>
      </c>
      <c r="V1114" t="s">
        <v>342</v>
      </c>
      <c r="W1114" t="s">
        <v>346</v>
      </c>
      <c r="X1114" t="s">
        <v>351</v>
      </c>
      <c r="AK1114" t="s">
        <v>356</v>
      </c>
    </row>
    <row r="1115" spans="1:37">
      <c r="B1115" t="s">
        <v>57</v>
      </c>
      <c r="C1115" t="s">
        <v>79</v>
      </c>
      <c r="D1115" t="s">
        <v>98</v>
      </c>
      <c r="E1115" t="s">
        <v>117</v>
      </c>
      <c r="F1115" t="s">
        <v>151</v>
      </c>
      <c r="G1115" t="s">
        <v>177</v>
      </c>
      <c r="H1115" t="s">
        <v>212</v>
      </c>
      <c r="I1115" t="s">
        <v>232</v>
      </c>
      <c r="J1115" t="s">
        <v>251</v>
      </c>
      <c r="K1115" t="s">
        <v>265</v>
      </c>
      <c r="L1115" t="s">
        <v>277</v>
      </c>
      <c r="M1115" t="s">
        <v>286</v>
      </c>
      <c r="N1115" t="s">
        <v>296</v>
      </c>
      <c r="O1115" t="s">
        <v>304</v>
      </c>
      <c r="P1115" t="s">
        <v>311</v>
      </c>
      <c r="Q1115" t="s">
        <v>318</v>
      </c>
      <c r="R1115" t="s">
        <v>185</v>
      </c>
      <c r="S1115" t="s">
        <v>159</v>
      </c>
      <c r="T1115" t="s">
        <v>185</v>
      </c>
      <c r="U1115" t="s">
        <v>339</v>
      </c>
      <c r="V1115" t="s">
        <v>72</v>
      </c>
      <c r="W1115" t="s">
        <v>347</v>
      </c>
      <c r="X1115" t="s">
        <v>72</v>
      </c>
      <c r="Y1115" t="s">
        <v>96</v>
      </c>
      <c r="AK1115" t="s">
        <v>356</v>
      </c>
    </row>
    <row r="1116" spans="1:37">
      <c r="B1116" t="s">
        <v>58</v>
      </c>
      <c r="C1116" t="s">
        <v>80</v>
      </c>
      <c r="D1116" t="s">
        <v>99</v>
      </c>
      <c r="E1116" t="s">
        <v>118</v>
      </c>
      <c r="F1116" t="s">
        <v>152</v>
      </c>
      <c r="G1116" t="s">
        <v>178</v>
      </c>
      <c r="H1116" t="s">
        <v>213</v>
      </c>
      <c r="I1116" t="s">
        <v>233</v>
      </c>
      <c r="J1116" t="s">
        <v>252</v>
      </c>
      <c r="K1116" t="s">
        <v>266</v>
      </c>
      <c r="L1116" t="s">
        <v>278</v>
      </c>
      <c r="M1116" t="s">
        <v>287</v>
      </c>
      <c r="N1116" t="s">
        <v>297</v>
      </c>
      <c r="O1116" t="s">
        <v>305</v>
      </c>
      <c r="P1116" t="s">
        <v>312</v>
      </c>
      <c r="Q1116" t="s">
        <v>319</v>
      </c>
      <c r="R1116">
        <f>&gt;10       ветра      2.9     20  29</f>
        <v>0</v>
      </c>
      <c r="AK1116" t="s">
        <v>356</v>
      </c>
    </row>
    <row r="1117" spans="1:37">
      <c r="A1117" t="s">
        <v>40</v>
      </c>
      <c r="B1117" t="s">
        <v>59</v>
      </c>
      <c r="C1117" t="s">
        <v>81</v>
      </c>
      <c r="D1117" t="s">
        <v>100</v>
      </c>
      <c r="E1117" t="s">
        <v>119</v>
      </c>
      <c r="F1117" t="s">
        <v>153</v>
      </c>
      <c r="G1117" t="s">
        <v>179</v>
      </c>
      <c r="H1117" t="s">
        <v>214</v>
      </c>
      <c r="I1117" t="s">
        <v>234</v>
      </c>
      <c r="AK1117" t="s">
        <v>356</v>
      </c>
    </row>
    <row r="1118" spans="1:37">
      <c r="A1118" t="s">
        <v>40</v>
      </c>
      <c r="B1118" t="s">
        <v>60</v>
      </c>
      <c r="C1118" t="s">
        <v>82</v>
      </c>
      <c r="D1118" t="s">
        <v>101</v>
      </c>
      <c r="E1118" t="s">
        <v>120</v>
      </c>
      <c r="F1118" t="s">
        <v>154</v>
      </c>
      <c r="G1118" t="s">
        <v>180</v>
      </c>
      <c r="H1118" t="s">
        <v>215</v>
      </c>
      <c r="I1118" t="s">
        <v>235</v>
      </c>
      <c r="J1118" t="s">
        <v>253</v>
      </c>
      <c r="K1118" t="s">
        <v>267</v>
      </c>
      <c r="L1118" t="s">
        <v>279</v>
      </c>
      <c r="M1118" t="s">
        <v>288</v>
      </c>
      <c r="N1118" t="s">
        <v>100</v>
      </c>
      <c r="O1118" t="s">
        <v>306</v>
      </c>
      <c r="P1118" t="s">
        <v>313</v>
      </c>
      <c r="Q1118" t="s">
        <v>320</v>
      </c>
      <c r="R1118" t="s">
        <v>325</v>
      </c>
      <c r="S1118" t="s">
        <v>332</v>
      </c>
      <c r="T1118" t="s">
        <v>119</v>
      </c>
      <c r="U1118" t="s">
        <v>234</v>
      </c>
      <c r="V1118" t="s">
        <v>343</v>
      </c>
      <c r="W1118" t="s">
        <v>348</v>
      </c>
      <c r="X1118" t="s">
        <v>352</v>
      </c>
      <c r="Y1118" t="s">
        <v>354</v>
      </c>
      <c r="AK1118" t="s">
        <v>356</v>
      </c>
    </row>
    <row r="1119" spans="1:37">
      <c r="A1119" t="s">
        <v>41</v>
      </c>
      <c r="B1119" t="s">
        <v>61</v>
      </c>
      <c r="C1119" t="s">
        <v>83</v>
      </c>
      <c r="D1119" t="s">
        <v>102</v>
      </c>
      <c r="E1119" t="s">
        <v>121</v>
      </c>
      <c r="F1119" t="s">
        <v>155</v>
      </c>
      <c r="G1119" t="s">
        <v>181</v>
      </c>
      <c r="H1119" t="s">
        <v>216</v>
      </c>
      <c r="I1119" t="s">
        <v>236</v>
      </c>
      <c r="AK1119" t="s">
        <v>356</v>
      </c>
    </row>
    <row r="1120" spans="1:37">
      <c r="A1120" t="s">
        <v>42</v>
      </c>
      <c r="B1120" t="s">
        <v>62</v>
      </c>
      <c r="C1120" t="s">
        <v>84</v>
      </c>
      <c r="D1120" t="s">
        <v>103</v>
      </c>
      <c r="E1120" t="s">
        <v>122</v>
      </c>
      <c r="F1120" t="s">
        <v>156</v>
      </c>
      <c r="G1120" t="s">
        <v>182</v>
      </c>
      <c r="H1120" t="s">
        <v>83</v>
      </c>
      <c r="I1120" t="s">
        <v>237</v>
      </c>
      <c r="J1120" t="s">
        <v>254</v>
      </c>
      <c r="K1120" t="s">
        <v>268</v>
      </c>
      <c r="L1120" t="s">
        <v>280</v>
      </c>
      <c r="M1120" t="s">
        <v>289</v>
      </c>
      <c r="N1120" t="s">
        <v>298</v>
      </c>
      <c r="O1120" t="s">
        <v>307</v>
      </c>
      <c r="P1120" t="s">
        <v>314</v>
      </c>
      <c r="Q1120" t="s">
        <v>216</v>
      </c>
      <c r="R1120" t="s">
        <v>326</v>
      </c>
      <c r="S1120" t="s">
        <v>333</v>
      </c>
      <c r="T1120" t="s">
        <v>335</v>
      </c>
      <c r="U1120" t="s">
        <v>340</v>
      </c>
      <c r="V1120" t="s">
        <v>344</v>
      </c>
      <c r="W1120" t="s">
        <v>349</v>
      </c>
      <c r="AK1120" t="s">
        <v>356</v>
      </c>
    </row>
    <row r="1121" spans="1:37">
      <c r="A1121" t="s">
        <v>43</v>
      </c>
      <c r="B1121" t="s">
        <v>63</v>
      </c>
      <c r="C1121" t="s">
        <v>85</v>
      </c>
      <c r="D1121" t="s">
        <v>104</v>
      </c>
      <c r="E1121" t="s">
        <v>123</v>
      </c>
      <c r="F1121" t="s">
        <v>157</v>
      </c>
      <c r="G1121" t="s">
        <v>183</v>
      </c>
      <c r="AK1121" t="s">
        <v>356</v>
      </c>
    </row>
    <row r="1122" spans="1:37">
      <c r="A1122" t="s">
        <v>44</v>
      </c>
      <c r="B1122" t="s">
        <v>64</v>
      </c>
      <c r="C1122" t="s">
        <v>86</v>
      </c>
      <c r="D1122" t="s">
        <v>105</v>
      </c>
      <c r="E1122" t="s">
        <v>124</v>
      </c>
      <c r="F1122" t="s">
        <v>158</v>
      </c>
      <c r="G1122" t="s">
        <v>184</v>
      </c>
      <c r="AK1122" t="s">
        <v>356</v>
      </c>
    </row>
    <row r="1123" spans="1:37">
      <c r="A1123" t="s">
        <v>45</v>
      </c>
      <c r="B1123" t="s">
        <v>65</v>
      </c>
      <c r="C1123" t="s">
        <v>87</v>
      </c>
      <c r="D1123" t="s">
        <v>106</v>
      </c>
      <c r="E1123" t="s">
        <v>125</v>
      </c>
      <c r="F1123" t="s">
        <v>159</v>
      </c>
      <c r="G1123" t="s">
        <v>185</v>
      </c>
      <c r="H1123" t="s">
        <v>159</v>
      </c>
      <c r="I1123" t="s">
        <v>185</v>
      </c>
      <c r="J1123" t="s">
        <v>255</v>
      </c>
      <c r="AK1123" t="s">
        <v>356</v>
      </c>
    </row>
    <row r="1124" spans="1:37">
      <c r="A1124" t="s">
        <v>46</v>
      </c>
      <c r="B1124" t="s">
        <v>66</v>
      </c>
      <c r="C1124" t="s">
        <v>88</v>
      </c>
      <c r="D1124" t="s">
        <v>76</v>
      </c>
      <c r="E1124" t="s">
        <v>126</v>
      </c>
      <c r="F1124" t="s">
        <v>160</v>
      </c>
      <c r="G1124" t="s">
        <v>186</v>
      </c>
      <c r="H1124" t="s">
        <v>217</v>
      </c>
      <c r="I1124" t="s">
        <v>238</v>
      </c>
      <c r="J1124" t="s">
        <v>256</v>
      </c>
      <c r="K1124" t="s">
        <v>265</v>
      </c>
      <c r="L1124" t="s">
        <v>281</v>
      </c>
      <c r="M1124" t="s">
        <v>290</v>
      </c>
      <c r="N1124" t="s">
        <v>299</v>
      </c>
      <c r="O1124" t="s">
        <v>308</v>
      </c>
      <c r="P1124" t="s">
        <v>228</v>
      </c>
      <c r="Q1124" t="s">
        <v>72</v>
      </c>
      <c r="R1124" t="s">
        <v>327</v>
      </c>
      <c r="S1124" t="s">
        <v>327</v>
      </c>
      <c r="T1124" t="s">
        <v>336</v>
      </c>
      <c r="U1124" t="s">
        <v>336</v>
      </c>
      <c r="V1124" t="s">
        <v>336</v>
      </c>
      <c r="W1124" t="s">
        <v>336</v>
      </c>
      <c r="X1124" t="s">
        <v>353</v>
      </c>
      <c r="AK1124" t="s">
        <v>356</v>
      </c>
    </row>
    <row r="1125" spans="1:37">
      <c r="A1125" t="s">
        <v>37</v>
      </c>
      <c r="B1125" t="s">
        <v>49</v>
      </c>
      <c r="C1125" t="s">
        <v>73</v>
      </c>
      <c r="D1125" t="s">
        <v>94</v>
      </c>
      <c r="E1125" t="s">
        <v>112</v>
      </c>
      <c r="F1125" t="s">
        <v>146</v>
      </c>
      <c r="G1125" t="s">
        <v>172</v>
      </c>
      <c r="H1125" t="s">
        <v>207</v>
      </c>
      <c r="I1125" t="s">
        <v>226</v>
      </c>
      <c r="J1125" t="s">
        <v>246</v>
      </c>
      <c r="K1125" t="s">
        <v>259</v>
      </c>
      <c r="AK1125" t="s">
        <v>356</v>
      </c>
    </row>
    <row r="1126" spans="1:37">
      <c r="A1126" t="s">
        <v>38</v>
      </c>
      <c r="B1126" t="s">
        <v>50</v>
      </c>
      <c r="C1126" t="s">
        <v>74</v>
      </c>
      <c r="D1126" t="s">
        <v>95</v>
      </c>
      <c r="E1126" t="s">
        <v>113</v>
      </c>
      <c r="F1126" t="s">
        <v>147</v>
      </c>
      <c r="G1126" t="s">
        <v>173</v>
      </c>
      <c r="H1126" t="s">
        <v>208</v>
      </c>
      <c r="I1126" t="s">
        <v>227</v>
      </c>
      <c r="J1126" t="s">
        <v>115</v>
      </c>
      <c r="K1126" t="s">
        <v>260</v>
      </c>
      <c r="L1126" t="s">
        <v>273</v>
      </c>
      <c r="M1126" t="s">
        <v>282</v>
      </c>
      <c r="N1126" t="s">
        <v>291</v>
      </c>
      <c r="AK1126" t="s">
        <v>356</v>
      </c>
    </row>
    <row r="1127" spans="1:37">
      <c r="B1127" t="s">
        <v>51</v>
      </c>
      <c r="C1127" t="s">
        <v>75</v>
      </c>
      <c r="D1127" t="s">
        <v>52</v>
      </c>
      <c r="E1127" t="s">
        <v>114</v>
      </c>
      <c r="F1127" t="s">
        <v>148</v>
      </c>
      <c r="G1127" t="s">
        <v>148</v>
      </c>
      <c r="H1127" t="s">
        <v>209</v>
      </c>
      <c r="I1127" t="s">
        <v>228</v>
      </c>
      <c r="J1127" t="s">
        <v>247</v>
      </c>
      <c r="K1127" t="s">
        <v>261</v>
      </c>
      <c r="L1127" t="s">
        <v>274</v>
      </c>
      <c r="M1127" t="s">
        <v>283</v>
      </c>
      <c r="N1127" t="s">
        <v>292</v>
      </c>
      <c r="O1127" t="s">
        <v>300</v>
      </c>
      <c r="AK1127" t="s">
        <v>356</v>
      </c>
    </row>
    <row r="1128" spans="1:37">
      <c r="B1128" t="s">
        <v>52</v>
      </c>
      <c r="C1128" t="s">
        <v>76</v>
      </c>
      <c r="D1128" t="s">
        <v>96</v>
      </c>
      <c r="E1128" t="s">
        <v>115</v>
      </c>
      <c r="F1128" t="s">
        <v>149</v>
      </c>
      <c r="G1128" t="s">
        <v>174</v>
      </c>
      <c r="H1128" t="s">
        <v>96</v>
      </c>
      <c r="I1128" t="s">
        <v>229</v>
      </c>
      <c r="J1128" t="s">
        <v>248</v>
      </c>
      <c r="K1128" t="s">
        <v>262</v>
      </c>
      <c r="L1128" t="s">
        <v>52</v>
      </c>
      <c r="M1128" t="s">
        <v>76</v>
      </c>
      <c r="N1128" t="s">
        <v>293</v>
      </c>
      <c r="O1128" t="s">
        <v>301</v>
      </c>
      <c r="P1128" t="s">
        <v>309</v>
      </c>
      <c r="Q1128" t="s">
        <v>315</v>
      </c>
      <c r="R1128" t="s">
        <v>228</v>
      </c>
      <c r="S1128" t="s">
        <v>328</v>
      </c>
      <c r="T1128" t="s">
        <v>149</v>
      </c>
      <c r="U1128" t="s">
        <v>337</v>
      </c>
      <c r="V1128" t="s">
        <v>341</v>
      </c>
      <c r="W1128" t="s">
        <v>345</v>
      </c>
      <c r="X1128" t="s">
        <v>350</v>
      </c>
      <c r="AK1128" t="s">
        <v>356</v>
      </c>
    </row>
    <row r="1129" spans="1:37">
      <c r="B1129" t="s">
        <v>53</v>
      </c>
      <c r="C1129" t="s">
        <v>77</v>
      </c>
      <c r="D1129" t="s">
        <v>97</v>
      </c>
      <c r="E1129" t="s">
        <v>116</v>
      </c>
      <c r="F1129" t="s">
        <v>150</v>
      </c>
      <c r="G1129" t="s">
        <v>175</v>
      </c>
      <c r="H1129" t="s">
        <v>210</v>
      </c>
      <c r="I1129" t="s">
        <v>230</v>
      </c>
      <c r="J1129" t="s">
        <v>249</v>
      </c>
      <c r="K1129" t="s">
        <v>263</v>
      </c>
      <c r="L1129" t="s">
        <v>275</v>
      </c>
      <c r="M1129" t="s">
        <v>284</v>
      </c>
      <c r="N1129" t="s">
        <v>294</v>
      </c>
      <c r="O1129" t="s">
        <v>302</v>
      </c>
      <c r="P1129" t="s">
        <v>310</v>
      </c>
      <c r="Q1129" t="s">
        <v>316</v>
      </c>
      <c r="R1129" t="s">
        <v>322</v>
      </c>
      <c r="S1129" t="s">
        <v>329</v>
      </c>
      <c r="AK1129" t="s">
        <v>356</v>
      </c>
    </row>
    <row r="1130" spans="1:37">
      <c r="A1130" t="s">
        <v>39</v>
      </c>
      <c r="B1130" t="s">
        <v>54</v>
      </c>
      <c r="C1130" t="s">
        <v>54</v>
      </c>
      <c r="D1130" t="s">
        <v>54</v>
      </c>
      <c r="E1130" t="s">
        <v>54</v>
      </c>
      <c r="F1130" t="s">
        <v>54</v>
      </c>
      <c r="G1130" t="s">
        <v>54</v>
      </c>
      <c r="H1130" t="s">
        <v>54</v>
      </c>
      <c r="I1130" t="s">
        <v>54</v>
      </c>
      <c r="J1130" t="s">
        <v>54</v>
      </c>
      <c r="K1130" t="s">
        <v>54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 t="s">
        <v>323</v>
      </c>
      <c r="S1130" t="s">
        <v>330</v>
      </c>
      <c r="AK1130" t="s">
        <v>356</v>
      </c>
    </row>
    <row r="1131" spans="1:37">
      <c r="B1131" t="s">
        <v>55</v>
      </c>
      <c r="C1131" t="s">
        <v>78</v>
      </c>
      <c r="D1131" t="s">
        <v>55</v>
      </c>
      <c r="E1131" t="s">
        <v>78</v>
      </c>
      <c r="F1131" t="s">
        <v>55</v>
      </c>
      <c r="G1131" t="s">
        <v>78</v>
      </c>
      <c r="H1131" t="s">
        <v>55</v>
      </c>
      <c r="I1131" t="s">
        <v>78</v>
      </c>
      <c r="J1131" t="s">
        <v>55</v>
      </c>
      <c r="K1131" t="s">
        <v>78</v>
      </c>
      <c r="L1131" t="s">
        <v>55</v>
      </c>
      <c r="M1131" t="s">
        <v>78</v>
      </c>
      <c r="N1131" t="s">
        <v>55</v>
      </c>
      <c r="O1131" t="s">
        <v>78</v>
      </c>
      <c r="P1131" t="s">
        <v>55</v>
      </c>
      <c r="Q1131" t="s">
        <v>78</v>
      </c>
      <c r="R1131" t="s">
        <v>55</v>
      </c>
      <c r="S1131" t="s">
        <v>78</v>
      </c>
      <c r="T1131" t="s">
        <v>55</v>
      </c>
      <c r="U1131" t="s">
        <v>78</v>
      </c>
      <c r="V1131" t="s">
        <v>55</v>
      </c>
      <c r="W1131" t="s">
        <v>78</v>
      </c>
      <c r="X1131" t="s">
        <v>55</v>
      </c>
      <c r="Y1131" t="s">
        <v>78</v>
      </c>
      <c r="Z1131" t="s">
        <v>55</v>
      </c>
      <c r="AA1131" t="s">
        <v>78</v>
      </c>
      <c r="AB1131" t="s">
        <v>55</v>
      </c>
      <c r="AC1131" t="s">
        <v>78</v>
      </c>
      <c r="AD1131" t="s">
        <v>55</v>
      </c>
      <c r="AE1131" t="s">
        <v>78</v>
      </c>
      <c r="AF1131" t="s">
        <v>55</v>
      </c>
      <c r="AG1131" t="s">
        <v>78</v>
      </c>
      <c r="AH1131" t="s">
        <v>55</v>
      </c>
      <c r="AI1131" t="s">
        <v>78</v>
      </c>
      <c r="AK1131" t="s">
        <v>356</v>
      </c>
    </row>
    <row r="1132" spans="1:37">
      <c r="B1132" t="s">
        <v>56</v>
      </c>
      <c r="C1132" t="s">
        <v>56</v>
      </c>
      <c r="D1132" t="s">
        <v>56</v>
      </c>
      <c r="E1132" t="s">
        <v>56</v>
      </c>
      <c r="F1132" t="s">
        <v>56</v>
      </c>
      <c r="G1132" t="s">
        <v>176</v>
      </c>
      <c r="H1132" t="s">
        <v>211</v>
      </c>
      <c r="I1132" t="s">
        <v>231</v>
      </c>
      <c r="J1132" t="s">
        <v>250</v>
      </c>
      <c r="K1132" t="s">
        <v>264</v>
      </c>
      <c r="L1132" t="s">
        <v>276</v>
      </c>
      <c r="M1132" t="s">
        <v>285</v>
      </c>
      <c r="N1132" t="s">
        <v>295</v>
      </c>
      <c r="O1132" t="s">
        <v>303</v>
      </c>
      <c r="P1132" t="s">
        <v>56</v>
      </c>
      <c r="Q1132" t="s">
        <v>317</v>
      </c>
      <c r="R1132" t="s">
        <v>324</v>
      </c>
      <c r="S1132" t="s">
        <v>331</v>
      </c>
      <c r="T1132" t="s">
        <v>334</v>
      </c>
      <c r="U1132" t="s">
        <v>338</v>
      </c>
      <c r="V1132" t="s">
        <v>342</v>
      </c>
      <c r="W1132" t="s">
        <v>346</v>
      </c>
      <c r="X1132" t="s">
        <v>351</v>
      </c>
      <c r="AK1132" t="s">
        <v>356</v>
      </c>
    </row>
    <row r="1133" spans="1:37">
      <c r="B1133" t="s">
        <v>57</v>
      </c>
      <c r="C1133" t="s">
        <v>79</v>
      </c>
      <c r="D1133" t="s">
        <v>98</v>
      </c>
      <c r="E1133" t="s">
        <v>117</v>
      </c>
      <c r="F1133" t="s">
        <v>151</v>
      </c>
      <c r="G1133" t="s">
        <v>177</v>
      </c>
      <c r="H1133" t="s">
        <v>212</v>
      </c>
      <c r="I1133" t="s">
        <v>232</v>
      </c>
      <c r="J1133" t="s">
        <v>251</v>
      </c>
      <c r="K1133" t="s">
        <v>265</v>
      </c>
      <c r="L1133" t="s">
        <v>277</v>
      </c>
      <c r="M1133" t="s">
        <v>286</v>
      </c>
      <c r="N1133" t="s">
        <v>296</v>
      </c>
      <c r="O1133" t="s">
        <v>304</v>
      </c>
      <c r="P1133" t="s">
        <v>311</v>
      </c>
      <c r="Q1133" t="s">
        <v>318</v>
      </c>
      <c r="R1133" t="s">
        <v>185</v>
      </c>
      <c r="S1133" t="s">
        <v>159</v>
      </c>
      <c r="T1133" t="s">
        <v>185</v>
      </c>
      <c r="U1133" t="s">
        <v>339</v>
      </c>
      <c r="V1133" t="s">
        <v>72</v>
      </c>
      <c r="W1133" t="s">
        <v>347</v>
      </c>
      <c r="X1133" t="s">
        <v>72</v>
      </c>
      <c r="Y1133" t="s">
        <v>96</v>
      </c>
      <c r="AK1133" t="s">
        <v>356</v>
      </c>
    </row>
    <row r="1134" spans="1:37">
      <c r="B1134" t="s">
        <v>58</v>
      </c>
      <c r="C1134" t="s">
        <v>80</v>
      </c>
      <c r="D1134" t="s">
        <v>99</v>
      </c>
      <c r="E1134" t="s">
        <v>118</v>
      </c>
      <c r="F1134" t="s">
        <v>152</v>
      </c>
      <c r="G1134" t="s">
        <v>178</v>
      </c>
      <c r="H1134" t="s">
        <v>213</v>
      </c>
      <c r="I1134" t="s">
        <v>233</v>
      </c>
      <c r="J1134" t="s">
        <v>252</v>
      </c>
      <c r="K1134" t="s">
        <v>266</v>
      </c>
      <c r="L1134" t="s">
        <v>278</v>
      </c>
      <c r="M1134" t="s">
        <v>287</v>
      </c>
      <c r="N1134" t="s">
        <v>297</v>
      </c>
      <c r="O1134" t="s">
        <v>305</v>
      </c>
      <c r="P1134" t="s">
        <v>312</v>
      </c>
      <c r="Q1134" t="s">
        <v>319</v>
      </c>
      <c r="R1134">
        <f>&gt;10       ветра      0.9     22  22</f>
        <v>0</v>
      </c>
      <c r="AK1134" t="s">
        <v>356</v>
      </c>
    </row>
    <row r="1135" spans="1:37">
      <c r="A1135" t="s">
        <v>40</v>
      </c>
      <c r="B1135" t="s">
        <v>59</v>
      </c>
      <c r="C1135" t="s">
        <v>81</v>
      </c>
      <c r="D1135" t="s">
        <v>100</v>
      </c>
      <c r="E1135" t="s">
        <v>119</v>
      </c>
      <c r="F1135" t="s">
        <v>153</v>
      </c>
      <c r="G1135" t="s">
        <v>179</v>
      </c>
      <c r="H1135" t="s">
        <v>214</v>
      </c>
      <c r="I1135" t="s">
        <v>234</v>
      </c>
      <c r="AK1135" t="s">
        <v>356</v>
      </c>
    </row>
    <row r="1136" spans="1:37">
      <c r="A1136" t="s">
        <v>40</v>
      </c>
      <c r="B1136" t="s">
        <v>60</v>
      </c>
      <c r="C1136" t="s">
        <v>82</v>
      </c>
      <c r="D1136" t="s">
        <v>101</v>
      </c>
      <c r="E1136" t="s">
        <v>120</v>
      </c>
      <c r="F1136" t="s">
        <v>154</v>
      </c>
      <c r="G1136" t="s">
        <v>180</v>
      </c>
      <c r="H1136" t="s">
        <v>215</v>
      </c>
      <c r="I1136" t="s">
        <v>235</v>
      </c>
      <c r="J1136" t="s">
        <v>253</v>
      </c>
      <c r="K1136" t="s">
        <v>267</v>
      </c>
      <c r="L1136" t="s">
        <v>279</v>
      </c>
      <c r="M1136" t="s">
        <v>288</v>
      </c>
      <c r="N1136" t="s">
        <v>100</v>
      </c>
      <c r="O1136" t="s">
        <v>306</v>
      </c>
      <c r="P1136" t="s">
        <v>313</v>
      </c>
      <c r="Q1136" t="s">
        <v>320</v>
      </c>
      <c r="R1136" t="s">
        <v>325</v>
      </c>
      <c r="S1136" t="s">
        <v>332</v>
      </c>
      <c r="T1136" t="s">
        <v>119</v>
      </c>
      <c r="U1136" t="s">
        <v>234</v>
      </c>
      <c r="V1136" t="s">
        <v>343</v>
      </c>
      <c r="W1136" t="s">
        <v>348</v>
      </c>
      <c r="X1136" t="s">
        <v>352</v>
      </c>
      <c r="Y1136" t="s">
        <v>354</v>
      </c>
      <c r="AK1136" t="s">
        <v>356</v>
      </c>
    </row>
    <row r="1137" spans="1:37">
      <c r="A1137" t="s">
        <v>41</v>
      </c>
      <c r="B1137" t="s">
        <v>61</v>
      </c>
      <c r="C1137" t="s">
        <v>83</v>
      </c>
      <c r="D1137" t="s">
        <v>102</v>
      </c>
      <c r="E1137" t="s">
        <v>121</v>
      </c>
      <c r="F1137" t="s">
        <v>155</v>
      </c>
      <c r="G1137" t="s">
        <v>181</v>
      </c>
      <c r="H1137" t="s">
        <v>216</v>
      </c>
      <c r="I1137" t="s">
        <v>236</v>
      </c>
      <c r="AK1137" t="s">
        <v>356</v>
      </c>
    </row>
    <row r="1138" spans="1:37">
      <c r="A1138" t="s">
        <v>42</v>
      </c>
      <c r="B1138" t="s">
        <v>62</v>
      </c>
      <c r="C1138" t="s">
        <v>84</v>
      </c>
      <c r="D1138" t="s">
        <v>103</v>
      </c>
      <c r="E1138" t="s">
        <v>122</v>
      </c>
      <c r="F1138" t="s">
        <v>156</v>
      </c>
      <c r="G1138" t="s">
        <v>182</v>
      </c>
      <c r="H1138" t="s">
        <v>83</v>
      </c>
      <c r="I1138" t="s">
        <v>237</v>
      </c>
      <c r="J1138" t="s">
        <v>254</v>
      </c>
      <c r="K1138" t="s">
        <v>268</v>
      </c>
      <c r="L1138" t="s">
        <v>280</v>
      </c>
      <c r="M1138" t="s">
        <v>289</v>
      </c>
      <c r="N1138" t="s">
        <v>298</v>
      </c>
      <c r="O1138" t="s">
        <v>307</v>
      </c>
      <c r="P1138" t="s">
        <v>314</v>
      </c>
      <c r="Q1138" t="s">
        <v>216</v>
      </c>
      <c r="R1138" t="s">
        <v>326</v>
      </c>
      <c r="S1138" t="s">
        <v>333</v>
      </c>
      <c r="T1138" t="s">
        <v>335</v>
      </c>
      <c r="U1138" t="s">
        <v>340</v>
      </c>
      <c r="V1138" t="s">
        <v>344</v>
      </c>
      <c r="W1138" t="s">
        <v>349</v>
      </c>
      <c r="AK1138" t="s">
        <v>356</v>
      </c>
    </row>
    <row r="1139" spans="1:37">
      <c r="A1139" t="s">
        <v>43</v>
      </c>
      <c r="B1139" t="s">
        <v>63</v>
      </c>
      <c r="C1139" t="s">
        <v>85</v>
      </c>
      <c r="D1139" t="s">
        <v>104</v>
      </c>
      <c r="E1139" t="s">
        <v>123</v>
      </c>
      <c r="F1139" t="s">
        <v>157</v>
      </c>
      <c r="G1139" t="s">
        <v>183</v>
      </c>
      <c r="AK1139" t="s">
        <v>356</v>
      </c>
    </row>
    <row r="1140" spans="1:37">
      <c r="A1140" t="s">
        <v>44</v>
      </c>
      <c r="B1140" t="s">
        <v>64</v>
      </c>
      <c r="C1140" t="s">
        <v>86</v>
      </c>
      <c r="D1140" t="s">
        <v>105</v>
      </c>
      <c r="E1140" t="s">
        <v>124</v>
      </c>
      <c r="F1140" t="s">
        <v>158</v>
      </c>
      <c r="G1140" t="s">
        <v>184</v>
      </c>
      <c r="AK1140" t="s">
        <v>356</v>
      </c>
    </row>
    <row r="1141" spans="1:37">
      <c r="A1141" t="s">
        <v>45</v>
      </c>
      <c r="B1141" t="s">
        <v>65</v>
      </c>
      <c r="C1141" t="s">
        <v>87</v>
      </c>
      <c r="D1141" t="s">
        <v>106</v>
      </c>
      <c r="E1141" t="s">
        <v>125</v>
      </c>
      <c r="F1141" t="s">
        <v>159</v>
      </c>
      <c r="G1141" t="s">
        <v>185</v>
      </c>
      <c r="H1141" t="s">
        <v>159</v>
      </c>
      <c r="I1141" t="s">
        <v>185</v>
      </c>
      <c r="J1141" t="s">
        <v>255</v>
      </c>
      <c r="AK1141" t="s">
        <v>356</v>
      </c>
    </row>
    <row r="1142" spans="1:37">
      <c r="A1142" t="s">
        <v>46</v>
      </c>
      <c r="B1142" t="s">
        <v>66</v>
      </c>
      <c r="C1142" t="s">
        <v>88</v>
      </c>
      <c r="D1142" t="s">
        <v>76</v>
      </c>
      <c r="E1142" t="s">
        <v>126</v>
      </c>
      <c r="F1142" t="s">
        <v>160</v>
      </c>
      <c r="G1142" t="s">
        <v>186</v>
      </c>
      <c r="H1142" t="s">
        <v>217</v>
      </c>
      <c r="I1142" t="s">
        <v>238</v>
      </c>
      <c r="J1142" t="s">
        <v>256</v>
      </c>
      <c r="K1142" t="s">
        <v>265</v>
      </c>
      <c r="L1142" t="s">
        <v>281</v>
      </c>
      <c r="M1142" t="s">
        <v>290</v>
      </c>
      <c r="N1142" t="s">
        <v>299</v>
      </c>
      <c r="O1142" t="s">
        <v>308</v>
      </c>
      <c r="P1142" t="s">
        <v>228</v>
      </c>
      <c r="Q1142" t="s">
        <v>72</v>
      </c>
      <c r="R1142" t="s">
        <v>327</v>
      </c>
      <c r="S1142" t="s">
        <v>327</v>
      </c>
      <c r="T1142" t="s">
        <v>336</v>
      </c>
      <c r="U1142" t="s">
        <v>336</v>
      </c>
      <c r="V1142" t="s">
        <v>336</v>
      </c>
      <c r="W1142" t="s">
        <v>336</v>
      </c>
      <c r="X1142" t="s">
        <v>353</v>
      </c>
      <c r="AK1142" t="s">
        <v>356</v>
      </c>
    </row>
    <row r="1143" spans="1:37">
      <c r="A1143" t="s">
        <v>37</v>
      </c>
      <c r="B1143" t="s">
        <v>49</v>
      </c>
      <c r="C1143" t="s">
        <v>73</v>
      </c>
      <c r="D1143" t="s">
        <v>94</v>
      </c>
      <c r="E1143" t="s">
        <v>112</v>
      </c>
      <c r="F1143" t="s">
        <v>146</v>
      </c>
      <c r="G1143" t="s">
        <v>172</v>
      </c>
      <c r="H1143" t="s">
        <v>207</v>
      </c>
      <c r="I1143" t="s">
        <v>226</v>
      </c>
      <c r="J1143" t="s">
        <v>246</v>
      </c>
      <c r="K1143" t="s">
        <v>259</v>
      </c>
      <c r="AK1143" t="s">
        <v>356</v>
      </c>
    </row>
    <row r="1144" spans="1:37">
      <c r="A1144" t="s">
        <v>38</v>
      </c>
      <c r="B1144" t="s">
        <v>50</v>
      </c>
      <c r="C1144" t="s">
        <v>74</v>
      </c>
      <c r="D1144" t="s">
        <v>95</v>
      </c>
      <c r="E1144" t="s">
        <v>113</v>
      </c>
      <c r="F1144" t="s">
        <v>147</v>
      </c>
      <c r="G1144" t="s">
        <v>173</v>
      </c>
      <c r="H1144" t="s">
        <v>208</v>
      </c>
      <c r="I1144" t="s">
        <v>227</v>
      </c>
      <c r="J1144" t="s">
        <v>115</v>
      </c>
      <c r="K1144" t="s">
        <v>260</v>
      </c>
      <c r="L1144" t="s">
        <v>273</v>
      </c>
      <c r="M1144" t="s">
        <v>282</v>
      </c>
      <c r="N1144" t="s">
        <v>291</v>
      </c>
      <c r="AK1144" t="s">
        <v>356</v>
      </c>
    </row>
    <row r="1145" spans="1:37">
      <c r="B1145" t="s">
        <v>51</v>
      </c>
      <c r="C1145" t="s">
        <v>75</v>
      </c>
      <c r="D1145" t="s">
        <v>52</v>
      </c>
      <c r="E1145" t="s">
        <v>114</v>
      </c>
      <c r="F1145" t="s">
        <v>148</v>
      </c>
      <c r="G1145" t="s">
        <v>148</v>
      </c>
      <c r="H1145" t="s">
        <v>209</v>
      </c>
      <c r="I1145" t="s">
        <v>228</v>
      </c>
      <c r="J1145" t="s">
        <v>247</v>
      </c>
      <c r="K1145" t="s">
        <v>261</v>
      </c>
      <c r="L1145" t="s">
        <v>274</v>
      </c>
      <c r="M1145" t="s">
        <v>283</v>
      </c>
      <c r="N1145" t="s">
        <v>292</v>
      </c>
      <c r="O1145" t="s">
        <v>300</v>
      </c>
      <c r="AK1145" t="s">
        <v>356</v>
      </c>
    </row>
    <row r="1146" spans="1:37">
      <c r="B1146" t="s">
        <v>52</v>
      </c>
      <c r="C1146" t="s">
        <v>76</v>
      </c>
      <c r="D1146" t="s">
        <v>96</v>
      </c>
      <c r="E1146" t="s">
        <v>115</v>
      </c>
      <c r="F1146" t="s">
        <v>149</v>
      </c>
      <c r="G1146" t="s">
        <v>174</v>
      </c>
      <c r="H1146" t="s">
        <v>96</v>
      </c>
      <c r="I1146" t="s">
        <v>229</v>
      </c>
      <c r="J1146" t="s">
        <v>248</v>
      </c>
      <c r="K1146" t="s">
        <v>262</v>
      </c>
      <c r="L1146" t="s">
        <v>52</v>
      </c>
      <c r="M1146" t="s">
        <v>76</v>
      </c>
      <c r="N1146" t="s">
        <v>293</v>
      </c>
      <c r="O1146" t="s">
        <v>301</v>
      </c>
      <c r="P1146" t="s">
        <v>309</v>
      </c>
      <c r="Q1146" t="s">
        <v>315</v>
      </c>
      <c r="R1146" t="s">
        <v>228</v>
      </c>
      <c r="S1146" t="s">
        <v>328</v>
      </c>
      <c r="T1146" t="s">
        <v>149</v>
      </c>
      <c r="U1146" t="s">
        <v>337</v>
      </c>
      <c r="V1146" t="s">
        <v>341</v>
      </c>
      <c r="W1146" t="s">
        <v>345</v>
      </c>
      <c r="X1146" t="s">
        <v>350</v>
      </c>
      <c r="AK1146" t="s">
        <v>356</v>
      </c>
    </row>
    <row r="1147" spans="1:37">
      <c r="B1147" t="s">
        <v>53</v>
      </c>
      <c r="C1147" t="s">
        <v>77</v>
      </c>
      <c r="D1147" t="s">
        <v>97</v>
      </c>
      <c r="E1147" t="s">
        <v>116</v>
      </c>
      <c r="F1147" t="s">
        <v>150</v>
      </c>
      <c r="G1147" t="s">
        <v>175</v>
      </c>
      <c r="H1147" t="s">
        <v>210</v>
      </c>
      <c r="I1147" t="s">
        <v>230</v>
      </c>
      <c r="J1147" t="s">
        <v>249</v>
      </c>
      <c r="K1147" t="s">
        <v>263</v>
      </c>
      <c r="L1147" t="s">
        <v>275</v>
      </c>
      <c r="M1147" t="s">
        <v>284</v>
      </c>
      <c r="N1147" t="s">
        <v>294</v>
      </c>
      <c r="O1147" t="s">
        <v>302</v>
      </c>
      <c r="P1147" t="s">
        <v>310</v>
      </c>
      <c r="Q1147" t="s">
        <v>316</v>
      </c>
      <c r="R1147" t="s">
        <v>322</v>
      </c>
      <c r="S1147" t="s">
        <v>329</v>
      </c>
      <c r="AK1147" t="s">
        <v>356</v>
      </c>
    </row>
    <row r="1148" spans="1:37">
      <c r="A1148" t="s">
        <v>39</v>
      </c>
      <c r="B1148" t="s">
        <v>54</v>
      </c>
      <c r="C1148" t="s">
        <v>54</v>
      </c>
      <c r="D1148" t="s">
        <v>54</v>
      </c>
      <c r="E1148" t="s">
        <v>54</v>
      </c>
      <c r="F1148" t="s">
        <v>54</v>
      </c>
      <c r="G1148" t="s">
        <v>54</v>
      </c>
      <c r="H1148" t="s">
        <v>54</v>
      </c>
      <c r="I1148" t="s">
        <v>54</v>
      </c>
      <c r="J1148" t="s">
        <v>54</v>
      </c>
      <c r="K1148" t="s">
        <v>54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323</v>
      </c>
      <c r="S1148" t="s">
        <v>330</v>
      </c>
      <c r="AK1148" t="s">
        <v>356</v>
      </c>
    </row>
    <row r="1149" spans="1:37">
      <c r="B1149" t="s">
        <v>55</v>
      </c>
      <c r="C1149" t="s">
        <v>78</v>
      </c>
      <c r="D1149" t="s">
        <v>55</v>
      </c>
      <c r="E1149" t="s">
        <v>78</v>
      </c>
      <c r="F1149" t="s">
        <v>55</v>
      </c>
      <c r="G1149" t="s">
        <v>78</v>
      </c>
      <c r="H1149" t="s">
        <v>55</v>
      </c>
      <c r="I1149" t="s">
        <v>78</v>
      </c>
      <c r="J1149" t="s">
        <v>55</v>
      </c>
      <c r="K1149" t="s">
        <v>78</v>
      </c>
      <c r="L1149" t="s">
        <v>55</v>
      </c>
      <c r="M1149" t="s">
        <v>78</v>
      </c>
      <c r="N1149" t="s">
        <v>55</v>
      </c>
      <c r="O1149" t="s">
        <v>78</v>
      </c>
      <c r="P1149" t="s">
        <v>55</v>
      </c>
      <c r="Q1149" t="s">
        <v>78</v>
      </c>
      <c r="R1149" t="s">
        <v>55</v>
      </c>
      <c r="S1149" t="s">
        <v>78</v>
      </c>
      <c r="T1149" t="s">
        <v>55</v>
      </c>
      <c r="U1149" t="s">
        <v>78</v>
      </c>
      <c r="V1149" t="s">
        <v>55</v>
      </c>
      <c r="W1149" t="s">
        <v>78</v>
      </c>
      <c r="X1149" t="s">
        <v>55</v>
      </c>
      <c r="Y1149" t="s">
        <v>78</v>
      </c>
      <c r="Z1149" t="s">
        <v>55</v>
      </c>
      <c r="AA1149" t="s">
        <v>78</v>
      </c>
      <c r="AB1149" t="s">
        <v>55</v>
      </c>
      <c r="AC1149" t="s">
        <v>78</v>
      </c>
      <c r="AD1149" t="s">
        <v>55</v>
      </c>
      <c r="AE1149" t="s">
        <v>78</v>
      </c>
      <c r="AF1149" t="s">
        <v>55</v>
      </c>
      <c r="AG1149" t="s">
        <v>78</v>
      </c>
      <c r="AH1149" t="s">
        <v>55</v>
      </c>
      <c r="AI1149" t="s">
        <v>78</v>
      </c>
      <c r="AK1149" t="s">
        <v>356</v>
      </c>
    </row>
    <row r="1150" spans="1:37">
      <c r="B1150" t="s">
        <v>56</v>
      </c>
      <c r="C1150" t="s">
        <v>56</v>
      </c>
      <c r="D1150" t="s">
        <v>56</v>
      </c>
      <c r="E1150" t="s">
        <v>56</v>
      </c>
      <c r="F1150" t="s">
        <v>56</v>
      </c>
      <c r="G1150" t="s">
        <v>176</v>
      </c>
      <c r="H1150" t="s">
        <v>211</v>
      </c>
      <c r="I1150" t="s">
        <v>231</v>
      </c>
      <c r="J1150" t="s">
        <v>250</v>
      </c>
      <c r="K1150" t="s">
        <v>264</v>
      </c>
      <c r="L1150" t="s">
        <v>276</v>
      </c>
      <c r="M1150" t="s">
        <v>285</v>
      </c>
      <c r="N1150" t="s">
        <v>295</v>
      </c>
      <c r="O1150" t="s">
        <v>303</v>
      </c>
      <c r="P1150" t="s">
        <v>56</v>
      </c>
      <c r="Q1150" t="s">
        <v>317</v>
      </c>
      <c r="R1150" t="s">
        <v>324</v>
      </c>
      <c r="S1150" t="s">
        <v>331</v>
      </c>
      <c r="T1150" t="s">
        <v>334</v>
      </c>
      <c r="U1150" t="s">
        <v>338</v>
      </c>
      <c r="V1150" t="s">
        <v>342</v>
      </c>
      <c r="W1150" t="s">
        <v>346</v>
      </c>
      <c r="X1150" t="s">
        <v>351</v>
      </c>
      <c r="AK1150" t="s">
        <v>356</v>
      </c>
    </row>
    <row r="1151" spans="1:37">
      <c r="B1151" t="s">
        <v>57</v>
      </c>
      <c r="C1151" t="s">
        <v>79</v>
      </c>
      <c r="D1151" t="s">
        <v>98</v>
      </c>
      <c r="E1151" t="s">
        <v>117</v>
      </c>
      <c r="F1151" t="s">
        <v>151</v>
      </c>
      <c r="G1151" t="s">
        <v>177</v>
      </c>
      <c r="H1151" t="s">
        <v>212</v>
      </c>
      <c r="I1151" t="s">
        <v>232</v>
      </c>
      <c r="J1151" t="s">
        <v>251</v>
      </c>
      <c r="K1151" t="s">
        <v>265</v>
      </c>
      <c r="L1151" t="s">
        <v>277</v>
      </c>
      <c r="M1151" t="s">
        <v>286</v>
      </c>
      <c r="N1151" t="s">
        <v>296</v>
      </c>
      <c r="O1151" t="s">
        <v>304</v>
      </c>
      <c r="P1151" t="s">
        <v>311</v>
      </c>
      <c r="Q1151" t="s">
        <v>318</v>
      </c>
      <c r="R1151" t="s">
        <v>185</v>
      </c>
      <c r="S1151" t="s">
        <v>159</v>
      </c>
      <c r="T1151" t="s">
        <v>185</v>
      </c>
      <c r="U1151" t="s">
        <v>339</v>
      </c>
      <c r="V1151" t="s">
        <v>72</v>
      </c>
      <c r="W1151" t="s">
        <v>347</v>
      </c>
      <c r="X1151" t="s">
        <v>72</v>
      </c>
      <c r="Y1151" t="s">
        <v>96</v>
      </c>
      <c r="AK1151" t="s">
        <v>356</v>
      </c>
    </row>
    <row r="1152" spans="1:37">
      <c r="B1152" t="s">
        <v>58</v>
      </c>
      <c r="C1152" t="s">
        <v>80</v>
      </c>
      <c r="D1152" t="s">
        <v>99</v>
      </c>
      <c r="E1152" t="s">
        <v>118</v>
      </c>
      <c r="F1152" t="s">
        <v>152</v>
      </c>
      <c r="G1152" t="s">
        <v>178</v>
      </c>
      <c r="H1152" t="s">
        <v>213</v>
      </c>
      <c r="I1152" t="s">
        <v>233</v>
      </c>
      <c r="J1152" t="s">
        <v>252</v>
      </c>
      <c r="K1152" t="s">
        <v>266</v>
      </c>
      <c r="L1152" t="s">
        <v>278</v>
      </c>
      <c r="M1152" t="s">
        <v>287</v>
      </c>
      <c r="N1152" t="s">
        <v>297</v>
      </c>
      <c r="O1152" t="s">
        <v>305</v>
      </c>
      <c r="P1152" t="s">
        <v>312</v>
      </c>
      <c r="Q1152" t="s">
        <v>319</v>
      </c>
      <c r="R1152">
        <f>&gt;10       ветра      2.8     23  23</f>
        <v>0</v>
      </c>
      <c r="AK1152" t="s">
        <v>356</v>
      </c>
    </row>
    <row r="1153" spans="1:37">
      <c r="A1153" t="s">
        <v>40</v>
      </c>
      <c r="B1153" t="s">
        <v>59</v>
      </c>
      <c r="C1153" t="s">
        <v>81</v>
      </c>
      <c r="D1153" t="s">
        <v>100</v>
      </c>
      <c r="E1153" t="s">
        <v>119</v>
      </c>
      <c r="F1153" t="s">
        <v>153</v>
      </c>
      <c r="G1153" t="s">
        <v>179</v>
      </c>
      <c r="H1153" t="s">
        <v>214</v>
      </c>
      <c r="I1153" t="s">
        <v>234</v>
      </c>
      <c r="AK1153" t="s">
        <v>356</v>
      </c>
    </row>
    <row r="1154" spans="1:37">
      <c r="A1154" t="s">
        <v>40</v>
      </c>
      <c r="B1154" t="s">
        <v>60</v>
      </c>
      <c r="C1154" t="s">
        <v>82</v>
      </c>
      <c r="D1154" t="s">
        <v>101</v>
      </c>
      <c r="E1154" t="s">
        <v>120</v>
      </c>
      <c r="F1154" t="s">
        <v>154</v>
      </c>
      <c r="G1154" t="s">
        <v>180</v>
      </c>
      <c r="H1154" t="s">
        <v>215</v>
      </c>
      <c r="I1154" t="s">
        <v>235</v>
      </c>
      <c r="J1154" t="s">
        <v>253</v>
      </c>
      <c r="K1154" t="s">
        <v>267</v>
      </c>
      <c r="L1154" t="s">
        <v>279</v>
      </c>
      <c r="M1154" t="s">
        <v>288</v>
      </c>
      <c r="N1154" t="s">
        <v>100</v>
      </c>
      <c r="O1154" t="s">
        <v>306</v>
      </c>
      <c r="P1154" t="s">
        <v>313</v>
      </c>
      <c r="Q1154" t="s">
        <v>320</v>
      </c>
      <c r="R1154" t="s">
        <v>325</v>
      </c>
      <c r="S1154" t="s">
        <v>332</v>
      </c>
      <c r="T1154" t="s">
        <v>119</v>
      </c>
      <c r="U1154" t="s">
        <v>234</v>
      </c>
      <c r="V1154" t="s">
        <v>343</v>
      </c>
      <c r="W1154" t="s">
        <v>348</v>
      </c>
      <c r="X1154" t="s">
        <v>352</v>
      </c>
      <c r="Y1154" t="s">
        <v>354</v>
      </c>
      <c r="AK1154" t="s">
        <v>356</v>
      </c>
    </row>
    <row r="1155" spans="1:37">
      <c r="A1155" t="s">
        <v>41</v>
      </c>
      <c r="B1155" t="s">
        <v>61</v>
      </c>
      <c r="C1155" t="s">
        <v>83</v>
      </c>
      <c r="D1155" t="s">
        <v>102</v>
      </c>
      <c r="E1155" t="s">
        <v>121</v>
      </c>
      <c r="F1155" t="s">
        <v>155</v>
      </c>
      <c r="G1155" t="s">
        <v>181</v>
      </c>
      <c r="H1155" t="s">
        <v>216</v>
      </c>
      <c r="I1155" t="s">
        <v>236</v>
      </c>
      <c r="AK1155" t="s">
        <v>356</v>
      </c>
    </row>
    <row r="1156" spans="1:37">
      <c r="A1156" t="s">
        <v>42</v>
      </c>
      <c r="B1156" t="s">
        <v>62</v>
      </c>
      <c r="C1156" t="s">
        <v>84</v>
      </c>
      <c r="D1156" t="s">
        <v>103</v>
      </c>
      <c r="E1156" t="s">
        <v>122</v>
      </c>
      <c r="F1156" t="s">
        <v>156</v>
      </c>
      <c r="G1156" t="s">
        <v>182</v>
      </c>
      <c r="H1156" t="s">
        <v>83</v>
      </c>
      <c r="I1156" t="s">
        <v>237</v>
      </c>
      <c r="J1156" t="s">
        <v>254</v>
      </c>
      <c r="K1156" t="s">
        <v>268</v>
      </c>
      <c r="L1156" t="s">
        <v>280</v>
      </c>
      <c r="M1156" t="s">
        <v>289</v>
      </c>
      <c r="N1156" t="s">
        <v>298</v>
      </c>
      <c r="O1156" t="s">
        <v>307</v>
      </c>
      <c r="P1156" t="s">
        <v>314</v>
      </c>
      <c r="Q1156" t="s">
        <v>216</v>
      </c>
      <c r="R1156" t="s">
        <v>326</v>
      </c>
      <c r="S1156" t="s">
        <v>333</v>
      </c>
      <c r="T1156" t="s">
        <v>335</v>
      </c>
      <c r="U1156" t="s">
        <v>340</v>
      </c>
      <c r="V1156" t="s">
        <v>344</v>
      </c>
      <c r="W1156" t="s">
        <v>349</v>
      </c>
      <c r="AK1156" t="s">
        <v>356</v>
      </c>
    </row>
    <row r="1157" spans="1:37">
      <c r="A1157" t="s">
        <v>43</v>
      </c>
      <c r="B1157" t="s">
        <v>63</v>
      </c>
      <c r="C1157" t="s">
        <v>85</v>
      </c>
      <c r="D1157" t="s">
        <v>104</v>
      </c>
      <c r="E1157" t="s">
        <v>123</v>
      </c>
      <c r="F1157" t="s">
        <v>157</v>
      </c>
      <c r="G1157" t="s">
        <v>183</v>
      </c>
      <c r="AK1157" t="s">
        <v>356</v>
      </c>
    </row>
    <row r="1158" spans="1:37">
      <c r="A1158" t="s">
        <v>44</v>
      </c>
      <c r="B1158" t="s">
        <v>64</v>
      </c>
      <c r="C1158" t="s">
        <v>86</v>
      </c>
      <c r="D1158" t="s">
        <v>105</v>
      </c>
      <c r="E1158" t="s">
        <v>124</v>
      </c>
      <c r="F1158" t="s">
        <v>158</v>
      </c>
      <c r="G1158" t="s">
        <v>184</v>
      </c>
      <c r="AK1158" t="s">
        <v>356</v>
      </c>
    </row>
    <row r="1159" spans="1:37">
      <c r="A1159" t="s">
        <v>45</v>
      </c>
      <c r="B1159" t="s">
        <v>65</v>
      </c>
      <c r="C1159" t="s">
        <v>87</v>
      </c>
      <c r="D1159" t="s">
        <v>106</v>
      </c>
      <c r="E1159" t="s">
        <v>125</v>
      </c>
      <c r="F1159" t="s">
        <v>159</v>
      </c>
      <c r="G1159" t="s">
        <v>185</v>
      </c>
      <c r="H1159" t="s">
        <v>159</v>
      </c>
      <c r="I1159" t="s">
        <v>185</v>
      </c>
      <c r="J1159" t="s">
        <v>255</v>
      </c>
      <c r="AK1159" t="s">
        <v>356</v>
      </c>
    </row>
    <row r="1160" spans="1:37">
      <c r="A1160" t="s">
        <v>46</v>
      </c>
      <c r="B1160" t="s">
        <v>66</v>
      </c>
      <c r="C1160" t="s">
        <v>88</v>
      </c>
      <c r="D1160" t="s">
        <v>76</v>
      </c>
      <c r="E1160" t="s">
        <v>126</v>
      </c>
      <c r="F1160" t="s">
        <v>160</v>
      </c>
      <c r="G1160" t="s">
        <v>186</v>
      </c>
      <c r="H1160" t="s">
        <v>217</v>
      </c>
      <c r="I1160" t="s">
        <v>238</v>
      </c>
      <c r="J1160" t="s">
        <v>256</v>
      </c>
      <c r="K1160" t="s">
        <v>265</v>
      </c>
      <c r="L1160" t="s">
        <v>281</v>
      </c>
      <c r="M1160" t="s">
        <v>290</v>
      </c>
      <c r="N1160" t="s">
        <v>299</v>
      </c>
      <c r="O1160" t="s">
        <v>308</v>
      </c>
      <c r="P1160" t="s">
        <v>228</v>
      </c>
      <c r="Q1160" t="s">
        <v>72</v>
      </c>
      <c r="R1160" t="s">
        <v>327</v>
      </c>
      <c r="S1160" t="s">
        <v>327</v>
      </c>
      <c r="T1160" t="s">
        <v>336</v>
      </c>
      <c r="U1160" t="s">
        <v>336</v>
      </c>
      <c r="V1160" t="s">
        <v>336</v>
      </c>
      <c r="W1160" t="s">
        <v>336</v>
      </c>
      <c r="X1160" t="s">
        <v>353</v>
      </c>
      <c r="AK1160" t="s">
        <v>356</v>
      </c>
    </row>
    <row r="1161" spans="1:37">
      <c r="B1161" t="s">
        <v>67</v>
      </c>
      <c r="C1161" t="s">
        <v>89</v>
      </c>
      <c r="D1161" t="s">
        <v>107</v>
      </c>
      <c r="AK1161" t="s">
        <v>356</v>
      </c>
    </row>
    <row r="1162" spans="1:37">
      <c r="B1162" t="s">
        <v>68</v>
      </c>
      <c r="C1162" t="s">
        <v>90</v>
      </c>
      <c r="D1162" t="s">
        <v>108</v>
      </c>
      <c r="AK1162" t="s">
        <v>356</v>
      </c>
    </row>
    <row r="1163" spans="1:37">
      <c r="A1163" t="s">
        <v>47</v>
      </c>
      <c r="B1163" t="s">
        <v>69</v>
      </c>
      <c r="C1163" t="s">
        <v>91</v>
      </c>
      <c r="D1163" t="s">
        <v>109</v>
      </c>
      <c r="E1163" t="s">
        <v>109</v>
      </c>
      <c r="F1163" t="s">
        <v>109</v>
      </c>
      <c r="G1163" t="s">
        <v>109</v>
      </c>
      <c r="H1163" t="s">
        <v>109</v>
      </c>
      <c r="I1163" t="s">
        <v>239</v>
      </c>
      <c r="AK1163" t="s">
        <v>356</v>
      </c>
    </row>
    <row r="1164" spans="1:37">
      <c r="B1164" t="s">
        <v>70</v>
      </c>
      <c r="C1164" t="s">
        <v>92</v>
      </c>
      <c r="D1164" t="s">
        <v>110</v>
      </c>
      <c r="E1164" t="s">
        <v>127</v>
      </c>
      <c r="F1164" t="s">
        <v>161</v>
      </c>
      <c r="G1164" t="s">
        <v>187</v>
      </c>
      <c r="H1164" t="s">
        <v>218</v>
      </c>
      <c r="AK1164" t="s">
        <v>356</v>
      </c>
    </row>
    <row r="1165" spans="1:37">
      <c r="B1165" t="s">
        <v>71</v>
      </c>
      <c r="C1165" t="s">
        <v>93</v>
      </c>
      <c r="D1165" t="s">
        <v>111</v>
      </c>
      <c r="E1165" t="s">
        <v>128</v>
      </c>
      <c r="F1165" t="s">
        <v>162</v>
      </c>
      <c r="G1165" t="s">
        <v>188</v>
      </c>
      <c r="H1165" t="s">
        <v>219</v>
      </c>
      <c r="I1165" t="s">
        <v>240</v>
      </c>
      <c r="J1165" t="s">
        <v>257</v>
      </c>
      <c r="K1165" t="s">
        <v>269</v>
      </c>
      <c r="L1165" t="s">
        <v>109</v>
      </c>
      <c r="M1165" t="s">
        <v>109</v>
      </c>
      <c r="N1165" t="s">
        <v>109</v>
      </c>
      <c r="O1165" t="s">
        <v>109</v>
      </c>
      <c r="P1165" t="s">
        <v>109</v>
      </c>
      <c r="Q1165" t="s">
        <v>321</v>
      </c>
      <c r="AK1165" t="s">
        <v>356</v>
      </c>
    </row>
    <row r="1166" spans="1:37">
      <c r="A1166" t="s">
        <v>48</v>
      </c>
      <c r="B1166" t="s">
        <v>71</v>
      </c>
      <c r="C1166" t="s">
        <v>93</v>
      </c>
      <c r="D1166" t="s">
        <v>111</v>
      </c>
      <c r="E1166" t="s">
        <v>128</v>
      </c>
      <c r="F1166" t="s">
        <v>163</v>
      </c>
      <c r="G1166" t="s">
        <v>189</v>
      </c>
      <c r="H1166" t="s">
        <v>220</v>
      </c>
      <c r="I1166" t="s">
        <v>241</v>
      </c>
      <c r="J1166" t="s">
        <v>258</v>
      </c>
      <c r="K1166" t="s">
        <v>270</v>
      </c>
      <c r="AK1166" t="s">
        <v>356</v>
      </c>
    </row>
    <row r="1167" spans="1:37">
      <c r="B1167" t="s">
        <v>72</v>
      </c>
      <c r="C1167" t="s">
        <v>72</v>
      </c>
      <c r="D1167" t="s">
        <v>72</v>
      </c>
      <c r="E1167" t="s">
        <v>130</v>
      </c>
      <c r="F1167" t="s">
        <v>130</v>
      </c>
      <c r="G1167" t="s">
        <v>193</v>
      </c>
      <c r="H1167" t="s">
        <v>193</v>
      </c>
      <c r="I1167" t="s">
        <v>244</v>
      </c>
      <c r="J1167" t="s">
        <v>192</v>
      </c>
      <c r="K1167" t="s">
        <v>271</v>
      </c>
      <c r="AK1167" t="s">
        <v>356</v>
      </c>
    </row>
    <row r="1168" spans="1:37">
      <c r="A1168" t="s">
        <v>37</v>
      </c>
      <c r="B1168" t="s">
        <v>49</v>
      </c>
      <c r="C1168" t="s">
        <v>73</v>
      </c>
      <c r="D1168" t="s">
        <v>94</v>
      </c>
      <c r="E1168" t="s">
        <v>112</v>
      </c>
      <c r="F1168" t="s">
        <v>146</v>
      </c>
      <c r="G1168" t="s">
        <v>172</v>
      </c>
      <c r="H1168" t="s">
        <v>207</v>
      </c>
      <c r="I1168" t="s">
        <v>226</v>
      </c>
      <c r="J1168" t="s">
        <v>246</v>
      </c>
      <c r="K1168" t="s">
        <v>259</v>
      </c>
      <c r="AK1168" t="s">
        <v>356</v>
      </c>
    </row>
    <row r="1169" spans="1:37">
      <c r="A1169" t="s">
        <v>38</v>
      </c>
      <c r="B1169" t="s">
        <v>50</v>
      </c>
      <c r="C1169" t="s">
        <v>74</v>
      </c>
      <c r="D1169" t="s">
        <v>95</v>
      </c>
      <c r="E1169" t="s">
        <v>113</v>
      </c>
      <c r="F1169" t="s">
        <v>147</v>
      </c>
      <c r="G1169" t="s">
        <v>173</v>
      </c>
      <c r="H1169" t="s">
        <v>208</v>
      </c>
      <c r="I1169" t="s">
        <v>227</v>
      </c>
      <c r="J1169" t="s">
        <v>115</v>
      </c>
      <c r="K1169" t="s">
        <v>260</v>
      </c>
      <c r="L1169" t="s">
        <v>273</v>
      </c>
      <c r="M1169" t="s">
        <v>282</v>
      </c>
      <c r="N1169" t="s">
        <v>291</v>
      </c>
      <c r="AK1169" t="s">
        <v>356</v>
      </c>
    </row>
    <row r="1170" spans="1:37">
      <c r="B1170" t="s">
        <v>51</v>
      </c>
      <c r="C1170" t="s">
        <v>75</v>
      </c>
      <c r="D1170" t="s">
        <v>52</v>
      </c>
      <c r="E1170" t="s">
        <v>114</v>
      </c>
      <c r="F1170" t="s">
        <v>148</v>
      </c>
      <c r="G1170" t="s">
        <v>148</v>
      </c>
      <c r="H1170" t="s">
        <v>209</v>
      </c>
      <c r="I1170" t="s">
        <v>228</v>
      </c>
      <c r="J1170" t="s">
        <v>247</v>
      </c>
      <c r="K1170" t="s">
        <v>261</v>
      </c>
      <c r="L1170" t="s">
        <v>274</v>
      </c>
      <c r="M1170" t="s">
        <v>283</v>
      </c>
      <c r="N1170" t="s">
        <v>292</v>
      </c>
      <c r="O1170" t="s">
        <v>300</v>
      </c>
      <c r="AK1170" t="s">
        <v>356</v>
      </c>
    </row>
    <row r="1171" spans="1:37">
      <c r="B1171" t="s">
        <v>52</v>
      </c>
      <c r="C1171" t="s">
        <v>76</v>
      </c>
      <c r="D1171" t="s">
        <v>96</v>
      </c>
      <c r="E1171" t="s">
        <v>115</v>
      </c>
      <c r="F1171" t="s">
        <v>149</v>
      </c>
      <c r="G1171" t="s">
        <v>174</v>
      </c>
      <c r="H1171" t="s">
        <v>96</v>
      </c>
      <c r="I1171" t="s">
        <v>229</v>
      </c>
      <c r="J1171" t="s">
        <v>248</v>
      </c>
      <c r="K1171" t="s">
        <v>262</v>
      </c>
      <c r="L1171" t="s">
        <v>52</v>
      </c>
      <c r="M1171" t="s">
        <v>76</v>
      </c>
      <c r="N1171" t="s">
        <v>293</v>
      </c>
      <c r="O1171" t="s">
        <v>301</v>
      </c>
      <c r="P1171" t="s">
        <v>309</v>
      </c>
      <c r="Q1171" t="s">
        <v>315</v>
      </c>
      <c r="R1171" t="s">
        <v>228</v>
      </c>
      <c r="S1171" t="s">
        <v>328</v>
      </c>
      <c r="T1171" t="s">
        <v>149</v>
      </c>
      <c r="U1171" t="s">
        <v>337</v>
      </c>
      <c r="V1171" t="s">
        <v>341</v>
      </c>
      <c r="W1171" t="s">
        <v>345</v>
      </c>
      <c r="X1171" t="s">
        <v>350</v>
      </c>
      <c r="AK1171" t="s">
        <v>356</v>
      </c>
    </row>
    <row r="1172" spans="1:37">
      <c r="B1172" t="s">
        <v>53</v>
      </c>
      <c r="C1172" t="s">
        <v>77</v>
      </c>
      <c r="D1172" t="s">
        <v>97</v>
      </c>
      <c r="E1172" t="s">
        <v>116</v>
      </c>
      <c r="F1172" t="s">
        <v>150</v>
      </c>
      <c r="G1172" t="s">
        <v>175</v>
      </c>
      <c r="H1172" t="s">
        <v>210</v>
      </c>
      <c r="I1172" t="s">
        <v>230</v>
      </c>
      <c r="J1172" t="s">
        <v>249</v>
      </c>
      <c r="K1172" t="s">
        <v>263</v>
      </c>
      <c r="L1172" t="s">
        <v>275</v>
      </c>
      <c r="M1172" t="s">
        <v>284</v>
      </c>
      <c r="N1172" t="s">
        <v>294</v>
      </c>
      <c r="O1172" t="s">
        <v>302</v>
      </c>
      <c r="P1172" t="s">
        <v>310</v>
      </c>
      <c r="Q1172" t="s">
        <v>316</v>
      </c>
      <c r="R1172" t="s">
        <v>322</v>
      </c>
      <c r="S1172" t="s">
        <v>329</v>
      </c>
      <c r="AK1172" t="s">
        <v>356</v>
      </c>
    </row>
    <row r="1173" spans="1:37">
      <c r="A1173" t="s">
        <v>39</v>
      </c>
      <c r="B1173" t="s">
        <v>54</v>
      </c>
      <c r="C1173" t="s">
        <v>54</v>
      </c>
      <c r="D1173" t="s">
        <v>54</v>
      </c>
      <c r="E1173" t="s">
        <v>54</v>
      </c>
      <c r="F1173" t="s">
        <v>54</v>
      </c>
      <c r="G1173" t="s">
        <v>54</v>
      </c>
      <c r="H1173" t="s">
        <v>54</v>
      </c>
      <c r="I1173" t="s">
        <v>54</v>
      </c>
      <c r="J1173" t="s">
        <v>54</v>
      </c>
      <c r="K1173" t="s">
        <v>54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323</v>
      </c>
      <c r="S1173" t="s">
        <v>330</v>
      </c>
      <c r="AK1173" t="s">
        <v>356</v>
      </c>
    </row>
    <row r="1174" spans="1:37">
      <c r="B1174" t="s">
        <v>55</v>
      </c>
      <c r="C1174" t="s">
        <v>78</v>
      </c>
      <c r="D1174" t="s">
        <v>55</v>
      </c>
      <c r="E1174" t="s">
        <v>78</v>
      </c>
      <c r="F1174" t="s">
        <v>55</v>
      </c>
      <c r="G1174" t="s">
        <v>78</v>
      </c>
      <c r="H1174" t="s">
        <v>55</v>
      </c>
      <c r="I1174" t="s">
        <v>78</v>
      </c>
      <c r="J1174" t="s">
        <v>55</v>
      </c>
      <c r="K1174" t="s">
        <v>78</v>
      </c>
      <c r="L1174" t="s">
        <v>55</v>
      </c>
      <c r="M1174" t="s">
        <v>78</v>
      </c>
      <c r="N1174" t="s">
        <v>55</v>
      </c>
      <c r="O1174" t="s">
        <v>78</v>
      </c>
      <c r="P1174" t="s">
        <v>55</v>
      </c>
      <c r="Q1174" t="s">
        <v>78</v>
      </c>
      <c r="R1174" t="s">
        <v>55</v>
      </c>
      <c r="S1174" t="s">
        <v>78</v>
      </c>
      <c r="T1174" t="s">
        <v>55</v>
      </c>
      <c r="U1174" t="s">
        <v>78</v>
      </c>
      <c r="V1174" t="s">
        <v>55</v>
      </c>
      <c r="W1174" t="s">
        <v>78</v>
      </c>
      <c r="X1174" t="s">
        <v>55</v>
      </c>
      <c r="Y1174" t="s">
        <v>78</v>
      </c>
      <c r="Z1174" t="s">
        <v>55</v>
      </c>
      <c r="AA1174" t="s">
        <v>78</v>
      </c>
      <c r="AB1174" t="s">
        <v>55</v>
      </c>
      <c r="AC1174" t="s">
        <v>78</v>
      </c>
      <c r="AD1174" t="s">
        <v>55</v>
      </c>
      <c r="AE1174" t="s">
        <v>78</v>
      </c>
      <c r="AF1174" t="s">
        <v>55</v>
      </c>
      <c r="AG1174" t="s">
        <v>78</v>
      </c>
      <c r="AH1174" t="s">
        <v>55</v>
      </c>
      <c r="AI1174" t="s">
        <v>78</v>
      </c>
      <c r="AK1174" t="s">
        <v>356</v>
      </c>
    </row>
    <row r="1175" spans="1:37">
      <c r="B1175" t="s">
        <v>56</v>
      </c>
      <c r="C1175" t="s">
        <v>56</v>
      </c>
      <c r="D1175" t="s">
        <v>56</v>
      </c>
      <c r="E1175" t="s">
        <v>56</v>
      </c>
      <c r="F1175" t="s">
        <v>56</v>
      </c>
      <c r="G1175" t="s">
        <v>176</v>
      </c>
      <c r="H1175" t="s">
        <v>211</v>
      </c>
      <c r="I1175" t="s">
        <v>231</v>
      </c>
      <c r="J1175" t="s">
        <v>250</v>
      </c>
      <c r="K1175" t="s">
        <v>264</v>
      </c>
      <c r="L1175" t="s">
        <v>276</v>
      </c>
      <c r="M1175" t="s">
        <v>285</v>
      </c>
      <c r="N1175" t="s">
        <v>295</v>
      </c>
      <c r="O1175" t="s">
        <v>303</v>
      </c>
      <c r="P1175" t="s">
        <v>56</v>
      </c>
      <c r="Q1175" t="s">
        <v>317</v>
      </c>
      <c r="R1175" t="s">
        <v>324</v>
      </c>
      <c r="S1175" t="s">
        <v>331</v>
      </c>
      <c r="T1175" t="s">
        <v>334</v>
      </c>
      <c r="U1175" t="s">
        <v>338</v>
      </c>
      <c r="V1175" t="s">
        <v>342</v>
      </c>
      <c r="W1175" t="s">
        <v>346</v>
      </c>
      <c r="X1175" t="s">
        <v>351</v>
      </c>
      <c r="AK1175" t="s">
        <v>356</v>
      </c>
    </row>
    <row r="1176" spans="1:37">
      <c r="B1176" t="s">
        <v>57</v>
      </c>
      <c r="C1176" t="s">
        <v>79</v>
      </c>
      <c r="D1176" t="s">
        <v>98</v>
      </c>
      <c r="E1176" t="s">
        <v>117</v>
      </c>
      <c r="F1176" t="s">
        <v>151</v>
      </c>
      <c r="G1176" t="s">
        <v>177</v>
      </c>
      <c r="H1176" t="s">
        <v>212</v>
      </c>
      <c r="I1176" t="s">
        <v>232</v>
      </c>
      <c r="J1176" t="s">
        <v>251</v>
      </c>
      <c r="K1176" t="s">
        <v>265</v>
      </c>
      <c r="L1176" t="s">
        <v>277</v>
      </c>
      <c r="M1176" t="s">
        <v>286</v>
      </c>
      <c r="N1176" t="s">
        <v>296</v>
      </c>
      <c r="O1176" t="s">
        <v>304</v>
      </c>
      <c r="P1176" t="s">
        <v>311</v>
      </c>
      <c r="Q1176" t="s">
        <v>318</v>
      </c>
      <c r="R1176" t="s">
        <v>185</v>
      </c>
      <c r="S1176" t="s">
        <v>159</v>
      </c>
      <c r="T1176" t="s">
        <v>185</v>
      </c>
      <c r="U1176" t="s">
        <v>339</v>
      </c>
      <c r="V1176" t="s">
        <v>72</v>
      </c>
      <c r="W1176" t="s">
        <v>347</v>
      </c>
      <c r="X1176" t="s">
        <v>72</v>
      </c>
      <c r="Y1176" t="s">
        <v>96</v>
      </c>
      <c r="AK1176" t="s">
        <v>356</v>
      </c>
    </row>
    <row r="1177" spans="1:37">
      <c r="B1177" t="s">
        <v>58</v>
      </c>
      <c r="C1177" t="s">
        <v>80</v>
      </c>
      <c r="D1177" t="s">
        <v>99</v>
      </c>
      <c r="E1177" t="s">
        <v>118</v>
      </c>
      <c r="F1177" t="s">
        <v>152</v>
      </c>
      <c r="G1177" t="s">
        <v>178</v>
      </c>
      <c r="H1177" t="s">
        <v>213</v>
      </c>
      <c r="I1177" t="s">
        <v>233</v>
      </c>
      <c r="J1177" t="s">
        <v>252</v>
      </c>
      <c r="K1177" t="s">
        <v>266</v>
      </c>
      <c r="L1177" t="s">
        <v>278</v>
      </c>
      <c r="M1177" t="s">
        <v>287</v>
      </c>
      <c r="N1177" t="s">
        <v>297</v>
      </c>
      <c r="O1177" t="s">
        <v>305</v>
      </c>
      <c r="P1177" t="s">
        <v>312</v>
      </c>
      <c r="Q1177" t="s">
        <v>319</v>
      </c>
      <c r="R1177">
        <f>&gt;10       ветра      4.5     20  23</f>
        <v>0</v>
      </c>
      <c r="AK1177" t="s">
        <v>356</v>
      </c>
    </row>
    <row r="1178" spans="1:37">
      <c r="A1178" t="s">
        <v>40</v>
      </c>
      <c r="B1178" t="s">
        <v>59</v>
      </c>
      <c r="C1178" t="s">
        <v>81</v>
      </c>
      <c r="D1178" t="s">
        <v>100</v>
      </c>
      <c r="E1178" t="s">
        <v>119</v>
      </c>
      <c r="F1178" t="s">
        <v>153</v>
      </c>
      <c r="G1178" t="s">
        <v>179</v>
      </c>
      <c r="H1178" t="s">
        <v>214</v>
      </c>
      <c r="I1178" t="s">
        <v>234</v>
      </c>
      <c r="AK1178" t="s">
        <v>356</v>
      </c>
    </row>
    <row r="1179" spans="1:37">
      <c r="A1179" t="s">
        <v>40</v>
      </c>
      <c r="B1179" t="s">
        <v>60</v>
      </c>
      <c r="C1179" t="s">
        <v>82</v>
      </c>
      <c r="D1179" t="s">
        <v>101</v>
      </c>
      <c r="E1179" t="s">
        <v>120</v>
      </c>
      <c r="F1179" t="s">
        <v>154</v>
      </c>
      <c r="G1179" t="s">
        <v>180</v>
      </c>
      <c r="H1179" t="s">
        <v>215</v>
      </c>
      <c r="I1179" t="s">
        <v>235</v>
      </c>
      <c r="J1179" t="s">
        <v>253</v>
      </c>
      <c r="K1179" t="s">
        <v>267</v>
      </c>
      <c r="L1179" t="s">
        <v>279</v>
      </c>
      <c r="M1179" t="s">
        <v>288</v>
      </c>
      <c r="N1179" t="s">
        <v>100</v>
      </c>
      <c r="O1179" t="s">
        <v>306</v>
      </c>
      <c r="P1179" t="s">
        <v>313</v>
      </c>
      <c r="Q1179" t="s">
        <v>320</v>
      </c>
      <c r="R1179" t="s">
        <v>325</v>
      </c>
      <c r="S1179" t="s">
        <v>332</v>
      </c>
      <c r="T1179" t="s">
        <v>119</v>
      </c>
      <c r="U1179" t="s">
        <v>234</v>
      </c>
      <c r="V1179" t="s">
        <v>343</v>
      </c>
      <c r="W1179" t="s">
        <v>348</v>
      </c>
      <c r="X1179" t="s">
        <v>352</v>
      </c>
      <c r="Y1179" t="s">
        <v>354</v>
      </c>
      <c r="AK1179" t="s">
        <v>356</v>
      </c>
    </row>
    <row r="1180" spans="1:37">
      <c r="A1180" t="s">
        <v>41</v>
      </c>
      <c r="B1180" t="s">
        <v>61</v>
      </c>
      <c r="C1180" t="s">
        <v>83</v>
      </c>
      <c r="D1180" t="s">
        <v>102</v>
      </c>
      <c r="E1180" t="s">
        <v>121</v>
      </c>
      <c r="F1180" t="s">
        <v>155</v>
      </c>
      <c r="G1180" t="s">
        <v>181</v>
      </c>
      <c r="H1180" t="s">
        <v>216</v>
      </c>
      <c r="I1180" t="s">
        <v>236</v>
      </c>
      <c r="AK1180" t="s">
        <v>356</v>
      </c>
    </row>
    <row r="1181" spans="1:37">
      <c r="A1181" t="s">
        <v>42</v>
      </c>
      <c r="B1181" t="s">
        <v>62</v>
      </c>
      <c r="C1181" t="s">
        <v>84</v>
      </c>
      <c r="D1181" t="s">
        <v>103</v>
      </c>
      <c r="E1181" t="s">
        <v>122</v>
      </c>
      <c r="F1181" t="s">
        <v>156</v>
      </c>
      <c r="G1181" t="s">
        <v>182</v>
      </c>
      <c r="H1181" t="s">
        <v>83</v>
      </c>
      <c r="I1181" t="s">
        <v>237</v>
      </c>
      <c r="J1181" t="s">
        <v>254</v>
      </c>
      <c r="K1181" t="s">
        <v>268</v>
      </c>
      <c r="L1181" t="s">
        <v>280</v>
      </c>
      <c r="M1181" t="s">
        <v>289</v>
      </c>
      <c r="N1181" t="s">
        <v>298</v>
      </c>
      <c r="O1181" t="s">
        <v>307</v>
      </c>
      <c r="P1181" t="s">
        <v>314</v>
      </c>
      <c r="Q1181" t="s">
        <v>216</v>
      </c>
      <c r="R1181" t="s">
        <v>326</v>
      </c>
      <c r="S1181" t="s">
        <v>333</v>
      </c>
      <c r="T1181" t="s">
        <v>335</v>
      </c>
      <c r="U1181" t="s">
        <v>340</v>
      </c>
      <c r="V1181" t="s">
        <v>344</v>
      </c>
      <c r="W1181" t="s">
        <v>349</v>
      </c>
      <c r="AK1181" t="s">
        <v>356</v>
      </c>
    </row>
    <row r="1182" spans="1:37">
      <c r="A1182" t="s">
        <v>43</v>
      </c>
      <c r="B1182" t="s">
        <v>63</v>
      </c>
      <c r="C1182" t="s">
        <v>85</v>
      </c>
      <c r="D1182" t="s">
        <v>104</v>
      </c>
      <c r="E1182" t="s">
        <v>123</v>
      </c>
      <c r="F1182" t="s">
        <v>157</v>
      </c>
      <c r="G1182" t="s">
        <v>183</v>
      </c>
      <c r="AK1182" t="s">
        <v>356</v>
      </c>
    </row>
    <row r="1183" spans="1:37">
      <c r="A1183" t="s">
        <v>44</v>
      </c>
      <c r="B1183" t="s">
        <v>64</v>
      </c>
      <c r="C1183" t="s">
        <v>86</v>
      </c>
      <c r="D1183" t="s">
        <v>105</v>
      </c>
      <c r="E1183" t="s">
        <v>124</v>
      </c>
      <c r="F1183" t="s">
        <v>158</v>
      </c>
      <c r="G1183" t="s">
        <v>184</v>
      </c>
      <c r="AK1183" t="s">
        <v>356</v>
      </c>
    </row>
    <row r="1184" spans="1:37">
      <c r="A1184" t="s">
        <v>45</v>
      </c>
      <c r="B1184" t="s">
        <v>65</v>
      </c>
      <c r="C1184" t="s">
        <v>87</v>
      </c>
      <c r="D1184" t="s">
        <v>106</v>
      </c>
      <c r="E1184" t="s">
        <v>125</v>
      </c>
      <c r="F1184" t="s">
        <v>159</v>
      </c>
      <c r="G1184" t="s">
        <v>185</v>
      </c>
      <c r="H1184" t="s">
        <v>159</v>
      </c>
      <c r="I1184" t="s">
        <v>185</v>
      </c>
      <c r="J1184" t="s">
        <v>255</v>
      </c>
      <c r="AK1184" t="s">
        <v>356</v>
      </c>
    </row>
    <row r="1185" spans="1:37">
      <c r="A1185" t="s">
        <v>46</v>
      </c>
      <c r="B1185" t="s">
        <v>66</v>
      </c>
      <c r="C1185" t="s">
        <v>88</v>
      </c>
      <c r="D1185" t="s">
        <v>76</v>
      </c>
      <c r="E1185" t="s">
        <v>126</v>
      </c>
      <c r="F1185" t="s">
        <v>160</v>
      </c>
      <c r="G1185" t="s">
        <v>186</v>
      </c>
      <c r="H1185" t="s">
        <v>217</v>
      </c>
      <c r="I1185" t="s">
        <v>238</v>
      </c>
      <c r="J1185" t="s">
        <v>256</v>
      </c>
      <c r="K1185" t="s">
        <v>265</v>
      </c>
      <c r="L1185" t="s">
        <v>281</v>
      </c>
      <c r="M1185" t="s">
        <v>290</v>
      </c>
      <c r="N1185" t="s">
        <v>299</v>
      </c>
      <c r="O1185" t="s">
        <v>308</v>
      </c>
      <c r="P1185" t="s">
        <v>228</v>
      </c>
      <c r="Q1185" t="s">
        <v>72</v>
      </c>
      <c r="R1185" t="s">
        <v>327</v>
      </c>
      <c r="S1185" t="s">
        <v>327</v>
      </c>
      <c r="T1185" t="s">
        <v>336</v>
      </c>
      <c r="U1185" t="s">
        <v>336</v>
      </c>
      <c r="V1185" t="s">
        <v>336</v>
      </c>
      <c r="W1185" t="s">
        <v>336</v>
      </c>
      <c r="X1185" t="s">
        <v>353</v>
      </c>
      <c r="AK1185" t="s">
        <v>356</v>
      </c>
    </row>
    <row r="1186" spans="1:37">
      <c r="B1186" t="s">
        <v>67</v>
      </c>
      <c r="C1186" t="s">
        <v>89</v>
      </c>
      <c r="D1186" t="s">
        <v>107</v>
      </c>
      <c r="AK1186" t="s">
        <v>356</v>
      </c>
    </row>
    <row r="1187" spans="1:37">
      <c r="B1187" t="s">
        <v>68</v>
      </c>
      <c r="C1187" t="s">
        <v>90</v>
      </c>
      <c r="D1187" t="s">
        <v>108</v>
      </c>
      <c r="AK1187" t="s">
        <v>356</v>
      </c>
    </row>
    <row r="1188" spans="1:37">
      <c r="A1188" t="s">
        <v>47</v>
      </c>
      <c r="B1188" t="s">
        <v>69</v>
      </c>
      <c r="C1188" t="s">
        <v>91</v>
      </c>
      <c r="D1188" t="s">
        <v>109</v>
      </c>
      <c r="E1188" t="s">
        <v>109</v>
      </c>
      <c r="F1188" t="s">
        <v>109</v>
      </c>
      <c r="G1188" t="s">
        <v>109</v>
      </c>
      <c r="H1188" t="s">
        <v>109</v>
      </c>
      <c r="I1188" t="s">
        <v>239</v>
      </c>
      <c r="AK1188" t="s">
        <v>356</v>
      </c>
    </row>
    <row r="1189" spans="1:37">
      <c r="B1189" t="s">
        <v>70</v>
      </c>
      <c r="C1189" t="s">
        <v>92</v>
      </c>
      <c r="D1189" t="s">
        <v>110</v>
      </c>
      <c r="E1189" t="s">
        <v>127</v>
      </c>
      <c r="F1189" t="s">
        <v>161</v>
      </c>
      <c r="G1189" t="s">
        <v>187</v>
      </c>
      <c r="H1189" t="s">
        <v>218</v>
      </c>
      <c r="AK1189" t="s">
        <v>356</v>
      </c>
    </row>
    <row r="1190" spans="1:37">
      <c r="B1190" t="s">
        <v>71</v>
      </c>
      <c r="C1190" t="s">
        <v>93</v>
      </c>
      <c r="D1190" t="s">
        <v>111</v>
      </c>
      <c r="E1190" t="s">
        <v>128</v>
      </c>
      <c r="F1190" t="s">
        <v>162</v>
      </c>
      <c r="G1190" t="s">
        <v>188</v>
      </c>
      <c r="H1190" t="s">
        <v>219</v>
      </c>
      <c r="I1190" t="s">
        <v>240</v>
      </c>
      <c r="J1190" t="s">
        <v>257</v>
      </c>
      <c r="K1190" t="s">
        <v>269</v>
      </c>
      <c r="L1190" t="s">
        <v>109</v>
      </c>
      <c r="M1190" t="s">
        <v>109</v>
      </c>
      <c r="N1190" t="s">
        <v>109</v>
      </c>
      <c r="O1190" t="s">
        <v>109</v>
      </c>
      <c r="P1190" t="s">
        <v>109</v>
      </c>
      <c r="Q1190" t="s">
        <v>321</v>
      </c>
      <c r="AK1190" t="s">
        <v>356</v>
      </c>
    </row>
    <row r="1191" spans="1:37">
      <c r="A1191" t="s">
        <v>48</v>
      </c>
      <c r="B1191" t="s">
        <v>71</v>
      </c>
      <c r="C1191" t="s">
        <v>93</v>
      </c>
      <c r="D1191" t="s">
        <v>111</v>
      </c>
      <c r="E1191" t="s">
        <v>128</v>
      </c>
      <c r="F1191" t="s">
        <v>163</v>
      </c>
      <c r="G1191" t="s">
        <v>189</v>
      </c>
      <c r="H1191" t="s">
        <v>220</v>
      </c>
      <c r="I1191" t="s">
        <v>241</v>
      </c>
      <c r="J1191" t="s">
        <v>258</v>
      </c>
      <c r="K1191" t="s">
        <v>270</v>
      </c>
      <c r="AK1191" t="s">
        <v>356</v>
      </c>
    </row>
    <row r="1192" spans="1:37">
      <c r="B1192" t="s">
        <v>72</v>
      </c>
      <c r="C1192" t="s">
        <v>72</v>
      </c>
      <c r="D1192" t="s">
        <v>72</v>
      </c>
      <c r="E1192" t="s">
        <v>130</v>
      </c>
      <c r="F1192" t="s">
        <v>130</v>
      </c>
      <c r="G1192" t="s">
        <v>193</v>
      </c>
      <c r="H1192" t="s">
        <v>193</v>
      </c>
      <c r="I1192" t="s">
        <v>245</v>
      </c>
      <c r="J1192" t="s">
        <v>192</v>
      </c>
      <c r="K1192" t="s">
        <v>271</v>
      </c>
      <c r="AK1192" t="s">
        <v>356</v>
      </c>
    </row>
    <row r="1193" spans="1:37">
      <c r="A1193" t="s">
        <v>37</v>
      </c>
      <c r="B1193" t="s">
        <v>49</v>
      </c>
      <c r="C1193" t="s">
        <v>73</v>
      </c>
      <c r="D1193" t="s">
        <v>94</v>
      </c>
      <c r="E1193" t="s">
        <v>112</v>
      </c>
      <c r="F1193" t="s">
        <v>146</v>
      </c>
      <c r="G1193" t="s">
        <v>172</v>
      </c>
      <c r="H1193" t="s">
        <v>207</v>
      </c>
      <c r="I1193" t="s">
        <v>226</v>
      </c>
      <c r="J1193" t="s">
        <v>246</v>
      </c>
      <c r="K1193" t="s">
        <v>259</v>
      </c>
      <c r="AK1193" t="s">
        <v>356</v>
      </c>
    </row>
    <row r="1194" spans="1:37">
      <c r="A1194" t="s">
        <v>38</v>
      </c>
      <c r="B1194" t="s">
        <v>50</v>
      </c>
      <c r="C1194" t="s">
        <v>74</v>
      </c>
      <c r="D1194" t="s">
        <v>95</v>
      </c>
      <c r="E1194" t="s">
        <v>113</v>
      </c>
      <c r="F1194" t="s">
        <v>147</v>
      </c>
      <c r="G1194" t="s">
        <v>173</v>
      </c>
      <c r="H1194" t="s">
        <v>208</v>
      </c>
      <c r="I1194" t="s">
        <v>227</v>
      </c>
      <c r="J1194" t="s">
        <v>115</v>
      </c>
      <c r="K1194" t="s">
        <v>260</v>
      </c>
      <c r="L1194" t="s">
        <v>273</v>
      </c>
      <c r="M1194" t="s">
        <v>282</v>
      </c>
      <c r="N1194" t="s">
        <v>291</v>
      </c>
      <c r="AK1194" t="s">
        <v>356</v>
      </c>
    </row>
    <row r="1195" spans="1:37">
      <c r="B1195" t="s">
        <v>51</v>
      </c>
      <c r="C1195" t="s">
        <v>75</v>
      </c>
      <c r="D1195" t="s">
        <v>52</v>
      </c>
      <c r="E1195" t="s">
        <v>114</v>
      </c>
      <c r="F1195" t="s">
        <v>148</v>
      </c>
      <c r="G1195" t="s">
        <v>148</v>
      </c>
      <c r="H1195" t="s">
        <v>209</v>
      </c>
      <c r="I1195" t="s">
        <v>228</v>
      </c>
      <c r="J1195" t="s">
        <v>247</v>
      </c>
      <c r="K1195" t="s">
        <v>261</v>
      </c>
      <c r="L1195" t="s">
        <v>274</v>
      </c>
      <c r="M1195" t="s">
        <v>283</v>
      </c>
      <c r="N1195" t="s">
        <v>292</v>
      </c>
      <c r="O1195" t="s">
        <v>300</v>
      </c>
      <c r="AK1195" t="s">
        <v>356</v>
      </c>
    </row>
    <row r="1196" spans="1:37">
      <c r="B1196" t="s">
        <v>52</v>
      </c>
      <c r="C1196" t="s">
        <v>76</v>
      </c>
      <c r="D1196" t="s">
        <v>96</v>
      </c>
      <c r="E1196" t="s">
        <v>115</v>
      </c>
      <c r="F1196" t="s">
        <v>149</v>
      </c>
      <c r="G1196" t="s">
        <v>174</v>
      </c>
      <c r="H1196" t="s">
        <v>96</v>
      </c>
      <c r="I1196" t="s">
        <v>229</v>
      </c>
      <c r="J1196" t="s">
        <v>248</v>
      </c>
      <c r="K1196" t="s">
        <v>262</v>
      </c>
      <c r="L1196" t="s">
        <v>52</v>
      </c>
      <c r="M1196" t="s">
        <v>76</v>
      </c>
      <c r="N1196" t="s">
        <v>293</v>
      </c>
      <c r="O1196" t="s">
        <v>301</v>
      </c>
      <c r="P1196" t="s">
        <v>309</v>
      </c>
      <c r="Q1196" t="s">
        <v>315</v>
      </c>
      <c r="R1196" t="s">
        <v>228</v>
      </c>
      <c r="S1196" t="s">
        <v>328</v>
      </c>
      <c r="T1196" t="s">
        <v>149</v>
      </c>
      <c r="U1196" t="s">
        <v>337</v>
      </c>
      <c r="V1196" t="s">
        <v>341</v>
      </c>
      <c r="W1196" t="s">
        <v>345</v>
      </c>
      <c r="X1196" t="s">
        <v>350</v>
      </c>
      <c r="AK1196" t="s">
        <v>356</v>
      </c>
    </row>
    <row r="1197" spans="1:37">
      <c r="B1197" t="s">
        <v>53</v>
      </c>
      <c r="C1197" t="s">
        <v>77</v>
      </c>
      <c r="D1197" t="s">
        <v>97</v>
      </c>
      <c r="E1197" t="s">
        <v>116</v>
      </c>
      <c r="F1197" t="s">
        <v>150</v>
      </c>
      <c r="G1197" t="s">
        <v>175</v>
      </c>
      <c r="H1197" t="s">
        <v>210</v>
      </c>
      <c r="I1197" t="s">
        <v>230</v>
      </c>
      <c r="J1197" t="s">
        <v>249</v>
      </c>
      <c r="K1197" t="s">
        <v>263</v>
      </c>
      <c r="L1197" t="s">
        <v>275</v>
      </c>
      <c r="M1197" t="s">
        <v>284</v>
      </c>
      <c r="N1197" t="s">
        <v>294</v>
      </c>
      <c r="O1197" t="s">
        <v>302</v>
      </c>
      <c r="P1197" t="s">
        <v>310</v>
      </c>
      <c r="Q1197" t="s">
        <v>316</v>
      </c>
      <c r="R1197" t="s">
        <v>322</v>
      </c>
      <c r="S1197" t="s">
        <v>329</v>
      </c>
      <c r="AK1197" t="s">
        <v>356</v>
      </c>
    </row>
    <row r="1198" spans="1:37">
      <c r="A1198" t="s">
        <v>39</v>
      </c>
      <c r="B1198" t="s">
        <v>54</v>
      </c>
      <c r="C1198" t="s">
        <v>54</v>
      </c>
      <c r="D1198" t="s">
        <v>54</v>
      </c>
      <c r="E1198" t="s">
        <v>54</v>
      </c>
      <c r="F1198" t="s">
        <v>54</v>
      </c>
      <c r="G1198" t="s">
        <v>54</v>
      </c>
      <c r="H1198" t="s">
        <v>54</v>
      </c>
      <c r="I1198" t="s">
        <v>54</v>
      </c>
      <c r="J1198" t="s">
        <v>54</v>
      </c>
      <c r="K1198" t="s">
        <v>54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323</v>
      </c>
      <c r="S1198" t="s">
        <v>330</v>
      </c>
      <c r="AK1198" t="s">
        <v>356</v>
      </c>
    </row>
    <row r="1199" spans="1:37">
      <c r="B1199" t="s">
        <v>55</v>
      </c>
      <c r="C1199" t="s">
        <v>78</v>
      </c>
      <c r="D1199" t="s">
        <v>55</v>
      </c>
      <c r="E1199" t="s">
        <v>78</v>
      </c>
      <c r="F1199" t="s">
        <v>55</v>
      </c>
      <c r="G1199" t="s">
        <v>78</v>
      </c>
      <c r="H1199" t="s">
        <v>55</v>
      </c>
      <c r="I1199" t="s">
        <v>78</v>
      </c>
      <c r="J1199" t="s">
        <v>55</v>
      </c>
      <c r="K1199" t="s">
        <v>78</v>
      </c>
      <c r="L1199" t="s">
        <v>55</v>
      </c>
      <c r="M1199" t="s">
        <v>78</v>
      </c>
      <c r="N1199" t="s">
        <v>55</v>
      </c>
      <c r="O1199" t="s">
        <v>78</v>
      </c>
      <c r="P1199" t="s">
        <v>55</v>
      </c>
      <c r="Q1199" t="s">
        <v>78</v>
      </c>
      <c r="R1199" t="s">
        <v>55</v>
      </c>
      <c r="S1199" t="s">
        <v>78</v>
      </c>
      <c r="T1199" t="s">
        <v>55</v>
      </c>
      <c r="U1199" t="s">
        <v>78</v>
      </c>
      <c r="V1199" t="s">
        <v>55</v>
      </c>
      <c r="W1199" t="s">
        <v>78</v>
      </c>
      <c r="X1199" t="s">
        <v>55</v>
      </c>
      <c r="Y1199" t="s">
        <v>78</v>
      </c>
      <c r="Z1199" t="s">
        <v>55</v>
      </c>
      <c r="AA1199" t="s">
        <v>78</v>
      </c>
      <c r="AB1199" t="s">
        <v>55</v>
      </c>
      <c r="AC1199" t="s">
        <v>78</v>
      </c>
      <c r="AD1199" t="s">
        <v>55</v>
      </c>
      <c r="AE1199" t="s">
        <v>78</v>
      </c>
      <c r="AF1199" t="s">
        <v>55</v>
      </c>
      <c r="AG1199" t="s">
        <v>78</v>
      </c>
      <c r="AH1199" t="s">
        <v>55</v>
      </c>
      <c r="AI1199" t="s">
        <v>78</v>
      </c>
      <c r="AK1199" t="s">
        <v>356</v>
      </c>
    </row>
    <row r="1200" spans="1:37">
      <c r="B1200" t="s">
        <v>56</v>
      </c>
      <c r="C1200" t="s">
        <v>56</v>
      </c>
      <c r="D1200" t="s">
        <v>56</v>
      </c>
      <c r="E1200" t="s">
        <v>56</v>
      </c>
      <c r="F1200" t="s">
        <v>56</v>
      </c>
      <c r="G1200" t="s">
        <v>176</v>
      </c>
      <c r="H1200" t="s">
        <v>211</v>
      </c>
      <c r="I1200" t="s">
        <v>231</v>
      </c>
      <c r="J1200" t="s">
        <v>250</v>
      </c>
      <c r="K1200" t="s">
        <v>264</v>
      </c>
      <c r="L1200" t="s">
        <v>276</v>
      </c>
      <c r="M1200" t="s">
        <v>285</v>
      </c>
      <c r="N1200" t="s">
        <v>295</v>
      </c>
      <c r="O1200" t="s">
        <v>303</v>
      </c>
      <c r="P1200" t="s">
        <v>56</v>
      </c>
      <c r="Q1200" t="s">
        <v>317</v>
      </c>
      <c r="R1200" t="s">
        <v>324</v>
      </c>
      <c r="S1200" t="s">
        <v>331</v>
      </c>
      <c r="T1200" t="s">
        <v>334</v>
      </c>
      <c r="U1200" t="s">
        <v>338</v>
      </c>
      <c r="V1200" t="s">
        <v>342</v>
      </c>
      <c r="W1200" t="s">
        <v>346</v>
      </c>
      <c r="X1200" t="s">
        <v>351</v>
      </c>
      <c r="AK1200" t="s">
        <v>356</v>
      </c>
    </row>
    <row r="1201" spans="1:37">
      <c r="B1201" t="s">
        <v>57</v>
      </c>
      <c r="C1201" t="s">
        <v>79</v>
      </c>
      <c r="D1201" t="s">
        <v>98</v>
      </c>
      <c r="E1201" t="s">
        <v>117</v>
      </c>
      <c r="F1201" t="s">
        <v>151</v>
      </c>
      <c r="G1201" t="s">
        <v>177</v>
      </c>
      <c r="H1201" t="s">
        <v>212</v>
      </c>
      <c r="I1201" t="s">
        <v>232</v>
      </c>
      <c r="J1201" t="s">
        <v>251</v>
      </c>
      <c r="K1201" t="s">
        <v>265</v>
      </c>
      <c r="L1201" t="s">
        <v>277</v>
      </c>
      <c r="M1201" t="s">
        <v>286</v>
      </c>
      <c r="N1201" t="s">
        <v>296</v>
      </c>
      <c r="O1201" t="s">
        <v>304</v>
      </c>
      <c r="P1201" t="s">
        <v>311</v>
      </c>
      <c r="Q1201" t="s">
        <v>318</v>
      </c>
      <c r="R1201" t="s">
        <v>185</v>
      </c>
      <c r="S1201" t="s">
        <v>159</v>
      </c>
      <c r="T1201" t="s">
        <v>185</v>
      </c>
      <c r="U1201" t="s">
        <v>339</v>
      </c>
      <c r="V1201" t="s">
        <v>72</v>
      </c>
      <c r="W1201" t="s">
        <v>347</v>
      </c>
      <c r="X1201" t="s">
        <v>72</v>
      </c>
      <c r="Y1201" t="s">
        <v>96</v>
      </c>
      <c r="AK1201" t="s">
        <v>356</v>
      </c>
    </row>
    <row r="1202" spans="1:37">
      <c r="B1202" t="s">
        <v>58</v>
      </c>
      <c r="C1202" t="s">
        <v>80</v>
      </c>
      <c r="D1202" t="s">
        <v>99</v>
      </c>
      <c r="E1202" t="s">
        <v>118</v>
      </c>
      <c r="F1202" t="s">
        <v>152</v>
      </c>
      <c r="G1202" t="s">
        <v>178</v>
      </c>
      <c r="H1202" t="s">
        <v>213</v>
      </c>
      <c r="I1202" t="s">
        <v>233</v>
      </c>
      <c r="J1202" t="s">
        <v>252</v>
      </c>
      <c r="K1202" t="s">
        <v>266</v>
      </c>
      <c r="L1202" t="s">
        <v>278</v>
      </c>
      <c r="M1202" t="s">
        <v>287</v>
      </c>
      <c r="N1202" t="s">
        <v>297</v>
      </c>
      <c r="O1202" t="s">
        <v>305</v>
      </c>
      <c r="P1202" t="s">
        <v>312</v>
      </c>
      <c r="Q1202" t="s">
        <v>319</v>
      </c>
      <c r="R1202">
        <f>&gt;10       ветра      3.1     20  22</f>
        <v>0</v>
      </c>
      <c r="AK1202" t="s">
        <v>356</v>
      </c>
    </row>
    <row r="1203" spans="1:37">
      <c r="A1203" t="s">
        <v>40</v>
      </c>
      <c r="B1203" t="s">
        <v>59</v>
      </c>
      <c r="C1203" t="s">
        <v>81</v>
      </c>
      <c r="D1203" t="s">
        <v>100</v>
      </c>
      <c r="E1203" t="s">
        <v>119</v>
      </c>
      <c r="F1203" t="s">
        <v>153</v>
      </c>
      <c r="G1203" t="s">
        <v>179</v>
      </c>
      <c r="H1203" t="s">
        <v>214</v>
      </c>
      <c r="I1203" t="s">
        <v>234</v>
      </c>
      <c r="AK1203" t="s">
        <v>356</v>
      </c>
    </row>
    <row r="1204" spans="1:37">
      <c r="A1204" t="s">
        <v>40</v>
      </c>
      <c r="B1204" t="s">
        <v>60</v>
      </c>
      <c r="C1204" t="s">
        <v>82</v>
      </c>
      <c r="D1204" t="s">
        <v>101</v>
      </c>
      <c r="E1204" t="s">
        <v>120</v>
      </c>
      <c r="F1204" t="s">
        <v>154</v>
      </c>
      <c r="G1204" t="s">
        <v>180</v>
      </c>
      <c r="H1204" t="s">
        <v>215</v>
      </c>
      <c r="I1204" t="s">
        <v>235</v>
      </c>
      <c r="J1204" t="s">
        <v>253</v>
      </c>
      <c r="K1204" t="s">
        <v>267</v>
      </c>
      <c r="L1204" t="s">
        <v>279</v>
      </c>
      <c r="M1204" t="s">
        <v>288</v>
      </c>
      <c r="N1204" t="s">
        <v>100</v>
      </c>
      <c r="O1204" t="s">
        <v>306</v>
      </c>
      <c r="P1204" t="s">
        <v>313</v>
      </c>
      <c r="Q1204" t="s">
        <v>320</v>
      </c>
      <c r="R1204" t="s">
        <v>325</v>
      </c>
      <c r="S1204" t="s">
        <v>332</v>
      </c>
      <c r="T1204" t="s">
        <v>119</v>
      </c>
      <c r="U1204" t="s">
        <v>234</v>
      </c>
      <c r="V1204" t="s">
        <v>343</v>
      </c>
      <c r="W1204" t="s">
        <v>348</v>
      </c>
      <c r="X1204" t="s">
        <v>352</v>
      </c>
      <c r="Y1204" t="s">
        <v>354</v>
      </c>
      <c r="AK1204" t="s">
        <v>356</v>
      </c>
    </row>
    <row r="1205" spans="1:37">
      <c r="A1205" t="s">
        <v>41</v>
      </c>
      <c r="B1205" t="s">
        <v>61</v>
      </c>
      <c r="C1205" t="s">
        <v>83</v>
      </c>
      <c r="D1205" t="s">
        <v>102</v>
      </c>
      <c r="E1205" t="s">
        <v>121</v>
      </c>
      <c r="F1205" t="s">
        <v>155</v>
      </c>
      <c r="G1205" t="s">
        <v>181</v>
      </c>
      <c r="H1205" t="s">
        <v>216</v>
      </c>
      <c r="I1205" t="s">
        <v>236</v>
      </c>
      <c r="AK1205" t="s">
        <v>356</v>
      </c>
    </row>
    <row r="1206" spans="1:37">
      <c r="A1206" t="s">
        <v>42</v>
      </c>
      <c r="B1206" t="s">
        <v>62</v>
      </c>
      <c r="C1206" t="s">
        <v>84</v>
      </c>
      <c r="D1206" t="s">
        <v>103</v>
      </c>
      <c r="E1206" t="s">
        <v>122</v>
      </c>
      <c r="F1206" t="s">
        <v>156</v>
      </c>
      <c r="G1206" t="s">
        <v>182</v>
      </c>
      <c r="H1206" t="s">
        <v>83</v>
      </c>
      <c r="I1206" t="s">
        <v>237</v>
      </c>
      <c r="J1206" t="s">
        <v>254</v>
      </c>
      <c r="K1206" t="s">
        <v>268</v>
      </c>
      <c r="L1206" t="s">
        <v>280</v>
      </c>
      <c r="M1206" t="s">
        <v>289</v>
      </c>
      <c r="N1206" t="s">
        <v>298</v>
      </c>
      <c r="O1206" t="s">
        <v>307</v>
      </c>
      <c r="P1206" t="s">
        <v>314</v>
      </c>
      <c r="Q1206" t="s">
        <v>216</v>
      </c>
      <c r="R1206" t="s">
        <v>326</v>
      </c>
      <c r="S1206" t="s">
        <v>333</v>
      </c>
      <c r="T1206" t="s">
        <v>335</v>
      </c>
      <c r="U1206" t="s">
        <v>340</v>
      </c>
      <c r="V1206" t="s">
        <v>344</v>
      </c>
      <c r="W1206" t="s">
        <v>349</v>
      </c>
      <c r="AK1206" t="s">
        <v>356</v>
      </c>
    </row>
    <row r="1207" spans="1:37">
      <c r="A1207" t="s">
        <v>43</v>
      </c>
      <c r="B1207" t="s">
        <v>63</v>
      </c>
      <c r="C1207" t="s">
        <v>85</v>
      </c>
      <c r="D1207" t="s">
        <v>104</v>
      </c>
      <c r="E1207" t="s">
        <v>123</v>
      </c>
      <c r="F1207" t="s">
        <v>157</v>
      </c>
      <c r="G1207" t="s">
        <v>183</v>
      </c>
      <c r="AK1207" t="s">
        <v>356</v>
      </c>
    </row>
    <row r="1208" spans="1:37">
      <c r="A1208" t="s">
        <v>44</v>
      </c>
      <c r="B1208" t="s">
        <v>64</v>
      </c>
      <c r="C1208" t="s">
        <v>86</v>
      </c>
      <c r="D1208" t="s">
        <v>105</v>
      </c>
      <c r="E1208" t="s">
        <v>124</v>
      </c>
      <c r="F1208" t="s">
        <v>158</v>
      </c>
      <c r="G1208" t="s">
        <v>184</v>
      </c>
      <c r="AK1208" t="s">
        <v>356</v>
      </c>
    </row>
    <row r="1209" spans="1:37">
      <c r="A1209" t="s">
        <v>45</v>
      </c>
      <c r="B1209" t="s">
        <v>65</v>
      </c>
      <c r="C1209" t="s">
        <v>87</v>
      </c>
      <c r="D1209" t="s">
        <v>106</v>
      </c>
      <c r="E1209" t="s">
        <v>125</v>
      </c>
      <c r="F1209" t="s">
        <v>159</v>
      </c>
      <c r="G1209" t="s">
        <v>185</v>
      </c>
      <c r="H1209" t="s">
        <v>159</v>
      </c>
      <c r="I1209" t="s">
        <v>185</v>
      </c>
      <c r="J1209" t="s">
        <v>255</v>
      </c>
      <c r="AK1209" t="s">
        <v>356</v>
      </c>
    </row>
    <row r="1210" spans="1:37">
      <c r="A1210" t="s">
        <v>46</v>
      </c>
      <c r="B1210" t="s">
        <v>66</v>
      </c>
      <c r="C1210" t="s">
        <v>88</v>
      </c>
      <c r="D1210" t="s">
        <v>76</v>
      </c>
      <c r="E1210" t="s">
        <v>126</v>
      </c>
      <c r="F1210" t="s">
        <v>160</v>
      </c>
      <c r="G1210" t="s">
        <v>186</v>
      </c>
      <c r="H1210" t="s">
        <v>217</v>
      </c>
      <c r="I1210" t="s">
        <v>238</v>
      </c>
      <c r="J1210" t="s">
        <v>256</v>
      </c>
      <c r="K1210" t="s">
        <v>265</v>
      </c>
      <c r="L1210" t="s">
        <v>281</v>
      </c>
      <c r="M1210" t="s">
        <v>290</v>
      </c>
      <c r="N1210" t="s">
        <v>299</v>
      </c>
      <c r="O1210" t="s">
        <v>308</v>
      </c>
      <c r="P1210" t="s">
        <v>228</v>
      </c>
      <c r="Q1210" t="s">
        <v>72</v>
      </c>
      <c r="R1210" t="s">
        <v>327</v>
      </c>
      <c r="S1210" t="s">
        <v>327</v>
      </c>
      <c r="T1210" t="s">
        <v>336</v>
      </c>
      <c r="U1210" t="s">
        <v>336</v>
      </c>
      <c r="V1210" t="s">
        <v>336</v>
      </c>
      <c r="W1210" t="s">
        <v>336</v>
      </c>
      <c r="X1210" t="s">
        <v>353</v>
      </c>
      <c r="AK1210" t="s">
        <v>356</v>
      </c>
    </row>
    <row r="1211" spans="1:37">
      <c r="A1211" t="s">
        <v>37</v>
      </c>
      <c r="B1211" t="s">
        <v>49</v>
      </c>
      <c r="C1211" t="s">
        <v>73</v>
      </c>
      <c r="D1211" t="s">
        <v>94</v>
      </c>
      <c r="E1211" t="s">
        <v>112</v>
      </c>
      <c r="F1211" t="s">
        <v>146</v>
      </c>
      <c r="G1211" t="s">
        <v>172</v>
      </c>
      <c r="H1211" t="s">
        <v>207</v>
      </c>
      <c r="I1211" t="s">
        <v>226</v>
      </c>
      <c r="J1211" t="s">
        <v>246</v>
      </c>
      <c r="K1211" t="s">
        <v>259</v>
      </c>
      <c r="AK1211" t="s">
        <v>356</v>
      </c>
    </row>
    <row r="1212" spans="1:37">
      <c r="A1212" t="s">
        <v>38</v>
      </c>
      <c r="B1212" t="s">
        <v>50</v>
      </c>
      <c r="C1212" t="s">
        <v>74</v>
      </c>
      <c r="D1212" t="s">
        <v>95</v>
      </c>
      <c r="E1212" t="s">
        <v>113</v>
      </c>
      <c r="F1212" t="s">
        <v>147</v>
      </c>
      <c r="G1212" t="s">
        <v>173</v>
      </c>
      <c r="H1212" t="s">
        <v>208</v>
      </c>
      <c r="I1212" t="s">
        <v>227</v>
      </c>
      <c r="J1212" t="s">
        <v>115</v>
      </c>
      <c r="K1212" t="s">
        <v>260</v>
      </c>
      <c r="L1212" t="s">
        <v>273</v>
      </c>
      <c r="M1212" t="s">
        <v>282</v>
      </c>
      <c r="N1212" t="s">
        <v>291</v>
      </c>
      <c r="AK1212" t="s">
        <v>356</v>
      </c>
    </row>
    <row r="1213" spans="1:37">
      <c r="B1213" t="s">
        <v>51</v>
      </c>
      <c r="C1213" t="s">
        <v>75</v>
      </c>
      <c r="D1213" t="s">
        <v>52</v>
      </c>
      <c r="E1213" t="s">
        <v>114</v>
      </c>
      <c r="F1213" t="s">
        <v>148</v>
      </c>
      <c r="G1213" t="s">
        <v>148</v>
      </c>
      <c r="H1213" t="s">
        <v>209</v>
      </c>
      <c r="I1213" t="s">
        <v>228</v>
      </c>
      <c r="J1213" t="s">
        <v>247</v>
      </c>
      <c r="K1213" t="s">
        <v>261</v>
      </c>
      <c r="L1213" t="s">
        <v>274</v>
      </c>
      <c r="M1213" t="s">
        <v>283</v>
      </c>
      <c r="N1213" t="s">
        <v>292</v>
      </c>
      <c r="O1213" t="s">
        <v>300</v>
      </c>
      <c r="AK1213" t="s">
        <v>356</v>
      </c>
    </row>
    <row r="1214" spans="1:37">
      <c r="B1214" t="s">
        <v>52</v>
      </c>
      <c r="C1214" t="s">
        <v>76</v>
      </c>
      <c r="D1214" t="s">
        <v>96</v>
      </c>
      <c r="E1214" t="s">
        <v>115</v>
      </c>
      <c r="F1214" t="s">
        <v>149</v>
      </c>
      <c r="G1214" t="s">
        <v>174</v>
      </c>
      <c r="H1214" t="s">
        <v>96</v>
      </c>
      <c r="I1214" t="s">
        <v>229</v>
      </c>
      <c r="J1214" t="s">
        <v>248</v>
      </c>
      <c r="K1214" t="s">
        <v>262</v>
      </c>
      <c r="L1214" t="s">
        <v>52</v>
      </c>
      <c r="M1214" t="s">
        <v>76</v>
      </c>
      <c r="N1214" t="s">
        <v>293</v>
      </c>
      <c r="O1214" t="s">
        <v>301</v>
      </c>
      <c r="P1214" t="s">
        <v>309</v>
      </c>
      <c r="Q1214" t="s">
        <v>315</v>
      </c>
      <c r="R1214" t="s">
        <v>228</v>
      </c>
      <c r="S1214" t="s">
        <v>328</v>
      </c>
      <c r="T1214" t="s">
        <v>149</v>
      </c>
      <c r="U1214" t="s">
        <v>337</v>
      </c>
      <c r="V1214" t="s">
        <v>341</v>
      </c>
      <c r="W1214" t="s">
        <v>345</v>
      </c>
      <c r="X1214" t="s">
        <v>350</v>
      </c>
      <c r="AK1214" t="s">
        <v>356</v>
      </c>
    </row>
    <row r="1215" spans="1:37">
      <c r="B1215" t="s">
        <v>53</v>
      </c>
      <c r="C1215" t="s">
        <v>77</v>
      </c>
      <c r="D1215" t="s">
        <v>97</v>
      </c>
      <c r="E1215" t="s">
        <v>116</v>
      </c>
      <c r="F1215" t="s">
        <v>150</v>
      </c>
      <c r="G1215" t="s">
        <v>175</v>
      </c>
      <c r="H1215" t="s">
        <v>210</v>
      </c>
      <c r="I1215" t="s">
        <v>230</v>
      </c>
      <c r="J1215" t="s">
        <v>249</v>
      </c>
      <c r="K1215" t="s">
        <v>263</v>
      </c>
      <c r="L1215" t="s">
        <v>275</v>
      </c>
      <c r="M1215" t="s">
        <v>284</v>
      </c>
      <c r="N1215" t="s">
        <v>294</v>
      </c>
      <c r="O1215" t="s">
        <v>302</v>
      </c>
      <c r="P1215" t="s">
        <v>310</v>
      </c>
      <c r="Q1215" t="s">
        <v>316</v>
      </c>
      <c r="R1215" t="s">
        <v>322</v>
      </c>
      <c r="S1215" t="s">
        <v>329</v>
      </c>
      <c r="AK1215" t="s">
        <v>356</v>
      </c>
    </row>
    <row r="1216" spans="1:37">
      <c r="A1216" t="s">
        <v>39</v>
      </c>
      <c r="B1216" t="s">
        <v>54</v>
      </c>
      <c r="C1216" t="s">
        <v>54</v>
      </c>
      <c r="D1216" t="s">
        <v>54</v>
      </c>
      <c r="E1216" t="s">
        <v>54</v>
      </c>
      <c r="F1216" t="s">
        <v>54</v>
      </c>
      <c r="G1216" t="s">
        <v>54</v>
      </c>
      <c r="H1216" t="s">
        <v>54</v>
      </c>
      <c r="I1216" t="s">
        <v>54</v>
      </c>
      <c r="J1216" t="s">
        <v>54</v>
      </c>
      <c r="K1216" t="s">
        <v>54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323</v>
      </c>
      <c r="S1216" t="s">
        <v>330</v>
      </c>
      <c r="AK1216" t="s">
        <v>356</v>
      </c>
    </row>
    <row r="1217" spans="1:37">
      <c r="B1217" t="s">
        <v>55</v>
      </c>
      <c r="C1217" t="s">
        <v>78</v>
      </c>
      <c r="D1217" t="s">
        <v>55</v>
      </c>
      <c r="E1217" t="s">
        <v>78</v>
      </c>
      <c r="F1217" t="s">
        <v>55</v>
      </c>
      <c r="G1217" t="s">
        <v>78</v>
      </c>
      <c r="H1217" t="s">
        <v>55</v>
      </c>
      <c r="I1217" t="s">
        <v>78</v>
      </c>
      <c r="J1217" t="s">
        <v>55</v>
      </c>
      <c r="K1217" t="s">
        <v>78</v>
      </c>
      <c r="L1217" t="s">
        <v>55</v>
      </c>
      <c r="M1217" t="s">
        <v>78</v>
      </c>
      <c r="N1217" t="s">
        <v>55</v>
      </c>
      <c r="O1217" t="s">
        <v>78</v>
      </c>
      <c r="P1217" t="s">
        <v>55</v>
      </c>
      <c r="Q1217" t="s">
        <v>78</v>
      </c>
      <c r="R1217" t="s">
        <v>55</v>
      </c>
      <c r="S1217" t="s">
        <v>78</v>
      </c>
      <c r="T1217" t="s">
        <v>55</v>
      </c>
      <c r="U1217" t="s">
        <v>78</v>
      </c>
      <c r="V1217" t="s">
        <v>55</v>
      </c>
      <c r="W1217" t="s">
        <v>78</v>
      </c>
      <c r="X1217" t="s">
        <v>55</v>
      </c>
      <c r="Y1217" t="s">
        <v>78</v>
      </c>
      <c r="Z1217" t="s">
        <v>55</v>
      </c>
      <c r="AA1217" t="s">
        <v>78</v>
      </c>
      <c r="AB1217" t="s">
        <v>55</v>
      </c>
      <c r="AC1217" t="s">
        <v>78</v>
      </c>
      <c r="AD1217" t="s">
        <v>55</v>
      </c>
      <c r="AE1217" t="s">
        <v>78</v>
      </c>
      <c r="AF1217" t="s">
        <v>55</v>
      </c>
      <c r="AG1217" t="s">
        <v>78</v>
      </c>
      <c r="AH1217" t="s">
        <v>55</v>
      </c>
      <c r="AI1217" t="s">
        <v>78</v>
      </c>
      <c r="AK1217" t="s">
        <v>356</v>
      </c>
    </row>
    <row r="1218" spans="1:37">
      <c r="B1218" t="s">
        <v>56</v>
      </c>
      <c r="C1218" t="s">
        <v>56</v>
      </c>
      <c r="D1218" t="s">
        <v>56</v>
      </c>
      <c r="E1218" t="s">
        <v>56</v>
      </c>
      <c r="F1218" t="s">
        <v>56</v>
      </c>
      <c r="G1218" t="s">
        <v>176</v>
      </c>
      <c r="H1218" t="s">
        <v>211</v>
      </c>
      <c r="I1218" t="s">
        <v>231</v>
      </c>
      <c r="J1218" t="s">
        <v>250</v>
      </c>
      <c r="K1218" t="s">
        <v>264</v>
      </c>
      <c r="L1218" t="s">
        <v>276</v>
      </c>
      <c r="M1218" t="s">
        <v>285</v>
      </c>
      <c r="N1218" t="s">
        <v>295</v>
      </c>
      <c r="O1218" t="s">
        <v>303</v>
      </c>
      <c r="P1218" t="s">
        <v>56</v>
      </c>
      <c r="Q1218" t="s">
        <v>317</v>
      </c>
      <c r="R1218" t="s">
        <v>324</v>
      </c>
      <c r="S1218" t="s">
        <v>331</v>
      </c>
      <c r="T1218" t="s">
        <v>334</v>
      </c>
      <c r="U1218" t="s">
        <v>338</v>
      </c>
      <c r="V1218" t="s">
        <v>342</v>
      </c>
      <c r="W1218" t="s">
        <v>346</v>
      </c>
      <c r="X1218" t="s">
        <v>351</v>
      </c>
      <c r="AK1218" t="s">
        <v>356</v>
      </c>
    </row>
    <row r="1219" spans="1:37">
      <c r="B1219" t="s">
        <v>57</v>
      </c>
      <c r="C1219" t="s">
        <v>79</v>
      </c>
      <c r="D1219" t="s">
        <v>98</v>
      </c>
      <c r="E1219" t="s">
        <v>117</v>
      </c>
      <c r="F1219" t="s">
        <v>151</v>
      </c>
      <c r="G1219" t="s">
        <v>177</v>
      </c>
      <c r="H1219" t="s">
        <v>212</v>
      </c>
      <c r="I1219" t="s">
        <v>232</v>
      </c>
      <c r="J1219" t="s">
        <v>251</v>
      </c>
      <c r="K1219" t="s">
        <v>265</v>
      </c>
      <c r="L1219" t="s">
        <v>277</v>
      </c>
      <c r="M1219" t="s">
        <v>286</v>
      </c>
      <c r="N1219" t="s">
        <v>296</v>
      </c>
      <c r="O1219" t="s">
        <v>304</v>
      </c>
      <c r="P1219" t="s">
        <v>311</v>
      </c>
      <c r="Q1219" t="s">
        <v>318</v>
      </c>
      <c r="R1219" t="s">
        <v>185</v>
      </c>
      <c r="S1219" t="s">
        <v>159</v>
      </c>
      <c r="T1219" t="s">
        <v>185</v>
      </c>
      <c r="U1219" t="s">
        <v>339</v>
      </c>
      <c r="V1219" t="s">
        <v>72</v>
      </c>
      <c r="W1219" t="s">
        <v>347</v>
      </c>
      <c r="X1219" t="s">
        <v>72</v>
      </c>
      <c r="Y1219" t="s">
        <v>96</v>
      </c>
      <c r="AK1219" t="s">
        <v>356</v>
      </c>
    </row>
    <row r="1220" spans="1:37">
      <c r="B1220" t="s">
        <v>58</v>
      </c>
      <c r="C1220" t="s">
        <v>80</v>
      </c>
      <c r="D1220" t="s">
        <v>99</v>
      </c>
      <c r="E1220" t="s">
        <v>118</v>
      </c>
      <c r="F1220" t="s">
        <v>152</v>
      </c>
      <c r="G1220" t="s">
        <v>178</v>
      </c>
      <c r="H1220" t="s">
        <v>213</v>
      </c>
      <c r="I1220" t="s">
        <v>233</v>
      </c>
      <c r="J1220" t="s">
        <v>252</v>
      </c>
      <c r="K1220" t="s">
        <v>266</v>
      </c>
      <c r="L1220" t="s">
        <v>278</v>
      </c>
      <c r="M1220" t="s">
        <v>287</v>
      </c>
      <c r="N1220" t="s">
        <v>297</v>
      </c>
      <c r="O1220" t="s">
        <v>305</v>
      </c>
      <c r="P1220" t="s">
        <v>312</v>
      </c>
      <c r="Q1220" t="s">
        <v>319</v>
      </c>
      <c r="R1220">
        <f>&gt;10       ветра      0.9     14  22 26</f>
        <v>0</v>
      </c>
      <c r="AK1220" t="s">
        <v>356</v>
      </c>
    </row>
    <row r="1221" spans="1:37">
      <c r="A1221" t="s">
        <v>40</v>
      </c>
      <c r="B1221" t="s">
        <v>59</v>
      </c>
      <c r="C1221" t="s">
        <v>81</v>
      </c>
      <c r="D1221" t="s">
        <v>100</v>
      </c>
      <c r="E1221" t="s">
        <v>119</v>
      </c>
      <c r="F1221" t="s">
        <v>153</v>
      </c>
      <c r="G1221" t="s">
        <v>179</v>
      </c>
      <c r="H1221" t="s">
        <v>214</v>
      </c>
      <c r="I1221" t="s">
        <v>234</v>
      </c>
      <c r="AK1221" t="s">
        <v>356</v>
      </c>
    </row>
    <row r="1222" spans="1:37">
      <c r="A1222" t="s">
        <v>40</v>
      </c>
      <c r="B1222" t="s">
        <v>60</v>
      </c>
      <c r="C1222" t="s">
        <v>82</v>
      </c>
      <c r="D1222" t="s">
        <v>101</v>
      </c>
      <c r="E1222" t="s">
        <v>120</v>
      </c>
      <c r="F1222" t="s">
        <v>154</v>
      </c>
      <c r="G1222" t="s">
        <v>180</v>
      </c>
      <c r="H1222" t="s">
        <v>215</v>
      </c>
      <c r="I1222" t="s">
        <v>235</v>
      </c>
      <c r="J1222" t="s">
        <v>253</v>
      </c>
      <c r="K1222" t="s">
        <v>267</v>
      </c>
      <c r="L1222" t="s">
        <v>279</v>
      </c>
      <c r="M1222" t="s">
        <v>288</v>
      </c>
      <c r="N1222" t="s">
        <v>100</v>
      </c>
      <c r="O1222" t="s">
        <v>306</v>
      </c>
      <c r="P1222" t="s">
        <v>313</v>
      </c>
      <c r="Q1222" t="s">
        <v>320</v>
      </c>
      <c r="R1222" t="s">
        <v>325</v>
      </c>
      <c r="S1222" t="s">
        <v>332</v>
      </c>
      <c r="T1222" t="s">
        <v>119</v>
      </c>
      <c r="U1222" t="s">
        <v>234</v>
      </c>
      <c r="V1222" t="s">
        <v>343</v>
      </c>
      <c r="W1222" t="s">
        <v>348</v>
      </c>
      <c r="X1222" t="s">
        <v>352</v>
      </c>
      <c r="Y1222" t="s">
        <v>354</v>
      </c>
      <c r="AK1222" t="s">
        <v>356</v>
      </c>
    </row>
    <row r="1223" spans="1:37">
      <c r="A1223" t="s">
        <v>41</v>
      </c>
      <c r="B1223" t="s">
        <v>61</v>
      </c>
      <c r="C1223" t="s">
        <v>83</v>
      </c>
      <c r="D1223" t="s">
        <v>102</v>
      </c>
      <c r="E1223" t="s">
        <v>121</v>
      </c>
      <c r="F1223" t="s">
        <v>155</v>
      </c>
      <c r="G1223" t="s">
        <v>181</v>
      </c>
      <c r="H1223" t="s">
        <v>216</v>
      </c>
      <c r="I1223" t="s">
        <v>236</v>
      </c>
      <c r="AK1223" t="s">
        <v>356</v>
      </c>
    </row>
    <row r="1224" spans="1:37">
      <c r="A1224" t="s">
        <v>42</v>
      </c>
      <c r="B1224" t="s">
        <v>62</v>
      </c>
      <c r="C1224" t="s">
        <v>84</v>
      </c>
      <c r="D1224" t="s">
        <v>103</v>
      </c>
      <c r="E1224" t="s">
        <v>122</v>
      </c>
      <c r="F1224" t="s">
        <v>156</v>
      </c>
      <c r="G1224" t="s">
        <v>182</v>
      </c>
      <c r="H1224" t="s">
        <v>83</v>
      </c>
      <c r="I1224" t="s">
        <v>237</v>
      </c>
      <c r="J1224" t="s">
        <v>254</v>
      </c>
      <c r="K1224" t="s">
        <v>268</v>
      </c>
      <c r="L1224" t="s">
        <v>280</v>
      </c>
      <c r="M1224" t="s">
        <v>289</v>
      </c>
      <c r="N1224" t="s">
        <v>298</v>
      </c>
      <c r="O1224" t="s">
        <v>307</v>
      </c>
      <c r="P1224" t="s">
        <v>314</v>
      </c>
      <c r="Q1224" t="s">
        <v>216</v>
      </c>
      <c r="R1224" t="s">
        <v>326</v>
      </c>
      <c r="S1224" t="s">
        <v>333</v>
      </c>
      <c r="T1224" t="s">
        <v>335</v>
      </c>
      <c r="U1224" t="s">
        <v>340</v>
      </c>
      <c r="V1224" t="s">
        <v>344</v>
      </c>
      <c r="W1224" t="s">
        <v>349</v>
      </c>
      <c r="AK1224" t="s">
        <v>356</v>
      </c>
    </row>
    <row r="1225" spans="1:37">
      <c r="A1225" t="s">
        <v>43</v>
      </c>
      <c r="B1225" t="s">
        <v>63</v>
      </c>
      <c r="C1225" t="s">
        <v>85</v>
      </c>
      <c r="D1225" t="s">
        <v>104</v>
      </c>
      <c r="E1225" t="s">
        <v>123</v>
      </c>
      <c r="F1225" t="s">
        <v>157</v>
      </c>
      <c r="G1225" t="s">
        <v>183</v>
      </c>
      <c r="AK1225" t="s">
        <v>356</v>
      </c>
    </row>
    <row r="1226" spans="1:37">
      <c r="A1226" t="s">
        <v>44</v>
      </c>
      <c r="B1226" t="s">
        <v>64</v>
      </c>
      <c r="C1226" t="s">
        <v>86</v>
      </c>
      <c r="D1226" t="s">
        <v>105</v>
      </c>
      <c r="E1226" t="s">
        <v>124</v>
      </c>
      <c r="F1226" t="s">
        <v>158</v>
      </c>
      <c r="G1226" t="s">
        <v>184</v>
      </c>
      <c r="AK1226" t="s">
        <v>356</v>
      </c>
    </row>
    <row r="1227" spans="1:37">
      <c r="A1227" t="s">
        <v>45</v>
      </c>
      <c r="B1227" t="s">
        <v>65</v>
      </c>
      <c r="C1227" t="s">
        <v>87</v>
      </c>
      <c r="D1227" t="s">
        <v>106</v>
      </c>
      <c r="E1227" t="s">
        <v>125</v>
      </c>
      <c r="F1227" t="s">
        <v>159</v>
      </c>
      <c r="G1227" t="s">
        <v>185</v>
      </c>
      <c r="H1227" t="s">
        <v>159</v>
      </c>
      <c r="I1227" t="s">
        <v>185</v>
      </c>
      <c r="J1227" t="s">
        <v>255</v>
      </c>
      <c r="AK1227" t="s">
        <v>356</v>
      </c>
    </row>
    <row r="1228" spans="1:37">
      <c r="A1228" t="s">
        <v>46</v>
      </c>
      <c r="B1228" t="s">
        <v>66</v>
      </c>
      <c r="C1228" t="s">
        <v>88</v>
      </c>
      <c r="D1228" t="s">
        <v>76</v>
      </c>
      <c r="E1228" t="s">
        <v>126</v>
      </c>
      <c r="F1228" t="s">
        <v>160</v>
      </c>
      <c r="G1228" t="s">
        <v>186</v>
      </c>
      <c r="H1228" t="s">
        <v>217</v>
      </c>
      <c r="I1228" t="s">
        <v>238</v>
      </c>
      <c r="J1228" t="s">
        <v>256</v>
      </c>
      <c r="K1228" t="s">
        <v>265</v>
      </c>
      <c r="L1228" t="s">
        <v>281</v>
      </c>
      <c r="M1228" t="s">
        <v>290</v>
      </c>
      <c r="N1228" t="s">
        <v>299</v>
      </c>
      <c r="O1228" t="s">
        <v>308</v>
      </c>
      <c r="P1228" t="s">
        <v>228</v>
      </c>
      <c r="Q1228" t="s">
        <v>72</v>
      </c>
      <c r="R1228" t="s">
        <v>327</v>
      </c>
      <c r="S1228" t="s">
        <v>327</v>
      </c>
      <c r="T1228" t="s">
        <v>336</v>
      </c>
      <c r="U1228" t="s">
        <v>336</v>
      </c>
      <c r="V1228" t="s">
        <v>336</v>
      </c>
      <c r="W1228" t="s">
        <v>336</v>
      </c>
      <c r="X1228" t="s">
        <v>353</v>
      </c>
      <c r="AK1228" t="s">
        <v>356</v>
      </c>
    </row>
    <row r="1229" spans="1:37">
      <c r="A1229" t="s">
        <v>37</v>
      </c>
      <c r="B1229" t="s">
        <v>49</v>
      </c>
      <c r="C1229" t="s">
        <v>73</v>
      </c>
      <c r="D1229" t="s">
        <v>94</v>
      </c>
      <c r="E1229" t="s">
        <v>112</v>
      </c>
      <c r="F1229" t="s">
        <v>146</v>
      </c>
      <c r="G1229" t="s">
        <v>172</v>
      </c>
      <c r="H1229" t="s">
        <v>207</v>
      </c>
      <c r="I1229" t="s">
        <v>226</v>
      </c>
      <c r="J1229" t="s">
        <v>246</v>
      </c>
      <c r="K1229" t="s">
        <v>259</v>
      </c>
      <c r="AK1229" t="s">
        <v>356</v>
      </c>
    </row>
    <row r="1230" spans="1:37">
      <c r="A1230" t="s">
        <v>38</v>
      </c>
      <c r="B1230" t="s">
        <v>50</v>
      </c>
      <c r="C1230" t="s">
        <v>74</v>
      </c>
      <c r="D1230" t="s">
        <v>95</v>
      </c>
      <c r="E1230" t="s">
        <v>113</v>
      </c>
      <c r="F1230" t="s">
        <v>147</v>
      </c>
      <c r="G1230" t="s">
        <v>173</v>
      </c>
      <c r="H1230" t="s">
        <v>208</v>
      </c>
      <c r="I1230" t="s">
        <v>227</v>
      </c>
      <c r="J1230" t="s">
        <v>115</v>
      </c>
      <c r="K1230" t="s">
        <v>260</v>
      </c>
      <c r="L1230" t="s">
        <v>273</v>
      </c>
      <c r="M1230" t="s">
        <v>282</v>
      </c>
      <c r="N1230" t="s">
        <v>291</v>
      </c>
      <c r="AK1230" t="s">
        <v>356</v>
      </c>
    </row>
    <row r="1231" spans="1:37">
      <c r="B1231" t="s">
        <v>51</v>
      </c>
      <c r="C1231" t="s">
        <v>75</v>
      </c>
      <c r="D1231" t="s">
        <v>52</v>
      </c>
      <c r="E1231" t="s">
        <v>114</v>
      </c>
      <c r="F1231" t="s">
        <v>148</v>
      </c>
      <c r="G1231" t="s">
        <v>148</v>
      </c>
      <c r="H1231" t="s">
        <v>209</v>
      </c>
      <c r="I1231" t="s">
        <v>228</v>
      </c>
      <c r="J1231" t="s">
        <v>247</v>
      </c>
      <c r="K1231" t="s">
        <v>261</v>
      </c>
      <c r="L1231" t="s">
        <v>274</v>
      </c>
      <c r="M1231" t="s">
        <v>283</v>
      </c>
      <c r="N1231" t="s">
        <v>292</v>
      </c>
      <c r="O1231" t="s">
        <v>300</v>
      </c>
      <c r="AK1231" t="s">
        <v>356</v>
      </c>
    </row>
    <row r="1232" spans="1:37">
      <c r="B1232" t="s">
        <v>52</v>
      </c>
      <c r="C1232" t="s">
        <v>76</v>
      </c>
      <c r="D1232" t="s">
        <v>96</v>
      </c>
      <c r="E1232" t="s">
        <v>115</v>
      </c>
      <c r="F1232" t="s">
        <v>149</v>
      </c>
      <c r="G1232" t="s">
        <v>174</v>
      </c>
      <c r="H1232" t="s">
        <v>96</v>
      </c>
      <c r="I1232" t="s">
        <v>229</v>
      </c>
      <c r="J1232" t="s">
        <v>248</v>
      </c>
      <c r="K1232" t="s">
        <v>262</v>
      </c>
      <c r="L1232" t="s">
        <v>52</v>
      </c>
      <c r="M1232" t="s">
        <v>76</v>
      </c>
      <c r="N1232" t="s">
        <v>293</v>
      </c>
      <c r="O1232" t="s">
        <v>301</v>
      </c>
      <c r="P1232" t="s">
        <v>309</v>
      </c>
      <c r="Q1232" t="s">
        <v>315</v>
      </c>
      <c r="R1232" t="s">
        <v>228</v>
      </c>
      <c r="S1232" t="s">
        <v>328</v>
      </c>
      <c r="T1232" t="s">
        <v>149</v>
      </c>
      <c r="U1232" t="s">
        <v>337</v>
      </c>
      <c r="V1232" t="s">
        <v>341</v>
      </c>
      <c r="W1232" t="s">
        <v>345</v>
      </c>
      <c r="X1232" t="s">
        <v>350</v>
      </c>
      <c r="AK1232" t="s">
        <v>356</v>
      </c>
    </row>
    <row r="1233" spans="1:37">
      <c r="B1233" t="s">
        <v>53</v>
      </c>
      <c r="C1233" t="s">
        <v>77</v>
      </c>
      <c r="D1233" t="s">
        <v>97</v>
      </c>
      <c r="E1233" t="s">
        <v>116</v>
      </c>
      <c r="F1233" t="s">
        <v>150</v>
      </c>
      <c r="G1233" t="s">
        <v>175</v>
      </c>
      <c r="H1233" t="s">
        <v>210</v>
      </c>
      <c r="I1233" t="s">
        <v>230</v>
      </c>
      <c r="J1233" t="s">
        <v>249</v>
      </c>
      <c r="K1233" t="s">
        <v>263</v>
      </c>
      <c r="L1233" t="s">
        <v>275</v>
      </c>
      <c r="M1233" t="s">
        <v>284</v>
      </c>
      <c r="N1233" t="s">
        <v>294</v>
      </c>
      <c r="O1233" t="s">
        <v>302</v>
      </c>
      <c r="P1233" t="s">
        <v>310</v>
      </c>
      <c r="Q1233" t="s">
        <v>316</v>
      </c>
      <c r="R1233" t="s">
        <v>322</v>
      </c>
      <c r="S1233" t="s">
        <v>329</v>
      </c>
      <c r="AK1233" t="s">
        <v>356</v>
      </c>
    </row>
    <row r="1234" spans="1:37">
      <c r="A1234" t="s">
        <v>39</v>
      </c>
      <c r="B1234" t="s">
        <v>54</v>
      </c>
      <c r="C1234" t="s">
        <v>54</v>
      </c>
      <c r="D1234" t="s">
        <v>54</v>
      </c>
      <c r="E1234" t="s">
        <v>54</v>
      </c>
      <c r="F1234" t="s">
        <v>54</v>
      </c>
      <c r="G1234" t="s">
        <v>54</v>
      </c>
      <c r="H1234" t="s">
        <v>54</v>
      </c>
      <c r="I1234" t="s">
        <v>54</v>
      </c>
      <c r="J1234" t="s">
        <v>54</v>
      </c>
      <c r="K1234" t="s">
        <v>54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323</v>
      </c>
      <c r="S1234" t="s">
        <v>330</v>
      </c>
      <c r="AK1234" t="s">
        <v>356</v>
      </c>
    </row>
    <row r="1235" spans="1:37">
      <c r="B1235" t="s">
        <v>55</v>
      </c>
      <c r="C1235" t="s">
        <v>78</v>
      </c>
      <c r="D1235" t="s">
        <v>55</v>
      </c>
      <c r="E1235" t="s">
        <v>78</v>
      </c>
      <c r="F1235" t="s">
        <v>55</v>
      </c>
      <c r="G1235" t="s">
        <v>78</v>
      </c>
      <c r="H1235" t="s">
        <v>55</v>
      </c>
      <c r="I1235" t="s">
        <v>78</v>
      </c>
      <c r="J1235" t="s">
        <v>55</v>
      </c>
      <c r="K1235" t="s">
        <v>78</v>
      </c>
      <c r="L1235" t="s">
        <v>55</v>
      </c>
      <c r="M1235" t="s">
        <v>78</v>
      </c>
      <c r="N1235" t="s">
        <v>55</v>
      </c>
      <c r="O1235" t="s">
        <v>78</v>
      </c>
      <c r="P1235" t="s">
        <v>55</v>
      </c>
      <c r="Q1235" t="s">
        <v>78</v>
      </c>
      <c r="R1235" t="s">
        <v>55</v>
      </c>
      <c r="S1235" t="s">
        <v>78</v>
      </c>
      <c r="T1235" t="s">
        <v>55</v>
      </c>
      <c r="U1235" t="s">
        <v>78</v>
      </c>
      <c r="V1235" t="s">
        <v>55</v>
      </c>
      <c r="W1235" t="s">
        <v>78</v>
      </c>
      <c r="X1235" t="s">
        <v>55</v>
      </c>
      <c r="Y1235" t="s">
        <v>78</v>
      </c>
      <c r="Z1235" t="s">
        <v>55</v>
      </c>
      <c r="AA1235" t="s">
        <v>78</v>
      </c>
      <c r="AB1235" t="s">
        <v>55</v>
      </c>
      <c r="AC1235" t="s">
        <v>78</v>
      </c>
      <c r="AD1235" t="s">
        <v>55</v>
      </c>
      <c r="AE1235" t="s">
        <v>78</v>
      </c>
      <c r="AF1235" t="s">
        <v>55</v>
      </c>
      <c r="AG1235" t="s">
        <v>78</v>
      </c>
      <c r="AH1235" t="s">
        <v>55</v>
      </c>
      <c r="AI1235" t="s">
        <v>78</v>
      </c>
      <c r="AK1235" t="s">
        <v>356</v>
      </c>
    </row>
    <row r="1236" spans="1:37">
      <c r="B1236" t="s">
        <v>56</v>
      </c>
      <c r="C1236" t="s">
        <v>56</v>
      </c>
      <c r="D1236" t="s">
        <v>56</v>
      </c>
      <c r="E1236" t="s">
        <v>56</v>
      </c>
      <c r="F1236" t="s">
        <v>56</v>
      </c>
      <c r="G1236" t="s">
        <v>176</v>
      </c>
      <c r="H1236" t="s">
        <v>211</v>
      </c>
      <c r="I1236" t="s">
        <v>231</v>
      </c>
      <c r="J1236" t="s">
        <v>250</v>
      </c>
      <c r="K1236" t="s">
        <v>264</v>
      </c>
      <c r="L1236" t="s">
        <v>276</v>
      </c>
      <c r="M1236" t="s">
        <v>285</v>
      </c>
      <c r="N1236" t="s">
        <v>295</v>
      </c>
      <c r="O1236" t="s">
        <v>303</v>
      </c>
      <c r="P1236" t="s">
        <v>56</v>
      </c>
      <c r="Q1236" t="s">
        <v>317</v>
      </c>
      <c r="R1236" t="s">
        <v>324</v>
      </c>
      <c r="S1236" t="s">
        <v>331</v>
      </c>
      <c r="T1236" t="s">
        <v>334</v>
      </c>
      <c r="U1236" t="s">
        <v>338</v>
      </c>
      <c r="V1236" t="s">
        <v>342</v>
      </c>
      <c r="W1236" t="s">
        <v>346</v>
      </c>
      <c r="X1236" t="s">
        <v>351</v>
      </c>
      <c r="AK1236" t="s">
        <v>356</v>
      </c>
    </row>
    <row r="1237" spans="1:37">
      <c r="B1237" t="s">
        <v>57</v>
      </c>
      <c r="C1237" t="s">
        <v>79</v>
      </c>
      <c r="D1237" t="s">
        <v>98</v>
      </c>
      <c r="E1237" t="s">
        <v>117</v>
      </c>
      <c r="F1237" t="s">
        <v>151</v>
      </c>
      <c r="G1237" t="s">
        <v>177</v>
      </c>
      <c r="H1237" t="s">
        <v>212</v>
      </c>
      <c r="I1237" t="s">
        <v>232</v>
      </c>
      <c r="J1237" t="s">
        <v>251</v>
      </c>
      <c r="K1237" t="s">
        <v>265</v>
      </c>
      <c r="L1237" t="s">
        <v>277</v>
      </c>
      <c r="M1237" t="s">
        <v>286</v>
      </c>
      <c r="N1237" t="s">
        <v>296</v>
      </c>
      <c r="O1237" t="s">
        <v>304</v>
      </c>
      <c r="P1237" t="s">
        <v>311</v>
      </c>
      <c r="Q1237" t="s">
        <v>318</v>
      </c>
      <c r="R1237" t="s">
        <v>185</v>
      </c>
      <c r="S1237" t="s">
        <v>159</v>
      </c>
      <c r="T1237" t="s">
        <v>185</v>
      </c>
      <c r="U1237" t="s">
        <v>339</v>
      </c>
      <c r="V1237" t="s">
        <v>72</v>
      </c>
      <c r="W1237" t="s">
        <v>347</v>
      </c>
      <c r="X1237" t="s">
        <v>72</v>
      </c>
      <c r="Y1237" t="s">
        <v>96</v>
      </c>
      <c r="AK1237" t="s">
        <v>356</v>
      </c>
    </row>
    <row r="1238" spans="1:37">
      <c r="B1238" t="s">
        <v>58</v>
      </c>
      <c r="C1238" t="s">
        <v>80</v>
      </c>
      <c r="D1238" t="s">
        <v>99</v>
      </c>
      <c r="E1238" t="s">
        <v>118</v>
      </c>
      <c r="F1238" t="s">
        <v>152</v>
      </c>
      <c r="G1238" t="s">
        <v>178</v>
      </c>
      <c r="H1238" t="s">
        <v>213</v>
      </c>
      <c r="I1238" t="s">
        <v>233</v>
      </c>
      <c r="J1238" t="s">
        <v>252</v>
      </c>
      <c r="K1238" t="s">
        <v>266</v>
      </c>
      <c r="L1238" t="s">
        <v>278</v>
      </c>
      <c r="M1238" t="s">
        <v>287</v>
      </c>
      <c r="N1238" t="s">
        <v>297</v>
      </c>
      <c r="O1238" t="s">
        <v>305</v>
      </c>
      <c r="P1238" t="s">
        <v>312</v>
      </c>
      <c r="Q1238" t="s">
        <v>319</v>
      </c>
      <c r="R1238">
        <f>&gt;10       ветра      2.5     17  23 29</f>
        <v>0</v>
      </c>
      <c r="AK1238" t="s">
        <v>356</v>
      </c>
    </row>
    <row r="1239" spans="1:37">
      <c r="A1239" t="s">
        <v>40</v>
      </c>
      <c r="B1239" t="s">
        <v>59</v>
      </c>
      <c r="C1239" t="s">
        <v>81</v>
      </c>
      <c r="D1239" t="s">
        <v>100</v>
      </c>
      <c r="E1239" t="s">
        <v>119</v>
      </c>
      <c r="F1239" t="s">
        <v>153</v>
      </c>
      <c r="G1239" t="s">
        <v>179</v>
      </c>
      <c r="H1239" t="s">
        <v>214</v>
      </c>
      <c r="I1239" t="s">
        <v>234</v>
      </c>
      <c r="AK1239" t="s">
        <v>356</v>
      </c>
    </row>
    <row r="1240" spans="1:37">
      <c r="A1240" t="s">
        <v>40</v>
      </c>
      <c r="B1240" t="s">
        <v>60</v>
      </c>
      <c r="C1240" t="s">
        <v>82</v>
      </c>
      <c r="D1240" t="s">
        <v>101</v>
      </c>
      <c r="E1240" t="s">
        <v>120</v>
      </c>
      <c r="F1240" t="s">
        <v>154</v>
      </c>
      <c r="G1240" t="s">
        <v>180</v>
      </c>
      <c r="H1240" t="s">
        <v>215</v>
      </c>
      <c r="I1240" t="s">
        <v>235</v>
      </c>
      <c r="J1240" t="s">
        <v>253</v>
      </c>
      <c r="K1240" t="s">
        <v>267</v>
      </c>
      <c r="L1240" t="s">
        <v>279</v>
      </c>
      <c r="M1240" t="s">
        <v>288</v>
      </c>
      <c r="N1240" t="s">
        <v>100</v>
      </c>
      <c r="O1240" t="s">
        <v>306</v>
      </c>
      <c r="P1240" t="s">
        <v>313</v>
      </c>
      <c r="Q1240" t="s">
        <v>320</v>
      </c>
      <c r="R1240" t="s">
        <v>325</v>
      </c>
      <c r="S1240" t="s">
        <v>332</v>
      </c>
      <c r="T1240" t="s">
        <v>119</v>
      </c>
      <c r="U1240" t="s">
        <v>234</v>
      </c>
      <c r="V1240" t="s">
        <v>343</v>
      </c>
      <c r="W1240" t="s">
        <v>348</v>
      </c>
      <c r="X1240" t="s">
        <v>352</v>
      </c>
      <c r="Y1240" t="s">
        <v>354</v>
      </c>
      <c r="AK1240" t="s">
        <v>356</v>
      </c>
    </row>
    <row r="1241" spans="1:37">
      <c r="A1241" t="s">
        <v>41</v>
      </c>
      <c r="B1241" t="s">
        <v>61</v>
      </c>
      <c r="C1241" t="s">
        <v>83</v>
      </c>
      <c r="D1241" t="s">
        <v>102</v>
      </c>
      <c r="E1241" t="s">
        <v>121</v>
      </c>
      <c r="F1241" t="s">
        <v>155</v>
      </c>
      <c r="G1241" t="s">
        <v>181</v>
      </c>
      <c r="H1241" t="s">
        <v>216</v>
      </c>
      <c r="I1241" t="s">
        <v>236</v>
      </c>
      <c r="AK1241" t="s">
        <v>356</v>
      </c>
    </row>
    <row r="1242" spans="1:37">
      <c r="A1242" t="s">
        <v>42</v>
      </c>
      <c r="B1242" t="s">
        <v>62</v>
      </c>
      <c r="C1242" t="s">
        <v>84</v>
      </c>
      <c r="D1242" t="s">
        <v>103</v>
      </c>
      <c r="E1242" t="s">
        <v>122</v>
      </c>
      <c r="F1242" t="s">
        <v>156</v>
      </c>
      <c r="G1242" t="s">
        <v>182</v>
      </c>
      <c r="H1242" t="s">
        <v>83</v>
      </c>
      <c r="I1242" t="s">
        <v>237</v>
      </c>
      <c r="J1242" t="s">
        <v>254</v>
      </c>
      <c r="K1242" t="s">
        <v>268</v>
      </c>
      <c r="L1242" t="s">
        <v>280</v>
      </c>
      <c r="M1242" t="s">
        <v>289</v>
      </c>
      <c r="N1242" t="s">
        <v>298</v>
      </c>
      <c r="O1242" t="s">
        <v>307</v>
      </c>
      <c r="P1242" t="s">
        <v>314</v>
      </c>
      <c r="Q1242" t="s">
        <v>216</v>
      </c>
      <c r="R1242" t="s">
        <v>326</v>
      </c>
      <c r="S1242" t="s">
        <v>333</v>
      </c>
      <c r="T1242" t="s">
        <v>335</v>
      </c>
      <c r="U1242" t="s">
        <v>340</v>
      </c>
      <c r="V1242" t="s">
        <v>344</v>
      </c>
      <c r="W1242" t="s">
        <v>349</v>
      </c>
      <c r="AK1242" t="s">
        <v>356</v>
      </c>
    </row>
    <row r="1243" spans="1:37">
      <c r="A1243" t="s">
        <v>43</v>
      </c>
      <c r="B1243" t="s">
        <v>63</v>
      </c>
      <c r="C1243" t="s">
        <v>85</v>
      </c>
      <c r="D1243" t="s">
        <v>104</v>
      </c>
      <c r="E1243" t="s">
        <v>123</v>
      </c>
      <c r="F1243" t="s">
        <v>157</v>
      </c>
      <c r="G1243" t="s">
        <v>183</v>
      </c>
      <c r="AK1243" t="s">
        <v>356</v>
      </c>
    </row>
    <row r="1244" spans="1:37">
      <c r="A1244" t="s">
        <v>44</v>
      </c>
      <c r="B1244" t="s">
        <v>64</v>
      </c>
      <c r="C1244" t="s">
        <v>86</v>
      </c>
      <c r="D1244" t="s">
        <v>105</v>
      </c>
      <c r="E1244" t="s">
        <v>124</v>
      </c>
      <c r="F1244" t="s">
        <v>158</v>
      </c>
      <c r="G1244" t="s">
        <v>184</v>
      </c>
      <c r="AK1244" t="s">
        <v>356</v>
      </c>
    </row>
    <row r="1245" spans="1:37">
      <c r="A1245" t="s">
        <v>45</v>
      </c>
      <c r="B1245" t="s">
        <v>65</v>
      </c>
      <c r="C1245" t="s">
        <v>87</v>
      </c>
      <c r="D1245" t="s">
        <v>106</v>
      </c>
      <c r="E1245" t="s">
        <v>125</v>
      </c>
      <c r="F1245" t="s">
        <v>159</v>
      </c>
      <c r="G1245" t="s">
        <v>185</v>
      </c>
      <c r="H1245" t="s">
        <v>159</v>
      </c>
      <c r="I1245" t="s">
        <v>185</v>
      </c>
      <c r="J1245" t="s">
        <v>255</v>
      </c>
      <c r="AK1245" t="s">
        <v>356</v>
      </c>
    </row>
    <row r="1246" spans="1:37">
      <c r="A1246" t="s">
        <v>46</v>
      </c>
      <c r="B1246" t="s">
        <v>66</v>
      </c>
      <c r="C1246" t="s">
        <v>88</v>
      </c>
      <c r="D1246" t="s">
        <v>76</v>
      </c>
      <c r="E1246" t="s">
        <v>126</v>
      </c>
      <c r="F1246" t="s">
        <v>160</v>
      </c>
      <c r="G1246" t="s">
        <v>186</v>
      </c>
      <c r="H1246" t="s">
        <v>217</v>
      </c>
      <c r="I1246" t="s">
        <v>238</v>
      </c>
      <c r="J1246" t="s">
        <v>256</v>
      </c>
      <c r="K1246" t="s">
        <v>265</v>
      </c>
      <c r="L1246" t="s">
        <v>281</v>
      </c>
      <c r="M1246" t="s">
        <v>290</v>
      </c>
      <c r="N1246" t="s">
        <v>299</v>
      </c>
      <c r="O1246" t="s">
        <v>308</v>
      </c>
      <c r="P1246" t="s">
        <v>228</v>
      </c>
      <c r="Q1246" t="s">
        <v>72</v>
      </c>
      <c r="R1246" t="s">
        <v>327</v>
      </c>
      <c r="S1246" t="s">
        <v>327</v>
      </c>
      <c r="T1246" t="s">
        <v>336</v>
      </c>
      <c r="U1246" t="s">
        <v>336</v>
      </c>
      <c r="V1246" t="s">
        <v>336</v>
      </c>
      <c r="W1246" t="s">
        <v>336</v>
      </c>
      <c r="X1246" t="s">
        <v>353</v>
      </c>
      <c r="AK1246" t="s">
        <v>356</v>
      </c>
    </row>
    <row r="1247" spans="1:37">
      <c r="B1247" t="s">
        <v>67</v>
      </c>
      <c r="C1247" t="s">
        <v>89</v>
      </c>
      <c r="D1247" t="s">
        <v>107</v>
      </c>
      <c r="AK1247" t="s">
        <v>356</v>
      </c>
    </row>
    <row r="1248" spans="1:37">
      <c r="B1248" t="s">
        <v>68</v>
      </c>
      <c r="C1248" t="s">
        <v>90</v>
      </c>
      <c r="D1248" t="s">
        <v>108</v>
      </c>
      <c r="AK1248" t="s">
        <v>356</v>
      </c>
    </row>
    <row r="1249" spans="1:37">
      <c r="A1249" t="s">
        <v>47</v>
      </c>
      <c r="B1249" t="s">
        <v>69</v>
      </c>
      <c r="C1249" t="s">
        <v>91</v>
      </c>
      <c r="D1249" t="s">
        <v>109</v>
      </c>
      <c r="E1249" t="s">
        <v>109</v>
      </c>
      <c r="F1249" t="s">
        <v>109</v>
      </c>
      <c r="G1249" t="s">
        <v>109</v>
      </c>
      <c r="H1249" t="s">
        <v>109</v>
      </c>
      <c r="I1249" t="s">
        <v>239</v>
      </c>
      <c r="AK1249" t="s">
        <v>356</v>
      </c>
    </row>
    <row r="1250" spans="1:37">
      <c r="B1250" t="s">
        <v>70</v>
      </c>
      <c r="C1250" t="s">
        <v>92</v>
      </c>
      <c r="D1250" t="s">
        <v>110</v>
      </c>
      <c r="E1250" t="s">
        <v>127</v>
      </c>
      <c r="F1250" t="s">
        <v>161</v>
      </c>
      <c r="G1250" t="s">
        <v>187</v>
      </c>
      <c r="H1250" t="s">
        <v>218</v>
      </c>
      <c r="AK1250" t="s">
        <v>356</v>
      </c>
    </row>
    <row r="1251" spans="1:37">
      <c r="B1251" t="s">
        <v>71</v>
      </c>
      <c r="C1251" t="s">
        <v>93</v>
      </c>
      <c r="D1251" t="s">
        <v>111</v>
      </c>
      <c r="E1251" t="s">
        <v>128</v>
      </c>
      <c r="F1251" t="s">
        <v>162</v>
      </c>
      <c r="G1251" t="s">
        <v>188</v>
      </c>
      <c r="H1251" t="s">
        <v>219</v>
      </c>
      <c r="I1251" t="s">
        <v>240</v>
      </c>
      <c r="J1251" t="s">
        <v>257</v>
      </c>
      <c r="K1251" t="s">
        <v>269</v>
      </c>
      <c r="L1251" t="s">
        <v>109</v>
      </c>
      <c r="M1251" t="s">
        <v>109</v>
      </c>
      <c r="N1251" t="s">
        <v>109</v>
      </c>
      <c r="O1251" t="s">
        <v>109</v>
      </c>
      <c r="P1251" t="s">
        <v>109</v>
      </c>
      <c r="Q1251" t="s">
        <v>321</v>
      </c>
      <c r="AK1251" t="s">
        <v>356</v>
      </c>
    </row>
    <row r="1252" spans="1:37">
      <c r="A1252" t="s">
        <v>48</v>
      </c>
      <c r="B1252" t="s">
        <v>71</v>
      </c>
      <c r="C1252" t="s">
        <v>93</v>
      </c>
      <c r="D1252" t="s">
        <v>111</v>
      </c>
      <c r="E1252" t="s">
        <v>128</v>
      </c>
      <c r="F1252" t="s">
        <v>163</v>
      </c>
      <c r="G1252" t="s">
        <v>189</v>
      </c>
      <c r="H1252" t="s">
        <v>220</v>
      </c>
      <c r="I1252" t="s">
        <v>241</v>
      </c>
      <c r="J1252" t="s">
        <v>258</v>
      </c>
      <c r="K1252" t="s">
        <v>270</v>
      </c>
      <c r="AK1252" t="s">
        <v>356</v>
      </c>
    </row>
    <row r="1253" spans="1:37">
      <c r="B1253" t="s">
        <v>72</v>
      </c>
      <c r="C1253" t="s">
        <v>72</v>
      </c>
      <c r="D1253" t="s">
        <v>72</v>
      </c>
      <c r="E1253" t="s">
        <v>130</v>
      </c>
      <c r="F1253" t="s">
        <v>130</v>
      </c>
      <c r="G1253" t="s">
        <v>195</v>
      </c>
      <c r="H1253" t="s">
        <v>192</v>
      </c>
      <c r="I1253" t="s">
        <v>192</v>
      </c>
      <c r="J1253" t="s">
        <v>192</v>
      </c>
      <c r="K1253" t="s">
        <v>271</v>
      </c>
      <c r="AK1253" t="s">
        <v>356</v>
      </c>
    </row>
    <row r="1254" spans="1:37">
      <c r="A1254" t="s">
        <v>37</v>
      </c>
      <c r="B1254" t="s">
        <v>49</v>
      </c>
      <c r="C1254" t="s">
        <v>73</v>
      </c>
      <c r="D1254" t="s">
        <v>94</v>
      </c>
      <c r="E1254" t="s">
        <v>112</v>
      </c>
      <c r="F1254" t="s">
        <v>146</v>
      </c>
      <c r="G1254" t="s">
        <v>172</v>
      </c>
      <c r="H1254" t="s">
        <v>207</v>
      </c>
      <c r="I1254" t="s">
        <v>226</v>
      </c>
      <c r="J1254" t="s">
        <v>246</v>
      </c>
      <c r="K1254" t="s">
        <v>259</v>
      </c>
      <c r="AK1254" t="s">
        <v>356</v>
      </c>
    </row>
    <row r="1255" spans="1:37">
      <c r="A1255" t="s">
        <v>38</v>
      </c>
      <c r="B1255" t="s">
        <v>50</v>
      </c>
      <c r="C1255" t="s">
        <v>74</v>
      </c>
      <c r="D1255" t="s">
        <v>95</v>
      </c>
      <c r="E1255" t="s">
        <v>113</v>
      </c>
      <c r="F1255" t="s">
        <v>147</v>
      </c>
      <c r="G1255" t="s">
        <v>173</v>
      </c>
      <c r="H1255" t="s">
        <v>208</v>
      </c>
      <c r="I1255" t="s">
        <v>227</v>
      </c>
      <c r="J1255" t="s">
        <v>115</v>
      </c>
      <c r="K1255" t="s">
        <v>260</v>
      </c>
      <c r="L1255" t="s">
        <v>273</v>
      </c>
      <c r="M1255" t="s">
        <v>282</v>
      </c>
      <c r="N1255" t="s">
        <v>291</v>
      </c>
      <c r="AK1255" t="s">
        <v>356</v>
      </c>
    </row>
    <row r="1256" spans="1:37">
      <c r="B1256" t="s">
        <v>51</v>
      </c>
      <c r="C1256" t="s">
        <v>75</v>
      </c>
      <c r="D1256" t="s">
        <v>52</v>
      </c>
      <c r="E1256" t="s">
        <v>114</v>
      </c>
      <c r="F1256" t="s">
        <v>148</v>
      </c>
      <c r="G1256" t="s">
        <v>148</v>
      </c>
      <c r="H1256" t="s">
        <v>209</v>
      </c>
      <c r="I1256" t="s">
        <v>228</v>
      </c>
      <c r="J1256" t="s">
        <v>247</v>
      </c>
      <c r="K1256" t="s">
        <v>261</v>
      </c>
      <c r="L1256" t="s">
        <v>274</v>
      </c>
      <c r="M1256" t="s">
        <v>283</v>
      </c>
      <c r="N1256" t="s">
        <v>292</v>
      </c>
      <c r="O1256" t="s">
        <v>300</v>
      </c>
      <c r="AK1256" t="s">
        <v>356</v>
      </c>
    </row>
    <row r="1257" spans="1:37">
      <c r="B1257" t="s">
        <v>52</v>
      </c>
      <c r="C1257" t="s">
        <v>76</v>
      </c>
      <c r="D1257" t="s">
        <v>96</v>
      </c>
      <c r="E1257" t="s">
        <v>115</v>
      </c>
      <c r="F1257" t="s">
        <v>149</v>
      </c>
      <c r="G1257" t="s">
        <v>174</v>
      </c>
      <c r="H1257" t="s">
        <v>96</v>
      </c>
      <c r="I1257" t="s">
        <v>229</v>
      </c>
      <c r="J1257" t="s">
        <v>248</v>
      </c>
      <c r="K1257" t="s">
        <v>262</v>
      </c>
      <c r="L1257" t="s">
        <v>52</v>
      </c>
      <c r="M1257" t="s">
        <v>76</v>
      </c>
      <c r="N1257" t="s">
        <v>293</v>
      </c>
      <c r="O1257" t="s">
        <v>301</v>
      </c>
      <c r="P1257" t="s">
        <v>309</v>
      </c>
      <c r="Q1257" t="s">
        <v>315</v>
      </c>
      <c r="R1257" t="s">
        <v>228</v>
      </c>
      <c r="S1257" t="s">
        <v>328</v>
      </c>
      <c r="T1257" t="s">
        <v>149</v>
      </c>
      <c r="U1257" t="s">
        <v>337</v>
      </c>
      <c r="V1257" t="s">
        <v>341</v>
      </c>
      <c r="W1257" t="s">
        <v>345</v>
      </c>
      <c r="X1257" t="s">
        <v>350</v>
      </c>
      <c r="AK1257" t="s">
        <v>356</v>
      </c>
    </row>
    <row r="1258" spans="1:37">
      <c r="B1258" t="s">
        <v>53</v>
      </c>
      <c r="C1258" t="s">
        <v>77</v>
      </c>
      <c r="D1258" t="s">
        <v>97</v>
      </c>
      <c r="E1258" t="s">
        <v>116</v>
      </c>
      <c r="F1258" t="s">
        <v>150</v>
      </c>
      <c r="G1258" t="s">
        <v>175</v>
      </c>
      <c r="H1258" t="s">
        <v>210</v>
      </c>
      <c r="I1258" t="s">
        <v>230</v>
      </c>
      <c r="J1258" t="s">
        <v>249</v>
      </c>
      <c r="K1258" t="s">
        <v>263</v>
      </c>
      <c r="L1258" t="s">
        <v>275</v>
      </c>
      <c r="M1258" t="s">
        <v>284</v>
      </c>
      <c r="N1258" t="s">
        <v>294</v>
      </c>
      <c r="O1258" t="s">
        <v>302</v>
      </c>
      <c r="P1258" t="s">
        <v>310</v>
      </c>
      <c r="Q1258" t="s">
        <v>316</v>
      </c>
      <c r="R1258" t="s">
        <v>322</v>
      </c>
      <c r="S1258" t="s">
        <v>329</v>
      </c>
      <c r="AK1258" t="s">
        <v>356</v>
      </c>
    </row>
    <row r="1259" spans="1:37">
      <c r="A1259" t="s">
        <v>39</v>
      </c>
      <c r="B1259" t="s">
        <v>54</v>
      </c>
      <c r="C1259" t="s">
        <v>54</v>
      </c>
      <c r="D1259" t="s">
        <v>54</v>
      </c>
      <c r="E1259" t="s">
        <v>54</v>
      </c>
      <c r="F1259" t="s">
        <v>54</v>
      </c>
      <c r="G1259" t="s">
        <v>54</v>
      </c>
      <c r="H1259" t="s">
        <v>54</v>
      </c>
      <c r="I1259" t="s">
        <v>54</v>
      </c>
      <c r="J1259" t="s">
        <v>54</v>
      </c>
      <c r="K1259" t="s">
        <v>54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 t="s">
        <v>323</v>
      </c>
      <c r="S1259" t="s">
        <v>330</v>
      </c>
      <c r="AK1259" t="s">
        <v>356</v>
      </c>
    </row>
    <row r="1260" spans="1:37">
      <c r="B1260" t="s">
        <v>55</v>
      </c>
      <c r="C1260" t="s">
        <v>78</v>
      </c>
      <c r="D1260" t="s">
        <v>55</v>
      </c>
      <c r="E1260" t="s">
        <v>78</v>
      </c>
      <c r="F1260" t="s">
        <v>55</v>
      </c>
      <c r="G1260" t="s">
        <v>78</v>
      </c>
      <c r="H1260" t="s">
        <v>55</v>
      </c>
      <c r="I1260" t="s">
        <v>78</v>
      </c>
      <c r="J1260" t="s">
        <v>55</v>
      </c>
      <c r="K1260" t="s">
        <v>78</v>
      </c>
      <c r="L1260" t="s">
        <v>55</v>
      </c>
      <c r="M1260" t="s">
        <v>78</v>
      </c>
      <c r="N1260" t="s">
        <v>55</v>
      </c>
      <c r="O1260" t="s">
        <v>78</v>
      </c>
      <c r="P1260" t="s">
        <v>55</v>
      </c>
      <c r="Q1260" t="s">
        <v>78</v>
      </c>
      <c r="R1260" t="s">
        <v>55</v>
      </c>
      <c r="S1260" t="s">
        <v>78</v>
      </c>
      <c r="T1260" t="s">
        <v>55</v>
      </c>
      <c r="U1260" t="s">
        <v>78</v>
      </c>
      <c r="V1260" t="s">
        <v>55</v>
      </c>
      <c r="W1260" t="s">
        <v>78</v>
      </c>
      <c r="X1260" t="s">
        <v>55</v>
      </c>
      <c r="Y1260" t="s">
        <v>78</v>
      </c>
      <c r="Z1260" t="s">
        <v>55</v>
      </c>
      <c r="AA1260" t="s">
        <v>78</v>
      </c>
      <c r="AB1260" t="s">
        <v>55</v>
      </c>
      <c r="AC1260" t="s">
        <v>78</v>
      </c>
      <c r="AD1260" t="s">
        <v>55</v>
      </c>
      <c r="AE1260" t="s">
        <v>78</v>
      </c>
      <c r="AF1260" t="s">
        <v>55</v>
      </c>
      <c r="AG1260" t="s">
        <v>78</v>
      </c>
      <c r="AH1260" t="s">
        <v>55</v>
      </c>
      <c r="AI1260" t="s">
        <v>78</v>
      </c>
      <c r="AK1260" t="s">
        <v>356</v>
      </c>
    </row>
    <row r="1261" spans="1:37">
      <c r="B1261" t="s">
        <v>56</v>
      </c>
      <c r="C1261" t="s">
        <v>56</v>
      </c>
      <c r="D1261" t="s">
        <v>56</v>
      </c>
      <c r="E1261" t="s">
        <v>56</v>
      </c>
      <c r="F1261" t="s">
        <v>56</v>
      </c>
      <c r="G1261" t="s">
        <v>176</v>
      </c>
      <c r="H1261" t="s">
        <v>211</v>
      </c>
      <c r="I1261" t="s">
        <v>231</v>
      </c>
      <c r="J1261" t="s">
        <v>250</v>
      </c>
      <c r="K1261" t="s">
        <v>264</v>
      </c>
      <c r="L1261" t="s">
        <v>276</v>
      </c>
      <c r="M1261" t="s">
        <v>285</v>
      </c>
      <c r="N1261" t="s">
        <v>295</v>
      </c>
      <c r="O1261" t="s">
        <v>303</v>
      </c>
      <c r="P1261" t="s">
        <v>56</v>
      </c>
      <c r="Q1261" t="s">
        <v>317</v>
      </c>
      <c r="R1261" t="s">
        <v>324</v>
      </c>
      <c r="S1261" t="s">
        <v>331</v>
      </c>
      <c r="T1261" t="s">
        <v>334</v>
      </c>
      <c r="U1261" t="s">
        <v>338</v>
      </c>
      <c r="V1261" t="s">
        <v>342</v>
      </c>
      <c r="W1261" t="s">
        <v>346</v>
      </c>
      <c r="X1261" t="s">
        <v>351</v>
      </c>
      <c r="AK1261" t="s">
        <v>356</v>
      </c>
    </row>
    <row r="1262" spans="1:37">
      <c r="B1262" t="s">
        <v>57</v>
      </c>
      <c r="C1262" t="s">
        <v>79</v>
      </c>
      <c r="D1262" t="s">
        <v>98</v>
      </c>
      <c r="E1262" t="s">
        <v>117</v>
      </c>
      <c r="F1262" t="s">
        <v>151</v>
      </c>
      <c r="G1262" t="s">
        <v>177</v>
      </c>
      <c r="H1262" t="s">
        <v>212</v>
      </c>
      <c r="I1262" t="s">
        <v>232</v>
      </c>
      <c r="J1262" t="s">
        <v>251</v>
      </c>
      <c r="K1262" t="s">
        <v>265</v>
      </c>
      <c r="L1262" t="s">
        <v>277</v>
      </c>
      <c r="M1262" t="s">
        <v>286</v>
      </c>
      <c r="N1262" t="s">
        <v>296</v>
      </c>
      <c r="O1262" t="s">
        <v>304</v>
      </c>
      <c r="P1262" t="s">
        <v>311</v>
      </c>
      <c r="Q1262" t="s">
        <v>318</v>
      </c>
      <c r="R1262" t="s">
        <v>185</v>
      </c>
      <c r="S1262" t="s">
        <v>159</v>
      </c>
      <c r="T1262" t="s">
        <v>185</v>
      </c>
      <c r="U1262" t="s">
        <v>339</v>
      </c>
      <c r="V1262" t="s">
        <v>72</v>
      </c>
      <c r="W1262" t="s">
        <v>347</v>
      </c>
      <c r="X1262" t="s">
        <v>72</v>
      </c>
      <c r="Y1262" t="s">
        <v>96</v>
      </c>
      <c r="AK1262" t="s">
        <v>356</v>
      </c>
    </row>
    <row r="1263" spans="1:37">
      <c r="B1263" t="s">
        <v>58</v>
      </c>
      <c r="C1263" t="s">
        <v>80</v>
      </c>
      <c r="D1263" t="s">
        <v>99</v>
      </c>
      <c r="E1263" t="s">
        <v>118</v>
      </c>
      <c r="F1263" t="s">
        <v>152</v>
      </c>
      <c r="G1263" t="s">
        <v>178</v>
      </c>
      <c r="H1263" t="s">
        <v>213</v>
      </c>
      <c r="I1263" t="s">
        <v>233</v>
      </c>
      <c r="J1263" t="s">
        <v>252</v>
      </c>
      <c r="K1263" t="s">
        <v>266</v>
      </c>
      <c r="L1263" t="s">
        <v>278</v>
      </c>
      <c r="M1263" t="s">
        <v>287</v>
      </c>
      <c r="N1263" t="s">
        <v>297</v>
      </c>
      <c r="O1263" t="s">
        <v>305</v>
      </c>
      <c r="P1263" t="s">
        <v>312</v>
      </c>
      <c r="Q1263" t="s">
        <v>319</v>
      </c>
      <c r="R1263">
        <f>&gt;10       ветра      3.0     18  22</f>
        <v>0</v>
      </c>
      <c r="AK1263" t="s">
        <v>356</v>
      </c>
    </row>
    <row r="1264" spans="1:37">
      <c r="A1264" t="s">
        <v>40</v>
      </c>
      <c r="B1264" t="s">
        <v>59</v>
      </c>
      <c r="C1264" t="s">
        <v>81</v>
      </c>
      <c r="D1264" t="s">
        <v>100</v>
      </c>
      <c r="E1264" t="s">
        <v>119</v>
      </c>
      <c r="F1264" t="s">
        <v>153</v>
      </c>
      <c r="G1264" t="s">
        <v>179</v>
      </c>
      <c r="H1264" t="s">
        <v>214</v>
      </c>
      <c r="I1264" t="s">
        <v>234</v>
      </c>
      <c r="AK1264" t="s">
        <v>356</v>
      </c>
    </row>
    <row r="1265" spans="1:37">
      <c r="A1265" t="s">
        <v>40</v>
      </c>
      <c r="B1265" t="s">
        <v>60</v>
      </c>
      <c r="C1265" t="s">
        <v>82</v>
      </c>
      <c r="D1265" t="s">
        <v>101</v>
      </c>
      <c r="E1265" t="s">
        <v>120</v>
      </c>
      <c r="F1265" t="s">
        <v>154</v>
      </c>
      <c r="G1265" t="s">
        <v>180</v>
      </c>
      <c r="H1265" t="s">
        <v>215</v>
      </c>
      <c r="I1265" t="s">
        <v>235</v>
      </c>
      <c r="J1265" t="s">
        <v>253</v>
      </c>
      <c r="K1265" t="s">
        <v>267</v>
      </c>
      <c r="L1265" t="s">
        <v>279</v>
      </c>
      <c r="M1265" t="s">
        <v>288</v>
      </c>
      <c r="N1265" t="s">
        <v>100</v>
      </c>
      <c r="O1265" t="s">
        <v>306</v>
      </c>
      <c r="P1265" t="s">
        <v>313</v>
      </c>
      <c r="Q1265" t="s">
        <v>320</v>
      </c>
      <c r="R1265" t="s">
        <v>325</v>
      </c>
      <c r="S1265" t="s">
        <v>332</v>
      </c>
      <c r="T1265" t="s">
        <v>119</v>
      </c>
      <c r="U1265" t="s">
        <v>234</v>
      </c>
      <c r="V1265" t="s">
        <v>343</v>
      </c>
      <c r="W1265" t="s">
        <v>348</v>
      </c>
      <c r="X1265" t="s">
        <v>352</v>
      </c>
      <c r="Y1265" t="s">
        <v>354</v>
      </c>
      <c r="AK1265" t="s">
        <v>356</v>
      </c>
    </row>
    <row r="1266" spans="1:37">
      <c r="A1266" t="s">
        <v>41</v>
      </c>
      <c r="B1266" t="s">
        <v>61</v>
      </c>
      <c r="C1266" t="s">
        <v>83</v>
      </c>
      <c r="D1266" t="s">
        <v>102</v>
      </c>
      <c r="E1266" t="s">
        <v>121</v>
      </c>
      <c r="F1266" t="s">
        <v>155</v>
      </c>
      <c r="G1266" t="s">
        <v>181</v>
      </c>
      <c r="H1266" t="s">
        <v>216</v>
      </c>
      <c r="I1266" t="s">
        <v>236</v>
      </c>
      <c r="AK1266" t="s">
        <v>356</v>
      </c>
    </row>
    <row r="1267" spans="1:37">
      <c r="A1267" t="s">
        <v>42</v>
      </c>
      <c r="B1267" t="s">
        <v>62</v>
      </c>
      <c r="C1267" t="s">
        <v>84</v>
      </c>
      <c r="D1267" t="s">
        <v>103</v>
      </c>
      <c r="E1267" t="s">
        <v>122</v>
      </c>
      <c r="F1267" t="s">
        <v>156</v>
      </c>
      <c r="G1267" t="s">
        <v>182</v>
      </c>
      <c r="H1267" t="s">
        <v>83</v>
      </c>
      <c r="I1267" t="s">
        <v>237</v>
      </c>
      <c r="J1267" t="s">
        <v>254</v>
      </c>
      <c r="K1267" t="s">
        <v>268</v>
      </c>
      <c r="L1267" t="s">
        <v>280</v>
      </c>
      <c r="M1267" t="s">
        <v>289</v>
      </c>
      <c r="N1267" t="s">
        <v>298</v>
      </c>
      <c r="O1267" t="s">
        <v>307</v>
      </c>
      <c r="P1267" t="s">
        <v>314</v>
      </c>
      <c r="Q1267" t="s">
        <v>216</v>
      </c>
      <c r="R1267" t="s">
        <v>326</v>
      </c>
      <c r="S1267" t="s">
        <v>333</v>
      </c>
      <c r="T1267" t="s">
        <v>335</v>
      </c>
      <c r="U1267" t="s">
        <v>340</v>
      </c>
      <c r="V1267" t="s">
        <v>344</v>
      </c>
      <c r="W1267" t="s">
        <v>349</v>
      </c>
      <c r="AK1267" t="s">
        <v>356</v>
      </c>
    </row>
    <row r="1268" spans="1:37">
      <c r="A1268" t="s">
        <v>43</v>
      </c>
      <c r="B1268" t="s">
        <v>63</v>
      </c>
      <c r="C1268" t="s">
        <v>85</v>
      </c>
      <c r="D1268" t="s">
        <v>104</v>
      </c>
      <c r="E1268" t="s">
        <v>123</v>
      </c>
      <c r="F1268" t="s">
        <v>157</v>
      </c>
      <c r="G1268" t="s">
        <v>183</v>
      </c>
      <c r="AK1268" t="s">
        <v>356</v>
      </c>
    </row>
    <row r="1269" spans="1:37">
      <c r="A1269" t="s">
        <v>44</v>
      </c>
      <c r="B1269" t="s">
        <v>64</v>
      </c>
      <c r="C1269" t="s">
        <v>86</v>
      </c>
      <c r="D1269" t="s">
        <v>105</v>
      </c>
      <c r="E1269" t="s">
        <v>124</v>
      </c>
      <c r="F1269" t="s">
        <v>158</v>
      </c>
      <c r="G1269" t="s">
        <v>184</v>
      </c>
      <c r="AK1269" t="s">
        <v>356</v>
      </c>
    </row>
    <row r="1270" spans="1:37">
      <c r="A1270" t="s">
        <v>45</v>
      </c>
      <c r="B1270" t="s">
        <v>65</v>
      </c>
      <c r="C1270" t="s">
        <v>87</v>
      </c>
      <c r="D1270" t="s">
        <v>106</v>
      </c>
      <c r="E1270" t="s">
        <v>125</v>
      </c>
      <c r="F1270" t="s">
        <v>159</v>
      </c>
      <c r="G1270" t="s">
        <v>185</v>
      </c>
      <c r="H1270" t="s">
        <v>159</v>
      </c>
      <c r="I1270" t="s">
        <v>185</v>
      </c>
      <c r="J1270" t="s">
        <v>255</v>
      </c>
      <c r="AK1270" t="s">
        <v>356</v>
      </c>
    </row>
    <row r="1271" spans="1:37">
      <c r="A1271" t="s">
        <v>46</v>
      </c>
      <c r="B1271" t="s">
        <v>66</v>
      </c>
      <c r="C1271" t="s">
        <v>88</v>
      </c>
      <c r="D1271" t="s">
        <v>76</v>
      </c>
      <c r="E1271" t="s">
        <v>126</v>
      </c>
      <c r="F1271" t="s">
        <v>160</v>
      </c>
      <c r="G1271" t="s">
        <v>186</v>
      </c>
      <c r="H1271" t="s">
        <v>217</v>
      </c>
      <c r="I1271" t="s">
        <v>238</v>
      </c>
      <c r="J1271" t="s">
        <v>256</v>
      </c>
      <c r="K1271" t="s">
        <v>265</v>
      </c>
      <c r="L1271" t="s">
        <v>281</v>
      </c>
      <c r="M1271" t="s">
        <v>290</v>
      </c>
      <c r="N1271" t="s">
        <v>299</v>
      </c>
      <c r="O1271" t="s">
        <v>308</v>
      </c>
      <c r="P1271" t="s">
        <v>228</v>
      </c>
      <c r="Q1271" t="s">
        <v>72</v>
      </c>
      <c r="R1271" t="s">
        <v>327</v>
      </c>
      <c r="S1271" t="s">
        <v>327</v>
      </c>
      <c r="T1271" t="s">
        <v>336</v>
      </c>
      <c r="U1271" t="s">
        <v>336</v>
      </c>
      <c r="V1271" t="s">
        <v>336</v>
      </c>
      <c r="W1271" t="s">
        <v>336</v>
      </c>
      <c r="X1271" t="s">
        <v>353</v>
      </c>
      <c r="AK1271" t="s">
        <v>356</v>
      </c>
    </row>
    <row r="1272" spans="1:37">
      <c r="A1272" t="s">
        <v>37</v>
      </c>
      <c r="B1272" t="s">
        <v>49</v>
      </c>
      <c r="C1272" t="s">
        <v>73</v>
      </c>
      <c r="D1272" t="s">
        <v>94</v>
      </c>
      <c r="E1272" t="s">
        <v>112</v>
      </c>
      <c r="F1272" t="s">
        <v>146</v>
      </c>
      <c r="G1272" t="s">
        <v>172</v>
      </c>
      <c r="H1272" t="s">
        <v>207</v>
      </c>
      <c r="I1272" t="s">
        <v>226</v>
      </c>
      <c r="J1272" t="s">
        <v>246</v>
      </c>
      <c r="K1272" t="s">
        <v>259</v>
      </c>
      <c r="AK1272" t="s">
        <v>357</v>
      </c>
    </row>
    <row r="1273" spans="1:37">
      <c r="A1273" t="s">
        <v>38</v>
      </c>
      <c r="B1273" t="s">
        <v>50</v>
      </c>
      <c r="C1273" t="s">
        <v>74</v>
      </c>
      <c r="D1273" t="s">
        <v>95</v>
      </c>
      <c r="E1273" t="s">
        <v>113</v>
      </c>
      <c r="F1273" t="s">
        <v>147</v>
      </c>
      <c r="G1273" t="s">
        <v>173</v>
      </c>
      <c r="H1273" t="s">
        <v>208</v>
      </c>
      <c r="I1273" t="s">
        <v>227</v>
      </c>
      <c r="J1273" t="s">
        <v>115</v>
      </c>
      <c r="K1273" t="s">
        <v>260</v>
      </c>
      <c r="L1273" t="s">
        <v>273</v>
      </c>
      <c r="M1273" t="s">
        <v>282</v>
      </c>
      <c r="N1273" t="s">
        <v>291</v>
      </c>
      <c r="AK1273" t="s">
        <v>357</v>
      </c>
    </row>
    <row r="1274" spans="1:37">
      <c r="B1274" t="s">
        <v>51</v>
      </c>
      <c r="C1274" t="s">
        <v>75</v>
      </c>
      <c r="D1274" t="s">
        <v>52</v>
      </c>
      <c r="E1274" t="s">
        <v>114</v>
      </c>
      <c r="F1274" t="s">
        <v>148</v>
      </c>
      <c r="G1274" t="s">
        <v>148</v>
      </c>
      <c r="H1274" t="s">
        <v>209</v>
      </c>
      <c r="I1274" t="s">
        <v>228</v>
      </c>
      <c r="J1274" t="s">
        <v>247</v>
      </c>
      <c r="K1274" t="s">
        <v>261</v>
      </c>
      <c r="L1274" t="s">
        <v>274</v>
      </c>
      <c r="M1274" t="s">
        <v>283</v>
      </c>
      <c r="N1274" t="s">
        <v>292</v>
      </c>
      <c r="O1274" t="s">
        <v>300</v>
      </c>
      <c r="AK1274" t="s">
        <v>357</v>
      </c>
    </row>
    <row r="1275" spans="1:37">
      <c r="B1275" t="s">
        <v>52</v>
      </c>
      <c r="C1275" t="s">
        <v>76</v>
      </c>
      <c r="D1275" t="s">
        <v>96</v>
      </c>
      <c r="E1275" t="s">
        <v>115</v>
      </c>
      <c r="F1275" t="s">
        <v>149</v>
      </c>
      <c r="G1275" t="s">
        <v>174</v>
      </c>
      <c r="H1275" t="s">
        <v>96</v>
      </c>
      <c r="I1275" t="s">
        <v>229</v>
      </c>
      <c r="J1275" t="s">
        <v>248</v>
      </c>
      <c r="K1275" t="s">
        <v>262</v>
      </c>
      <c r="L1275" t="s">
        <v>52</v>
      </c>
      <c r="M1275" t="s">
        <v>76</v>
      </c>
      <c r="N1275" t="s">
        <v>293</v>
      </c>
      <c r="O1275" t="s">
        <v>301</v>
      </c>
      <c r="P1275" t="s">
        <v>309</v>
      </c>
      <c r="Q1275" t="s">
        <v>315</v>
      </c>
      <c r="R1275" t="s">
        <v>228</v>
      </c>
      <c r="S1275" t="s">
        <v>328</v>
      </c>
      <c r="T1275" t="s">
        <v>149</v>
      </c>
      <c r="U1275" t="s">
        <v>337</v>
      </c>
      <c r="V1275" t="s">
        <v>341</v>
      </c>
      <c r="W1275" t="s">
        <v>345</v>
      </c>
      <c r="X1275" t="s">
        <v>350</v>
      </c>
      <c r="AK1275" t="s">
        <v>357</v>
      </c>
    </row>
    <row r="1276" spans="1:37">
      <c r="B1276" t="s">
        <v>53</v>
      </c>
      <c r="C1276" t="s">
        <v>77</v>
      </c>
      <c r="D1276" t="s">
        <v>97</v>
      </c>
      <c r="E1276" t="s">
        <v>116</v>
      </c>
      <c r="F1276" t="s">
        <v>150</v>
      </c>
      <c r="G1276" t="s">
        <v>175</v>
      </c>
      <c r="H1276" t="s">
        <v>210</v>
      </c>
      <c r="I1276" t="s">
        <v>230</v>
      </c>
      <c r="J1276" t="s">
        <v>249</v>
      </c>
      <c r="K1276" t="s">
        <v>263</v>
      </c>
      <c r="L1276" t="s">
        <v>275</v>
      </c>
      <c r="M1276" t="s">
        <v>284</v>
      </c>
      <c r="N1276" t="s">
        <v>294</v>
      </c>
      <c r="O1276" t="s">
        <v>302</v>
      </c>
      <c r="P1276" t="s">
        <v>310</v>
      </c>
      <c r="Q1276" t="s">
        <v>316</v>
      </c>
      <c r="R1276" t="s">
        <v>322</v>
      </c>
      <c r="S1276" t="s">
        <v>329</v>
      </c>
      <c r="AK1276" t="s">
        <v>357</v>
      </c>
    </row>
    <row r="1277" spans="1:37">
      <c r="A1277" t="s">
        <v>39</v>
      </c>
      <c r="B1277" t="s">
        <v>54</v>
      </c>
      <c r="C1277" t="s">
        <v>54</v>
      </c>
      <c r="D1277" t="s">
        <v>54</v>
      </c>
      <c r="E1277" t="s">
        <v>54</v>
      </c>
      <c r="F1277" t="s">
        <v>54</v>
      </c>
      <c r="G1277" t="s">
        <v>54</v>
      </c>
      <c r="H1277" t="s">
        <v>54</v>
      </c>
      <c r="I1277" t="s">
        <v>54</v>
      </c>
      <c r="J1277" t="s">
        <v>54</v>
      </c>
      <c r="K1277" t="s">
        <v>54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 t="s">
        <v>323</v>
      </c>
      <c r="S1277" t="s">
        <v>330</v>
      </c>
      <c r="AK1277" t="s">
        <v>357</v>
      </c>
    </row>
    <row r="1278" spans="1:37">
      <c r="B1278" t="s">
        <v>55</v>
      </c>
      <c r="C1278" t="s">
        <v>78</v>
      </c>
      <c r="D1278" t="s">
        <v>55</v>
      </c>
      <c r="E1278" t="s">
        <v>78</v>
      </c>
      <c r="F1278" t="s">
        <v>55</v>
      </c>
      <c r="G1278" t="s">
        <v>78</v>
      </c>
      <c r="H1278" t="s">
        <v>55</v>
      </c>
      <c r="I1278" t="s">
        <v>78</v>
      </c>
      <c r="J1278" t="s">
        <v>55</v>
      </c>
      <c r="K1278" t="s">
        <v>78</v>
      </c>
      <c r="L1278" t="s">
        <v>55</v>
      </c>
      <c r="M1278" t="s">
        <v>78</v>
      </c>
      <c r="N1278" t="s">
        <v>55</v>
      </c>
      <c r="O1278" t="s">
        <v>78</v>
      </c>
      <c r="P1278" t="s">
        <v>55</v>
      </c>
      <c r="Q1278" t="s">
        <v>78</v>
      </c>
      <c r="R1278" t="s">
        <v>55</v>
      </c>
      <c r="S1278" t="s">
        <v>78</v>
      </c>
      <c r="T1278" t="s">
        <v>55</v>
      </c>
      <c r="U1278" t="s">
        <v>78</v>
      </c>
      <c r="V1278" t="s">
        <v>55</v>
      </c>
      <c r="W1278" t="s">
        <v>78</v>
      </c>
      <c r="X1278" t="s">
        <v>55</v>
      </c>
      <c r="Y1278" t="s">
        <v>78</v>
      </c>
      <c r="Z1278" t="s">
        <v>55</v>
      </c>
      <c r="AA1278" t="s">
        <v>78</v>
      </c>
      <c r="AB1278" t="s">
        <v>55</v>
      </c>
      <c r="AC1278" t="s">
        <v>78</v>
      </c>
      <c r="AD1278" t="s">
        <v>55</v>
      </c>
      <c r="AE1278" t="s">
        <v>78</v>
      </c>
      <c r="AF1278" t="s">
        <v>55</v>
      </c>
      <c r="AG1278" t="s">
        <v>78</v>
      </c>
      <c r="AH1278" t="s">
        <v>55</v>
      </c>
      <c r="AI1278" t="s">
        <v>78</v>
      </c>
      <c r="AK1278" t="s">
        <v>357</v>
      </c>
    </row>
    <row r="1279" spans="1:37">
      <c r="B1279" t="s">
        <v>56</v>
      </c>
      <c r="C1279" t="s">
        <v>56</v>
      </c>
      <c r="D1279" t="s">
        <v>56</v>
      </c>
      <c r="E1279" t="s">
        <v>56</v>
      </c>
      <c r="F1279" t="s">
        <v>56</v>
      </c>
      <c r="G1279" t="s">
        <v>176</v>
      </c>
      <c r="H1279" t="s">
        <v>211</v>
      </c>
      <c r="I1279" t="s">
        <v>231</v>
      </c>
      <c r="J1279" t="s">
        <v>250</v>
      </c>
      <c r="K1279" t="s">
        <v>264</v>
      </c>
      <c r="L1279" t="s">
        <v>276</v>
      </c>
      <c r="M1279" t="s">
        <v>285</v>
      </c>
      <c r="N1279" t="s">
        <v>295</v>
      </c>
      <c r="O1279" t="s">
        <v>303</v>
      </c>
      <c r="P1279" t="s">
        <v>56</v>
      </c>
      <c r="Q1279" t="s">
        <v>317</v>
      </c>
      <c r="R1279" t="s">
        <v>324</v>
      </c>
      <c r="S1279" t="s">
        <v>331</v>
      </c>
      <c r="T1279" t="s">
        <v>334</v>
      </c>
      <c r="U1279" t="s">
        <v>338</v>
      </c>
      <c r="V1279" t="s">
        <v>342</v>
      </c>
      <c r="W1279" t="s">
        <v>346</v>
      </c>
      <c r="X1279" t="s">
        <v>351</v>
      </c>
      <c r="AK1279" t="s">
        <v>357</v>
      </c>
    </row>
    <row r="1280" spans="1:37">
      <c r="B1280" t="s">
        <v>57</v>
      </c>
      <c r="C1280" t="s">
        <v>79</v>
      </c>
      <c r="D1280" t="s">
        <v>98</v>
      </c>
      <c r="E1280" t="s">
        <v>117</v>
      </c>
      <c r="F1280" t="s">
        <v>151</v>
      </c>
      <c r="G1280" t="s">
        <v>177</v>
      </c>
      <c r="H1280" t="s">
        <v>212</v>
      </c>
      <c r="I1280" t="s">
        <v>232</v>
      </c>
      <c r="J1280" t="s">
        <v>251</v>
      </c>
      <c r="K1280" t="s">
        <v>265</v>
      </c>
      <c r="L1280" t="s">
        <v>277</v>
      </c>
      <c r="M1280" t="s">
        <v>286</v>
      </c>
      <c r="N1280" t="s">
        <v>296</v>
      </c>
      <c r="O1280" t="s">
        <v>304</v>
      </c>
      <c r="P1280" t="s">
        <v>311</v>
      </c>
      <c r="Q1280" t="s">
        <v>318</v>
      </c>
      <c r="R1280" t="s">
        <v>185</v>
      </c>
      <c r="S1280" t="s">
        <v>159</v>
      </c>
      <c r="T1280" t="s">
        <v>185</v>
      </c>
      <c r="U1280" t="s">
        <v>339</v>
      </c>
      <c r="V1280" t="s">
        <v>72</v>
      </c>
      <c r="W1280" t="s">
        <v>347</v>
      </c>
      <c r="X1280" t="s">
        <v>72</v>
      </c>
      <c r="Y1280" t="s">
        <v>96</v>
      </c>
      <c r="AK1280" t="s">
        <v>357</v>
      </c>
    </row>
    <row r="1281" spans="1:37">
      <c r="B1281" t="s">
        <v>58</v>
      </c>
      <c r="C1281" t="s">
        <v>80</v>
      </c>
      <c r="D1281" t="s">
        <v>99</v>
      </c>
      <c r="E1281" t="s">
        <v>118</v>
      </c>
      <c r="F1281" t="s">
        <v>152</v>
      </c>
      <c r="G1281" t="s">
        <v>178</v>
      </c>
      <c r="H1281" t="s">
        <v>213</v>
      </c>
      <c r="I1281" t="s">
        <v>233</v>
      </c>
      <c r="J1281" t="s">
        <v>252</v>
      </c>
      <c r="K1281" t="s">
        <v>266</v>
      </c>
      <c r="L1281" t="s">
        <v>278</v>
      </c>
      <c r="M1281" t="s">
        <v>287</v>
      </c>
      <c r="N1281" t="s">
        <v>297</v>
      </c>
      <c r="O1281" t="s">
        <v>305</v>
      </c>
      <c r="P1281" t="s">
        <v>312</v>
      </c>
      <c r="Q1281" t="s">
        <v>319</v>
      </c>
      <c r="R1281">
        <f>&gt;10       ветра      1.4     14   7</f>
        <v>0</v>
      </c>
      <c r="AK1281" t="s">
        <v>357</v>
      </c>
    </row>
    <row r="1282" spans="1:37">
      <c r="A1282" t="s">
        <v>40</v>
      </c>
      <c r="B1282" t="s">
        <v>59</v>
      </c>
      <c r="C1282" t="s">
        <v>81</v>
      </c>
      <c r="D1282" t="s">
        <v>100</v>
      </c>
      <c r="E1282" t="s">
        <v>119</v>
      </c>
      <c r="F1282" t="s">
        <v>153</v>
      </c>
      <c r="G1282" t="s">
        <v>179</v>
      </c>
      <c r="H1282" t="s">
        <v>214</v>
      </c>
      <c r="I1282" t="s">
        <v>234</v>
      </c>
      <c r="AK1282" t="s">
        <v>357</v>
      </c>
    </row>
    <row r="1283" spans="1:37">
      <c r="A1283" t="s">
        <v>40</v>
      </c>
      <c r="B1283" t="s">
        <v>60</v>
      </c>
      <c r="C1283" t="s">
        <v>82</v>
      </c>
      <c r="D1283" t="s">
        <v>101</v>
      </c>
      <c r="E1283" t="s">
        <v>120</v>
      </c>
      <c r="F1283" t="s">
        <v>154</v>
      </c>
      <c r="G1283" t="s">
        <v>180</v>
      </c>
      <c r="H1283" t="s">
        <v>215</v>
      </c>
      <c r="I1283" t="s">
        <v>235</v>
      </c>
      <c r="J1283" t="s">
        <v>253</v>
      </c>
      <c r="K1283" t="s">
        <v>267</v>
      </c>
      <c r="L1283" t="s">
        <v>279</v>
      </c>
      <c r="M1283" t="s">
        <v>288</v>
      </c>
      <c r="N1283" t="s">
        <v>100</v>
      </c>
      <c r="O1283" t="s">
        <v>306</v>
      </c>
      <c r="P1283" t="s">
        <v>313</v>
      </c>
      <c r="Q1283" t="s">
        <v>320</v>
      </c>
      <c r="R1283" t="s">
        <v>325</v>
      </c>
      <c r="S1283" t="s">
        <v>332</v>
      </c>
      <c r="T1283" t="s">
        <v>119</v>
      </c>
      <c r="U1283" t="s">
        <v>234</v>
      </c>
      <c r="V1283" t="s">
        <v>343</v>
      </c>
      <c r="W1283" t="s">
        <v>348</v>
      </c>
      <c r="X1283" t="s">
        <v>352</v>
      </c>
      <c r="Y1283" t="s">
        <v>354</v>
      </c>
      <c r="AK1283" t="s">
        <v>357</v>
      </c>
    </row>
    <row r="1284" spans="1:37">
      <c r="A1284" t="s">
        <v>41</v>
      </c>
      <c r="B1284" t="s">
        <v>61</v>
      </c>
      <c r="C1284" t="s">
        <v>83</v>
      </c>
      <c r="D1284" t="s">
        <v>102</v>
      </c>
      <c r="E1284" t="s">
        <v>121</v>
      </c>
      <c r="F1284" t="s">
        <v>155</v>
      </c>
      <c r="G1284" t="s">
        <v>181</v>
      </c>
      <c r="H1284" t="s">
        <v>216</v>
      </c>
      <c r="I1284" t="s">
        <v>236</v>
      </c>
      <c r="AK1284" t="s">
        <v>357</v>
      </c>
    </row>
    <row r="1285" spans="1:37">
      <c r="A1285" t="s">
        <v>42</v>
      </c>
      <c r="B1285" t="s">
        <v>62</v>
      </c>
      <c r="C1285" t="s">
        <v>84</v>
      </c>
      <c r="D1285" t="s">
        <v>103</v>
      </c>
      <c r="E1285" t="s">
        <v>122</v>
      </c>
      <c r="F1285" t="s">
        <v>156</v>
      </c>
      <c r="G1285" t="s">
        <v>182</v>
      </c>
      <c r="H1285" t="s">
        <v>83</v>
      </c>
      <c r="I1285" t="s">
        <v>237</v>
      </c>
      <c r="J1285" t="s">
        <v>254</v>
      </c>
      <c r="K1285" t="s">
        <v>268</v>
      </c>
      <c r="L1285" t="s">
        <v>280</v>
      </c>
      <c r="M1285" t="s">
        <v>289</v>
      </c>
      <c r="N1285" t="s">
        <v>298</v>
      </c>
      <c r="O1285" t="s">
        <v>307</v>
      </c>
      <c r="P1285" t="s">
        <v>314</v>
      </c>
      <c r="Q1285" t="s">
        <v>216</v>
      </c>
      <c r="R1285" t="s">
        <v>326</v>
      </c>
      <c r="S1285" t="s">
        <v>333</v>
      </c>
      <c r="T1285" t="s">
        <v>335</v>
      </c>
      <c r="U1285" t="s">
        <v>340</v>
      </c>
      <c r="V1285" t="s">
        <v>344</v>
      </c>
      <c r="W1285" t="s">
        <v>349</v>
      </c>
      <c r="AK1285" t="s">
        <v>357</v>
      </c>
    </row>
    <row r="1286" spans="1:37">
      <c r="A1286" t="s">
        <v>43</v>
      </c>
      <c r="B1286" t="s">
        <v>63</v>
      </c>
      <c r="C1286" t="s">
        <v>85</v>
      </c>
      <c r="D1286" t="s">
        <v>104</v>
      </c>
      <c r="E1286" t="s">
        <v>123</v>
      </c>
      <c r="F1286" t="s">
        <v>157</v>
      </c>
      <c r="G1286" t="s">
        <v>183</v>
      </c>
      <c r="AK1286" t="s">
        <v>357</v>
      </c>
    </row>
    <row r="1287" spans="1:37">
      <c r="A1287" t="s">
        <v>44</v>
      </c>
      <c r="B1287" t="s">
        <v>64</v>
      </c>
      <c r="C1287" t="s">
        <v>86</v>
      </c>
      <c r="D1287" t="s">
        <v>105</v>
      </c>
      <c r="E1287" t="s">
        <v>124</v>
      </c>
      <c r="F1287" t="s">
        <v>158</v>
      </c>
      <c r="G1287" t="s">
        <v>184</v>
      </c>
      <c r="AK1287" t="s">
        <v>357</v>
      </c>
    </row>
    <row r="1288" spans="1:37">
      <c r="A1288" t="s">
        <v>45</v>
      </c>
      <c r="B1288" t="s">
        <v>65</v>
      </c>
      <c r="C1288" t="s">
        <v>87</v>
      </c>
      <c r="D1288" t="s">
        <v>106</v>
      </c>
      <c r="E1288" t="s">
        <v>125</v>
      </c>
      <c r="F1288" t="s">
        <v>159</v>
      </c>
      <c r="G1288" t="s">
        <v>185</v>
      </c>
      <c r="H1288" t="s">
        <v>159</v>
      </c>
      <c r="I1288" t="s">
        <v>185</v>
      </c>
      <c r="J1288" t="s">
        <v>255</v>
      </c>
      <c r="AK1288" t="s">
        <v>357</v>
      </c>
    </row>
    <row r="1289" spans="1:37">
      <c r="A1289" t="s">
        <v>46</v>
      </c>
      <c r="B1289" t="s">
        <v>66</v>
      </c>
      <c r="C1289" t="s">
        <v>88</v>
      </c>
      <c r="D1289" t="s">
        <v>76</v>
      </c>
      <c r="E1289" t="s">
        <v>126</v>
      </c>
      <c r="F1289" t="s">
        <v>160</v>
      </c>
      <c r="G1289" t="s">
        <v>186</v>
      </c>
      <c r="H1289" t="s">
        <v>217</v>
      </c>
      <c r="I1289" t="s">
        <v>238</v>
      </c>
      <c r="J1289" t="s">
        <v>256</v>
      </c>
      <c r="K1289" t="s">
        <v>265</v>
      </c>
      <c r="L1289" t="s">
        <v>281</v>
      </c>
      <c r="M1289" t="s">
        <v>290</v>
      </c>
      <c r="N1289" t="s">
        <v>299</v>
      </c>
      <c r="O1289" t="s">
        <v>308</v>
      </c>
      <c r="P1289" t="s">
        <v>228</v>
      </c>
      <c r="Q1289" t="s">
        <v>72</v>
      </c>
      <c r="R1289" t="s">
        <v>327</v>
      </c>
      <c r="S1289" t="s">
        <v>327</v>
      </c>
      <c r="T1289" t="s">
        <v>336</v>
      </c>
      <c r="U1289" t="s">
        <v>336</v>
      </c>
      <c r="V1289" t="s">
        <v>336</v>
      </c>
      <c r="W1289" t="s">
        <v>336</v>
      </c>
      <c r="X1289" t="s">
        <v>353</v>
      </c>
      <c r="AK1289" t="s">
        <v>357</v>
      </c>
    </row>
    <row r="1290" spans="1:37">
      <c r="A1290" t="s">
        <v>37</v>
      </c>
      <c r="B1290" t="s">
        <v>49</v>
      </c>
      <c r="C1290" t="s">
        <v>73</v>
      </c>
      <c r="D1290" t="s">
        <v>94</v>
      </c>
      <c r="E1290" t="s">
        <v>112</v>
      </c>
      <c r="F1290" t="s">
        <v>146</v>
      </c>
      <c r="G1290" t="s">
        <v>172</v>
      </c>
      <c r="H1290" t="s">
        <v>207</v>
      </c>
      <c r="I1290" t="s">
        <v>226</v>
      </c>
      <c r="J1290" t="s">
        <v>246</v>
      </c>
      <c r="K1290" t="s">
        <v>259</v>
      </c>
      <c r="AK1290" t="s">
        <v>357</v>
      </c>
    </row>
    <row r="1291" spans="1:37">
      <c r="A1291" t="s">
        <v>38</v>
      </c>
      <c r="B1291" t="s">
        <v>50</v>
      </c>
      <c r="C1291" t="s">
        <v>74</v>
      </c>
      <c r="D1291" t="s">
        <v>95</v>
      </c>
      <c r="E1291" t="s">
        <v>113</v>
      </c>
      <c r="F1291" t="s">
        <v>147</v>
      </c>
      <c r="G1291" t="s">
        <v>173</v>
      </c>
      <c r="H1291" t="s">
        <v>208</v>
      </c>
      <c r="I1291" t="s">
        <v>227</v>
      </c>
      <c r="J1291" t="s">
        <v>115</v>
      </c>
      <c r="K1291" t="s">
        <v>260</v>
      </c>
      <c r="L1291" t="s">
        <v>273</v>
      </c>
      <c r="M1291" t="s">
        <v>282</v>
      </c>
      <c r="N1291" t="s">
        <v>291</v>
      </c>
      <c r="AK1291" t="s">
        <v>357</v>
      </c>
    </row>
    <row r="1292" spans="1:37">
      <c r="B1292" t="s">
        <v>51</v>
      </c>
      <c r="C1292" t="s">
        <v>75</v>
      </c>
      <c r="D1292" t="s">
        <v>52</v>
      </c>
      <c r="E1292" t="s">
        <v>114</v>
      </c>
      <c r="F1292" t="s">
        <v>148</v>
      </c>
      <c r="G1292" t="s">
        <v>148</v>
      </c>
      <c r="H1292" t="s">
        <v>209</v>
      </c>
      <c r="I1292" t="s">
        <v>228</v>
      </c>
      <c r="J1292" t="s">
        <v>247</v>
      </c>
      <c r="K1292" t="s">
        <v>261</v>
      </c>
      <c r="L1292" t="s">
        <v>274</v>
      </c>
      <c r="M1292" t="s">
        <v>283</v>
      </c>
      <c r="N1292" t="s">
        <v>292</v>
      </c>
      <c r="O1292" t="s">
        <v>300</v>
      </c>
      <c r="AK1292" t="s">
        <v>357</v>
      </c>
    </row>
    <row r="1293" spans="1:37">
      <c r="B1293" t="s">
        <v>52</v>
      </c>
      <c r="C1293" t="s">
        <v>76</v>
      </c>
      <c r="D1293" t="s">
        <v>96</v>
      </c>
      <c r="E1293" t="s">
        <v>115</v>
      </c>
      <c r="F1293" t="s">
        <v>149</v>
      </c>
      <c r="G1293" t="s">
        <v>174</v>
      </c>
      <c r="H1293" t="s">
        <v>96</v>
      </c>
      <c r="I1293" t="s">
        <v>229</v>
      </c>
      <c r="J1293" t="s">
        <v>248</v>
      </c>
      <c r="K1293" t="s">
        <v>262</v>
      </c>
      <c r="L1293" t="s">
        <v>52</v>
      </c>
      <c r="M1293" t="s">
        <v>76</v>
      </c>
      <c r="N1293" t="s">
        <v>293</v>
      </c>
      <c r="O1293" t="s">
        <v>301</v>
      </c>
      <c r="P1293" t="s">
        <v>309</v>
      </c>
      <c r="Q1293" t="s">
        <v>315</v>
      </c>
      <c r="R1293" t="s">
        <v>228</v>
      </c>
      <c r="S1293" t="s">
        <v>328</v>
      </c>
      <c r="T1293" t="s">
        <v>149</v>
      </c>
      <c r="U1293" t="s">
        <v>337</v>
      </c>
      <c r="V1293" t="s">
        <v>341</v>
      </c>
      <c r="W1293" t="s">
        <v>345</v>
      </c>
      <c r="X1293" t="s">
        <v>350</v>
      </c>
      <c r="AK1293" t="s">
        <v>357</v>
      </c>
    </row>
    <row r="1294" spans="1:37">
      <c r="B1294" t="s">
        <v>53</v>
      </c>
      <c r="C1294" t="s">
        <v>77</v>
      </c>
      <c r="D1294" t="s">
        <v>97</v>
      </c>
      <c r="E1294" t="s">
        <v>116</v>
      </c>
      <c r="F1294" t="s">
        <v>150</v>
      </c>
      <c r="G1294" t="s">
        <v>175</v>
      </c>
      <c r="H1294" t="s">
        <v>210</v>
      </c>
      <c r="I1294" t="s">
        <v>230</v>
      </c>
      <c r="J1294" t="s">
        <v>249</v>
      </c>
      <c r="K1294" t="s">
        <v>263</v>
      </c>
      <c r="L1294" t="s">
        <v>275</v>
      </c>
      <c r="M1294" t="s">
        <v>284</v>
      </c>
      <c r="N1294" t="s">
        <v>294</v>
      </c>
      <c r="O1294" t="s">
        <v>302</v>
      </c>
      <c r="P1294" t="s">
        <v>310</v>
      </c>
      <c r="Q1294" t="s">
        <v>316</v>
      </c>
      <c r="R1294" t="s">
        <v>322</v>
      </c>
      <c r="S1294" t="s">
        <v>329</v>
      </c>
      <c r="AK1294" t="s">
        <v>357</v>
      </c>
    </row>
    <row r="1295" spans="1:37">
      <c r="A1295" t="s">
        <v>39</v>
      </c>
      <c r="B1295" t="s">
        <v>54</v>
      </c>
      <c r="C1295" t="s">
        <v>54</v>
      </c>
      <c r="D1295" t="s">
        <v>54</v>
      </c>
      <c r="E1295" t="s">
        <v>54</v>
      </c>
      <c r="F1295" t="s">
        <v>54</v>
      </c>
      <c r="G1295" t="s">
        <v>54</v>
      </c>
      <c r="H1295" t="s">
        <v>54</v>
      </c>
      <c r="I1295" t="s">
        <v>54</v>
      </c>
      <c r="J1295" t="s">
        <v>54</v>
      </c>
      <c r="K1295" t="s">
        <v>54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323</v>
      </c>
      <c r="S1295" t="s">
        <v>330</v>
      </c>
      <c r="AK1295" t="s">
        <v>357</v>
      </c>
    </row>
    <row r="1296" spans="1:37">
      <c r="B1296" t="s">
        <v>55</v>
      </c>
      <c r="C1296" t="s">
        <v>78</v>
      </c>
      <c r="D1296" t="s">
        <v>55</v>
      </c>
      <c r="E1296" t="s">
        <v>78</v>
      </c>
      <c r="F1296" t="s">
        <v>55</v>
      </c>
      <c r="G1296" t="s">
        <v>78</v>
      </c>
      <c r="H1296" t="s">
        <v>55</v>
      </c>
      <c r="I1296" t="s">
        <v>78</v>
      </c>
      <c r="J1296" t="s">
        <v>55</v>
      </c>
      <c r="K1296" t="s">
        <v>78</v>
      </c>
      <c r="L1296" t="s">
        <v>55</v>
      </c>
      <c r="M1296" t="s">
        <v>78</v>
      </c>
      <c r="N1296" t="s">
        <v>55</v>
      </c>
      <c r="O1296" t="s">
        <v>78</v>
      </c>
      <c r="P1296" t="s">
        <v>55</v>
      </c>
      <c r="Q1296" t="s">
        <v>78</v>
      </c>
      <c r="R1296" t="s">
        <v>55</v>
      </c>
      <c r="S1296" t="s">
        <v>78</v>
      </c>
      <c r="T1296" t="s">
        <v>55</v>
      </c>
      <c r="U1296" t="s">
        <v>78</v>
      </c>
      <c r="V1296" t="s">
        <v>55</v>
      </c>
      <c r="W1296" t="s">
        <v>78</v>
      </c>
      <c r="X1296" t="s">
        <v>55</v>
      </c>
      <c r="Y1296" t="s">
        <v>78</v>
      </c>
      <c r="Z1296" t="s">
        <v>55</v>
      </c>
      <c r="AA1296" t="s">
        <v>78</v>
      </c>
      <c r="AB1296" t="s">
        <v>55</v>
      </c>
      <c r="AC1296" t="s">
        <v>78</v>
      </c>
      <c r="AD1296" t="s">
        <v>55</v>
      </c>
      <c r="AE1296" t="s">
        <v>78</v>
      </c>
      <c r="AF1296" t="s">
        <v>55</v>
      </c>
      <c r="AG1296" t="s">
        <v>78</v>
      </c>
      <c r="AH1296" t="s">
        <v>55</v>
      </c>
      <c r="AI1296" t="s">
        <v>78</v>
      </c>
      <c r="AK1296" t="s">
        <v>357</v>
      </c>
    </row>
    <row r="1297" spans="1:37">
      <c r="B1297" t="s">
        <v>56</v>
      </c>
      <c r="C1297" t="s">
        <v>56</v>
      </c>
      <c r="D1297" t="s">
        <v>56</v>
      </c>
      <c r="E1297" t="s">
        <v>56</v>
      </c>
      <c r="F1297" t="s">
        <v>56</v>
      </c>
      <c r="G1297" t="s">
        <v>176</v>
      </c>
      <c r="H1297" t="s">
        <v>211</v>
      </c>
      <c r="I1297" t="s">
        <v>231</v>
      </c>
      <c r="J1297" t="s">
        <v>250</v>
      </c>
      <c r="K1297" t="s">
        <v>264</v>
      </c>
      <c r="L1297" t="s">
        <v>276</v>
      </c>
      <c r="M1297" t="s">
        <v>285</v>
      </c>
      <c r="N1297" t="s">
        <v>295</v>
      </c>
      <c r="O1297" t="s">
        <v>303</v>
      </c>
      <c r="P1297" t="s">
        <v>56</v>
      </c>
      <c r="Q1297" t="s">
        <v>317</v>
      </c>
      <c r="R1297" t="s">
        <v>324</v>
      </c>
      <c r="S1297" t="s">
        <v>331</v>
      </c>
      <c r="T1297" t="s">
        <v>334</v>
      </c>
      <c r="U1297" t="s">
        <v>338</v>
      </c>
      <c r="V1297" t="s">
        <v>342</v>
      </c>
      <c r="W1297" t="s">
        <v>346</v>
      </c>
      <c r="X1297" t="s">
        <v>351</v>
      </c>
      <c r="AK1297" t="s">
        <v>357</v>
      </c>
    </row>
    <row r="1298" spans="1:37">
      <c r="B1298" t="s">
        <v>57</v>
      </c>
      <c r="C1298" t="s">
        <v>79</v>
      </c>
      <c r="D1298" t="s">
        <v>98</v>
      </c>
      <c r="E1298" t="s">
        <v>117</v>
      </c>
      <c r="F1298" t="s">
        <v>151</v>
      </c>
      <c r="G1298" t="s">
        <v>177</v>
      </c>
      <c r="H1298" t="s">
        <v>212</v>
      </c>
      <c r="I1298" t="s">
        <v>232</v>
      </c>
      <c r="J1298" t="s">
        <v>251</v>
      </c>
      <c r="K1298" t="s">
        <v>265</v>
      </c>
      <c r="L1298" t="s">
        <v>277</v>
      </c>
      <c r="M1298" t="s">
        <v>286</v>
      </c>
      <c r="N1298" t="s">
        <v>296</v>
      </c>
      <c r="O1298" t="s">
        <v>304</v>
      </c>
      <c r="P1298" t="s">
        <v>311</v>
      </c>
      <c r="Q1298" t="s">
        <v>318</v>
      </c>
      <c r="R1298" t="s">
        <v>185</v>
      </c>
      <c r="S1298" t="s">
        <v>159</v>
      </c>
      <c r="T1298" t="s">
        <v>185</v>
      </c>
      <c r="U1298" t="s">
        <v>339</v>
      </c>
      <c r="V1298" t="s">
        <v>72</v>
      </c>
      <c r="W1298" t="s">
        <v>347</v>
      </c>
      <c r="X1298" t="s">
        <v>72</v>
      </c>
      <c r="Y1298" t="s">
        <v>96</v>
      </c>
      <c r="AK1298" t="s">
        <v>357</v>
      </c>
    </row>
    <row r="1299" spans="1:37">
      <c r="B1299" t="s">
        <v>58</v>
      </c>
      <c r="C1299" t="s">
        <v>80</v>
      </c>
      <c r="D1299" t="s">
        <v>99</v>
      </c>
      <c r="E1299" t="s">
        <v>118</v>
      </c>
      <c r="F1299" t="s">
        <v>152</v>
      </c>
      <c r="G1299" t="s">
        <v>178</v>
      </c>
      <c r="H1299" t="s">
        <v>213</v>
      </c>
      <c r="I1299" t="s">
        <v>233</v>
      </c>
      <c r="J1299" t="s">
        <v>252</v>
      </c>
      <c r="K1299" t="s">
        <v>266</v>
      </c>
      <c r="L1299" t="s">
        <v>278</v>
      </c>
      <c r="M1299" t="s">
        <v>287</v>
      </c>
      <c r="N1299" t="s">
        <v>297</v>
      </c>
      <c r="O1299" t="s">
        <v>305</v>
      </c>
      <c r="P1299" t="s">
        <v>312</v>
      </c>
      <c r="Q1299" t="s">
        <v>319</v>
      </c>
      <c r="R1299">
        <f>&gt;10       ветра      3.1     17   6</f>
        <v>0</v>
      </c>
      <c r="AK1299" t="s">
        <v>357</v>
      </c>
    </row>
    <row r="1300" spans="1:37">
      <c r="A1300" t="s">
        <v>40</v>
      </c>
      <c r="B1300" t="s">
        <v>59</v>
      </c>
      <c r="C1300" t="s">
        <v>81</v>
      </c>
      <c r="D1300" t="s">
        <v>100</v>
      </c>
      <c r="E1300" t="s">
        <v>119</v>
      </c>
      <c r="F1300" t="s">
        <v>153</v>
      </c>
      <c r="G1300" t="s">
        <v>179</v>
      </c>
      <c r="H1300" t="s">
        <v>214</v>
      </c>
      <c r="I1300" t="s">
        <v>234</v>
      </c>
      <c r="AK1300" t="s">
        <v>357</v>
      </c>
    </row>
    <row r="1301" spans="1:37">
      <c r="A1301" t="s">
        <v>40</v>
      </c>
      <c r="B1301" t="s">
        <v>60</v>
      </c>
      <c r="C1301" t="s">
        <v>82</v>
      </c>
      <c r="D1301" t="s">
        <v>101</v>
      </c>
      <c r="E1301" t="s">
        <v>120</v>
      </c>
      <c r="F1301" t="s">
        <v>154</v>
      </c>
      <c r="G1301" t="s">
        <v>180</v>
      </c>
      <c r="H1301" t="s">
        <v>215</v>
      </c>
      <c r="I1301" t="s">
        <v>235</v>
      </c>
      <c r="J1301" t="s">
        <v>253</v>
      </c>
      <c r="K1301" t="s">
        <v>267</v>
      </c>
      <c r="L1301" t="s">
        <v>279</v>
      </c>
      <c r="M1301" t="s">
        <v>288</v>
      </c>
      <c r="N1301" t="s">
        <v>100</v>
      </c>
      <c r="O1301" t="s">
        <v>306</v>
      </c>
      <c r="P1301" t="s">
        <v>313</v>
      </c>
      <c r="Q1301" t="s">
        <v>320</v>
      </c>
      <c r="R1301" t="s">
        <v>325</v>
      </c>
      <c r="S1301" t="s">
        <v>332</v>
      </c>
      <c r="T1301" t="s">
        <v>119</v>
      </c>
      <c r="U1301" t="s">
        <v>234</v>
      </c>
      <c r="V1301" t="s">
        <v>343</v>
      </c>
      <c r="W1301" t="s">
        <v>348</v>
      </c>
      <c r="X1301" t="s">
        <v>352</v>
      </c>
      <c r="Y1301" t="s">
        <v>354</v>
      </c>
      <c r="AK1301" t="s">
        <v>357</v>
      </c>
    </row>
    <row r="1302" spans="1:37">
      <c r="A1302" t="s">
        <v>41</v>
      </c>
      <c r="B1302" t="s">
        <v>61</v>
      </c>
      <c r="C1302" t="s">
        <v>83</v>
      </c>
      <c r="D1302" t="s">
        <v>102</v>
      </c>
      <c r="E1302" t="s">
        <v>121</v>
      </c>
      <c r="F1302" t="s">
        <v>155</v>
      </c>
      <c r="G1302" t="s">
        <v>181</v>
      </c>
      <c r="H1302" t="s">
        <v>216</v>
      </c>
      <c r="I1302" t="s">
        <v>236</v>
      </c>
      <c r="AK1302" t="s">
        <v>357</v>
      </c>
    </row>
    <row r="1303" spans="1:37">
      <c r="A1303" t="s">
        <v>42</v>
      </c>
      <c r="B1303" t="s">
        <v>62</v>
      </c>
      <c r="C1303" t="s">
        <v>84</v>
      </c>
      <c r="D1303" t="s">
        <v>103</v>
      </c>
      <c r="E1303" t="s">
        <v>122</v>
      </c>
      <c r="F1303" t="s">
        <v>156</v>
      </c>
      <c r="G1303" t="s">
        <v>182</v>
      </c>
      <c r="H1303" t="s">
        <v>83</v>
      </c>
      <c r="I1303" t="s">
        <v>237</v>
      </c>
      <c r="J1303" t="s">
        <v>254</v>
      </c>
      <c r="K1303" t="s">
        <v>268</v>
      </c>
      <c r="L1303" t="s">
        <v>280</v>
      </c>
      <c r="M1303" t="s">
        <v>289</v>
      </c>
      <c r="N1303" t="s">
        <v>298</v>
      </c>
      <c r="O1303" t="s">
        <v>307</v>
      </c>
      <c r="P1303" t="s">
        <v>314</v>
      </c>
      <c r="Q1303" t="s">
        <v>216</v>
      </c>
      <c r="R1303" t="s">
        <v>326</v>
      </c>
      <c r="S1303" t="s">
        <v>333</v>
      </c>
      <c r="T1303" t="s">
        <v>335</v>
      </c>
      <c r="U1303" t="s">
        <v>340</v>
      </c>
      <c r="V1303" t="s">
        <v>344</v>
      </c>
      <c r="W1303" t="s">
        <v>349</v>
      </c>
      <c r="AK1303" t="s">
        <v>357</v>
      </c>
    </row>
    <row r="1304" spans="1:37">
      <c r="A1304" t="s">
        <v>43</v>
      </c>
      <c r="B1304" t="s">
        <v>63</v>
      </c>
      <c r="C1304" t="s">
        <v>85</v>
      </c>
      <c r="D1304" t="s">
        <v>104</v>
      </c>
      <c r="E1304" t="s">
        <v>123</v>
      </c>
      <c r="F1304" t="s">
        <v>157</v>
      </c>
      <c r="G1304" t="s">
        <v>183</v>
      </c>
      <c r="AK1304" t="s">
        <v>357</v>
      </c>
    </row>
    <row r="1305" spans="1:37">
      <c r="A1305" t="s">
        <v>44</v>
      </c>
      <c r="B1305" t="s">
        <v>64</v>
      </c>
      <c r="C1305" t="s">
        <v>86</v>
      </c>
      <c r="D1305" t="s">
        <v>105</v>
      </c>
      <c r="E1305" t="s">
        <v>124</v>
      </c>
      <c r="F1305" t="s">
        <v>158</v>
      </c>
      <c r="G1305" t="s">
        <v>184</v>
      </c>
      <c r="AK1305" t="s">
        <v>357</v>
      </c>
    </row>
    <row r="1306" spans="1:37">
      <c r="A1306" t="s">
        <v>45</v>
      </c>
      <c r="B1306" t="s">
        <v>65</v>
      </c>
      <c r="C1306" t="s">
        <v>87</v>
      </c>
      <c r="D1306" t="s">
        <v>106</v>
      </c>
      <c r="E1306" t="s">
        <v>125</v>
      </c>
      <c r="F1306" t="s">
        <v>159</v>
      </c>
      <c r="G1306" t="s">
        <v>185</v>
      </c>
      <c r="H1306" t="s">
        <v>159</v>
      </c>
      <c r="I1306" t="s">
        <v>185</v>
      </c>
      <c r="J1306" t="s">
        <v>255</v>
      </c>
      <c r="AK1306" t="s">
        <v>357</v>
      </c>
    </row>
    <row r="1307" spans="1:37">
      <c r="A1307" t="s">
        <v>46</v>
      </c>
      <c r="B1307" t="s">
        <v>66</v>
      </c>
      <c r="C1307" t="s">
        <v>88</v>
      </c>
      <c r="D1307" t="s">
        <v>76</v>
      </c>
      <c r="E1307" t="s">
        <v>126</v>
      </c>
      <c r="F1307" t="s">
        <v>160</v>
      </c>
      <c r="G1307" t="s">
        <v>186</v>
      </c>
      <c r="H1307" t="s">
        <v>217</v>
      </c>
      <c r="I1307" t="s">
        <v>238</v>
      </c>
      <c r="J1307" t="s">
        <v>256</v>
      </c>
      <c r="K1307" t="s">
        <v>265</v>
      </c>
      <c r="L1307" t="s">
        <v>281</v>
      </c>
      <c r="M1307" t="s">
        <v>290</v>
      </c>
      <c r="N1307" t="s">
        <v>299</v>
      </c>
      <c r="O1307" t="s">
        <v>308</v>
      </c>
      <c r="P1307" t="s">
        <v>228</v>
      </c>
      <c r="Q1307" t="s">
        <v>72</v>
      </c>
      <c r="R1307" t="s">
        <v>327</v>
      </c>
      <c r="S1307" t="s">
        <v>327</v>
      </c>
      <c r="T1307" t="s">
        <v>336</v>
      </c>
      <c r="U1307" t="s">
        <v>336</v>
      </c>
      <c r="V1307" t="s">
        <v>336</v>
      </c>
      <c r="W1307" t="s">
        <v>336</v>
      </c>
      <c r="X1307" t="s">
        <v>353</v>
      </c>
      <c r="AK1307" t="s">
        <v>357</v>
      </c>
    </row>
    <row r="1308" spans="1:37">
      <c r="B1308" t="s">
        <v>67</v>
      </c>
      <c r="C1308" t="s">
        <v>89</v>
      </c>
      <c r="D1308" t="s">
        <v>107</v>
      </c>
      <c r="AK1308" t="s">
        <v>357</v>
      </c>
    </row>
    <row r="1309" spans="1:37">
      <c r="B1309" t="s">
        <v>68</v>
      </c>
      <c r="C1309" t="s">
        <v>90</v>
      </c>
      <c r="D1309" t="s">
        <v>108</v>
      </c>
      <c r="AK1309" t="s">
        <v>357</v>
      </c>
    </row>
    <row r="1310" spans="1:37">
      <c r="A1310" t="s">
        <v>47</v>
      </c>
      <c r="B1310" t="s">
        <v>69</v>
      </c>
      <c r="C1310" t="s">
        <v>91</v>
      </c>
      <c r="D1310" t="s">
        <v>109</v>
      </c>
      <c r="E1310" t="s">
        <v>109</v>
      </c>
      <c r="F1310" t="s">
        <v>109</v>
      </c>
      <c r="G1310" t="s">
        <v>109</v>
      </c>
      <c r="H1310" t="s">
        <v>109</v>
      </c>
      <c r="I1310" t="s">
        <v>239</v>
      </c>
      <c r="AK1310" t="s">
        <v>357</v>
      </c>
    </row>
    <row r="1311" spans="1:37">
      <c r="B1311" t="s">
        <v>70</v>
      </c>
      <c r="C1311" t="s">
        <v>92</v>
      </c>
      <c r="D1311" t="s">
        <v>110</v>
      </c>
      <c r="E1311" t="s">
        <v>127</v>
      </c>
      <c r="F1311" t="s">
        <v>161</v>
      </c>
      <c r="G1311" t="s">
        <v>187</v>
      </c>
      <c r="H1311" t="s">
        <v>218</v>
      </c>
      <c r="AK1311" t="s">
        <v>357</v>
      </c>
    </row>
    <row r="1312" spans="1:37">
      <c r="B1312" t="s">
        <v>71</v>
      </c>
      <c r="C1312" t="s">
        <v>93</v>
      </c>
      <c r="D1312" t="s">
        <v>111</v>
      </c>
      <c r="E1312" t="s">
        <v>128</v>
      </c>
      <c r="F1312" t="s">
        <v>162</v>
      </c>
      <c r="G1312" t="s">
        <v>188</v>
      </c>
      <c r="H1312" t="s">
        <v>219</v>
      </c>
      <c r="I1312" t="s">
        <v>240</v>
      </c>
      <c r="J1312" t="s">
        <v>257</v>
      </c>
      <c r="K1312" t="s">
        <v>269</v>
      </c>
      <c r="L1312" t="s">
        <v>109</v>
      </c>
      <c r="M1312" t="s">
        <v>109</v>
      </c>
      <c r="N1312" t="s">
        <v>109</v>
      </c>
      <c r="O1312" t="s">
        <v>109</v>
      </c>
      <c r="P1312" t="s">
        <v>109</v>
      </c>
      <c r="Q1312" t="s">
        <v>321</v>
      </c>
      <c r="AK1312" t="s">
        <v>357</v>
      </c>
    </row>
    <row r="1313" spans="1:37">
      <c r="A1313" t="s">
        <v>48</v>
      </c>
      <c r="B1313" t="s">
        <v>71</v>
      </c>
      <c r="C1313" t="s">
        <v>93</v>
      </c>
      <c r="D1313" t="s">
        <v>111</v>
      </c>
      <c r="E1313" t="s">
        <v>128</v>
      </c>
      <c r="F1313" t="s">
        <v>163</v>
      </c>
      <c r="G1313" t="s">
        <v>189</v>
      </c>
      <c r="H1313" t="s">
        <v>220</v>
      </c>
      <c r="I1313" t="s">
        <v>241</v>
      </c>
      <c r="J1313" t="s">
        <v>258</v>
      </c>
      <c r="K1313" t="s">
        <v>270</v>
      </c>
      <c r="AK1313" t="s">
        <v>357</v>
      </c>
    </row>
    <row r="1314" spans="1:37">
      <c r="B1314" t="s">
        <v>72</v>
      </c>
      <c r="C1314" t="s">
        <v>72</v>
      </c>
      <c r="D1314" t="s">
        <v>72</v>
      </c>
      <c r="E1314" t="s">
        <v>129</v>
      </c>
      <c r="F1314" t="s">
        <v>129</v>
      </c>
      <c r="G1314" t="s">
        <v>191</v>
      </c>
      <c r="H1314" t="s">
        <v>191</v>
      </c>
      <c r="I1314" t="s">
        <v>190</v>
      </c>
      <c r="J1314" t="s">
        <v>192</v>
      </c>
      <c r="K1314" t="s">
        <v>271</v>
      </c>
      <c r="AK1314" t="s">
        <v>357</v>
      </c>
    </row>
    <row r="1315" spans="1:37">
      <c r="A1315" t="s">
        <v>37</v>
      </c>
      <c r="B1315" t="s">
        <v>49</v>
      </c>
      <c r="C1315" t="s">
        <v>73</v>
      </c>
      <c r="D1315" t="s">
        <v>94</v>
      </c>
      <c r="E1315" t="s">
        <v>112</v>
      </c>
      <c r="F1315" t="s">
        <v>146</v>
      </c>
      <c r="G1315" t="s">
        <v>172</v>
      </c>
      <c r="H1315" t="s">
        <v>207</v>
      </c>
      <c r="I1315" t="s">
        <v>226</v>
      </c>
      <c r="J1315" t="s">
        <v>246</v>
      </c>
      <c r="K1315" t="s">
        <v>259</v>
      </c>
      <c r="AK1315" t="s">
        <v>357</v>
      </c>
    </row>
    <row r="1316" spans="1:37">
      <c r="A1316" t="s">
        <v>38</v>
      </c>
      <c r="B1316" t="s">
        <v>50</v>
      </c>
      <c r="C1316" t="s">
        <v>74</v>
      </c>
      <c r="D1316" t="s">
        <v>95</v>
      </c>
      <c r="E1316" t="s">
        <v>113</v>
      </c>
      <c r="F1316" t="s">
        <v>147</v>
      </c>
      <c r="G1316" t="s">
        <v>173</v>
      </c>
      <c r="H1316" t="s">
        <v>208</v>
      </c>
      <c r="I1316" t="s">
        <v>227</v>
      </c>
      <c r="J1316" t="s">
        <v>115</v>
      </c>
      <c r="K1316" t="s">
        <v>260</v>
      </c>
      <c r="L1316" t="s">
        <v>273</v>
      </c>
      <c r="M1316" t="s">
        <v>282</v>
      </c>
      <c r="N1316" t="s">
        <v>291</v>
      </c>
      <c r="AK1316" t="s">
        <v>357</v>
      </c>
    </row>
    <row r="1317" spans="1:37">
      <c r="B1317" t="s">
        <v>51</v>
      </c>
      <c r="C1317" t="s">
        <v>75</v>
      </c>
      <c r="D1317" t="s">
        <v>52</v>
      </c>
      <c r="E1317" t="s">
        <v>114</v>
      </c>
      <c r="F1317" t="s">
        <v>148</v>
      </c>
      <c r="G1317" t="s">
        <v>148</v>
      </c>
      <c r="H1317" t="s">
        <v>209</v>
      </c>
      <c r="I1317" t="s">
        <v>228</v>
      </c>
      <c r="J1317" t="s">
        <v>247</v>
      </c>
      <c r="K1317" t="s">
        <v>261</v>
      </c>
      <c r="L1317" t="s">
        <v>274</v>
      </c>
      <c r="M1317" t="s">
        <v>283</v>
      </c>
      <c r="N1317" t="s">
        <v>292</v>
      </c>
      <c r="O1317" t="s">
        <v>300</v>
      </c>
      <c r="AK1317" t="s">
        <v>357</v>
      </c>
    </row>
    <row r="1318" spans="1:37">
      <c r="B1318" t="s">
        <v>52</v>
      </c>
      <c r="C1318" t="s">
        <v>76</v>
      </c>
      <c r="D1318" t="s">
        <v>96</v>
      </c>
      <c r="E1318" t="s">
        <v>115</v>
      </c>
      <c r="F1318" t="s">
        <v>149</v>
      </c>
      <c r="G1318" t="s">
        <v>174</v>
      </c>
      <c r="H1318" t="s">
        <v>96</v>
      </c>
      <c r="I1318" t="s">
        <v>229</v>
      </c>
      <c r="J1318" t="s">
        <v>248</v>
      </c>
      <c r="K1318" t="s">
        <v>262</v>
      </c>
      <c r="L1318" t="s">
        <v>52</v>
      </c>
      <c r="M1318" t="s">
        <v>76</v>
      </c>
      <c r="N1318" t="s">
        <v>293</v>
      </c>
      <c r="O1318" t="s">
        <v>301</v>
      </c>
      <c r="P1318" t="s">
        <v>309</v>
      </c>
      <c r="Q1318" t="s">
        <v>315</v>
      </c>
      <c r="R1318" t="s">
        <v>228</v>
      </c>
      <c r="S1318" t="s">
        <v>328</v>
      </c>
      <c r="T1318" t="s">
        <v>149</v>
      </c>
      <c r="U1318" t="s">
        <v>337</v>
      </c>
      <c r="V1318" t="s">
        <v>341</v>
      </c>
      <c r="W1318" t="s">
        <v>345</v>
      </c>
      <c r="X1318" t="s">
        <v>350</v>
      </c>
      <c r="AK1318" t="s">
        <v>357</v>
      </c>
    </row>
    <row r="1319" spans="1:37">
      <c r="B1319" t="s">
        <v>53</v>
      </c>
      <c r="C1319" t="s">
        <v>77</v>
      </c>
      <c r="D1319" t="s">
        <v>97</v>
      </c>
      <c r="E1319" t="s">
        <v>116</v>
      </c>
      <c r="F1319" t="s">
        <v>150</v>
      </c>
      <c r="G1319" t="s">
        <v>175</v>
      </c>
      <c r="H1319" t="s">
        <v>210</v>
      </c>
      <c r="I1319" t="s">
        <v>230</v>
      </c>
      <c r="J1319" t="s">
        <v>249</v>
      </c>
      <c r="K1319" t="s">
        <v>263</v>
      </c>
      <c r="L1319" t="s">
        <v>275</v>
      </c>
      <c r="M1319" t="s">
        <v>284</v>
      </c>
      <c r="N1319" t="s">
        <v>294</v>
      </c>
      <c r="O1319" t="s">
        <v>302</v>
      </c>
      <c r="P1319" t="s">
        <v>310</v>
      </c>
      <c r="Q1319" t="s">
        <v>316</v>
      </c>
      <c r="R1319" t="s">
        <v>322</v>
      </c>
      <c r="S1319" t="s">
        <v>329</v>
      </c>
      <c r="AK1319" t="s">
        <v>357</v>
      </c>
    </row>
    <row r="1320" spans="1:37">
      <c r="A1320" t="s">
        <v>39</v>
      </c>
      <c r="B1320" t="s">
        <v>54</v>
      </c>
      <c r="C1320" t="s">
        <v>54</v>
      </c>
      <c r="D1320" t="s">
        <v>54</v>
      </c>
      <c r="E1320" t="s">
        <v>54</v>
      </c>
      <c r="F1320" t="s">
        <v>54</v>
      </c>
      <c r="G1320" t="s">
        <v>54</v>
      </c>
      <c r="H1320" t="s">
        <v>54</v>
      </c>
      <c r="I1320" t="s">
        <v>54</v>
      </c>
      <c r="J1320" t="s">
        <v>54</v>
      </c>
      <c r="K1320" t="s">
        <v>54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 t="s">
        <v>323</v>
      </c>
      <c r="S1320" t="s">
        <v>330</v>
      </c>
      <c r="AK1320" t="s">
        <v>357</v>
      </c>
    </row>
    <row r="1321" spans="1:37">
      <c r="B1321" t="s">
        <v>55</v>
      </c>
      <c r="C1321" t="s">
        <v>78</v>
      </c>
      <c r="D1321" t="s">
        <v>55</v>
      </c>
      <c r="E1321" t="s">
        <v>78</v>
      </c>
      <c r="F1321" t="s">
        <v>55</v>
      </c>
      <c r="G1321" t="s">
        <v>78</v>
      </c>
      <c r="H1321" t="s">
        <v>55</v>
      </c>
      <c r="I1321" t="s">
        <v>78</v>
      </c>
      <c r="J1321" t="s">
        <v>55</v>
      </c>
      <c r="K1321" t="s">
        <v>78</v>
      </c>
      <c r="L1321" t="s">
        <v>55</v>
      </c>
      <c r="M1321" t="s">
        <v>78</v>
      </c>
      <c r="N1321" t="s">
        <v>55</v>
      </c>
      <c r="O1321" t="s">
        <v>78</v>
      </c>
      <c r="P1321" t="s">
        <v>55</v>
      </c>
      <c r="Q1321" t="s">
        <v>78</v>
      </c>
      <c r="R1321" t="s">
        <v>55</v>
      </c>
      <c r="S1321" t="s">
        <v>78</v>
      </c>
      <c r="T1321" t="s">
        <v>55</v>
      </c>
      <c r="U1321" t="s">
        <v>78</v>
      </c>
      <c r="V1321" t="s">
        <v>55</v>
      </c>
      <c r="W1321" t="s">
        <v>78</v>
      </c>
      <c r="X1321" t="s">
        <v>55</v>
      </c>
      <c r="Y1321" t="s">
        <v>78</v>
      </c>
      <c r="Z1321" t="s">
        <v>55</v>
      </c>
      <c r="AA1321" t="s">
        <v>78</v>
      </c>
      <c r="AB1321" t="s">
        <v>55</v>
      </c>
      <c r="AC1321" t="s">
        <v>78</v>
      </c>
      <c r="AD1321" t="s">
        <v>55</v>
      </c>
      <c r="AE1321" t="s">
        <v>78</v>
      </c>
      <c r="AF1321" t="s">
        <v>55</v>
      </c>
      <c r="AG1321" t="s">
        <v>78</v>
      </c>
      <c r="AH1321" t="s">
        <v>55</v>
      </c>
      <c r="AI1321" t="s">
        <v>78</v>
      </c>
      <c r="AK1321" t="s">
        <v>357</v>
      </c>
    </row>
    <row r="1322" spans="1:37">
      <c r="B1322" t="s">
        <v>56</v>
      </c>
      <c r="C1322" t="s">
        <v>56</v>
      </c>
      <c r="D1322" t="s">
        <v>56</v>
      </c>
      <c r="E1322" t="s">
        <v>56</v>
      </c>
      <c r="F1322" t="s">
        <v>56</v>
      </c>
      <c r="G1322" t="s">
        <v>176</v>
      </c>
      <c r="H1322" t="s">
        <v>211</v>
      </c>
      <c r="I1322" t="s">
        <v>231</v>
      </c>
      <c r="J1322" t="s">
        <v>250</v>
      </c>
      <c r="K1322" t="s">
        <v>264</v>
      </c>
      <c r="L1322" t="s">
        <v>276</v>
      </c>
      <c r="M1322" t="s">
        <v>285</v>
      </c>
      <c r="N1322" t="s">
        <v>295</v>
      </c>
      <c r="O1322" t="s">
        <v>303</v>
      </c>
      <c r="P1322" t="s">
        <v>56</v>
      </c>
      <c r="Q1322" t="s">
        <v>317</v>
      </c>
      <c r="R1322" t="s">
        <v>324</v>
      </c>
      <c r="S1322" t="s">
        <v>331</v>
      </c>
      <c r="T1322" t="s">
        <v>334</v>
      </c>
      <c r="U1322" t="s">
        <v>338</v>
      </c>
      <c r="V1322" t="s">
        <v>342</v>
      </c>
      <c r="W1322" t="s">
        <v>346</v>
      </c>
      <c r="X1322" t="s">
        <v>351</v>
      </c>
      <c r="AK1322" t="s">
        <v>357</v>
      </c>
    </row>
    <row r="1323" spans="1:37">
      <c r="B1323" t="s">
        <v>57</v>
      </c>
      <c r="C1323" t="s">
        <v>79</v>
      </c>
      <c r="D1323" t="s">
        <v>98</v>
      </c>
      <c r="E1323" t="s">
        <v>117</v>
      </c>
      <c r="F1323" t="s">
        <v>151</v>
      </c>
      <c r="G1323" t="s">
        <v>177</v>
      </c>
      <c r="H1323" t="s">
        <v>212</v>
      </c>
      <c r="I1323" t="s">
        <v>232</v>
      </c>
      <c r="J1323" t="s">
        <v>251</v>
      </c>
      <c r="K1323" t="s">
        <v>265</v>
      </c>
      <c r="L1323" t="s">
        <v>277</v>
      </c>
      <c r="M1323" t="s">
        <v>286</v>
      </c>
      <c r="N1323" t="s">
        <v>296</v>
      </c>
      <c r="O1323" t="s">
        <v>304</v>
      </c>
      <c r="P1323" t="s">
        <v>311</v>
      </c>
      <c r="Q1323" t="s">
        <v>318</v>
      </c>
      <c r="R1323" t="s">
        <v>185</v>
      </c>
      <c r="S1323" t="s">
        <v>159</v>
      </c>
      <c r="T1323" t="s">
        <v>185</v>
      </c>
      <c r="U1323" t="s">
        <v>339</v>
      </c>
      <c r="V1323" t="s">
        <v>72</v>
      </c>
      <c r="W1323" t="s">
        <v>347</v>
      </c>
      <c r="X1323" t="s">
        <v>72</v>
      </c>
      <c r="Y1323" t="s">
        <v>96</v>
      </c>
      <c r="AK1323" t="s">
        <v>357</v>
      </c>
    </row>
    <row r="1324" spans="1:37">
      <c r="B1324" t="s">
        <v>58</v>
      </c>
      <c r="C1324" t="s">
        <v>80</v>
      </c>
      <c r="D1324" t="s">
        <v>99</v>
      </c>
      <c r="E1324" t="s">
        <v>118</v>
      </c>
      <c r="F1324" t="s">
        <v>152</v>
      </c>
      <c r="G1324" t="s">
        <v>178</v>
      </c>
      <c r="H1324" t="s">
        <v>213</v>
      </c>
      <c r="I1324" t="s">
        <v>233</v>
      </c>
      <c r="J1324" t="s">
        <v>252</v>
      </c>
      <c r="K1324" t="s">
        <v>266</v>
      </c>
      <c r="L1324" t="s">
        <v>278</v>
      </c>
      <c r="M1324" t="s">
        <v>287</v>
      </c>
      <c r="N1324" t="s">
        <v>297</v>
      </c>
      <c r="O1324" t="s">
        <v>305</v>
      </c>
      <c r="P1324" t="s">
        <v>312</v>
      </c>
      <c r="Q1324" t="s">
        <v>319</v>
      </c>
      <c r="R1324">
        <f>&gt;10       ветра      2.6     23   7</f>
        <v>0</v>
      </c>
      <c r="AK1324" t="s">
        <v>357</v>
      </c>
    </row>
    <row r="1325" spans="1:37">
      <c r="A1325" t="s">
        <v>40</v>
      </c>
      <c r="B1325" t="s">
        <v>59</v>
      </c>
      <c r="C1325" t="s">
        <v>81</v>
      </c>
      <c r="D1325" t="s">
        <v>100</v>
      </c>
      <c r="E1325" t="s">
        <v>119</v>
      </c>
      <c r="F1325" t="s">
        <v>153</v>
      </c>
      <c r="G1325" t="s">
        <v>179</v>
      </c>
      <c r="H1325" t="s">
        <v>214</v>
      </c>
      <c r="I1325" t="s">
        <v>234</v>
      </c>
      <c r="AK1325" t="s">
        <v>357</v>
      </c>
    </row>
    <row r="1326" spans="1:37">
      <c r="A1326" t="s">
        <v>40</v>
      </c>
      <c r="B1326" t="s">
        <v>60</v>
      </c>
      <c r="C1326" t="s">
        <v>82</v>
      </c>
      <c r="D1326" t="s">
        <v>101</v>
      </c>
      <c r="E1326" t="s">
        <v>120</v>
      </c>
      <c r="F1326" t="s">
        <v>154</v>
      </c>
      <c r="G1326" t="s">
        <v>180</v>
      </c>
      <c r="H1326" t="s">
        <v>215</v>
      </c>
      <c r="I1326" t="s">
        <v>235</v>
      </c>
      <c r="J1326" t="s">
        <v>253</v>
      </c>
      <c r="K1326" t="s">
        <v>267</v>
      </c>
      <c r="L1326" t="s">
        <v>279</v>
      </c>
      <c r="M1326" t="s">
        <v>288</v>
      </c>
      <c r="N1326" t="s">
        <v>100</v>
      </c>
      <c r="O1326" t="s">
        <v>306</v>
      </c>
      <c r="P1326" t="s">
        <v>313</v>
      </c>
      <c r="Q1326" t="s">
        <v>320</v>
      </c>
      <c r="R1326" t="s">
        <v>325</v>
      </c>
      <c r="S1326" t="s">
        <v>332</v>
      </c>
      <c r="T1326" t="s">
        <v>119</v>
      </c>
      <c r="U1326" t="s">
        <v>234</v>
      </c>
      <c r="V1326" t="s">
        <v>343</v>
      </c>
      <c r="W1326" t="s">
        <v>348</v>
      </c>
      <c r="X1326" t="s">
        <v>352</v>
      </c>
      <c r="Y1326" t="s">
        <v>354</v>
      </c>
      <c r="AK1326" t="s">
        <v>357</v>
      </c>
    </row>
    <row r="1327" spans="1:37">
      <c r="A1327" t="s">
        <v>41</v>
      </c>
      <c r="B1327" t="s">
        <v>61</v>
      </c>
      <c r="C1327" t="s">
        <v>83</v>
      </c>
      <c r="D1327" t="s">
        <v>102</v>
      </c>
      <c r="E1327" t="s">
        <v>121</v>
      </c>
      <c r="F1327" t="s">
        <v>155</v>
      </c>
      <c r="G1327" t="s">
        <v>181</v>
      </c>
      <c r="H1327" t="s">
        <v>216</v>
      </c>
      <c r="I1327" t="s">
        <v>236</v>
      </c>
      <c r="AK1327" t="s">
        <v>357</v>
      </c>
    </row>
    <row r="1328" spans="1:37">
      <c r="A1328" t="s">
        <v>42</v>
      </c>
      <c r="B1328" t="s">
        <v>62</v>
      </c>
      <c r="C1328" t="s">
        <v>84</v>
      </c>
      <c r="D1328" t="s">
        <v>103</v>
      </c>
      <c r="E1328" t="s">
        <v>122</v>
      </c>
      <c r="F1328" t="s">
        <v>156</v>
      </c>
      <c r="G1328" t="s">
        <v>182</v>
      </c>
      <c r="H1328" t="s">
        <v>83</v>
      </c>
      <c r="I1328" t="s">
        <v>237</v>
      </c>
      <c r="J1328" t="s">
        <v>254</v>
      </c>
      <c r="K1328" t="s">
        <v>268</v>
      </c>
      <c r="L1328" t="s">
        <v>280</v>
      </c>
      <c r="M1328" t="s">
        <v>289</v>
      </c>
      <c r="N1328" t="s">
        <v>298</v>
      </c>
      <c r="O1328" t="s">
        <v>307</v>
      </c>
      <c r="P1328" t="s">
        <v>314</v>
      </c>
      <c r="Q1328" t="s">
        <v>216</v>
      </c>
      <c r="R1328" t="s">
        <v>326</v>
      </c>
      <c r="S1328" t="s">
        <v>333</v>
      </c>
      <c r="T1328" t="s">
        <v>335</v>
      </c>
      <c r="U1328" t="s">
        <v>340</v>
      </c>
      <c r="V1328" t="s">
        <v>344</v>
      </c>
      <c r="W1328" t="s">
        <v>349</v>
      </c>
      <c r="AK1328" t="s">
        <v>357</v>
      </c>
    </row>
    <row r="1329" spans="1:37">
      <c r="A1329" t="s">
        <v>43</v>
      </c>
      <c r="B1329" t="s">
        <v>63</v>
      </c>
      <c r="C1329" t="s">
        <v>85</v>
      </c>
      <c r="D1329" t="s">
        <v>104</v>
      </c>
      <c r="E1329" t="s">
        <v>123</v>
      </c>
      <c r="F1329" t="s">
        <v>157</v>
      </c>
      <c r="G1329" t="s">
        <v>183</v>
      </c>
      <c r="AK1329" t="s">
        <v>357</v>
      </c>
    </row>
    <row r="1330" spans="1:37">
      <c r="A1330" t="s">
        <v>44</v>
      </c>
      <c r="B1330" t="s">
        <v>64</v>
      </c>
      <c r="C1330" t="s">
        <v>86</v>
      </c>
      <c r="D1330" t="s">
        <v>105</v>
      </c>
      <c r="E1330" t="s">
        <v>124</v>
      </c>
      <c r="F1330" t="s">
        <v>158</v>
      </c>
      <c r="G1330" t="s">
        <v>184</v>
      </c>
      <c r="AK1330" t="s">
        <v>357</v>
      </c>
    </row>
    <row r="1331" spans="1:37">
      <c r="A1331" t="s">
        <v>45</v>
      </c>
      <c r="B1331" t="s">
        <v>65</v>
      </c>
      <c r="C1331" t="s">
        <v>87</v>
      </c>
      <c r="D1331" t="s">
        <v>106</v>
      </c>
      <c r="E1331" t="s">
        <v>125</v>
      </c>
      <c r="F1331" t="s">
        <v>159</v>
      </c>
      <c r="G1331" t="s">
        <v>185</v>
      </c>
      <c r="H1331" t="s">
        <v>159</v>
      </c>
      <c r="I1331" t="s">
        <v>185</v>
      </c>
      <c r="J1331" t="s">
        <v>255</v>
      </c>
      <c r="AK1331" t="s">
        <v>357</v>
      </c>
    </row>
    <row r="1332" spans="1:37">
      <c r="A1332" t="s">
        <v>46</v>
      </c>
      <c r="B1332" t="s">
        <v>66</v>
      </c>
      <c r="C1332" t="s">
        <v>88</v>
      </c>
      <c r="D1332" t="s">
        <v>76</v>
      </c>
      <c r="E1332" t="s">
        <v>126</v>
      </c>
      <c r="F1332" t="s">
        <v>160</v>
      </c>
      <c r="G1332" t="s">
        <v>186</v>
      </c>
      <c r="H1332" t="s">
        <v>217</v>
      </c>
      <c r="I1332" t="s">
        <v>238</v>
      </c>
      <c r="J1332" t="s">
        <v>256</v>
      </c>
      <c r="K1332" t="s">
        <v>265</v>
      </c>
      <c r="L1332" t="s">
        <v>281</v>
      </c>
      <c r="M1332" t="s">
        <v>290</v>
      </c>
      <c r="N1332" t="s">
        <v>299</v>
      </c>
      <c r="O1332" t="s">
        <v>308</v>
      </c>
      <c r="P1332" t="s">
        <v>228</v>
      </c>
      <c r="Q1332" t="s">
        <v>72</v>
      </c>
      <c r="R1332" t="s">
        <v>327</v>
      </c>
      <c r="S1332" t="s">
        <v>327</v>
      </c>
      <c r="T1332" t="s">
        <v>336</v>
      </c>
      <c r="U1332" t="s">
        <v>336</v>
      </c>
      <c r="V1332" t="s">
        <v>336</v>
      </c>
      <c r="W1332" t="s">
        <v>336</v>
      </c>
      <c r="X1332" t="s">
        <v>353</v>
      </c>
      <c r="AK1332" t="s">
        <v>357</v>
      </c>
    </row>
    <row r="1333" spans="1:37">
      <c r="A1333" t="s">
        <v>37</v>
      </c>
      <c r="B1333" t="s">
        <v>49</v>
      </c>
      <c r="C1333" t="s">
        <v>73</v>
      </c>
      <c r="D1333" t="s">
        <v>94</v>
      </c>
      <c r="E1333" t="s">
        <v>112</v>
      </c>
      <c r="F1333" t="s">
        <v>146</v>
      </c>
      <c r="G1333" t="s">
        <v>172</v>
      </c>
      <c r="H1333" t="s">
        <v>207</v>
      </c>
      <c r="I1333" t="s">
        <v>226</v>
      </c>
      <c r="J1333" t="s">
        <v>246</v>
      </c>
      <c r="K1333" t="s">
        <v>259</v>
      </c>
      <c r="AK1333" t="s">
        <v>357</v>
      </c>
    </row>
    <row r="1334" spans="1:37">
      <c r="A1334" t="s">
        <v>38</v>
      </c>
      <c r="B1334" t="s">
        <v>50</v>
      </c>
      <c r="C1334" t="s">
        <v>74</v>
      </c>
      <c r="D1334" t="s">
        <v>95</v>
      </c>
      <c r="E1334" t="s">
        <v>113</v>
      </c>
      <c r="F1334" t="s">
        <v>147</v>
      </c>
      <c r="G1334" t="s">
        <v>173</v>
      </c>
      <c r="H1334" t="s">
        <v>208</v>
      </c>
      <c r="I1334" t="s">
        <v>227</v>
      </c>
      <c r="J1334" t="s">
        <v>115</v>
      </c>
      <c r="K1334" t="s">
        <v>260</v>
      </c>
      <c r="L1334" t="s">
        <v>273</v>
      </c>
      <c r="M1334" t="s">
        <v>282</v>
      </c>
      <c r="N1334" t="s">
        <v>291</v>
      </c>
      <c r="AK1334" t="s">
        <v>357</v>
      </c>
    </row>
    <row r="1335" spans="1:37">
      <c r="B1335" t="s">
        <v>51</v>
      </c>
      <c r="C1335" t="s">
        <v>75</v>
      </c>
      <c r="D1335" t="s">
        <v>52</v>
      </c>
      <c r="E1335" t="s">
        <v>114</v>
      </c>
      <c r="F1335" t="s">
        <v>148</v>
      </c>
      <c r="G1335" t="s">
        <v>148</v>
      </c>
      <c r="H1335" t="s">
        <v>209</v>
      </c>
      <c r="I1335" t="s">
        <v>228</v>
      </c>
      <c r="J1335" t="s">
        <v>247</v>
      </c>
      <c r="K1335" t="s">
        <v>261</v>
      </c>
      <c r="L1335" t="s">
        <v>274</v>
      </c>
      <c r="M1335" t="s">
        <v>283</v>
      </c>
      <c r="N1335" t="s">
        <v>292</v>
      </c>
      <c r="O1335" t="s">
        <v>300</v>
      </c>
      <c r="AK1335" t="s">
        <v>357</v>
      </c>
    </row>
    <row r="1336" spans="1:37">
      <c r="B1336" t="s">
        <v>52</v>
      </c>
      <c r="C1336" t="s">
        <v>76</v>
      </c>
      <c r="D1336" t="s">
        <v>96</v>
      </c>
      <c r="E1336" t="s">
        <v>115</v>
      </c>
      <c r="F1336" t="s">
        <v>149</v>
      </c>
      <c r="G1336" t="s">
        <v>174</v>
      </c>
      <c r="H1336" t="s">
        <v>96</v>
      </c>
      <c r="I1336" t="s">
        <v>229</v>
      </c>
      <c r="J1336" t="s">
        <v>248</v>
      </c>
      <c r="K1336" t="s">
        <v>262</v>
      </c>
      <c r="L1336" t="s">
        <v>52</v>
      </c>
      <c r="M1336" t="s">
        <v>76</v>
      </c>
      <c r="N1336" t="s">
        <v>293</v>
      </c>
      <c r="O1336" t="s">
        <v>301</v>
      </c>
      <c r="P1336" t="s">
        <v>309</v>
      </c>
      <c r="Q1336" t="s">
        <v>315</v>
      </c>
      <c r="R1336" t="s">
        <v>228</v>
      </c>
      <c r="S1336" t="s">
        <v>328</v>
      </c>
      <c r="T1336" t="s">
        <v>149</v>
      </c>
      <c r="U1336" t="s">
        <v>337</v>
      </c>
      <c r="V1336" t="s">
        <v>341</v>
      </c>
      <c r="W1336" t="s">
        <v>345</v>
      </c>
      <c r="X1336" t="s">
        <v>350</v>
      </c>
      <c r="AK1336" t="s">
        <v>357</v>
      </c>
    </row>
    <row r="1337" spans="1:37">
      <c r="B1337" t="s">
        <v>53</v>
      </c>
      <c r="C1337" t="s">
        <v>77</v>
      </c>
      <c r="D1337" t="s">
        <v>97</v>
      </c>
      <c r="E1337" t="s">
        <v>116</v>
      </c>
      <c r="F1337" t="s">
        <v>150</v>
      </c>
      <c r="G1337" t="s">
        <v>175</v>
      </c>
      <c r="H1337" t="s">
        <v>210</v>
      </c>
      <c r="I1337" t="s">
        <v>230</v>
      </c>
      <c r="J1337" t="s">
        <v>249</v>
      </c>
      <c r="K1337" t="s">
        <v>263</v>
      </c>
      <c r="L1337" t="s">
        <v>275</v>
      </c>
      <c r="M1337" t="s">
        <v>284</v>
      </c>
      <c r="N1337" t="s">
        <v>294</v>
      </c>
      <c r="O1337" t="s">
        <v>302</v>
      </c>
      <c r="P1337" t="s">
        <v>310</v>
      </c>
      <c r="Q1337" t="s">
        <v>316</v>
      </c>
      <c r="R1337" t="s">
        <v>322</v>
      </c>
      <c r="S1337" t="s">
        <v>329</v>
      </c>
      <c r="AK1337" t="s">
        <v>357</v>
      </c>
    </row>
    <row r="1338" spans="1:37">
      <c r="A1338" t="s">
        <v>39</v>
      </c>
      <c r="B1338" t="s">
        <v>54</v>
      </c>
      <c r="C1338" t="s">
        <v>54</v>
      </c>
      <c r="D1338" t="s">
        <v>54</v>
      </c>
      <c r="E1338" t="s">
        <v>54</v>
      </c>
      <c r="F1338" t="s">
        <v>54</v>
      </c>
      <c r="G1338" t="s">
        <v>54</v>
      </c>
      <c r="H1338" t="s">
        <v>54</v>
      </c>
      <c r="I1338" t="s">
        <v>54</v>
      </c>
      <c r="J1338" t="s">
        <v>54</v>
      </c>
      <c r="K1338" t="s">
        <v>54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323</v>
      </c>
      <c r="S1338" t="s">
        <v>330</v>
      </c>
      <c r="AK1338" t="s">
        <v>357</v>
      </c>
    </row>
    <row r="1339" spans="1:37">
      <c r="B1339" t="s">
        <v>55</v>
      </c>
      <c r="C1339" t="s">
        <v>78</v>
      </c>
      <c r="D1339" t="s">
        <v>55</v>
      </c>
      <c r="E1339" t="s">
        <v>78</v>
      </c>
      <c r="F1339" t="s">
        <v>55</v>
      </c>
      <c r="G1339" t="s">
        <v>78</v>
      </c>
      <c r="H1339" t="s">
        <v>55</v>
      </c>
      <c r="I1339" t="s">
        <v>78</v>
      </c>
      <c r="J1339" t="s">
        <v>55</v>
      </c>
      <c r="K1339" t="s">
        <v>78</v>
      </c>
      <c r="L1339" t="s">
        <v>55</v>
      </c>
      <c r="M1339" t="s">
        <v>78</v>
      </c>
      <c r="N1339" t="s">
        <v>55</v>
      </c>
      <c r="O1339" t="s">
        <v>78</v>
      </c>
      <c r="P1339" t="s">
        <v>55</v>
      </c>
      <c r="Q1339" t="s">
        <v>78</v>
      </c>
      <c r="R1339" t="s">
        <v>55</v>
      </c>
      <c r="S1339" t="s">
        <v>78</v>
      </c>
      <c r="T1339" t="s">
        <v>55</v>
      </c>
      <c r="U1339" t="s">
        <v>78</v>
      </c>
      <c r="V1339" t="s">
        <v>55</v>
      </c>
      <c r="W1339" t="s">
        <v>78</v>
      </c>
      <c r="X1339" t="s">
        <v>55</v>
      </c>
      <c r="Y1339" t="s">
        <v>78</v>
      </c>
      <c r="Z1339" t="s">
        <v>55</v>
      </c>
      <c r="AA1339" t="s">
        <v>78</v>
      </c>
      <c r="AB1339" t="s">
        <v>55</v>
      </c>
      <c r="AC1339" t="s">
        <v>78</v>
      </c>
      <c r="AD1339" t="s">
        <v>55</v>
      </c>
      <c r="AE1339" t="s">
        <v>78</v>
      </c>
      <c r="AF1339" t="s">
        <v>55</v>
      </c>
      <c r="AG1339" t="s">
        <v>78</v>
      </c>
      <c r="AH1339" t="s">
        <v>55</v>
      </c>
      <c r="AI1339" t="s">
        <v>78</v>
      </c>
      <c r="AK1339" t="s">
        <v>357</v>
      </c>
    </row>
    <row r="1340" spans="1:37">
      <c r="B1340" t="s">
        <v>56</v>
      </c>
      <c r="C1340" t="s">
        <v>56</v>
      </c>
      <c r="D1340" t="s">
        <v>56</v>
      </c>
      <c r="E1340" t="s">
        <v>56</v>
      </c>
      <c r="F1340" t="s">
        <v>56</v>
      </c>
      <c r="G1340" t="s">
        <v>176</v>
      </c>
      <c r="H1340" t="s">
        <v>211</v>
      </c>
      <c r="I1340" t="s">
        <v>231</v>
      </c>
      <c r="J1340" t="s">
        <v>250</v>
      </c>
      <c r="K1340" t="s">
        <v>264</v>
      </c>
      <c r="L1340" t="s">
        <v>276</v>
      </c>
      <c r="M1340" t="s">
        <v>285</v>
      </c>
      <c r="N1340" t="s">
        <v>295</v>
      </c>
      <c r="O1340" t="s">
        <v>303</v>
      </c>
      <c r="P1340" t="s">
        <v>56</v>
      </c>
      <c r="Q1340" t="s">
        <v>317</v>
      </c>
      <c r="R1340" t="s">
        <v>324</v>
      </c>
      <c r="S1340" t="s">
        <v>331</v>
      </c>
      <c r="T1340" t="s">
        <v>334</v>
      </c>
      <c r="U1340" t="s">
        <v>338</v>
      </c>
      <c r="V1340" t="s">
        <v>342</v>
      </c>
      <c r="W1340" t="s">
        <v>346</v>
      </c>
      <c r="X1340" t="s">
        <v>351</v>
      </c>
      <c r="AK1340" t="s">
        <v>357</v>
      </c>
    </row>
    <row r="1341" spans="1:37">
      <c r="B1341" t="s">
        <v>57</v>
      </c>
      <c r="C1341" t="s">
        <v>79</v>
      </c>
      <c r="D1341" t="s">
        <v>98</v>
      </c>
      <c r="E1341" t="s">
        <v>117</v>
      </c>
      <c r="F1341" t="s">
        <v>151</v>
      </c>
      <c r="G1341" t="s">
        <v>177</v>
      </c>
      <c r="H1341" t="s">
        <v>212</v>
      </c>
      <c r="I1341" t="s">
        <v>232</v>
      </c>
      <c r="J1341" t="s">
        <v>251</v>
      </c>
      <c r="K1341" t="s">
        <v>265</v>
      </c>
      <c r="L1341" t="s">
        <v>277</v>
      </c>
      <c r="M1341" t="s">
        <v>286</v>
      </c>
      <c r="N1341" t="s">
        <v>296</v>
      </c>
      <c r="O1341" t="s">
        <v>304</v>
      </c>
      <c r="P1341" t="s">
        <v>311</v>
      </c>
      <c r="Q1341" t="s">
        <v>318</v>
      </c>
      <c r="R1341" t="s">
        <v>185</v>
      </c>
      <c r="S1341" t="s">
        <v>159</v>
      </c>
      <c r="T1341" t="s">
        <v>185</v>
      </c>
      <c r="U1341" t="s">
        <v>339</v>
      </c>
      <c r="V1341" t="s">
        <v>72</v>
      </c>
      <c r="W1341" t="s">
        <v>347</v>
      </c>
      <c r="X1341" t="s">
        <v>72</v>
      </c>
      <c r="Y1341" t="s">
        <v>96</v>
      </c>
      <c r="AK1341" t="s">
        <v>357</v>
      </c>
    </row>
    <row r="1342" spans="1:37">
      <c r="B1342" t="s">
        <v>58</v>
      </c>
      <c r="C1342" t="s">
        <v>80</v>
      </c>
      <c r="D1342" t="s">
        <v>99</v>
      </c>
      <c r="E1342" t="s">
        <v>118</v>
      </c>
      <c r="F1342" t="s">
        <v>152</v>
      </c>
      <c r="G1342" t="s">
        <v>178</v>
      </c>
      <c r="H1342" t="s">
        <v>213</v>
      </c>
      <c r="I1342" t="s">
        <v>233</v>
      </c>
      <c r="J1342" t="s">
        <v>252</v>
      </c>
      <c r="K1342" t="s">
        <v>266</v>
      </c>
      <c r="L1342" t="s">
        <v>278</v>
      </c>
      <c r="M1342" t="s">
        <v>287</v>
      </c>
      <c r="N1342" t="s">
        <v>297</v>
      </c>
      <c r="O1342" t="s">
        <v>305</v>
      </c>
      <c r="P1342" t="s">
        <v>312</v>
      </c>
      <c r="Q1342" t="s">
        <v>319</v>
      </c>
      <c r="R1342">
        <f>&gt;10       ветра      2.9     20   6 20</f>
        <v>0</v>
      </c>
      <c r="AK1342" t="s">
        <v>357</v>
      </c>
    </row>
    <row r="1343" spans="1:37">
      <c r="A1343" t="s">
        <v>40</v>
      </c>
      <c r="B1343" t="s">
        <v>59</v>
      </c>
      <c r="C1343" t="s">
        <v>81</v>
      </c>
      <c r="D1343" t="s">
        <v>100</v>
      </c>
      <c r="E1343" t="s">
        <v>119</v>
      </c>
      <c r="F1343" t="s">
        <v>153</v>
      </c>
      <c r="G1343" t="s">
        <v>179</v>
      </c>
      <c r="H1343" t="s">
        <v>214</v>
      </c>
      <c r="I1343" t="s">
        <v>234</v>
      </c>
      <c r="AK1343" t="s">
        <v>357</v>
      </c>
    </row>
    <row r="1344" spans="1:37">
      <c r="A1344" t="s">
        <v>40</v>
      </c>
      <c r="B1344" t="s">
        <v>60</v>
      </c>
      <c r="C1344" t="s">
        <v>82</v>
      </c>
      <c r="D1344" t="s">
        <v>101</v>
      </c>
      <c r="E1344" t="s">
        <v>120</v>
      </c>
      <c r="F1344" t="s">
        <v>154</v>
      </c>
      <c r="G1344" t="s">
        <v>180</v>
      </c>
      <c r="H1344" t="s">
        <v>215</v>
      </c>
      <c r="I1344" t="s">
        <v>235</v>
      </c>
      <c r="J1344" t="s">
        <v>253</v>
      </c>
      <c r="K1344" t="s">
        <v>267</v>
      </c>
      <c r="L1344" t="s">
        <v>279</v>
      </c>
      <c r="M1344" t="s">
        <v>288</v>
      </c>
      <c r="N1344" t="s">
        <v>100</v>
      </c>
      <c r="O1344" t="s">
        <v>306</v>
      </c>
      <c r="P1344" t="s">
        <v>313</v>
      </c>
      <c r="Q1344" t="s">
        <v>320</v>
      </c>
      <c r="R1344" t="s">
        <v>325</v>
      </c>
      <c r="S1344" t="s">
        <v>332</v>
      </c>
      <c r="T1344" t="s">
        <v>119</v>
      </c>
      <c r="U1344" t="s">
        <v>234</v>
      </c>
      <c r="V1344" t="s">
        <v>343</v>
      </c>
      <c r="W1344" t="s">
        <v>348</v>
      </c>
      <c r="X1344" t="s">
        <v>352</v>
      </c>
      <c r="Y1344" t="s">
        <v>354</v>
      </c>
      <c r="AK1344" t="s">
        <v>357</v>
      </c>
    </row>
    <row r="1345" spans="1:37">
      <c r="A1345" t="s">
        <v>41</v>
      </c>
      <c r="B1345" t="s">
        <v>61</v>
      </c>
      <c r="C1345" t="s">
        <v>83</v>
      </c>
      <c r="D1345" t="s">
        <v>102</v>
      </c>
      <c r="E1345" t="s">
        <v>121</v>
      </c>
      <c r="F1345" t="s">
        <v>155</v>
      </c>
      <c r="G1345" t="s">
        <v>181</v>
      </c>
      <c r="H1345" t="s">
        <v>216</v>
      </c>
      <c r="I1345" t="s">
        <v>236</v>
      </c>
      <c r="AK1345" t="s">
        <v>357</v>
      </c>
    </row>
    <row r="1346" spans="1:37">
      <c r="A1346" t="s">
        <v>42</v>
      </c>
      <c r="B1346" t="s">
        <v>62</v>
      </c>
      <c r="C1346" t="s">
        <v>84</v>
      </c>
      <c r="D1346" t="s">
        <v>103</v>
      </c>
      <c r="E1346" t="s">
        <v>122</v>
      </c>
      <c r="F1346" t="s">
        <v>156</v>
      </c>
      <c r="G1346" t="s">
        <v>182</v>
      </c>
      <c r="H1346" t="s">
        <v>83</v>
      </c>
      <c r="I1346" t="s">
        <v>237</v>
      </c>
      <c r="J1346" t="s">
        <v>254</v>
      </c>
      <c r="K1346" t="s">
        <v>268</v>
      </c>
      <c r="L1346" t="s">
        <v>280</v>
      </c>
      <c r="M1346" t="s">
        <v>289</v>
      </c>
      <c r="N1346" t="s">
        <v>298</v>
      </c>
      <c r="O1346" t="s">
        <v>307</v>
      </c>
      <c r="P1346" t="s">
        <v>314</v>
      </c>
      <c r="Q1346" t="s">
        <v>216</v>
      </c>
      <c r="R1346" t="s">
        <v>326</v>
      </c>
      <c r="S1346" t="s">
        <v>333</v>
      </c>
      <c r="T1346" t="s">
        <v>335</v>
      </c>
      <c r="U1346" t="s">
        <v>340</v>
      </c>
      <c r="V1346" t="s">
        <v>344</v>
      </c>
      <c r="W1346" t="s">
        <v>349</v>
      </c>
      <c r="AK1346" t="s">
        <v>357</v>
      </c>
    </row>
    <row r="1347" spans="1:37">
      <c r="A1347" t="s">
        <v>43</v>
      </c>
      <c r="B1347" t="s">
        <v>63</v>
      </c>
      <c r="C1347" t="s">
        <v>85</v>
      </c>
      <c r="D1347" t="s">
        <v>104</v>
      </c>
      <c r="E1347" t="s">
        <v>123</v>
      </c>
      <c r="F1347" t="s">
        <v>157</v>
      </c>
      <c r="G1347" t="s">
        <v>183</v>
      </c>
      <c r="AK1347" t="s">
        <v>357</v>
      </c>
    </row>
    <row r="1348" spans="1:37">
      <c r="A1348" t="s">
        <v>44</v>
      </c>
      <c r="B1348" t="s">
        <v>64</v>
      </c>
      <c r="C1348" t="s">
        <v>86</v>
      </c>
      <c r="D1348" t="s">
        <v>105</v>
      </c>
      <c r="E1348" t="s">
        <v>124</v>
      </c>
      <c r="F1348" t="s">
        <v>158</v>
      </c>
      <c r="G1348" t="s">
        <v>184</v>
      </c>
      <c r="AK1348" t="s">
        <v>357</v>
      </c>
    </row>
    <row r="1349" spans="1:37">
      <c r="A1349" t="s">
        <v>45</v>
      </c>
      <c r="B1349" t="s">
        <v>65</v>
      </c>
      <c r="C1349" t="s">
        <v>87</v>
      </c>
      <c r="D1349" t="s">
        <v>106</v>
      </c>
      <c r="E1349" t="s">
        <v>125</v>
      </c>
      <c r="F1349" t="s">
        <v>159</v>
      </c>
      <c r="G1349" t="s">
        <v>185</v>
      </c>
      <c r="H1349" t="s">
        <v>159</v>
      </c>
      <c r="I1349" t="s">
        <v>185</v>
      </c>
      <c r="J1349" t="s">
        <v>255</v>
      </c>
      <c r="AK1349" t="s">
        <v>357</v>
      </c>
    </row>
    <row r="1350" spans="1:37">
      <c r="A1350" t="s">
        <v>46</v>
      </c>
      <c r="B1350" t="s">
        <v>66</v>
      </c>
      <c r="C1350" t="s">
        <v>88</v>
      </c>
      <c r="D1350" t="s">
        <v>76</v>
      </c>
      <c r="E1350" t="s">
        <v>126</v>
      </c>
      <c r="F1350" t="s">
        <v>160</v>
      </c>
      <c r="G1350" t="s">
        <v>186</v>
      </c>
      <c r="H1350" t="s">
        <v>217</v>
      </c>
      <c r="I1350" t="s">
        <v>238</v>
      </c>
      <c r="J1350" t="s">
        <v>256</v>
      </c>
      <c r="K1350" t="s">
        <v>265</v>
      </c>
      <c r="L1350" t="s">
        <v>281</v>
      </c>
      <c r="M1350" t="s">
        <v>290</v>
      </c>
      <c r="N1350" t="s">
        <v>299</v>
      </c>
      <c r="O1350" t="s">
        <v>308</v>
      </c>
      <c r="P1350" t="s">
        <v>228</v>
      </c>
      <c r="Q1350" t="s">
        <v>72</v>
      </c>
      <c r="R1350" t="s">
        <v>327</v>
      </c>
      <c r="S1350" t="s">
        <v>327</v>
      </c>
      <c r="T1350" t="s">
        <v>336</v>
      </c>
      <c r="U1350" t="s">
        <v>336</v>
      </c>
      <c r="V1350" t="s">
        <v>336</v>
      </c>
      <c r="W1350" t="s">
        <v>336</v>
      </c>
      <c r="X1350" t="s">
        <v>353</v>
      </c>
      <c r="AK1350" t="s">
        <v>357</v>
      </c>
    </row>
    <row r="1351" spans="1:37">
      <c r="B1351" t="s">
        <v>67</v>
      </c>
      <c r="C1351" t="s">
        <v>89</v>
      </c>
      <c r="D1351" t="s">
        <v>107</v>
      </c>
      <c r="AK1351" t="s">
        <v>357</v>
      </c>
    </row>
    <row r="1352" spans="1:37">
      <c r="B1352" t="s">
        <v>68</v>
      </c>
      <c r="C1352" t="s">
        <v>90</v>
      </c>
      <c r="D1352" t="s">
        <v>108</v>
      </c>
      <c r="AK1352" t="s">
        <v>357</v>
      </c>
    </row>
    <row r="1353" spans="1:37">
      <c r="A1353" t="s">
        <v>47</v>
      </c>
      <c r="B1353" t="s">
        <v>69</v>
      </c>
      <c r="C1353" t="s">
        <v>91</v>
      </c>
      <c r="D1353" t="s">
        <v>109</v>
      </c>
      <c r="E1353" t="s">
        <v>109</v>
      </c>
      <c r="F1353" t="s">
        <v>109</v>
      </c>
      <c r="G1353" t="s">
        <v>109</v>
      </c>
      <c r="H1353" t="s">
        <v>109</v>
      </c>
      <c r="I1353" t="s">
        <v>239</v>
      </c>
      <c r="AK1353" t="s">
        <v>357</v>
      </c>
    </row>
    <row r="1354" spans="1:37">
      <c r="B1354" t="s">
        <v>70</v>
      </c>
      <c r="C1354" t="s">
        <v>92</v>
      </c>
      <c r="D1354" t="s">
        <v>110</v>
      </c>
      <c r="E1354" t="s">
        <v>127</v>
      </c>
      <c r="F1354" t="s">
        <v>161</v>
      </c>
      <c r="G1354" t="s">
        <v>187</v>
      </c>
      <c r="H1354" t="s">
        <v>218</v>
      </c>
      <c r="AK1354" t="s">
        <v>357</v>
      </c>
    </row>
    <row r="1355" spans="1:37">
      <c r="B1355" t="s">
        <v>71</v>
      </c>
      <c r="C1355" t="s">
        <v>93</v>
      </c>
      <c r="D1355" t="s">
        <v>111</v>
      </c>
      <c r="E1355" t="s">
        <v>128</v>
      </c>
      <c r="F1355" t="s">
        <v>162</v>
      </c>
      <c r="G1355" t="s">
        <v>188</v>
      </c>
      <c r="H1355" t="s">
        <v>219</v>
      </c>
      <c r="I1355" t="s">
        <v>240</v>
      </c>
      <c r="J1355" t="s">
        <v>257</v>
      </c>
      <c r="K1355" t="s">
        <v>269</v>
      </c>
      <c r="L1355" t="s">
        <v>109</v>
      </c>
      <c r="M1355" t="s">
        <v>109</v>
      </c>
      <c r="N1355" t="s">
        <v>109</v>
      </c>
      <c r="O1355" t="s">
        <v>109</v>
      </c>
      <c r="P1355" t="s">
        <v>109</v>
      </c>
      <c r="Q1355" t="s">
        <v>321</v>
      </c>
      <c r="AK1355" t="s">
        <v>357</v>
      </c>
    </row>
    <row r="1356" spans="1:37">
      <c r="A1356" t="s">
        <v>48</v>
      </c>
      <c r="B1356" t="s">
        <v>71</v>
      </c>
      <c r="C1356" t="s">
        <v>93</v>
      </c>
      <c r="D1356" t="s">
        <v>111</v>
      </c>
      <c r="E1356" t="s">
        <v>128</v>
      </c>
      <c r="F1356" t="s">
        <v>163</v>
      </c>
      <c r="G1356" t="s">
        <v>189</v>
      </c>
      <c r="H1356" t="s">
        <v>220</v>
      </c>
      <c r="I1356" t="s">
        <v>241</v>
      </c>
      <c r="J1356" t="s">
        <v>258</v>
      </c>
      <c r="K1356" t="s">
        <v>270</v>
      </c>
      <c r="AK1356" t="s">
        <v>357</v>
      </c>
    </row>
    <row r="1357" spans="1:37">
      <c r="B1357" t="s">
        <v>72</v>
      </c>
      <c r="C1357" t="s">
        <v>72</v>
      </c>
      <c r="D1357" t="s">
        <v>72</v>
      </c>
      <c r="E1357" t="s">
        <v>129</v>
      </c>
      <c r="F1357" t="s">
        <v>129</v>
      </c>
      <c r="G1357" t="s">
        <v>191</v>
      </c>
      <c r="H1357" t="s">
        <v>191</v>
      </c>
      <c r="I1357" t="s">
        <v>245</v>
      </c>
      <c r="J1357" t="s">
        <v>192</v>
      </c>
      <c r="K1357" t="s">
        <v>271</v>
      </c>
      <c r="AK1357" t="s">
        <v>357</v>
      </c>
    </row>
    <row r="1358" spans="1:37">
      <c r="A1358" t="s">
        <v>37</v>
      </c>
      <c r="B1358" t="s">
        <v>49</v>
      </c>
      <c r="C1358" t="s">
        <v>73</v>
      </c>
      <c r="D1358" t="s">
        <v>94</v>
      </c>
      <c r="E1358" t="s">
        <v>112</v>
      </c>
      <c r="F1358" t="s">
        <v>146</v>
      </c>
      <c r="G1358" t="s">
        <v>172</v>
      </c>
      <c r="H1358" t="s">
        <v>207</v>
      </c>
      <c r="I1358" t="s">
        <v>226</v>
      </c>
      <c r="J1358" t="s">
        <v>246</v>
      </c>
      <c r="K1358" t="s">
        <v>259</v>
      </c>
      <c r="AK1358" t="s">
        <v>357</v>
      </c>
    </row>
    <row r="1359" spans="1:37">
      <c r="A1359" t="s">
        <v>38</v>
      </c>
      <c r="B1359" t="s">
        <v>50</v>
      </c>
      <c r="C1359" t="s">
        <v>74</v>
      </c>
      <c r="D1359" t="s">
        <v>95</v>
      </c>
      <c r="E1359" t="s">
        <v>113</v>
      </c>
      <c r="F1359" t="s">
        <v>147</v>
      </c>
      <c r="G1359" t="s">
        <v>173</v>
      </c>
      <c r="H1359" t="s">
        <v>208</v>
      </c>
      <c r="I1359" t="s">
        <v>227</v>
      </c>
      <c r="J1359" t="s">
        <v>115</v>
      </c>
      <c r="K1359" t="s">
        <v>260</v>
      </c>
      <c r="L1359" t="s">
        <v>273</v>
      </c>
      <c r="M1359" t="s">
        <v>282</v>
      </c>
      <c r="N1359" t="s">
        <v>291</v>
      </c>
      <c r="AK1359" t="s">
        <v>357</v>
      </c>
    </row>
    <row r="1360" spans="1:37">
      <c r="B1360" t="s">
        <v>51</v>
      </c>
      <c r="C1360" t="s">
        <v>75</v>
      </c>
      <c r="D1360" t="s">
        <v>52</v>
      </c>
      <c r="E1360" t="s">
        <v>114</v>
      </c>
      <c r="F1360" t="s">
        <v>148</v>
      </c>
      <c r="G1360" t="s">
        <v>148</v>
      </c>
      <c r="H1360" t="s">
        <v>209</v>
      </c>
      <c r="I1360" t="s">
        <v>228</v>
      </c>
      <c r="J1360" t="s">
        <v>247</v>
      </c>
      <c r="K1360" t="s">
        <v>261</v>
      </c>
      <c r="L1360" t="s">
        <v>274</v>
      </c>
      <c r="M1360" t="s">
        <v>283</v>
      </c>
      <c r="N1360" t="s">
        <v>292</v>
      </c>
      <c r="O1360" t="s">
        <v>300</v>
      </c>
      <c r="AK1360" t="s">
        <v>357</v>
      </c>
    </row>
    <row r="1361" spans="1:37">
      <c r="B1361" t="s">
        <v>52</v>
      </c>
      <c r="C1361" t="s">
        <v>76</v>
      </c>
      <c r="D1361" t="s">
        <v>96</v>
      </c>
      <c r="E1361" t="s">
        <v>115</v>
      </c>
      <c r="F1361" t="s">
        <v>149</v>
      </c>
      <c r="G1361" t="s">
        <v>174</v>
      </c>
      <c r="H1361" t="s">
        <v>96</v>
      </c>
      <c r="I1361" t="s">
        <v>229</v>
      </c>
      <c r="J1361" t="s">
        <v>248</v>
      </c>
      <c r="K1361" t="s">
        <v>262</v>
      </c>
      <c r="L1361" t="s">
        <v>52</v>
      </c>
      <c r="M1361" t="s">
        <v>76</v>
      </c>
      <c r="N1361" t="s">
        <v>293</v>
      </c>
      <c r="O1361" t="s">
        <v>301</v>
      </c>
      <c r="P1361" t="s">
        <v>309</v>
      </c>
      <c r="Q1361" t="s">
        <v>315</v>
      </c>
      <c r="R1361" t="s">
        <v>228</v>
      </c>
      <c r="S1361" t="s">
        <v>328</v>
      </c>
      <c r="T1361" t="s">
        <v>149</v>
      </c>
      <c r="U1361" t="s">
        <v>337</v>
      </c>
      <c r="V1361" t="s">
        <v>341</v>
      </c>
      <c r="W1361" t="s">
        <v>345</v>
      </c>
      <c r="X1361" t="s">
        <v>350</v>
      </c>
      <c r="AK1361" t="s">
        <v>357</v>
      </c>
    </row>
    <row r="1362" spans="1:37">
      <c r="B1362" t="s">
        <v>53</v>
      </c>
      <c r="C1362" t="s">
        <v>77</v>
      </c>
      <c r="D1362" t="s">
        <v>97</v>
      </c>
      <c r="E1362" t="s">
        <v>116</v>
      </c>
      <c r="F1362" t="s">
        <v>150</v>
      </c>
      <c r="G1362" t="s">
        <v>175</v>
      </c>
      <c r="H1362" t="s">
        <v>210</v>
      </c>
      <c r="I1362" t="s">
        <v>230</v>
      </c>
      <c r="J1362" t="s">
        <v>249</v>
      </c>
      <c r="K1362" t="s">
        <v>263</v>
      </c>
      <c r="L1362" t="s">
        <v>275</v>
      </c>
      <c r="M1362" t="s">
        <v>284</v>
      </c>
      <c r="N1362" t="s">
        <v>294</v>
      </c>
      <c r="O1362" t="s">
        <v>302</v>
      </c>
      <c r="P1362" t="s">
        <v>310</v>
      </c>
      <c r="Q1362" t="s">
        <v>316</v>
      </c>
      <c r="R1362" t="s">
        <v>322</v>
      </c>
      <c r="S1362" t="s">
        <v>329</v>
      </c>
      <c r="AK1362" t="s">
        <v>357</v>
      </c>
    </row>
    <row r="1363" spans="1:37">
      <c r="A1363" t="s">
        <v>39</v>
      </c>
      <c r="B1363" t="s">
        <v>54</v>
      </c>
      <c r="C1363" t="s">
        <v>54</v>
      </c>
      <c r="D1363" t="s">
        <v>54</v>
      </c>
      <c r="E1363" t="s">
        <v>54</v>
      </c>
      <c r="F1363" t="s">
        <v>54</v>
      </c>
      <c r="G1363" t="s">
        <v>54</v>
      </c>
      <c r="H1363" t="s">
        <v>54</v>
      </c>
      <c r="I1363" t="s">
        <v>54</v>
      </c>
      <c r="J1363" t="s">
        <v>54</v>
      </c>
      <c r="K1363" t="s">
        <v>54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 t="s">
        <v>323</v>
      </c>
      <c r="S1363" t="s">
        <v>330</v>
      </c>
      <c r="AK1363" t="s">
        <v>357</v>
      </c>
    </row>
    <row r="1364" spans="1:37">
      <c r="B1364" t="s">
        <v>55</v>
      </c>
      <c r="C1364" t="s">
        <v>78</v>
      </c>
      <c r="D1364" t="s">
        <v>55</v>
      </c>
      <c r="E1364" t="s">
        <v>78</v>
      </c>
      <c r="F1364" t="s">
        <v>55</v>
      </c>
      <c r="G1364" t="s">
        <v>78</v>
      </c>
      <c r="H1364" t="s">
        <v>55</v>
      </c>
      <c r="I1364" t="s">
        <v>78</v>
      </c>
      <c r="J1364" t="s">
        <v>55</v>
      </c>
      <c r="K1364" t="s">
        <v>78</v>
      </c>
      <c r="L1364" t="s">
        <v>55</v>
      </c>
      <c r="M1364" t="s">
        <v>78</v>
      </c>
      <c r="N1364" t="s">
        <v>55</v>
      </c>
      <c r="O1364" t="s">
        <v>78</v>
      </c>
      <c r="P1364" t="s">
        <v>55</v>
      </c>
      <c r="Q1364" t="s">
        <v>78</v>
      </c>
      <c r="R1364" t="s">
        <v>55</v>
      </c>
      <c r="S1364" t="s">
        <v>78</v>
      </c>
      <c r="T1364" t="s">
        <v>55</v>
      </c>
      <c r="U1364" t="s">
        <v>78</v>
      </c>
      <c r="V1364" t="s">
        <v>55</v>
      </c>
      <c r="W1364" t="s">
        <v>78</v>
      </c>
      <c r="X1364" t="s">
        <v>55</v>
      </c>
      <c r="Y1364" t="s">
        <v>78</v>
      </c>
      <c r="Z1364" t="s">
        <v>55</v>
      </c>
      <c r="AA1364" t="s">
        <v>78</v>
      </c>
      <c r="AB1364" t="s">
        <v>55</v>
      </c>
      <c r="AC1364" t="s">
        <v>78</v>
      </c>
      <c r="AD1364" t="s">
        <v>55</v>
      </c>
      <c r="AE1364" t="s">
        <v>78</v>
      </c>
      <c r="AF1364" t="s">
        <v>55</v>
      </c>
      <c r="AG1364" t="s">
        <v>78</v>
      </c>
      <c r="AH1364" t="s">
        <v>55</v>
      </c>
      <c r="AI1364" t="s">
        <v>78</v>
      </c>
      <c r="AK1364" t="s">
        <v>357</v>
      </c>
    </row>
    <row r="1365" spans="1:37">
      <c r="B1365" t="s">
        <v>56</v>
      </c>
      <c r="C1365" t="s">
        <v>56</v>
      </c>
      <c r="D1365" t="s">
        <v>56</v>
      </c>
      <c r="E1365" t="s">
        <v>56</v>
      </c>
      <c r="F1365" t="s">
        <v>56</v>
      </c>
      <c r="G1365" t="s">
        <v>176</v>
      </c>
      <c r="H1365" t="s">
        <v>211</v>
      </c>
      <c r="I1365" t="s">
        <v>231</v>
      </c>
      <c r="J1365" t="s">
        <v>250</v>
      </c>
      <c r="K1365" t="s">
        <v>264</v>
      </c>
      <c r="L1365" t="s">
        <v>276</v>
      </c>
      <c r="M1365" t="s">
        <v>285</v>
      </c>
      <c r="N1365" t="s">
        <v>295</v>
      </c>
      <c r="O1365" t="s">
        <v>303</v>
      </c>
      <c r="P1365" t="s">
        <v>56</v>
      </c>
      <c r="Q1365" t="s">
        <v>317</v>
      </c>
      <c r="R1365" t="s">
        <v>324</v>
      </c>
      <c r="S1365" t="s">
        <v>331</v>
      </c>
      <c r="T1365" t="s">
        <v>334</v>
      </c>
      <c r="U1365" t="s">
        <v>338</v>
      </c>
      <c r="V1365" t="s">
        <v>342</v>
      </c>
      <c r="W1365" t="s">
        <v>346</v>
      </c>
      <c r="X1365" t="s">
        <v>351</v>
      </c>
      <c r="AK1365" t="s">
        <v>357</v>
      </c>
    </row>
    <row r="1366" spans="1:37">
      <c r="B1366" t="s">
        <v>57</v>
      </c>
      <c r="C1366" t="s">
        <v>79</v>
      </c>
      <c r="D1366" t="s">
        <v>98</v>
      </c>
      <c r="E1366" t="s">
        <v>117</v>
      </c>
      <c r="F1366" t="s">
        <v>151</v>
      </c>
      <c r="G1366" t="s">
        <v>177</v>
      </c>
      <c r="H1366" t="s">
        <v>212</v>
      </c>
      <c r="I1366" t="s">
        <v>232</v>
      </c>
      <c r="J1366" t="s">
        <v>251</v>
      </c>
      <c r="K1366" t="s">
        <v>265</v>
      </c>
      <c r="L1366" t="s">
        <v>277</v>
      </c>
      <c r="M1366" t="s">
        <v>286</v>
      </c>
      <c r="N1366" t="s">
        <v>296</v>
      </c>
      <c r="O1366" t="s">
        <v>304</v>
      </c>
      <c r="P1366" t="s">
        <v>311</v>
      </c>
      <c r="Q1366" t="s">
        <v>318</v>
      </c>
      <c r="R1366" t="s">
        <v>185</v>
      </c>
      <c r="S1366" t="s">
        <v>159</v>
      </c>
      <c r="T1366" t="s">
        <v>185</v>
      </c>
      <c r="U1366" t="s">
        <v>339</v>
      </c>
      <c r="V1366" t="s">
        <v>72</v>
      </c>
      <c r="W1366" t="s">
        <v>347</v>
      </c>
      <c r="X1366" t="s">
        <v>72</v>
      </c>
      <c r="Y1366" t="s">
        <v>96</v>
      </c>
      <c r="AK1366" t="s">
        <v>357</v>
      </c>
    </row>
    <row r="1367" spans="1:37">
      <c r="B1367" t="s">
        <v>58</v>
      </c>
      <c r="C1367" t="s">
        <v>80</v>
      </c>
      <c r="D1367" t="s">
        <v>99</v>
      </c>
      <c r="E1367" t="s">
        <v>118</v>
      </c>
      <c r="F1367" t="s">
        <v>152</v>
      </c>
      <c r="G1367" t="s">
        <v>178</v>
      </c>
      <c r="H1367" t="s">
        <v>213</v>
      </c>
      <c r="I1367" t="s">
        <v>233</v>
      </c>
      <c r="J1367" t="s">
        <v>252</v>
      </c>
      <c r="K1367" t="s">
        <v>266</v>
      </c>
      <c r="L1367" t="s">
        <v>278</v>
      </c>
      <c r="M1367" t="s">
        <v>287</v>
      </c>
      <c r="N1367" t="s">
        <v>297</v>
      </c>
      <c r="O1367" t="s">
        <v>305</v>
      </c>
      <c r="P1367" t="s">
        <v>312</v>
      </c>
      <c r="Q1367" t="s">
        <v>319</v>
      </c>
      <c r="R1367">
        <f>&gt;10       ветра      3.0     16   7 20</f>
        <v>0</v>
      </c>
      <c r="AK1367" t="s">
        <v>357</v>
      </c>
    </row>
    <row r="1368" spans="1:37">
      <c r="A1368" t="s">
        <v>40</v>
      </c>
      <c r="B1368" t="s">
        <v>59</v>
      </c>
      <c r="C1368" t="s">
        <v>81</v>
      </c>
      <c r="D1368" t="s">
        <v>100</v>
      </c>
      <c r="E1368" t="s">
        <v>119</v>
      </c>
      <c r="F1368" t="s">
        <v>153</v>
      </c>
      <c r="G1368" t="s">
        <v>179</v>
      </c>
      <c r="H1368" t="s">
        <v>214</v>
      </c>
      <c r="I1368" t="s">
        <v>234</v>
      </c>
      <c r="AK1368" t="s">
        <v>357</v>
      </c>
    </row>
    <row r="1369" spans="1:37">
      <c r="A1369" t="s">
        <v>40</v>
      </c>
      <c r="B1369" t="s">
        <v>60</v>
      </c>
      <c r="C1369" t="s">
        <v>82</v>
      </c>
      <c r="D1369" t="s">
        <v>101</v>
      </c>
      <c r="E1369" t="s">
        <v>120</v>
      </c>
      <c r="F1369" t="s">
        <v>154</v>
      </c>
      <c r="G1369" t="s">
        <v>180</v>
      </c>
      <c r="H1369" t="s">
        <v>215</v>
      </c>
      <c r="I1369" t="s">
        <v>235</v>
      </c>
      <c r="J1369" t="s">
        <v>253</v>
      </c>
      <c r="K1369" t="s">
        <v>267</v>
      </c>
      <c r="L1369" t="s">
        <v>279</v>
      </c>
      <c r="M1369" t="s">
        <v>288</v>
      </c>
      <c r="N1369" t="s">
        <v>100</v>
      </c>
      <c r="O1369" t="s">
        <v>306</v>
      </c>
      <c r="P1369" t="s">
        <v>313</v>
      </c>
      <c r="Q1369" t="s">
        <v>320</v>
      </c>
      <c r="R1369" t="s">
        <v>325</v>
      </c>
      <c r="S1369" t="s">
        <v>332</v>
      </c>
      <c r="T1369" t="s">
        <v>119</v>
      </c>
      <c r="U1369" t="s">
        <v>234</v>
      </c>
      <c r="V1369" t="s">
        <v>343</v>
      </c>
      <c r="W1369" t="s">
        <v>348</v>
      </c>
      <c r="X1369" t="s">
        <v>352</v>
      </c>
      <c r="Y1369" t="s">
        <v>354</v>
      </c>
      <c r="AK1369" t="s">
        <v>357</v>
      </c>
    </row>
    <row r="1370" spans="1:37">
      <c r="A1370" t="s">
        <v>41</v>
      </c>
      <c r="B1370" t="s">
        <v>61</v>
      </c>
      <c r="C1370" t="s">
        <v>83</v>
      </c>
      <c r="D1370" t="s">
        <v>102</v>
      </c>
      <c r="E1370" t="s">
        <v>121</v>
      </c>
      <c r="F1370" t="s">
        <v>155</v>
      </c>
      <c r="G1370" t="s">
        <v>181</v>
      </c>
      <c r="H1370" t="s">
        <v>216</v>
      </c>
      <c r="I1370" t="s">
        <v>236</v>
      </c>
      <c r="AK1370" t="s">
        <v>357</v>
      </c>
    </row>
    <row r="1371" spans="1:37">
      <c r="A1371" t="s">
        <v>42</v>
      </c>
      <c r="B1371" t="s">
        <v>62</v>
      </c>
      <c r="C1371" t="s">
        <v>84</v>
      </c>
      <c r="D1371" t="s">
        <v>103</v>
      </c>
      <c r="E1371" t="s">
        <v>122</v>
      </c>
      <c r="F1371" t="s">
        <v>156</v>
      </c>
      <c r="G1371" t="s">
        <v>182</v>
      </c>
      <c r="H1371" t="s">
        <v>83</v>
      </c>
      <c r="I1371" t="s">
        <v>237</v>
      </c>
      <c r="J1371" t="s">
        <v>254</v>
      </c>
      <c r="K1371" t="s">
        <v>268</v>
      </c>
      <c r="L1371" t="s">
        <v>280</v>
      </c>
      <c r="M1371" t="s">
        <v>289</v>
      </c>
      <c r="N1371" t="s">
        <v>298</v>
      </c>
      <c r="O1371" t="s">
        <v>307</v>
      </c>
      <c r="P1371" t="s">
        <v>314</v>
      </c>
      <c r="Q1371" t="s">
        <v>216</v>
      </c>
      <c r="R1371" t="s">
        <v>326</v>
      </c>
      <c r="S1371" t="s">
        <v>333</v>
      </c>
      <c r="T1371" t="s">
        <v>335</v>
      </c>
      <c r="U1371" t="s">
        <v>340</v>
      </c>
      <c r="V1371" t="s">
        <v>344</v>
      </c>
      <c r="W1371" t="s">
        <v>349</v>
      </c>
      <c r="AK1371" t="s">
        <v>357</v>
      </c>
    </row>
    <row r="1372" spans="1:37">
      <c r="A1372" t="s">
        <v>43</v>
      </c>
      <c r="B1372" t="s">
        <v>63</v>
      </c>
      <c r="C1372" t="s">
        <v>85</v>
      </c>
      <c r="D1372" t="s">
        <v>104</v>
      </c>
      <c r="E1372" t="s">
        <v>123</v>
      </c>
      <c r="F1372" t="s">
        <v>157</v>
      </c>
      <c r="G1372" t="s">
        <v>183</v>
      </c>
      <c r="AK1372" t="s">
        <v>357</v>
      </c>
    </row>
    <row r="1373" spans="1:37">
      <c r="A1373" t="s">
        <v>44</v>
      </c>
      <c r="B1373" t="s">
        <v>64</v>
      </c>
      <c r="C1373" t="s">
        <v>86</v>
      </c>
      <c r="D1373" t="s">
        <v>105</v>
      </c>
      <c r="E1373" t="s">
        <v>124</v>
      </c>
      <c r="F1373" t="s">
        <v>158</v>
      </c>
      <c r="G1373" t="s">
        <v>184</v>
      </c>
      <c r="AK1373" t="s">
        <v>357</v>
      </c>
    </row>
    <row r="1374" spans="1:37">
      <c r="A1374" t="s">
        <v>45</v>
      </c>
      <c r="B1374" t="s">
        <v>65</v>
      </c>
      <c r="C1374" t="s">
        <v>87</v>
      </c>
      <c r="D1374" t="s">
        <v>106</v>
      </c>
      <c r="E1374" t="s">
        <v>125</v>
      </c>
      <c r="F1374" t="s">
        <v>159</v>
      </c>
      <c r="G1374" t="s">
        <v>185</v>
      </c>
      <c r="H1374" t="s">
        <v>159</v>
      </c>
      <c r="I1374" t="s">
        <v>185</v>
      </c>
      <c r="J1374" t="s">
        <v>255</v>
      </c>
      <c r="AK1374" t="s">
        <v>357</v>
      </c>
    </row>
    <row r="1375" spans="1:37">
      <c r="A1375" t="s">
        <v>46</v>
      </c>
      <c r="B1375" t="s">
        <v>66</v>
      </c>
      <c r="C1375" t="s">
        <v>88</v>
      </c>
      <c r="D1375" t="s">
        <v>76</v>
      </c>
      <c r="E1375" t="s">
        <v>126</v>
      </c>
      <c r="F1375" t="s">
        <v>160</v>
      </c>
      <c r="G1375" t="s">
        <v>186</v>
      </c>
      <c r="H1375" t="s">
        <v>217</v>
      </c>
      <c r="I1375" t="s">
        <v>238</v>
      </c>
      <c r="J1375" t="s">
        <v>256</v>
      </c>
      <c r="K1375" t="s">
        <v>265</v>
      </c>
      <c r="L1375" t="s">
        <v>281</v>
      </c>
      <c r="M1375" t="s">
        <v>290</v>
      </c>
      <c r="N1375" t="s">
        <v>299</v>
      </c>
      <c r="O1375" t="s">
        <v>308</v>
      </c>
      <c r="P1375" t="s">
        <v>228</v>
      </c>
      <c r="Q1375" t="s">
        <v>72</v>
      </c>
      <c r="R1375" t="s">
        <v>327</v>
      </c>
      <c r="S1375" t="s">
        <v>327</v>
      </c>
      <c r="T1375" t="s">
        <v>336</v>
      </c>
      <c r="U1375" t="s">
        <v>336</v>
      </c>
      <c r="V1375" t="s">
        <v>336</v>
      </c>
      <c r="W1375" t="s">
        <v>336</v>
      </c>
      <c r="X1375" t="s">
        <v>353</v>
      </c>
      <c r="AK1375" t="s">
        <v>357</v>
      </c>
    </row>
    <row r="1376" spans="1:37">
      <c r="A1376" t="s">
        <v>37</v>
      </c>
      <c r="B1376" t="s">
        <v>49</v>
      </c>
      <c r="C1376" t="s">
        <v>73</v>
      </c>
      <c r="D1376" t="s">
        <v>94</v>
      </c>
      <c r="E1376" t="s">
        <v>112</v>
      </c>
      <c r="F1376" t="s">
        <v>146</v>
      </c>
      <c r="G1376" t="s">
        <v>172</v>
      </c>
      <c r="H1376" t="s">
        <v>207</v>
      </c>
      <c r="I1376" t="s">
        <v>226</v>
      </c>
      <c r="J1376" t="s">
        <v>246</v>
      </c>
      <c r="K1376" t="s">
        <v>259</v>
      </c>
      <c r="AK1376" t="s">
        <v>357</v>
      </c>
    </row>
    <row r="1377" spans="1:37">
      <c r="A1377" t="s">
        <v>38</v>
      </c>
      <c r="B1377" t="s">
        <v>50</v>
      </c>
      <c r="C1377" t="s">
        <v>74</v>
      </c>
      <c r="D1377" t="s">
        <v>95</v>
      </c>
      <c r="E1377" t="s">
        <v>113</v>
      </c>
      <c r="F1377" t="s">
        <v>147</v>
      </c>
      <c r="G1377" t="s">
        <v>173</v>
      </c>
      <c r="H1377" t="s">
        <v>208</v>
      </c>
      <c r="I1377" t="s">
        <v>227</v>
      </c>
      <c r="J1377" t="s">
        <v>115</v>
      </c>
      <c r="K1377" t="s">
        <v>260</v>
      </c>
      <c r="L1377" t="s">
        <v>273</v>
      </c>
      <c r="M1377" t="s">
        <v>282</v>
      </c>
      <c r="N1377" t="s">
        <v>291</v>
      </c>
      <c r="AK1377" t="s">
        <v>357</v>
      </c>
    </row>
    <row r="1378" spans="1:37">
      <c r="B1378" t="s">
        <v>51</v>
      </c>
      <c r="C1378" t="s">
        <v>75</v>
      </c>
      <c r="D1378" t="s">
        <v>52</v>
      </c>
      <c r="E1378" t="s">
        <v>114</v>
      </c>
      <c r="F1378" t="s">
        <v>148</v>
      </c>
      <c r="G1378" t="s">
        <v>148</v>
      </c>
      <c r="H1378" t="s">
        <v>209</v>
      </c>
      <c r="I1378" t="s">
        <v>228</v>
      </c>
      <c r="J1378" t="s">
        <v>247</v>
      </c>
      <c r="K1378" t="s">
        <v>261</v>
      </c>
      <c r="L1378" t="s">
        <v>274</v>
      </c>
      <c r="M1378" t="s">
        <v>283</v>
      </c>
      <c r="N1378" t="s">
        <v>292</v>
      </c>
      <c r="O1378" t="s">
        <v>300</v>
      </c>
      <c r="AK1378" t="s">
        <v>357</v>
      </c>
    </row>
    <row r="1379" spans="1:37">
      <c r="B1379" t="s">
        <v>52</v>
      </c>
      <c r="C1379" t="s">
        <v>76</v>
      </c>
      <c r="D1379" t="s">
        <v>96</v>
      </c>
      <c r="E1379" t="s">
        <v>115</v>
      </c>
      <c r="F1379" t="s">
        <v>149</v>
      </c>
      <c r="G1379" t="s">
        <v>174</v>
      </c>
      <c r="H1379" t="s">
        <v>96</v>
      </c>
      <c r="I1379" t="s">
        <v>229</v>
      </c>
      <c r="J1379" t="s">
        <v>248</v>
      </c>
      <c r="K1379" t="s">
        <v>262</v>
      </c>
      <c r="L1379" t="s">
        <v>52</v>
      </c>
      <c r="M1379" t="s">
        <v>76</v>
      </c>
      <c r="N1379" t="s">
        <v>293</v>
      </c>
      <c r="O1379" t="s">
        <v>301</v>
      </c>
      <c r="P1379" t="s">
        <v>309</v>
      </c>
      <c r="Q1379" t="s">
        <v>315</v>
      </c>
      <c r="R1379" t="s">
        <v>228</v>
      </c>
      <c r="S1379" t="s">
        <v>328</v>
      </c>
      <c r="T1379" t="s">
        <v>149</v>
      </c>
      <c r="U1379" t="s">
        <v>337</v>
      </c>
      <c r="V1379" t="s">
        <v>341</v>
      </c>
      <c r="W1379" t="s">
        <v>345</v>
      </c>
      <c r="X1379" t="s">
        <v>350</v>
      </c>
      <c r="AK1379" t="s">
        <v>357</v>
      </c>
    </row>
    <row r="1380" spans="1:37">
      <c r="B1380" t="s">
        <v>53</v>
      </c>
      <c r="C1380" t="s">
        <v>77</v>
      </c>
      <c r="D1380" t="s">
        <v>97</v>
      </c>
      <c r="E1380" t="s">
        <v>116</v>
      </c>
      <c r="F1380" t="s">
        <v>150</v>
      </c>
      <c r="G1380" t="s">
        <v>175</v>
      </c>
      <c r="H1380" t="s">
        <v>210</v>
      </c>
      <c r="I1380" t="s">
        <v>230</v>
      </c>
      <c r="J1380" t="s">
        <v>249</v>
      </c>
      <c r="K1380" t="s">
        <v>263</v>
      </c>
      <c r="L1380" t="s">
        <v>275</v>
      </c>
      <c r="M1380" t="s">
        <v>284</v>
      </c>
      <c r="N1380" t="s">
        <v>294</v>
      </c>
      <c r="O1380" t="s">
        <v>302</v>
      </c>
      <c r="P1380" t="s">
        <v>310</v>
      </c>
      <c r="Q1380" t="s">
        <v>316</v>
      </c>
      <c r="R1380" t="s">
        <v>322</v>
      </c>
      <c r="S1380" t="s">
        <v>329</v>
      </c>
      <c r="AK1380" t="s">
        <v>357</v>
      </c>
    </row>
    <row r="1381" spans="1:37">
      <c r="A1381" t="s">
        <v>39</v>
      </c>
      <c r="B1381" t="s">
        <v>54</v>
      </c>
      <c r="C1381" t="s">
        <v>54</v>
      </c>
      <c r="D1381" t="s">
        <v>54</v>
      </c>
      <c r="E1381" t="s">
        <v>54</v>
      </c>
      <c r="F1381" t="s">
        <v>54</v>
      </c>
      <c r="G1381" t="s">
        <v>54</v>
      </c>
      <c r="H1381" t="s">
        <v>54</v>
      </c>
      <c r="I1381" t="s">
        <v>54</v>
      </c>
      <c r="J1381" t="s">
        <v>54</v>
      </c>
      <c r="K1381" t="s">
        <v>54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 t="s">
        <v>323</v>
      </c>
      <c r="S1381" t="s">
        <v>330</v>
      </c>
      <c r="AK1381" t="s">
        <v>357</v>
      </c>
    </row>
    <row r="1382" spans="1:37">
      <c r="B1382" t="s">
        <v>55</v>
      </c>
      <c r="C1382" t="s">
        <v>78</v>
      </c>
      <c r="D1382" t="s">
        <v>55</v>
      </c>
      <c r="E1382" t="s">
        <v>78</v>
      </c>
      <c r="F1382" t="s">
        <v>55</v>
      </c>
      <c r="G1382" t="s">
        <v>78</v>
      </c>
      <c r="H1382" t="s">
        <v>55</v>
      </c>
      <c r="I1382" t="s">
        <v>78</v>
      </c>
      <c r="J1382" t="s">
        <v>55</v>
      </c>
      <c r="K1382" t="s">
        <v>78</v>
      </c>
      <c r="L1382" t="s">
        <v>55</v>
      </c>
      <c r="M1382" t="s">
        <v>78</v>
      </c>
      <c r="N1382" t="s">
        <v>55</v>
      </c>
      <c r="O1382" t="s">
        <v>78</v>
      </c>
      <c r="P1382" t="s">
        <v>55</v>
      </c>
      <c r="Q1382" t="s">
        <v>78</v>
      </c>
      <c r="R1382" t="s">
        <v>55</v>
      </c>
      <c r="S1382" t="s">
        <v>78</v>
      </c>
      <c r="T1382" t="s">
        <v>55</v>
      </c>
      <c r="U1382" t="s">
        <v>78</v>
      </c>
      <c r="V1382" t="s">
        <v>55</v>
      </c>
      <c r="W1382" t="s">
        <v>78</v>
      </c>
      <c r="X1382" t="s">
        <v>55</v>
      </c>
      <c r="Y1382" t="s">
        <v>78</v>
      </c>
      <c r="Z1382" t="s">
        <v>55</v>
      </c>
      <c r="AA1382" t="s">
        <v>78</v>
      </c>
      <c r="AB1382" t="s">
        <v>55</v>
      </c>
      <c r="AC1382" t="s">
        <v>78</v>
      </c>
      <c r="AD1382" t="s">
        <v>55</v>
      </c>
      <c r="AE1382" t="s">
        <v>78</v>
      </c>
      <c r="AF1382" t="s">
        <v>55</v>
      </c>
      <c r="AG1382" t="s">
        <v>78</v>
      </c>
      <c r="AH1382" t="s">
        <v>55</v>
      </c>
      <c r="AI1382" t="s">
        <v>78</v>
      </c>
      <c r="AK1382" t="s">
        <v>357</v>
      </c>
    </row>
    <row r="1383" spans="1:37">
      <c r="B1383" t="s">
        <v>56</v>
      </c>
      <c r="C1383" t="s">
        <v>56</v>
      </c>
      <c r="D1383" t="s">
        <v>56</v>
      </c>
      <c r="E1383" t="s">
        <v>56</v>
      </c>
      <c r="F1383" t="s">
        <v>56</v>
      </c>
      <c r="G1383" t="s">
        <v>176</v>
      </c>
      <c r="H1383" t="s">
        <v>211</v>
      </c>
      <c r="I1383" t="s">
        <v>231</v>
      </c>
      <c r="J1383" t="s">
        <v>250</v>
      </c>
      <c r="K1383" t="s">
        <v>264</v>
      </c>
      <c r="L1383" t="s">
        <v>276</v>
      </c>
      <c r="M1383" t="s">
        <v>285</v>
      </c>
      <c r="N1383" t="s">
        <v>295</v>
      </c>
      <c r="O1383" t="s">
        <v>303</v>
      </c>
      <c r="P1383" t="s">
        <v>56</v>
      </c>
      <c r="Q1383" t="s">
        <v>317</v>
      </c>
      <c r="R1383" t="s">
        <v>324</v>
      </c>
      <c r="S1383" t="s">
        <v>331</v>
      </c>
      <c r="T1383" t="s">
        <v>334</v>
      </c>
      <c r="U1383" t="s">
        <v>338</v>
      </c>
      <c r="V1383" t="s">
        <v>342</v>
      </c>
      <c r="W1383" t="s">
        <v>346</v>
      </c>
      <c r="X1383" t="s">
        <v>351</v>
      </c>
      <c r="AK1383" t="s">
        <v>357</v>
      </c>
    </row>
    <row r="1384" spans="1:37">
      <c r="B1384" t="s">
        <v>57</v>
      </c>
      <c r="C1384" t="s">
        <v>79</v>
      </c>
      <c r="D1384" t="s">
        <v>98</v>
      </c>
      <c r="E1384" t="s">
        <v>117</v>
      </c>
      <c r="F1384" t="s">
        <v>151</v>
      </c>
      <c r="G1384" t="s">
        <v>177</v>
      </c>
      <c r="H1384" t="s">
        <v>212</v>
      </c>
      <c r="I1384" t="s">
        <v>232</v>
      </c>
      <c r="J1384" t="s">
        <v>251</v>
      </c>
      <c r="K1384" t="s">
        <v>265</v>
      </c>
      <c r="L1384" t="s">
        <v>277</v>
      </c>
      <c r="M1384" t="s">
        <v>286</v>
      </c>
      <c r="N1384" t="s">
        <v>296</v>
      </c>
      <c r="O1384" t="s">
        <v>304</v>
      </c>
      <c r="P1384" t="s">
        <v>311</v>
      </c>
      <c r="Q1384" t="s">
        <v>318</v>
      </c>
      <c r="R1384" t="s">
        <v>185</v>
      </c>
      <c r="S1384" t="s">
        <v>159</v>
      </c>
      <c r="T1384" t="s">
        <v>185</v>
      </c>
      <c r="U1384" t="s">
        <v>339</v>
      </c>
      <c r="V1384" t="s">
        <v>72</v>
      </c>
      <c r="W1384" t="s">
        <v>347</v>
      </c>
      <c r="X1384" t="s">
        <v>72</v>
      </c>
      <c r="Y1384" t="s">
        <v>96</v>
      </c>
      <c r="AK1384" t="s">
        <v>357</v>
      </c>
    </row>
    <row r="1385" spans="1:37">
      <c r="B1385" t="s">
        <v>58</v>
      </c>
      <c r="C1385" t="s">
        <v>80</v>
      </c>
      <c r="D1385" t="s">
        <v>99</v>
      </c>
      <c r="E1385" t="s">
        <v>118</v>
      </c>
      <c r="F1385" t="s">
        <v>152</v>
      </c>
      <c r="G1385" t="s">
        <v>178</v>
      </c>
      <c r="H1385" t="s">
        <v>213</v>
      </c>
      <c r="I1385" t="s">
        <v>233</v>
      </c>
      <c r="J1385" t="s">
        <v>252</v>
      </c>
      <c r="K1385" t="s">
        <v>266</v>
      </c>
      <c r="L1385" t="s">
        <v>278</v>
      </c>
      <c r="M1385" t="s">
        <v>287</v>
      </c>
      <c r="N1385" t="s">
        <v>297</v>
      </c>
      <c r="O1385" t="s">
        <v>305</v>
      </c>
      <c r="P1385" t="s">
        <v>312</v>
      </c>
      <c r="Q1385" t="s">
        <v>319</v>
      </c>
      <c r="R1385">
        <f>&gt;10       ветра      2.6     19   7</f>
        <v>0</v>
      </c>
      <c r="AK1385" t="s">
        <v>357</v>
      </c>
    </row>
    <row r="1386" spans="1:37">
      <c r="A1386" t="s">
        <v>40</v>
      </c>
      <c r="B1386" t="s">
        <v>59</v>
      </c>
      <c r="C1386" t="s">
        <v>81</v>
      </c>
      <c r="D1386" t="s">
        <v>100</v>
      </c>
      <c r="E1386" t="s">
        <v>119</v>
      </c>
      <c r="F1386" t="s">
        <v>153</v>
      </c>
      <c r="G1386" t="s">
        <v>179</v>
      </c>
      <c r="H1386" t="s">
        <v>214</v>
      </c>
      <c r="I1386" t="s">
        <v>234</v>
      </c>
      <c r="AK1386" t="s">
        <v>357</v>
      </c>
    </row>
    <row r="1387" spans="1:37">
      <c r="A1387" t="s">
        <v>40</v>
      </c>
      <c r="B1387" t="s">
        <v>60</v>
      </c>
      <c r="C1387" t="s">
        <v>82</v>
      </c>
      <c r="D1387" t="s">
        <v>101</v>
      </c>
      <c r="E1387" t="s">
        <v>120</v>
      </c>
      <c r="F1387" t="s">
        <v>154</v>
      </c>
      <c r="G1387" t="s">
        <v>180</v>
      </c>
      <c r="H1387" t="s">
        <v>215</v>
      </c>
      <c r="I1387" t="s">
        <v>235</v>
      </c>
      <c r="J1387" t="s">
        <v>253</v>
      </c>
      <c r="K1387" t="s">
        <v>267</v>
      </c>
      <c r="L1387" t="s">
        <v>279</v>
      </c>
      <c r="M1387" t="s">
        <v>288</v>
      </c>
      <c r="N1387" t="s">
        <v>100</v>
      </c>
      <c r="O1387" t="s">
        <v>306</v>
      </c>
      <c r="P1387" t="s">
        <v>313</v>
      </c>
      <c r="Q1387" t="s">
        <v>320</v>
      </c>
      <c r="R1387" t="s">
        <v>325</v>
      </c>
      <c r="S1387" t="s">
        <v>332</v>
      </c>
      <c r="T1387" t="s">
        <v>119</v>
      </c>
      <c r="U1387" t="s">
        <v>234</v>
      </c>
      <c r="V1387" t="s">
        <v>343</v>
      </c>
      <c r="W1387" t="s">
        <v>348</v>
      </c>
      <c r="X1387" t="s">
        <v>352</v>
      </c>
      <c r="Y1387" t="s">
        <v>354</v>
      </c>
      <c r="AK1387" t="s">
        <v>357</v>
      </c>
    </row>
    <row r="1388" spans="1:37">
      <c r="A1388" t="s">
        <v>41</v>
      </c>
      <c r="B1388" t="s">
        <v>61</v>
      </c>
      <c r="C1388" t="s">
        <v>83</v>
      </c>
      <c r="D1388" t="s">
        <v>102</v>
      </c>
      <c r="E1388" t="s">
        <v>121</v>
      </c>
      <c r="F1388" t="s">
        <v>155</v>
      </c>
      <c r="G1388" t="s">
        <v>181</v>
      </c>
      <c r="H1388" t="s">
        <v>216</v>
      </c>
      <c r="I1388" t="s">
        <v>236</v>
      </c>
      <c r="AK1388" t="s">
        <v>357</v>
      </c>
    </row>
    <row r="1389" spans="1:37">
      <c r="A1389" t="s">
        <v>42</v>
      </c>
      <c r="B1389" t="s">
        <v>62</v>
      </c>
      <c r="C1389" t="s">
        <v>84</v>
      </c>
      <c r="D1389" t="s">
        <v>103</v>
      </c>
      <c r="E1389" t="s">
        <v>122</v>
      </c>
      <c r="F1389" t="s">
        <v>156</v>
      </c>
      <c r="G1389" t="s">
        <v>182</v>
      </c>
      <c r="H1389" t="s">
        <v>83</v>
      </c>
      <c r="I1389" t="s">
        <v>237</v>
      </c>
      <c r="J1389" t="s">
        <v>254</v>
      </c>
      <c r="K1389" t="s">
        <v>268</v>
      </c>
      <c r="L1389" t="s">
        <v>280</v>
      </c>
      <c r="M1389" t="s">
        <v>289</v>
      </c>
      <c r="N1389" t="s">
        <v>298</v>
      </c>
      <c r="O1389" t="s">
        <v>307</v>
      </c>
      <c r="P1389" t="s">
        <v>314</v>
      </c>
      <c r="Q1389" t="s">
        <v>216</v>
      </c>
      <c r="R1389" t="s">
        <v>326</v>
      </c>
      <c r="S1389" t="s">
        <v>333</v>
      </c>
      <c r="T1389" t="s">
        <v>335</v>
      </c>
      <c r="U1389" t="s">
        <v>340</v>
      </c>
      <c r="V1389" t="s">
        <v>344</v>
      </c>
      <c r="W1389" t="s">
        <v>349</v>
      </c>
      <c r="AK1389" t="s">
        <v>357</v>
      </c>
    </row>
    <row r="1390" spans="1:37">
      <c r="A1390" t="s">
        <v>43</v>
      </c>
      <c r="B1390" t="s">
        <v>63</v>
      </c>
      <c r="C1390" t="s">
        <v>85</v>
      </c>
      <c r="D1390" t="s">
        <v>104</v>
      </c>
      <c r="E1390" t="s">
        <v>123</v>
      </c>
      <c r="F1390" t="s">
        <v>157</v>
      </c>
      <c r="G1390" t="s">
        <v>183</v>
      </c>
      <c r="AK1390" t="s">
        <v>357</v>
      </c>
    </row>
    <row r="1391" spans="1:37">
      <c r="A1391" t="s">
        <v>44</v>
      </c>
      <c r="B1391" t="s">
        <v>64</v>
      </c>
      <c r="C1391" t="s">
        <v>86</v>
      </c>
      <c r="D1391" t="s">
        <v>105</v>
      </c>
      <c r="E1391" t="s">
        <v>124</v>
      </c>
      <c r="F1391" t="s">
        <v>158</v>
      </c>
      <c r="G1391" t="s">
        <v>184</v>
      </c>
      <c r="AK1391" t="s">
        <v>357</v>
      </c>
    </row>
    <row r="1392" spans="1:37">
      <c r="A1392" t="s">
        <v>45</v>
      </c>
      <c r="B1392" t="s">
        <v>65</v>
      </c>
      <c r="C1392" t="s">
        <v>87</v>
      </c>
      <c r="D1392" t="s">
        <v>106</v>
      </c>
      <c r="E1392" t="s">
        <v>125</v>
      </c>
      <c r="F1392" t="s">
        <v>159</v>
      </c>
      <c r="G1392" t="s">
        <v>185</v>
      </c>
      <c r="H1392" t="s">
        <v>159</v>
      </c>
      <c r="I1392" t="s">
        <v>185</v>
      </c>
      <c r="J1392" t="s">
        <v>255</v>
      </c>
      <c r="AK1392" t="s">
        <v>357</v>
      </c>
    </row>
    <row r="1393" spans="1:37">
      <c r="A1393" t="s">
        <v>46</v>
      </c>
      <c r="B1393" t="s">
        <v>66</v>
      </c>
      <c r="C1393" t="s">
        <v>88</v>
      </c>
      <c r="D1393" t="s">
        <v>76</v>
      </c>
      <c r="E1393" t="s">
        <v>126</v>
      </c>
      <c r="F1393" t="s">
        <v>160</v>
      </c>
      <c r="G1393" t="s">
        <v>186</v>
      </c>
      <c r="H1393" t="s">
        <v>217</v>
      </c>
      <c r="I1393" t="s">
        <v>238</v>
      </c>
      <c r="J1393" t="s">
        <v>256</v>
      </c>
      <c r="K1393" t="s">
        <v>265</v>
      </c>
      <c r="L1393" t="s">
        <v>281</v>
      </c>
      <c r="M1393" t="s">
        <v>290</v>
      </c>
      <c r="N1393" t="s">
        <v>299</v>
      </c>
      <c r="O1393" t="s">
        <v>308</v>
      </c>
      <c r="P1393" t="s">
        <v>228</v>
      </c>
      <c r="Q1393" t="s">
        <v>72</v>
      </c>
      <c r="R1393" t="s">
        <v>327</v>
      </c>
      <c r="S1393" t="s">
        <v>327</v>
      </c>
      <c r="T1393" t="s">
        <v>336</v>
      </c>
      <c r="U1393" t="s">
        <v>336</v>
      </c>
      <c r="V1393" t="s">
        <v>336</v>
      </c>
      <c r="W1393" t="s">
        <v>336</v>
      </c>
      <c r="X1393" t="s">
        <v>353</v>
      </c>
      <c r="AK1393" t="s">
        <v>357</v>
      </c>
    </row>
    <row r="1394" spans="1:37">
      <c r="A1394" t="s">
        <v>37</v>
      </c>
      <c r="B1394" t="s">
        <v>49</v>
      </c>
      <c r="C1394" t="s">
        <v>73</v>
      </c>
      <c r="D1394" t="s">
        <v>94</v>
      </c>
      <c r="E1394" t="s">
        <v>112</v>
      </c>
      <c r="F1394" t="s">
        <v>146</v>
      </c>
      <c r="G1394" t="s">
        <v>172</v>
      </c>
      <c r="H1394" t="s">
        <v>207</v>
      </c>
      <c r="I1394" t="s">
        <v>226</v>
      </c>
      <c r="J1394" t="s">
        <v>246</v>
      </c>
      <c r="K1394" t="s">
        <v>259</v>
      </c>
      <c r="AK1394" t="s">
        <v>357</v>
      </c>
    </row>
    <row r="1395" spans="1:37">
      <c r="A1395" t="s">
        <v>38</v>
      </c>
      <c r="B1395" t="s">
        <v>50</v>
      </c>
      <c r="C1395" t="s">
        <v>74</v>
      </c>
      <c r="D1395" t="s">
        <v>95</v>
      </c>
      <c r="E1395" t="s">
        <v>113</v>
      </c>
      <c r="F1395" t="s">
        <v>147</v>
      </c>
      <c r="G1395" t="s">
        <v>173</v>
      </c>
      <c r="H1395" t="s">
        <v>208</v>
      </c>
      <c r="I1395" t="s">
        <v>227</v>
      </c>
      <c r="J1395" t="s">
        <v>115</v>
      </c>
      <c r="K1395" t="s">
        <v>260</v>
      </c>
      <c r="L1395" t="s">
        <v>273</v>
      </c>
      <c r="M1395" t="s">
        <v>282</v>
      </c>
      <c r="N1395" t="s">
        <v>291</v>
      </c>
      <c r="AK1395" t="s">
        <v>357</v>
      </c>
    </row>
    <row r="1396" spans="1:37">
      <c r="B1396" t="s">
        <v>51</v>
      </c>
      <c r="C1396" t="s">
        <v>75</v>
      </c>
      <c r="D1396" t="s">
        <v>52</v>
      </c>
      <c r="E1396" t="s">
        <v>114</v>
      </c>
      <c r="F1396" t="s">
        <v>148</v>
      </c>
      <c r="G1396" t="s">
        <v>148</v>
      </c>
      <c r="H1396" t="s">
        <v>209</v>
      </c>
      <c r="I1396" t="s">
        <v>228</v>
      </c>
      <c r="J1396" t="s">
        <v>247</v>
      </c>
      <c r="K1396" t="s">
        <v>261</v>
      </c>
      <c r="L1396" t="s">
        <v>274</v>
      </c>
      <c r="M1396" t="s">
        <v>283</v>
      </c>
      <c r="N1396" t="s">
        <v>292</v>
      </c>
      <c r="O1396" t="s">
        <v>300</v>
      </c>
      <c r="AK1396" t="s">
        <v>357</v>
      </c>
    </row>
    <row r="1397" spans="1:37">
      <c r="B1397" t="s">
        <v>52</v>
      </c>
      <c r="C1397" t="s">
        <v>76</v>
      </c>
      <c r="D1397" t="s">
        <v>96</v>
      </c>
      <c r="E1397" t="s">
        <v>115</v>
      </c>
      <c r="F1397" t="s">
        <v>149</v>
      </c>
      <c r="G1397" t="s">
        <v>174</v>
      </c>
      <c r="H1397" t="s">
        <v>96</v>
      </c>
      <c r="I1397" t="s">
        <v>229</v>
      </c>
      <c r="J1397" t="s">
        <v>248</v>
      </c>
      <c r="K1397" t="s">
        <v>262</v>
      </c>
      <c r="L1397" t="s">
        <v>52</v>
      </c>
      <c r="M1397" t="s">
        <v>76</v>
      </c>
      <c r="N1397" t="s">
        <v>293</v>
      </c>
      <c r="O1397" t="s">
        <v>301</v>
      </c>
      <c r="P1397" t="s">
        <v>309</v>
      </c>
      <c r="Q1397" t="s">
        <v>315</v>
      </c>
      <c r="R1397" t="s">
        <v>228</v>
      </c>
      <c r="S1397" t="s">
        <v>328</v>
      </c>
      <c r="T1397" t="s">
        <v>149</v>
      </c>
      <c r="U1397" t="s">
        <v>337</v>
      </c>
      <c r="V1397" t="s">
        <v>341</v>
      </c>
      <c r="W1397" t="s">
        <v>345</v>
      </c>
      <c r="X1397" t="s">
        <v>350</v>
      </c>
      <c r="AK1397" t="s">
        <v>357</v>
      </c>
    </row>
    <row r="1398" spans="1:37">
      <c r="B1398" t="s">
        <v>53</v>
      </c>
      <c r="C1398" t="s">
        <v>77</v>
      </c>
      <c r="D1398" t="s">
        <v>97</v>
      </c>
      <c r="E1398" t="s">
        <v>116</v>
      </c>
      <c r="F1398" t="s">
        <v>150</v>
      </c>
      <c r="G1398" t="s">
        <v>175</v>
      </c>
      <c r="H1398" t="s">
        <v>210</v>
      </c>
      <c r="I1398" t="s">
        <v>230</v>
      </c>
      <c r="J1398" t="s">
        <v>249</v>
      </c>
      <c r="K1398" t="s">
        <v>263</v>
      </c>
      <c r="L1398" t="s">
        <v>275</v>
      </c>
      <c r="M1398" t="s">
        <v>284</v>
      </c>
      <c r="N1398" t="s">
        <v>294</v>
      </c>
      <c r="O1398" t="s">
        <v>302</v>
      </c>
      <c r="P1398" t="s">
        <v>310</v>
      </c>
      <c r="Q1398" t="s">
        <v>316</v>
      </c>
      <c r="R1398" t="s">
        <v>322</v>
      </c>
      <c r="S1398" t="s">
        <v>329</v>
      </c>
      <c r="AK1398" t="s">
        <v>357</v>
      </c>
    </row>
    <row r="1399" spans="1:37">
      <c r="A1399" t="s">
        <v>39</v>
      </c>
      <c r="B1399" t="s">
        <v>54</v>
      </c>
      <c r="C1399" t="s">
        <v>54</v>
      </c>
      <c r="D1399" t="s">
        <v>54</v>
      </c>
      <c r="E1399" t="s">
        <v>54</v>
      </c>
      <c r="F1399" t="s">
        <v>54</v>
      </c>
      <c r="G1399" t="s">
        <v>54</v>
      </c>
      <c r="H1399" t="s">
        <v>54</v>
      </c>
      <c r="I1399" t="s">
        <v>54</v>
      </c>
      <c r="J1399" t="s">
        <v>54</v>
      </c>
      <c r="K1399" t="s">
        <v>54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323</v>
      </c>
      <c r="S1399" t="s">
        <v>330</v>
      </c>
      <c r="AK1399" t="s">
        <v>357</v>
      </c>
    </row>
    <row r="1400" spans="1:37">
      <c r="B1400" t="s">
        <v>55</v>
      </c>
      <c r="C1400" t="s">
        <v>78</v>
      </c>
      <c r="D1400" t="s">
        <v>55</v>
      </c>
      <c r="E1400" t="s">
        <v>78</v>
      </c>
      <c r="F1400" t="s">
        <v>55</v>
      </c>
      <c r="G1400" t="s">
        <v>78</v>
      </c>
      <c r="H1400" t="s">
        <v>55</v>
      </c>
      <c r="I1400" t="s">
        <v>78</v>
      </c>
      <c r="J1400" t="s">
        <v>55</v>
      </c>
      <c r="K1400" t="s">
        <v>78</v>
      </c>
      <c r="L1400" t="s">
        <v>55</v>
      </c>
      <c r="M1400" t="s">
        <v>78</v>
      </c>
      <c r="N1400" t="s">
        <v>55</v>
      </c>
      <c r="O1400" t="s">
        <v>78</v>
      </c>
      <c r="P1400" t="s">
        <v>55</v>
      </c>
      <c r="Q1400" t="s">
        <v>78</v>
      </c>
      <c r="R1400" t="s">
        <v>55</v>
      </c>
      <c r="S1400" t="s">
        <v>78</v>
      </c>
      <c r="T1400" t="s">
        <v>55</v>
      </c>
      <c r="U1400" t="s">
        <v>78</v>
      </c>
      <c r="V1400" t="s">
        <v>55</v>
      </c>
      <c r="W1400" t="s">
        <v>78</v>
      </c>
      <c r="X1400" t="s">
        <v>55</v>
      </c>
      <c r="Y1400" t="s">
        <v>78</v>
      </c>
      <c r="Z1400" t="s">
        <v>55</v>
      </c>
      <c r="AA1400" t="s">
        <v>78</v>
      </c>
      <c r="AB1400" t="s">
        <v>55</v>
      </c>
      <c r="AC1400" t="s">
        <v>78</v>
      </c>
      <c r="AD1400" t="s">
        <v>55</v>
      </c>
      <c r="AE1400" t="s">
        <v>78</v>
      </c>
      <c r="AF1400" t="s">
        <v>55</v>
      </c>
      <c r="AG1400" t="s">
        <v>78</v>
      </c>
      <c r="AH1400" t="s">
        <v>55</v>
      </c>
      <c r="AI1400" t="s">
        <v>78</v>
      </c>
      <c r="AK1400" t="s">
        <v>357</v>
      </c>
    </row>
    <row r="1401" spans="1:37">
      <c r="B1401" t="s">
        <v>56</v>
      </c>
      <c r="C1401" t="s">
        <v>56</v>
      </c>
      <c r="D1401" t="s">
        <v>56</v>
      </c>
      <c r="E1401" t="s">
        <v>56</v>
      </c>
      <c r="F1401" t="s">
        <v>56</v>
      </c>
      <c r="G1401" t="s">
        <v>176</v>
      </c>
      <c r="H1401" t="s">
        <v>211</v>
      </c>
      <c r="I1401" t="s">
        <v>231</v>
      </c>
      <c r="J1401" t="s">
        <v>250</v>
      </c>
      <c r="K1401" t="s">
        <v>264</v>
      </c>
      <c r="L1401" t="s">
        <v>276</v>
      </c>
      <c r="M1401" t="s">
        <v>285</v>
      </c>
      <c r="N1401" t="s">
        <v>295</v>
      </c>
      <c r="O1401" t="s">
        <v>303</v>
      </c>
      <c r="P1401" t="s">
        <v>56</v>
      </c>
      <c r="Q1401" t="s">
        <v>317</v>
      </c>
      <c r="R1401" t="s">
        <v>324</v>
      </c>
      <c r="S1401" t="s">
        <v>331</v>
      </c>
      <c r="T1401" t="s">
        <v>334</v>
      </c>
      <c r="U1401" t="s">
        <v>338</v>
      </c>
      <c r="V1401" t="s">
        <v>342</v>
      </c>
      <c r="W1401" t="s">
        <v>346</v>
      </c>
      <c r="X1401" t="s">
        <v>351</v>
      </c>
      <c r="AK1401" t="s">
        <v>357</v>
      </c>
    </row>
    <row r="1402" spans="1:37">
      <c r="B1402" t="s">
        <v>57</v>
      </c>
      <c r="C1402" t="s">
        <v>79</v>
      </c>
      <c r="D1402" t="s">
        <v>98</v>
      </c>
      <c r="E1402" t="s">
        <v>117</v>
      </c>
      <c r="F1402" t="s">
        <v>151</v>
      </c>
      <c r="G1402" t="s">
        <v>177</v>
      </c>
      <c r="H1402" t="s">
        <v>212</v>
      </c>
      <c r="I1402" t="s">
        <v>232</v>
      </c>
      <c r="J1402" t="s">
        <v>251</v>
      </c>
      <c r="K1402" t="s">
        <v>265</v>
      </c>
      <c r="L1402" t="s">
        <v>277</v>
      </c>
      <c r="M1402" t="s">
        <v>286</v>
      </c>
      <c r="N1402" t="s">
        <v>296</v>
      </c>
      <c r="O1402" t="s">
        <v>304</v>
      </c>
      <c r="P1402" t="s">
        <v>311</v>
      </c>
      <c r="Q1402" t="s">
        <v>318</v>
      </c>
      <c r="R1402" t="s">
        <v>185</v>
      </c>
      <c r="S1402" t="s">
        <v>159</v>
      </c>
      <c r="T1402" t="s">
        <v>185</v>
      </c>
      <c r="U1402" t="s">
        <v>339</v>
      </c>
      <c r="V1402" t="s">
        <v>72</v>
      </c>
      <c r="W1402" t="s">
        <v>347</v>
      </c>
      <c r="X1402" t="s">
        <v>72</v>
      </c>
      <c r="Y1402" t="s">
        <v>96</v>
      </c>
      <c r="AK1402" t="s">
        <v>357</v>
      </c>
    </row>
    <row r="1403" spans="1:37">
      <c r="B1403" t="s">
        <v>58</v>
      </c>
      <c r="C1403" t="s">
        <v>80</v>
      </c>
      <c r="D1403" t="s">
        <v>99</v>
      </c>
      <c r="E1403" t="s">
        <v>118</v>
      </c>
      <c r="F1403" t="s">
        <v>152</v>
      </c>
      <c r="G1403" t="s">
        <v>178</v>
      </c>
      <c r="H1403" t="s">
        <v>213</v>
      </c>
      <c r="I1403" t="s">
        <v>233</v>
      </c>
      <c r="J1403" t="s">
        <v>252</v>
      </c>
      <c r="K1403" t="s">
        <v>266</v>
      </c>
      <c r="L1403" t="s">
        <v>278</v>
      </c>
      <c r="M1403" t="s">
        <v>287</v>
      </c>
      <c r="N1403" t="s">
        <v>297</v>
      </c>
      <c r="O1403" t="s">
        <v>305</v>
      </c>
      <c r="P1403" t="s">
        <v>312</v>
      </c>
      <c r="Q1403" t="s">
        <v>319</v>
      </c>
      <c r="R1403">
        <f>&gt;10       ветра      2.2     18   7</f>
        <v>0</v>
      </c>
      <c r="AK1403" t="s">
        <v>357</v>
      </c>
    </row>
    <row r="1404" spans="1:37">
      <c r="A1404" t="s">
        <v>40</v>
      </c>
      <c r="B1404" t="s">
        <v>59</v>
      </c>
      <c r="C1404" t="s">
        <v>81</v>
      </c>
      <c r="D1404" t="s">
        <v>100</v>
      </c>
      <c r="E1404" t="s">
        <v>119</v>
      </c>
      <c r="F1404" t="s">
        <v>153</v>
      </c>
      <c r="G1404" t="s">
        <v>179</v>
      </c>
      <c r="H1404" t="s">
        <v>214</v>
      </c>
      <c r="I1404" t="s">
        <v>234</v>
      </c>
      <c r="AK1404" t="s">
        <v>357</v>
      </c>
    </row>
    <row r="1405" spans="1:37">
      <c r="A1405" t="s">
        <v>40</v>
      </c>
      <c r="B1405" t="s">
        <v>60</v>
      </c>
      <c r="C1405" t="s">
        <v>82</v>
      </c>
      <c r="D1405" t="s">
        <v>101</v>
      </c>
      <c r="E1405" t="s">
        <v>120</v>
      </c>
      <c r="F1405" t="s">
        <v>154</v>
      </c>
      <c r="G1405" t="s">
        <v>180</v>
      </c>
      <c r="H1405" t="s">
        <v>215</v>
      </c>
      <c r="I1405" t="s">
        <v>235</v>
      </c>
      <c r="J1405" t="s">
        <v>253</v>
      </c>
      <c r="K1405" t="s">
        <v>267</v>
      </c>
      <c r="L1405" t="s">
        <v>279</v>
      </c>
      <c r="M1405" t="s">
        <v>288</v>
      </c>
      <c r="N1405" t="s">
        <v>100</v>
      </c>
      <c r="O1405" t="s">
        <v>306</v>
      </c>
      <c r="P1405" t="s">
        <v>313</v>
      </c>
      <c r="Q1405" t="s">
        <v>320</v>
      </c>
      <c r="R1405" t="s">
        <v>325</v>
      </c>
      <c r="S1405" t="s">
        <v>332</v>
      </c>
      <c r="T1405" t="s">
        <v>119</v>
      </c>
      <c r="U1405" t="s">
        <v>234</v>
      </c>
      <c r="V1405" t="s">
        <v>343</v>
      </c>
      <c r="W1405" t="s">
        <v>348</v>
      </c>
      <c r="X1405" t="s">
        <v>352</v>
      </c>
      <c r="Y1405" t="s">
        <v>354</v>
      </c>
      <c r="AK1405" t="s">
        <v>357</v>
      </c>
    </row>
    <row r="1406" spans="1:37">
      <c r="A1406" t="s">
        <v>41</v>
      </c>
      <c r="B1406" t="s">
        <v>61</v>
      </c>
      <c r="C1406" t="s">
        <v>83</v>
      </c>
      <c r="D1406" t="s">
        <v>102</v>
      </c>
      <c r="E1406" t="s">
        <v>121</v>
      </c>
      <c r="F1406" t="s">
        <v>155</v>
      </c>
      <c r="G1406" t="s">
        <v>181</v>
      </c>
      <c r="H1406" t="s">
        <v>216</v>
      </c>
      <c r="I1406" t="s">
        <v>236</v>
      </c>
      <c r="AK1406" t="s">
        <v>357</v>
      </c>
    </row>
    <row r="1407" spans="1:37">
      <c r="A1407" t="s">
        <v>42</v>
      </c>
      <c r="B1407" t="s">
        <v>62</v>
      </c>
      <c r="C1407" t="s">
        <v>84</v>
      </c>
      <c r="D1407" t="s">
        <v>103</v>
      </c>
      <c r="E1407" t="s">
        <v>122</v>
      </c>
      <c r="F1407" t="s">
        <v>156</v>
      </c>
      <c r="G1407" t="s">
        <v>182</v>
      </c>
      <c r="H1407" t="s">
        <v>83</v>
      </c>
      <c r="I1407" t="s">
        <v>237</v>
      </c>
      <c r="J1407" t="s">
        <v>254</v>
      </c>
      <c r="K1407" t="s">
        <v>268</v>
      </c>
      <c r="L1407" t="s">
        <v>280</v>
      </c>
      <c r="M1407" t="s">
        <v>289</v>
      </c>
      <c r="N1407" t="s">
        <v>298</v>
      </c>
      <c r="O1407" t="s">
        <v>307</v>
      </c>
      <c r="P1407" t="s">
        <v>314</v>
      </c>
      <c r="Q1407" t="s">
        <v>216</v>
      </c>
      <c r="R1407" t="s">
        <v>326</v>
      </c>
      <c r="S1407" t="s">
        <v>333</v>
      </c>
      <c r="T1407" t="s">
        <v>335</v>
      </c>
      <c r="U1407" t="s">
        <v>340</v>
      </c>
      <c r="V1407" t="s">
        <v>344</v>
      </c>
      <c r="W1407" t="s">
        <v>349</v>
      </c>
      <c r="AK1407" t="s">
        <v>357</v>
      </c>
    </row>
    <row r="1408" spans="1:37">
      <c r="A1408" t="s">
        <v>43</v>
      </c>
      <c r="B1408" t="s">
        <v>63</v>
      </c>
      <c r="C1408" t="s">
        <v>85</v>
      </c>
      <c r="D1408" t="s">
        <v>104</v>
      </c>
      <c r="E1408" t="s">
        <v>123</v>
      </c>
      <c r="F1408" t="s">
        <v>157</v>
      </c>
      <c r="G1408" t="s">
        <v>183</v>
      </c>
      <c r="AK1408" t="s">
        <v>357</v>
      </c>
    </row>
    <row r="1409" spans="1:37">
      <c r="A1409" t="s">
        <v>44</v>
      </c>
      <c r="B1409" t="s">
        <v>64</v>
      </c>
      <c r="C1409" t="s">
        <v>86</v>
      </c>
      <c r="D1409" t="s">
        <v>105</v>
      </c>
      <c r="E1409" t="s">
        <v>124</v>
      </c>
      <c r="F1409" t="s">
        <v>158</v>
      </c>
      <c r="G1409" t="s">
        <v>184</v>
      </c>
      <c r="AK1409" t="s">
        <v>357</v>
      </c>
    </row>
    <row r="1410" spans="1:37">
      <c r="A1410" t="s">
        <v>45</v>
      </c>
      <c r="B1410" t="s">
        <v>65</v>
      </c>
      <c r="C1410" t="s">
        <v>87</v>
      </c>
      <c r="D1410" t="s">
        <v>106</v>
      </c>
      <c r="E1410" t="s">
        <v>125</v>
      </c>
      <c r="F1410" t="s">
        <v>159</v>
      </c>
      <c r="G1410" t="s">
        <v>185</v>
      </c>
      <c r="H1410" t="s">
        <v>159</v>
      </c>
      <c r="I1410" t="s">
        <v>185</v>
      </c>
      <c r="J1410" t="s">
        <v>255</v>
      </c>
      <c r="AK1410" t="s">
        <v>357</v>
      </c>
    </row>
    <row r="1411" spans="1:37">
      <c r="A1411" t="s">
        <v>46</v>
      </c>
      <c r="B1411" t="s">
        <v>66</v>
      </c>
      <c r="C1411" t="s">
        <v>88</v>
      </c>
      <c r="D1411" t="s">
        <v>76</v>
      </c>
      <c r="E1411" t="s">
        <v>126</v>
      </c>
      <c r="F1411" t="s">
        <v>160</v>
      </c>
      <c r="G1411" t="s">
        <v>186</v>
      </c>
      <c r="H1411" t="s">
        <v>217</v>
      </c>
      <c r="I1411" t="s">
        <v>238</v>
      </c>
      <c r="J1411" t="s">
        <v>256</v>
      </c>
      <c r="K1411" t="s">
        <v>265</v>
      </c>
      <c r="L1411" t="s">
        <v>281</v>
      </c>
      <c r="M1411" t="s">
        <v>290</v>
      </c>
      <c r="N1411" t="s">
        <v>299</v>
      </c>
      <c r="O1411" t="s">
        <v>308</v>
      </c>
      <c r="P1411" t="s">
        <v>228</v>
      </c>
      <c r="Q1411" t="s">
        <v>72</v>
      </c>
      <c r="R1411" t="s">
        <v>327</v>
      </c>
      <c r="S1411" t="s">
        <v>327</v>
      </c>
      <c r="T1411" t="s">
        <v>336</v>
      </c>
      <c r="U1411" t="s">
        <v>336</v>
      </c>
      <c r="V1411" t="s">
        <v>336</v>
      </c>
      <c r="W1411" t="s">
        <v>336</v>
      </c>
      <c r="X1411" t="s">
        <v>353</v>
      </c>
      <c r="AK1411" t="s">
        <v>357</v>
      </c>
    </row>
    <row r="1412" spans="1:37">
      <c r="B1412" t="s">
        <v>67</v>
      </c>
      <c r="C1412" t="s">
        <v>89</v>
      </c>
      <c r="D1412" t="s">
        <v>107</v>
      </c>
      <c r="AK1412" t="s">
        <v>357</v>
      </c>
    </row>
    <row r="1413" spans="1:37">
      <c r="B1413" t="s">
        <v>68</v>
      </c>
      <c r="C1413" t="s">
        <v>90</v>
      </c>
      <c r="D1413" t="s">
        <v>108</v>
      </c>
      <c r="AK1413" t="s">
        <v>357</v>
      </c>
    </row>
    <row r="1414" spans="1:37">
      <c r="A1414" t="s">
        <v>47</v>
      </c>
      <c r="B1414" t="s">
        <v>69</v>
      </c>
      <c r="C1414" t="s">
        <v>91</v>
      </c>
      <c r="D1414" t="s">
        <v>109</v>
      </c>
      <c r="E1414" t="s">
        <v>109</v>
      </c>
      <c r="F1414" t="s">
        <v>109</v>
      </c>
      <c r="G1414" t="s">
        <v>109</v>
      </c>
      <c r="H1414" t="s">
        <v>109</v>
      </c>
      <c r="I1414" t="s">
        <v>239</v>
      </c>
      <c r="AK1414" t="s">
        <v>357</v>
      </c>
    </row>
    <row r="1415" spans="1:37">
      <c r="B1415" t="s">
        <v>70</v>
      </c>
      <c r="C1415" t="s">
        <v>92</v>
      </c>
      <c r="D1415" t="s">
        <v>110</v>
      </c>
      <c r="E1415" t="s">
        <v>127</v>
      </c>
      <c r="F1415" t="s">
        <v>161</v>
      </c>
      <c r="G1415" t="s">
        <v>187</v>
      </c>
      <c r="H1415" t="s">
        <v>218</v>
      </c>
      <c r="AK1415" t="s">
        <v>357</v>
      </c>
    </row>
    <row r="1416" spans="1:37">
      <c r="B1416" t="s">
        <v>71</v>
      </c>
      <c r="C1416" t="s">
        <v>93</v>
      </c>
      <c r="D1416" t="s">
        <v>111</v>
      </c>
      <c r="E1416" t="s">
        <v>128</v>
      </c>
      <c r="F1416" t="s">
        <v>162</v>
      </c>
      <c r="G1416" t="s">
        <v>188</v>
      </c>
      <c r="H1416" t="s">
        <v>219</v>
      </c>
      <c r="I1416" t="s">
        <v>240</v>
      </c>
      <c r="J1416" t="s">
        <v>257</v>
      </c>
      <c r="K1416" t="s">
        <v>269</v>
      </c>
      <c r="L1416" t="s">
        <v>109</v>
      </c>
      <c r="M1416" t="s">
        <v>109</v>
      </c>
      <c r="N1416" t="s">
        <v>109</v>
      </c>
      <c r="O1416" t="s">
        <v>109</v>
      </c>
      <c r="P1416" t="s">
        <v>109</v>
      </c>
      <c r="Q1416" t="s">
        <v>321</v>
      </c>
      <c r="AK1416" t="s">
        <v>357</v>
      </c>
    </row>
    <row r="1417" spans="1:37">
      <c r="A1417" t="s">
        <v>48</v>
      </c>
      <c r="B1417" t="s">
        <v>71</v>
      </c>
      <c r="C1417" t="s">
        <v>93</v>
      </c>
      <c r="D1417" t="s">
        <v>111</v>
      </c>
      <c r="E1417" t="s">
        <v>128</v>
      </c>
      <c r="F1417" t="s">
        <v>163</v>
      </c>
      <c r="G1417" t="s">
        <v>189</v>
      </c>
      <c r="H1417" t="s">
        <v>220</v>
      </c>
      <c r="I1417" t="s">
        <v>241</v>
      </c>
      <c r="J1417" t="s">
        <v>258</v>
      </c>
      <c r="K1417" t="s">
        <v>270</v>
      </c>
      <c r="AK1417" t="s">
        <v>357</v>
      </c>
    </row>
    <row r="1418" spans="1:37">
      <c r="B1418" t="s">
        <v>72</v>
      </c>
      <c r="C1418" t="s">
        <v>72</v>
      </c>
      <c r="D1418" t="s">
        <v>72</v>
      </c>
      <c r="E1418" t="s">
        <v>129</v>
      </c>
      <c r="F1418" t="s">
        <v>129</v>
      </c>
      <c r="G1418" t="s">
        <v>192</v>
      </c>
      <c r="H1418" t="s">
        <v>192</v>
      </c>
      <c r="I1418" t="s">
        <v>192</v>
      </c>
      <c r="J1418" t="s">
        <v>192</v>
      </c>
      <c r="K1418" t="s">
        <v>271</v>
      </c>
      <c r="AK1418" t="s">
        <v>357</v>
      </c>
    </row>
    <row r="1419" spans="1:37">
      <c r="A1419" t="s">
        <v>37</v>
      </c>
      <c r="B1419" t="s">
        <v>49</v>
      </c>
      <c r="C1419" t="s">
        <v>73</v>
      </c>
      <c r="D1419" t="s">
        <v>94</v>
      </c>
      <c r="E1419" t="s">
        <v>112</v>
      </c>
      <c r="F1419" t="s">
        <v>146</v>
      </c>
      <c r="G1419" t="s">
        <v>172</v>
      </c>
      <c r="H1419" t="s">
        <v>207</v>
      </c>
      <c r="I1419" t="s">
        <v>226</v>
      </c>
      <c r="J1419" t="s">
        <v>246</v>
      </c>
      <c r="K1419" t="s">
        <v>259</v>
      </c>
      <c r="AK1419" t="s">
        <v>357</v>
      </c>
    </row>
    <row r="1420" spans="1:37">
      <c r="A1420" t="s">
        <v>38</v>
      </c>
      <c r="B1420" t="s">
        <v>50</v>
      </c>
      <c r="C1420" t="s">
        <v>74</v>
      </c>
      <c r="D1420" t="s">
        <v>95</v>
      </c>
      <c r="E1420" t="s">
        <v>113</v>
      </c>
      <c r="F1420" t="s">
        <v>147</v>
      </c>
      <c r="G1420" t="s">
        <v>173</v>
      </c>
      <c r="H1420" t="s">
        <v>208</v>
      </c>
      <c r="I1420" t="s">
        <v>227</v>
      </c>
      <c r="J1420" t="s">
        <v>115</v>
      </c>
      <c r="K1420" t="s">
        <v>260</v>
      </c>
      <c r="L1420" t="s">
        <v>273</v>
      </c>
      <c r="M1420" t="s">
        <v>282</v>
      </c>
      <c r="N1420" t="s">
        <v>291</v>
      </c>
      <c r="AK1420" t="s">
        <v>357</v>
      </c>
    </row>
    <row r="1421" spans="1:37">
      <c r="B1421" t="s">
        <v>51</v>
      </c>
      <c r="C1421" t="s">
        <v>75</v>
      </c>
      <c r="D1421" t="s">
        <v>52</v>
      </c>
      <c r="E1421" t="s">
        <v>114</v>
      </c>
      <c r="F1421" t="s">
        <v>148</v>
      </c>
      <c r="G1421" t="s">
        <v>148</v>
      </c>
      <c r="H1421" t="s">
        <v>209</v>
      </c>
      <c r="I1421" t="s">
        <v>228</v>
      </c>
      <c r="J1421" t="s">
        <v>247</v>
      </c>
      <c r="K1421" t="s">
        <v>261</v>
      </c>
      <c r="L1421" t="s">
        <v>274</v>
      </c>
      <c r="M1421" t="s">
        <v>283</v>
      </c>
      <c r="N1421" t="s">
        <v>292</v>
      </c>
      <c r="O1421" t="s">
        <v>300</v>
      </c>
      <c r="AK1421" t="s">
        <v>357</v>
      </c>
    </row>
    <row r="1422" spans="1:37">
      <c r="B1422" t="s">
        <v>52</v>
      </c>
      <c r="C1422" t="s">
        <v>76</v>
      </c>
      <c r="D1422" t="s">
        <v>96</v>
      </c>
      <c r="E1422" t="s">
        <v>115</v>
      </c>
      <c r="F1422" t="s">
        <v>149</v>
      </c>
      <c r="G1422" t="s">
        <v>174</v>
      </c>
      <c r="H1422" t="s">
        <v>96</v>
      </c>
      <c r="I1422" t="s">
        <v>229</v>
      </c>
      <c r="J1422" t="s">
        <v>248</v>
      </c>
      <c r="K1422" t="s">
        <v>262</v>
      </c>
      <c r="L1422" t="s">
        <v>52</v>
      </c>
      <c r="M1422" t="s">
        <v>76</v>
      </c>
      <c r="N1422" t="s">
        <v>293</v>
      </c>
      <c r="O1422" t="s">
        <v>301</v>
      </c>
      <c r="P1422" t="s">
        <v>309</v>
      </c>
      <c r="Q1422" t="s">
        <v>315</v>
      </c>
      <c r="R1422" t="s">
        <v>228</v>
      </c>
      <c r="S1422" t="s">
        <v>328</v>
      </c>
      <c r="T1422" t="s">
        <v>149</v>
      </c>
      <c r="U1422" t="s">
        <v>337</v>
      </c>
      <c r="V1422" t="s">
        <v>341</v>
      </c>
      <c r="W1422" t="s">
        <v>345</v>
      </c>
      <c r="X1422" t="s">
        <v>350</v>
      </c>
      <c r="AK1422" t="s">
        <v>357</v>
      </c>
    </row>
    <row r="1423" spans="1:37">
      <c r="B1423" t="s">
        <v>53</v>
      </c>
      <c r="C1423" t="s">
        <v>77</v>
      </c>
      <c r="D1423" t="s">
        <v>97</v>
      </c>
      <c r="E1423" t="s">
        <v>116</v>
      </c>
      <c r="F1423" t="s">
        <v>150</v>
      </c>
      <c r="G1423" t="s">
        <v>175</v>
      </c>
      <c r="H1423" t="s">
        <v>210</v>
      </c>
      <c r="I1423" t="s">
        <v>230</v>
      </c>
      <c r="J1423" t="s">
        <v>249</v>
      </c>
      <c r="K1423" t="s">
        <v>263</v>
      </c>
      <c r="L1423" t="s">
        <v>275</v>
      </c>
      <c r="M1423" t="s">
        <v>284</v>
      </c>
      <c r="N1423" t="s">
        <v>294</v>
      </c>
      <c r="O1423" t="s">
        <v>302</v>
      </c>
      <c r="P1423" t="s">
        <v>310</v>
      </c>
      <c r="Q1423" t="s">
        <v>316</v>
      </c>
      <c r="R1423" t="s">
        <v>322</v>
      </c>
      <c r="S1423" t="s">
        <v>329</v>
      </c>
      <c r="AK1423" t="s">
        <v>357</v>
      </c>
    </row>
    <row r="1424" spans="1:37">
      <c r="A1424" t="s">
        <v>39</v>
      </c>
      <c r="B1424" t="s">
        <v>54</v>
      </c>
      <c r="C1424" t="s">
        <v>54</v>
      </c>
      <c r="D1424" t="s">
        <v>54</v>
      </c>
      <c r="E1424" t="s">
        <v>54</v>
      </c>
      <c r="F1424" t="s">
        <v>54</v>
      </c>
      <c r="G1424" t="s">
        <v>54</v>
      </c>
      <c r="H1424" t="s">
        <v>54</v>
      </c>
      <c r="I1424" t="s">
        <v>54</v>
      </c>
      <c r="J1424" t="s">
        <v>54</v>
      </c>
      <c r="K1424" t="s">
        <v>54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323</v>
      </c>
      <c r="S1424" t="s">
        <v>330</v>
      </c>
      <c r="AK1424" t="s">
        <v>357</v>
      </c>
    </row>
    <row r="1425" spans="1:37">
      <c r="B1425" t="s">
        <v>55</v>
      </c>
      <c r="C1425" t="s">
        <v>78</v>
      </c>
      <c r="D1425" t="s">
        <v>55</v>
      </c>
      <c r="E1425" t="s">
        <v>78</v>
      </c>
      <c r="F1425" t="s">
        <v>55</v>
      </c>
      <c r="G1425" t="s">
        <v>78</v>
      </c>
      <c r="H1425" t="s">
        <v>55</v>
      </c>
      <c r="I1425" t="s">
        <v>78</v>
      </c>
      <c r="J1425" t="s">
        <v>55</v>
      </c>
      <c r="K1425" t="s">
        <v>78</v>
      </c>
      <c r="L1425" t="s">
        <v>55</v>
      </c>
      <c r="M1425" t="s">
        <v>78</v>
      </c>
      <c r="N1425" t="s">
        <v>55</v>
      </c>
      <c r="O1425" t="s">
        <v>78</v>
      </c>
      <c r="P1425" t="s">
        <v>55</v>
      </c>
      <c r="Q1425" t="s">
        <v>78</v>
      </c>
      <c r="R1425" t="s">
        <v>55</v>
      </c>
      <c r="S1425" t="s">
        <v>78</v>
      </c>
      <c r="T1425" t="s">
        <v>55</v>
      </c>
      <c r="U1425" t="s">
        <v>78</v>
      </c>
      <c r="V1425" t="s">
        <v>55</v>
      </c>
      <c r="W1425" t="s">
        <v>78</v>
      </c>
      <c r="X1425" t="s">
        <v>55</v>
      </c>
      <c r="Y1425" t="s">
        <v>78</v>
      </c>
      <c r="Z1425" t="s">
        <v>55</v>
      </c>
      <c r="AA1425" t="s">
        <v>78</v>
      </c>
      <c r="AB1425" t="s">
        <v>55</v>
      </c>
      <c r="AC1425" t="s">
        <v>78</v>
      </c>
      <c r="AD1425" t="s">
        <v>55</v>
      </c>
      <c r="AE1425" t="s">
        <v>78</v>
      </c>
      <c r="AF1425" t="s">
        <v>55</v>
      </c>
      <c r="AG1425" t="s">
        <v>78</v>
      </c>
      <c r="AH1425" t="s">
        <v>55</v>
      </c>
      <c r="AI1425" t="s">
        <v>78</v>
      </c>
      <c r="AK1425" t="s">
        <v>357</v>
      </c>
    </row>
    <row r="1426" spans="1:37">
      <c r="B1426" t="s">
        <v>56</v>
      </c>
      <c r="C1426" t="s">
        <v>56</v>
      </c>
      <c r="D1426" t="s">
        <v>56</v>
      </c>
      <c r="E1426" t="s">
        <v>56</v>
      </c>
      <c r="F1426" t="s">
        <v>56</v>
      </c>
      <c r="G1426" t="s">
        <v>176</v>
      </c>
      <c r="H1426" t="s">
        <v>211</v>
      </c>
      <c r="I1426" t="s">
        <v>231</v>
      </c>
      <c r="J1426" t="s">
        <v>250</v>
      </c>
      <c r="K1426" t="s">
        <v>264</v>
      </c>
      <c r="L1426" t="s">
        <v>276</v>
      </c>
      <c r="M1426" t="s">
        <v>285</v>
      </c>
      <c r="N1426" t="s">
        <v>295</v>
      </c>
      <c r="O1426" t="s">
        <v>303</v>
      </c>
      <c r="P1426" t="s">
        <v>56</v>
      </c>
      <c r="Q1426" t="s">
        <v>317</v>
      </c>
      <c r="R1426" t="s">
        <v>324</v>
      </c>
      <c r="S1426" t="s">
        <v>331</v>
      </c>
      <c r="T1426" t="s">
        <v>334</v>
      </c>
      <c r="U1426" t="s">
        <v>338</v>
      </c>
      <c r="V1426" t="s">
        <v>342</v>
      </c>
      <c r="W1426" t="s">
        <v>346</v>
      </c>
      <c r="X1426" t="s">
        <v>351</v>
      </c>
      <c r="AK1426" t="s">
        <v>357</v>
      </c>
    </row>
    <row r="1427" spans="1:37">
      <c r="B1427" t="s">
        <v>57</v>
      </c>
      <c r="C1427" t="s">
        <v>79</v>
      </c>
      <c r="D1427" t="s">
        <v>98</v>
      </c>
      <c r="E1427" t="s">
        <v>117</v>
      </c>
      <c r="F1427" t="s">
        <v>151</v>
      </c>
      <c r="G1427" t="s">
        <v>177</v>
      </c>
      <c r="H1427" t="s">
        <v>212</v>
      </c>
      <c r="I1427" t="s">
        <v>232</v>
      </c>
      <c r="J1427" t="s">
        <v>251</v>
      </c>
      <c r="K1427" t="s">
        <v>265</v>
      </c>
      <c r="L1427" t="s">
        <v>277</v>
      </c>
      <c r="M1427" t="s">
        <v>286</v>
      </c>
      <c r="N1427" t="s">
        <v>296</v>
      </c>
      <c r="O1427" t="s">
        <v>304</v>
      </c>
      <c r="P1427" t="s">
        <v>311</v>
      </c>
      <c r="Q1427" t="s">
        <v>318</v>
      </c>
      <c r="R1427" t="s">
        <v>185</v>
      </c>
      <c r="S1427" t="s">
        <v>159</v>
      </c>
      <c r="T1427" t="s">
        <v>185</v>
      </c>
      <c r="U1427" t="s">
        <v>339</v>
      </c>
      <c r="V1427" t="s">
        <v>72</v>
      </c>
      <c r="W1427" t="s">
        <v>347</v>
      </c>
      <c r="X1427" t="s">
        <v>72</v>
      </c>
      <c r="Y1427" t="s">
        <v>96</v>
      </c>
      <c r="AK1427" t="s">
        <v>357</v>
      </c>
    </row>
    <row r="1428" spans="1:37">
      <c r="B1428" t="s">
        <v>58</v>
      </c>
      <c r="C1428" t="s">
        <v>80</v>
      </c>
      <c r="D1428" t="s">
        <v>99</v>
      </c>
      <c r="E1428" t="s">
        <v>118</v>
      </c>
      <c r="F1428" t="s">
        <v>152</v>
      </c>
      <c r="G1428" t="s">
        <v>178</v>
      </c>
      <c r="H1428" t="s">
        <v>213</v>
      </c>
      <c r="I1428" t="s">
        <v>233</v>
      </c>
      <c r="J1428" t="s">
        <v>252</v>
      </c>
      <c r="K1428" t="s">
        <v>266</v>
      </c>
      <c r="L1428" t="s">
        <v>278</v>
      </c>
      <c r="M1428" t="s">
        <v>287</v>
      </c>
      <c r="N1428" t="s">
        <v>297</v>
      </c>
      <c r="O1428" t="s">
        <v>305</v>
      </c>
      <c r="P1428" t="s">
        <v>312</v>
      </c>
      <c r="Q1428" t="s">
        <v>319</v>
      </c>
      <c r="R1428">
        <f>&gt;10       ветра      4.0     20  19</f>
        <v>0</v>
      </c>
      <c r="AK1428" t="s">
        <v>357</v>
      </c>
    </row>
    <row r="1429" spans="1:37">
      <c r="A1429" t="s">
        <v>40</v>
      </c>
      <c r="B1429" t="s">
        <v>59</v>
      </c>
      <c r="C1429" t="s">
        <v>81</v>
      </c>
      <c r="D1429" t="s">
        <v>100</v>
      </c>
      <c r="E1429" t="s">
        <v>119</v>
      </c>
      <c r="F1429" t="s">
        <v>153</v>
      </c>
      <c r="G1429" t="s">
        <v>179</v>
      </c>
      <c r="H1429" t="s">
        <v>214</v>
      </c>
      <c r="I1429" t="s">
        <v>234</v>
      </c>
      <c r="AK1429" t="s">
        <v>357</v>
      </c>
    </row>
    <row r="1430" spans="1:37">
      <c r="A1430" t="s">
        <v>40</v>
      </c>
      <c r="B1430" t="s">
        <v>60</v>
      </c>
      <c r="C1430" t="s">
        <v>82</v>
      </c>
      <c r="D1430" t="s">
        <v>101</v>
      </c>
      <c r="E1430" t="s">
        <v>120</v>
      </c>
      <c r="F1430" t="s">
        <v>154</v>
      </c>
      <c r="G1430" t="s">
        <v>180</v>
      </c>
      <c r="H1430" t="s">
        <v>215</v>
      </c>
      <c r="I1430" t="s">
        <v>235</v>
      </c>
      <c r="J1430" t="s">
        <v>253</v>
      </c>
      <c r="K1430" t="s">
        <v>267</v>
      </c>
      <c r="L1430" t="s">
        <v>279</v>
      </c>
      <c r="M1430" t="s">
        <v>288</v>
      </c>
      <c r="N1430" t="s">
        <v>100</v>
      </c>
      <c r="O1430" t="s">
        <v>306</v>
      </c>
      <c r="P1430" t="s">
        <v>313</v>
      </c>
      <c r="Q1430" t="s">
        <v>320</v>
      </c>
      <c r="R1430" t="s">
        <v>325</v>
      </c>
      <c r="S1430" t="s">
        <v>332</v>
      </c>
      <c r="T1430" t="s">
        <v>119</v>
      </c>
      <c r="U1430" t="s">
        <v>234</v>
      </c>
      <c r="V1430" t="s">
        <v>343</v>
      </c>
      <c r="W1430" t="s">
        <v>348</v>
      </c>
      <c r="X1430" t="s">
        <v>352</v>
      </c>
      <c r="Y1430" t="s">
        <v>354</v>
      </c>
      <c r="AK1430" t="s">
        <v>357</v>
      </c>
    </row>
    <row r="1431" spans="1:37">
      <c r="A1431" t="s">
        <v>41</v>
      </c>
      <c r="B1431" t="s">
        <v>61</v>
      </c>
      <c r="C1431" t="s">
        <v>83</v>
      </c>
      <c r="D1431" t="s">
        <v>102</v>
      </c>
      <c r="E1431" t="s">
        <v>121</v>
      </c>
      <c r="F1431" t="s">
        <v>155</v>
      </c>
      <c r="G1431" t="s">
        <v>181</v>
      </c>
      <c r="H1431" t="s">
        <v>216</v>
      </c>
      <c r="I1431" t="s">
        <v>236</v>
      </c>
      <c r="AK1431" t="s">
        <v>357</v>
      </c>
    </row>
    <row r="1432" spans="1:37">
      <c r="A1432" t="s">
        <v>42</v>
      </c>
      <c r="B1432" t="s">
        <v>62</v>
      </c>
      <c r="C1432" t="s">
        <v>84</v>
      </c>
      <c r="D1432" t="s">
        <v>103</v>
      </c>
      <c r="E1432" t="s">
        <v>122</v>
      </c>
      <c r="F1432" t="s">
        <v>156</v>
      </c>
      <c r="G1432" t="s">
        <v>182</v>
      </c>
      <c r="H1432" t="s">
        <v>83</v>
      </c>
      <c r="I1432" t="s">
        <v>237</v>
      </c>
      <c r="J1432" t="s">
        <v>254</v>
      </c>
      <c r="K1432" t="s">
        <v>268</v>
      </c>
      <c r="L1432" t="s">
        <v>280</v>
      </c>
      <c r="M1432" t="s">
        <v>289</v>
      </c>
      <c r="N1432" t="s">
        <v>298</v>
      </c>
      <c r="O1432" t="s">
        <v>307</v>
      </c>
      <c r="P1432" t="s">
        <v>314</v>
      </c>
      <c r="Q1432" t="s">
        <v>216</v>
      </c>
      <c r="R1432" t="s">
        <v>326</v>
      </c>
      <c r="S1432" t="s">
        <v>333</v>
      </c>
      <c r="T1432" t="s">
        <v>335</v>
      </c>
      <c r="U1432" t="s">
        <v>340</v>
      </c>
      <c r="V1432" t="s">
        <v>344</v>
      </c>
      <c r="W1432" t="s">
        <v>349</v>
      </c>
      <c r="AK1432" t="s">
        <v>357</v>
      </c>
    </row>
    <row r="1433" spans="1:37">
      <c r="A1433" t="s">
        <v>43</v>
      </c>
      <c r="B1433" t="s">
        <v>63</v>
      </c>
      <c r="C1433" t="s">
        <v>85</v>
      </c>
      <c r="D1433" t="s">
        <v>104</v>
      </c>
      <c r="E1433" t="s">
        <v>123</v>
      </c>
      <c r="F1433" t="s">
        <v>157</v>
      </c>
      <c r="G1433" t="s">
        <v>183</v>
      </c>
      <c r="AK1433" t="s">
        <v>357</v>
      </c>
    </row>
    <row r="1434" spans="1:37">
      <c r="A1434" t="s">
        <v>44</v>
      </c>
      <c r="B1434" t="s">
        <v>64</v>
      </c>
      <c r="C1434" t="s">
        <v>86</v>
      </c>
      <c r="D1434" t="s">
        <v>105</v>
      </c>
      <c r="E1434" t="s">
        <v>124</v>
      </c>
      <c r="F1434" t="s">
        <v>158</v>
      </c>
      <c r="G1434" t="s">
        <v>184</v>
      </c>
      <c r="AK1434" t="s">
        <v>357</v>
      </c>
    </row>
    <row r="1435" spans="1:37">
      <c r="A1435" t="s">
        <v>45</v>
      </c>
      <c r="B1435" t="s">
        <v>65</v>
      </c>
      <c r="C1435" t="s">
        <v>87</v>
      </c>
      <c r="D1435" t="s">
        <v>106</v>
      </c>
      <c r="E1435" t="s">
        <v>125</v>
      </c>
      <c r="F1435" t="s">
        <v>159</v>
      </c>
      <c r="G1435" t="s">
        <v>185</v>
      </c>
      <c r="H1435" t="s">
        <v>159</v>
      </c>
      <c r="I1435" t="s">
        <v>185</v>
      </c>
      <c r="J1435" t="s">
        <v>255</v>
      </c>
      <c r="AK1435" t="s">
        <v>357</v>
      </c>
    </row>
    <row r="1436" spans="1:37">
      <c r="A1436" t="s">
        <v>46</v>
      </c>
      <c r="B1436" t="s">
        <v>66</v>
      </c>
      <c r="C1436" t="s">
        <v>88</v>
      </c>
      <c r="D1436" t="s">
        <v>76</v>
      </c>
      <c r="E1436" t="s">
        <v>126</v>
      </c>
      <c r="F1436" t="s">
        <v>160</v>
      </c>
      <c r="G1436" t="s">
        <v>186</v>
      </c>
      <c r="H1436" t="s">
        <v>217</v>
      </c>
      <c r="I1436" t="s">
        <v>238</v>
      </c>
      <c r="J1436" t="s">
        <v>256</v>
      </c>
      <c r="K1436" t="s">
        <v>265</v>
      </c>
      <c r="L1436" t="s">
        <v>281</v>
      </c>
      <c r="M1436" t="s">
        <v>290</v>
      </c>
      <c r="N1436" t="s">
        <v>299</v>
      </c>
      <c r="O1436" t="s">
        <v>308</v>
      </c>
      <c r="P1436" t="s">
        <v>228</v>
      </c>
      <c r="Q1436" t="s">
        <v>72</v>
      </c>
      <c r="R1436" t="s">
        <v>327</v>
      </c>
      <c r="S1436" t="s">
        <v>327</v>
      </c>
      <c r="T1436" t="s">
        <v>336</v>
      </c>
      <c r="U1436" t="s">
        <v>336</v>
      </c>
      <c r="V1436" t="s">
        <v>336</v>
      </c>
      <c r="W1436" t="s">
        <v>336</v>
      </c>
      <c r="X1436" t="s">
        <v>353</v>
      </c>
      <c r="AK1436" t="s">
        <v>357</v>
      </c>
    </row>
    <row r="1437" spans="1:37">
      <c r="A1437" t="s">
        <v>37</v>
      </c>
      <c r="B1437" t="s">
        <v>49</v>
      </c>
      <c r="C1437" t="s">
        <v>73</v>
      </c>
      <c r="D1437" t="s">
        <v>94</v>
      </c>
      <c r="E1437" t="s">
        <v>112</v>
      </c>
      <c r="F1437" t="s">
        <v>146</v>
      </c>
      <c r="G1437" t="s">
        <v>172</v>
      </c>
      <c r="H1437" t="s">
        <v>207</v>
      </c>
      <c r="I1437" t="s">
        <v>226</v>
      </c>
      <c r="J1437" t="s">
        <v>246</v>
      </c>
      <c r="K1437" t="s">
        <v>259</v>
      </c>
      <c r="AK1437" t="s">
        <v>357</v>
      </c>
    </row>
    <row r="1438" spans="1:37">
      <c r="A1438" t="s">
        <v>38</v>
      </c>
      <c r="B1438" t="s">
        <v>50</v>
      </c>
      <c r="C1438" t="s">
        <v>74</v>
      </c>
      <c r="D1438" t="s">
        <v>95</v>
      </c>
      <c r="E1438" t="s">
        <v>113</v>
      </c>
      <c r="F1438" t="s">
        <v>147</v>
      </c>
      <c r="G1438" t="s">
        <v>173</v>
      </c>
      <c r="H1438" t="s">
        <v>208</v>
      </c>
      <c r="I1438" t="s">
        <v>227</v>
      </c>
      <c r="J1438" t="s">
        <v>115</v>
      </c>
      <c r="K1438" t="s">
        <v>260</v>
      </c>
      <c r="L1438" t="s">
        <v>273</v>
      </c>
      <c r="M1438" t="s">
        <v>282</v>
      </c>
      <c r="N1438" t="s">
        <v>291</v>
      </c>
      <c r="AK1438" t="s">
        <v>357</v>
      </c>
    </row>
    <row r="1439" spans="1:37">
      <c r="B1439" t="s">
        <v>51</v>
      </c>
      <c r="C1439" t="s">
        <v>75</v>
      </c>
      <c r="D1439" t="s">
        <v>52</v>
      </c>
      <c r="E1439" t="s">
        <v>114</v>
      </c>
      <c r="F1439" t="s">
        <v>148</v>
      </c>
      <c r="G1439" t="s">
        <v>148</v>
      </c>
      <c r="H1439" t="s">
        <v>209</v>
      </c>
      <c r="I1439" t="s">
        <v>228</v>
      </c>
      <c r="J1439" t="s">
        <v>247</v>
      </c>
      <c r="K1439" t="s">
        <v>261</v>
      </c>
      <c r="L1439" t="s">
        <v>274</v>
      </c>
      <c r="M1439" t="s">
        <v>283</v>
      </c>
      <c r="N1439" t="s">
        <v>292</v>
      </c>
      <c r="O1439" t="s">
        <v>300</v>
      </c>
      <c r="AK1439" t="s">
        <v>357</v>
      </c>
    </row>
    <row r="1440" spans="1:37">
      <c r="B1440" t="s">
        <v>52</v>
      </c>
      <c r="C1440" t="s">
        <v>76</v>
      </c>
      <c r="D1440" t="s">
        <v>96</v>
      </c>
      <c r="E1440" t="s">
        <v>115</v>
      </c>
      <c r="F1440" t="s">
        <v>149</v>
      </c>
      <c r="G1440" t="s">
        <v>174</v>
      </c>
      <c r="H1440" t="s">
        <v>96</v>
      </c>
      <c r="I1440" t="s">
        <v>229</v>
      </c>
      <c r="J1440" t="s">
        <v>248</v>
      </c>
      <c r="K1440" t="s">
        <v>262</v>
      </c>
      <c r="L1440" t="s">
        <v>52</v>
      </c>
      <c r="M1440" t="s">
        <v>76</v>
      </c>
      <c r="N1440" t="s">
        <v>293</v>
      </c>
      <c r="O1440" t="s">
        <v>301</v>
      </c>
      <c r="P1440" t="s">
        <v>309</v>
      </c>
      <c r="Q1440" t="s">
        <v>315</v>
      </c>
      <c r="R1440" t="s">
        <v>228</v>
      </c>
      <c r="S1440" t="s">
        <v>328</v>
      </c>
      <c r="T1440" t="s">
        <v>149</v>
      </c>
      <c r="U1440" t="s">
        <v>337</v>
      </c>
      <c r="V1440" t="s">
        <v>341</v>
      </c>
      <c r="W1440" t="s">
        <v>345</v>
      </c>
      <c r="X1440" t="s">
        <v>350</v>
      </c>
      <c r="AK1440" t="s">
        <v>357</v>
      </c>
    </row>
    <row r="1441" spans="1:37">
      <c r="B1441" t="s">
        <v>53</v>
      </c>
      <c r="C1441" t="s">
        <v>77</v>
      </c>
      <c r="D1441" t="s">
        <v>97</v>
      </c>
      <c r="E1441" t="s">
        <v>116</v>
      </c>
      <c r="F1441" t="s">
        <v>150</v>
      </c>
      <c r="G1441" t="s">
        <v>175</v>
      </c>
      <c r="H1441" t="s">
        <v>210</v>
      </c>
      <c r="I1441" t="s">
        <v>230</v>
      </c>
      <c r="J1441" t="s">
        <v>249</v>
      </c>
      <c r="K1441" t="s">
        <v>263</v>
      </c>
      <c r="L1441" t="s">
        <v>275</v>
      </c>
      <c r="M1441" t="s">
        <v>284</v>
      </c>
      <c r="N1441" t="s">
        <v>294</v>
      </c>
      <c r="O1441" t="s">
        <v>302</v>
      </c>
      <c r="P1441" t="s">
        <v>310</v>
      </c>
      <c r="Q1441" t="s">
        <v>316</v>
      </c>
      <c r="R1441" t="s">
        <v>322</v>
      </c>
      <c r="S1441" t="s">
        <v>329</v>
      </c>
      <c r="AK1441" t="s">
        <v>357</v>
      </c>
    </row>
    <row r="1442" spans="1:37">
      <c r="A1442" t="s">
        <v>39</v>
      </c>
      <c r="B1442" t="s">
        <v>54</v>
      </c>
      <c r="C1442" t="s">
        <v>54</v>
      </c>
      <c r="D1442" t="s">
        <v>54</v>
      </c>
      <c r="E1442" t="s">
        <v>54</v>
      </c>
      <c r="F1442" t="s">
        <v>54</v>
      </c>
      <c r="G1442" t="s">
        <v>54</v>
      </c>
      <c r="H1442" t="s">
        <v>54</v>
      </c>
      <c r="I1442" t="s">
        <v>54</v>
      </c>
      <c r="J1442" t="s">
        <v>54</v>
      </c>
      <c r="K1442" t="s">
        <v>54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323</v>
      </c>
      <c r="S1442" t="s">
        <v>330</v>
      </c>
      <c r="AK1442" t="s">
        <v>357</v>
      </c>
    </row>
    <row r="1443" spans="1:37">
      <c r="B1443" t="s">
        <v>55</v>
      </c>
      <c r="C1443" t="s">
        <v>78</v>
      </c>
      <c r="D1443" t="s">
        <v>55</v>
      </c>
      <c r="E1443" t="s">
        <v>78</v>
      </c>
      <c r="F1443" t="s">
        <v>55</v>
      </c>
      <c r="G1443" t="s">
        <v>78</v>
      </c>
      <c r="H1443" t="s">
        <v>55</v>
      </c>
      <c r="I1443" t="s">
        <v>78</v>
      </c>
      <c r="J1443" t="s">
        <v>55</v>
      </c>
      <c r="K1443" t="s">
        <v>78</v>
      </c>
      <c r="L1443" t="s">
        <v>55</v>
      </c>
      <c r="M1443" t="s">
        <v>78</v>
      </c>
      <c r="N1443" t="s">
        <v>55</v>
      </c>
      <c r="O1443" t="s">
        <v>78</v>
      </c>
      <c r="P1443" t="s">
        <v>55</v>
      </c>
      <c r="Q1443" t="s">
        <v>78</v>
      </c>
      <c r="R1443" t="s">
        <v>55</v>
      </c>
      <c r="S1443" t="s">
        <v>78</v>
      </c>
      <c r="T1443" t="s">
        <v>55</v>
      </c>
      <c r="U1443" t="s">
        <v>78</v>
      </c>
      <c r="V1443" t="s">
        <v>55</v>
      </c>
      <c r="W1443" t="s">
        <v>78</v>
      </c>
      <c r="X1443" t="s">
        <v>55</v>
      </c>
      <c r="Y1443" t="s">
        <v>78</v>
      </c>
      <c r="Z1443" t="s">
        <v>55</v>
      </c>
      <c r="AA1443" t="s">
        <v>78</v>
      </c>
      <c r="AB1443" t="s">
        <v>55</v>
      </c>
      <c r="AC1443" t="s">
        <v>78</v>
      </c>
      <c r="AD1443" t="s">
        <v>55</v>
      </c>
      <c r="AE1443" t="s">
        <v>78</v>
      </c>
      <c r="AF1443" t="s">
        <v>55</v>
      </c>
      <c r="AG1443" t="s">
        <v>78</v>
      </c>
      <c r="AH1443" t="s">
        <v>55</v>
      </c>
      <c r="AI1443" t="s">
        <v>78</v>
      </c>
      <c r="AK1443" t="s">
        <v>357</v>
      </c>
    </row>
    <row r="1444" spans="1:37">
      <c r="B1444" t="s">
        <v>56</v>
      </c>
      <c r="C1444" t="s">
        <v>56</v>
      </c>
      <c r="D1444" t="s">
        <v>56</v>
      </c>
      <c r="E1444" t="s">
        <v>56</v>
      </c>
      <c r="F1444" t="s">
        <v>56</v>
      </c>
      <c r="G1444" t="s">
        <v>176</v>
      </c>
      <c r="H1444" t="s">
        <v>211</v>
      </c>
      <c r="I1444" t="s">
        <v>231</v>
      </c>
      <c r="J1444" t="s">
        <v>250</v>
      </c>
      <c r="K1444" t="s">
        <v>264</v>
      </c>
      <c r="L1444" t="s">
        <v>276</v>
      </c>
      <c r="M1444" t="s">
        <v>285</v>
      </c>
      <c r="N1444" t="s">
        <v>295</v>
      </c>
      <c r="O1444" t="s">
        <v>303</v>
      </c>
      <c r="P1444" t="s">
        <v>56</v>
      </c>
      <c r="Q1444" t="s">
        <v>317</v>
      </c>
      <c r="R1444" t="s">
        <v>324</v>
      </c>
      <c r="S1444" t="s">
        <v>331</v>
      </c>
      <c r="T1444" t="s">
        <v>334</v>
      </c>
      <c r="U1444" t="s">
        <v>338</v>
      </c>
      <c r="V1444" t="s">
        <v>342</v>
      </c>
      <c r="W1444" t="s">
        <v>346</v>
      </c>
      <c r="X1444" t="s">
        <v>351</v>
      </c>
      <c r="AK1444" t="s">
        <v>357</v>
      </c>
    </row>
    <row r="1445" spans="1:37">
      <c r="B1445" t="s">
        <v>57</v>
      </c>
      <c r="C1445" t="s">
        <v>79</v>
      </c>
      <c r="D1445" t="s">
        <v>98</v>
      </c>
      <c r="E1445" t="s">
        <v>117</v>
      </c>
      <c r="F1445" t="s">
        <v>151</v>
      </c>
      <c r="G1445" t="s">
        <v>177</v>
      </c>
      <c r="H1445" t="s">
        <v>212</v>
      </c>
      <c r="I1445" t="s">
        <v>232</v>
      </c>
      <c r="J1445" t="s">
        <v>251</v>
      </c>
      <c r="K1445" t="s">
        <v>265</v>
      </c>
      <c r="L1445" t="s">
        <v>277</v>
      </c>
      <c r="M1445" t="s">
        <v>286</v>
      </c>
      <c r="N1445" t="s">
        <v>296</v>
      </c>
      <c r="O1445" t="s">
        <v>304</v>
      </c>
      <c r="P1445" t="s">
        <v>311</v>
      </c>
      <c r="Q1445" t="s">
        <v>318</v>
      </c>
      <c r="R1445" t="s">
        <v>185</v>
      </c>
      <c r="S1445" t="s">
        <v>159</v>
      </c>
      <c r="T1445" t="s">
        <v>185</v>
      </c>
      <c r="U1445" t="s">
        <v>339</v>
      </c>
      <c r="V1445" t="s">
        <v>72</v>
      </c>
      <c r="W1445" t="s">
        <v>347</v>
      </c>
      <c r="X1445" t="s">
        <v>72</v>
      </c>
      <c r="Y1445" t="s">
        <v>96</v>
      </c>
      <c r="AK1445" t="s">
        <v>357</v>
      </c>
    </row>
    <row r="1446" spans="1:37">
      <c r="B1446" t="s">
        <v>58</v>
      </c>
      <c r="C1446" t="s">
        <v>80</v>
      </c>
      <c r="D1446" t="s">
        <v>99</v>
      </c>
      <c r="E1446" t="s">
        <v>118</v>
      </c>
      <c r="F1446" t="s">
        <v>152</v>
      </c>
      <c r="G1446" t="s">
        <v>178</v>
      </c>
      <c r="H1446" t="s">
        <v>213</v>
      </c>
      <c r="I1446" t="s">
        <v>233</v>
      </c>
      <c r="J1446" t="s">
        <v>252</v>
      </c>
      <c r="K1446" t="s">
        <v>266</v>
      </c>
      <c r="L1446" t="s">
        <v>278</v>
      </c>
      <c r="M1446" t="s">
        <v>287</v>
      </c>
      <c r="N1446" t="s">
        <v>297</v>
      </c>
      <c r="O1446" t="s">
        <v>305</v>
      </c>
      <c r="P1446" t="s">
        <v>312</v>
      </c>
      <c r="Q1446" t="s">
        <v>319</v>
      </c>
      <c r="R1446">
        <f>&gt;10       ветра      3.7     19   7 19</f>
        <v>0</v>
      </c>
      <c r="AK1446" t="s">
        <v>357</v>
      </c>
    </row>
    <row r="1447" spans="1:37">
      <c r="A1447" t="s">
        <v>40</v>
      </c>
      <c r="B1447" t="s">
        <v>59</v>
      </c>
      <c r="C1447" t="s">
        <v>81</v>
      </c>
      <c r="D1447" t="s">
        <v>100</v>
      </c>
      <c r="E1447" t="s">
        <v>119</v>
      </c>
      <c r="F1447" t="s">
        <v>153</v>
      </c>
      <c r="G1447" t="s">
        <v>179</v>
      </c>
      <c r="H1447" t="s">
        <v>214</v>
      </c>
      <c r="I1447" t="s">
        <v>234</v>
      </c>
      <c r="AK1447" t="s">
        <v>357</v>
      </c>
    </row>
    <row r="1448" spans="1:37">
      <c r="A1448" t="s">
        <v>40</v>
      </c>
      <c r="B1448" t="s">
        <v>60</v>
      </c>
      <c r="C1448" t="s">
        <v>82</v>
      </c>
      <c r="D1448" t="s">
        <v>101</v>
      </c>
      <c r="E1448" t="s">
        <v>120</v>
      </c>
      <c r="F1448" t="s">
        <v>154</v>
      </c>
      <c r="G1448" t="s">
        <v>180</v>
      </c>
      <c r="H1448" t="s">
        <v>215</v>
      </c>
      <c r="I1448" t="s">
        <v>235</v>
      </c>
      <c r="J1448" t="s">
        <v>253</v>
      </c>
      <c r="K1448" t="s">
        <v>267</v>
      </c>
      <c r="L1448" t="s">
        <v>279</v>
      </c>
      <c r="M1448" t="s">
        <v>288</v>
      </c>
      <c r="N1448" t="s">
        <v>100</v>
      </c>
      <c r="O1448" t="s">
        <v>306</v>
      </c>
      <c r="P1448" t="s">
        <v>313</v>
      </c>
      <c r="Q1448" t="s">
        <v>320</v>
      </c>
      <c r="R1448" t="s">
        <v>325</v>
      </c>
      <c r="S1448" t="s">
        <v>332</v>
      </c>
      <c r="T1448" t="s">
        <v>119</v>
      </c>
      <c r="U1448" t="s">
        <v>234</v>
      </c>
      <c r="V1448" t="s">
        <v>343</v>
      </c>
      <c r="W1448" t="s">
        <v>348</v>
      </c>
      <c r="X1448" t="s">
        <v>352</v>
      </c>
      <c r="Y1448" t="s">
        <v>354</v>
      </c>
      <c r="AK1448" t="s">
        <v>357</v>
      </c>
    </row>
    <row r="1449" spans="1:37">
      <c r="A1449" t="s">
        <v>41</v>
      </c>
      <c r="B1449" t="s">
        <v>61</v>
      </c>
      <c r="C1449" t="s">
        <v>83</v>
      </c>
      <c r="D1449" t="s">
        <v>102</v>
      </c>
      <c r="E1449" t="s">
        <v>121</v>
      </c>
      <c r="F1449" t="s">
        <v>155</v>
      </c>
      <c r="G1449" t="s">
        <v>181</v>
      </c>
      <c r="H1449" t="s">
        <v>216</v>
      </c>
      <c r="I1449" t="s">
        <v>236</v>
      </c>
      <c r="AK1449" t="s">
        <v>357</v>
      </c>
    </row>
    <row r="1450" spans="1:37">
      <c r="A1450" t="s">
        <v>42</v>
      </c>
      <c r="B1450" t="s">
        <v>62</v>
      </c>
      <c r="C1450" t="s">
        <v>84</v>
      </c>
      <c r="D1450" t="s">
        <v>103</v>
      </c>
      <c r="E1450" t="s">
        <v>122</v>
      </c>
      <c r="F1450" t="s">
        <v>156</v>
      </c>
      <c r="G1450" t="s">
        <v>182</v>
      </c>
      <c r="H1450" t="s">
        <v>83</v>
      </c>
      <c r="I1450" t="s">
        <v>237</v>
      </c>
      <c r="J1450" t="s">
        <v>254</v>
      </c>
      <c r="K1450" t="s">
        <v>268</v>
      </c>
      <c r="L1450" t="s">
        <v>280</v>
      </c>
      <c r="M1450" t="s">
        <v>289</v>
      </c>
      <c r="N1450" t="s">
        <v>298</v>
      </c>
      <c r="O1450" t="s">
        <v>307</v>
      </c>
      <c r="P1450" t="s">
        <v>314</v>
      </c>
      <c r="Q1450" t="s">
        <v>216</v>
      </c>
      <c r="R1450" t="s">
        <v>326</v>
      </c>
      <c r="S1450" t="s">
        <v>333</v>
      </c>
      <c r="T1450" t="s">
        <v>335</v>
      </c>
      <c r="U1450" t="s">
        <v>340</v>
      </c>
      <c r="V1450" t="s">
        <v>344</v>
      </c>
      <c r="W1450" t="s">
        <v>349</v>
      </c>
      <c r="AK1450" t="s">
        <v>357</v>
      </c>
    </row>
    <row r="1451" spans="1:37">
      <c r="A1451" t="s">
        <v>43</v>
      </c>
      <c r="B1451" t="s">
        <v>63</v>
      </c>
      <c r="C1451" t="s">
        <v>85</v>
      </c>
      <c r="D1451" t="s">
        <v>104</v>
      </c>
      <c r="E1451" t="s">
        <v>123</v>
      </c>
      <c r="F1451" t="s">
        <v>157</v>
      </c>
      <c r="G1451" t="s">
        <v>183</v>
      </c>
      <c r="AK1451" t="s">
        <v>357</v>
      </c>
    </row>
    <row r="1452" spans="1:37">
      <c r="A1452" t="s">
        <v>44</v>
      </c>
      <c r="B1452" t="s">
        <v>64</v>
      </c>
      <c r="C1452" t="s">
        <v>86</v>
      </c>
      <c r="D1452" t="s">
        <v>105</v>
      </c>
      <c r="E1452" t="s">
        <v>124</v>
      </c>
      <c r="F1452" t="s">
        <v>158</v>
      </c>
      <c r="G1452" t="s">
        <v>184</v>
      </c>
      <c r="AK1452" t="s">
        <v>357</v>
      </c>
    </row>
    <row r="1453" spans="1:37">
      <c r="A1453" t="s">
        <v>45</v>
      </c>
      <c r="B1453" t="s">
        <v>65</v>
      </c>
      <c r="C1453" t="s">
        <v>87</v>
      </c>
      <c r="D1453" t="s">
        <v>106</v>
      </c>
      <c r="E1453" t="s">
        <v>125</v>
      </c>
      <c r="F1453" t="s">
        <v>159</v>
      </c>
      <c r="G1453" t="s">
        <v>185</v>
      </c>
      <c r="H1453" t="s">
        <v>159</v>
      </c>
      <c r="I1453" t="s">
        <v>185</v>
      </c>
      <c r="J1453" t="s">
        <v>255</v>
      </c>
      <c r="AK1453" t="s">
        <v>357</v>
      </c>
    </row>
    <row r="1454" spans="1:37">
      <c r="A1454" t="s">
        <v>46</v>
      </c>
      <c r="B1454" t="s">
        <v>66</v>
      </c>
      <c r="C1454" t="s">
        <v>88</v>
      </c>
      <c r="D1454" t="s">
        <v>76</v>
      </c>
      <c r="E1454" t="s">
        <v>126</v>
      </c>
      <c r="F1454" t="s">
        <v>160</v>
      </c>
      <c r="G1454" t="s">
        <v>186</v>
      </c>
      <c r="H1454" t="s">
        <v>217</v>
      </c>
      <c r="I1454" t="s">
        <v>238</v>
      </c>
      <c r="J1454" t="s">
        <v>256</v>
      </c>
      <c r="K1454" t="s">
        <v>265</v>
      </c>
      <c r="L1454" t="s">
        <v>281</v>
      </c>
      <c r="M1454" t="s">
        <v>290</v>
      </c>
      <c r="N1454" t="s">
        <v>299</v>
      </c>
      <c r="O1454" t="s">
        <v>308</v>
      </c>
      <c r="P1454" t="s">
        <v>228</v>
      </c>
      <c r="Q1454" t="s">
        <v>72</v>
      </c>
      <c r="R1454" t="s">
        <v>327</v>
      </c>
      <c r="S1454" t="s">
        <v>327</v>
      </c>
      <c r="T1454" t="s">
        <v>336</v>
      </c>
      <c r="U1454" t="s">
        <v>336</v>
      </c>
      <c r="V1454" t="s">
        <v>336</v>
      </c>
      <c r="W1454" t="s">
        <v>336</v>
      </c>
      <c r="X1454" t="s">
        <v>353</v>
      </c>
      <c r="AK1454" t="s">
        <v>357</v>
      </c>
    </row>
    <row r="1455" spans="1:37">
      <c r="A1455" t="s">
        <v>37</v>
      </c>
      <c r="B1455" t="s">
        <v>49</v>
      </c>
      <c r="C1455" t="s">
        <v>73</v>
      </c>
      <c r="D1455" t="s">
        <v>94</v>
      </c>
      <c r="E1455" t="s">
        <v>112</v>
      </c>
      <c r="F1455" t="s">
        <v>146</v>
      </c>
      <c r="G1455" t="s">
        <v>172</v>
      </c>
      <c r="H1455" t="s">
        <v>207</v>
      </c>
      <c r="I1455" t="s">
        <v>226</v>
      </c>
      <c r="J1455" t="s">
        <v>246</v>
      </c>
      <c r="K1455" t="s">
        <v>259</v>
      </c>
      <c r="AK1455" t="s">
        <v>357</v>
      </c>
    </row>
    <row r="1456" spans="1:37">
      <c r="A1456" t="s">
        <v>38</v>
      </c>
      <c r="B1456" t="s">
        <v>50</v>
      </c>
      <c r="C1456" t="s">
        <v>74</v>
      </c>
      <c r="D1456" t="s">
        <v>95</v>
      </c>
      <c r="E1456" t="s">
        <v>113</v>
      </c>
      <c r="F1456" t="s">
        <v>147</v>
      </c>
      <c r="G1456" t="s">
        <v>173</v>
      </c>
      <c r="H1456" t="s">
        <v>208</v>
      </c>
      <c r="I1456" t="s">
        <v>227</v>
      </c>
      <c r="J1456" t="s">
        <v>115</v>
      </c>
      <c r="K1456" t="s">
        <v>260</v>
      </c>
      <c r="L1456" t="s">
        <v>273</v>
      </c>
      <c r="M1456" t="s">
        <v>282</v>
      </c>
      <c r="N1456" t="s">
        <v>291</v>
      </c>
      <c r="AK1456" t="s">
        <v>357</v>
      </c>
    </row>
    <row r="1457" spans="1:37">
      <c r="B1457" t="s">
        <v>51</v>
      </c>
      <c r="C1457" t="s">
        <v>75</v>
      </c>
      <c r="D1457" t="s">
        <v>52</v>
      </c>
      <c r="E1457" t="s">
        <v>114</v>
      </c>
      <c r="F1457" t="s">
        <v>148</v>
      </c>
      <c r="G1457" t="s">
        <v>148</v>
      </c>
      <c r="H1457" t="s">
        <v>209</v>
      </c>
      <c r="I1457" t="s">
        <v>228</v>
      </c>
      <c r="J1457" t="s">
        <v>247</v>
      </c>
      <c r="K1457" t="s">
        <v>261</v>
      </c>
      <c r="L1457" t="s">
        <v>274</v>
      </c>
      <c r="M1457" t="s">
        <v>283</v>
      </c>
      <c r="N1457" t="s">
        <v>292</v>
      </c>
      <c r="O1457" t="s">
        <v>300</v>
      </c>
      <c r="AK1457" t="s">
        <v>357</v>
      </c>
    </row>
    <row r="1458" spans="1:37">
      <c r="B1458" t="s">
        <v>52</v>
      </c>
      <c r="C1458" t="s">
        <v>76</v>
      </c>
      <c r="D1458" t="s">
        <v>96</v>
      </c>
      <c r="E1458" t="s">
        <v>115</v>
      </c>
      <c r="F1458" t="s">
        <v>149</v>
      </c>
      <c r="G1458" t="s">
        <v>174</v>
      </c>
      <c r="H1458" t="s">
        <v>96</v>
      </c>
      <c r="I1458" t="s">
        <v>229</v>
      </c>
      <c r="J1458" t="s">
        <v>248</v>
      </c>
      <c r="K1458" t="s">
        <v>262</v>
      </c>
      <c r="L1458" t="s">
        <v>52</v>
      </c>
      <c r="M1458" t="s">
        <v>76</v>
      </c>
      <c r="N1458" t="s">
        <v>293</v>
      </c>
      <c r="O1458" t="s">
        <v>301</v>
      </c>
      <c r="P1458" t="s">
        <v>309</v>
      </c>
      <c r="Q1458" t="s">
        <v>315</v>
      </c>
      <c r="R1458" t="s">
        <v>228</v>
      </c>
      <c r="S1458" t="s">
        <v>328</v>
      </c>
      <c r="T1458" t="s">
        <v>149</v>
      </c>
      <c r="U1458" t="s">
        <v>337</v>
      </c>
      <c r="V1458" t="s">
        <v>341</v>
      </c>
      <c r="W1458" t="s">
        <v>345</v>
      </c>
      <c r="X1458" t="s">
        <v>350</v>
      </c>
      <c r="AK1458" t="s">
        <v>357</v>
      </c>
    </row>
    <row r="1459" spans="1:37">
      <c r="B1459" t="s">
        <v>53</v>
      </c>
      <c r="C1459" t="s">
        <v>77</v>
      </c>
      <c r="D1459" t="s">
        <v>97</v>
      </c>
      <c r="E1459" t="s">
        <v>116</v>
      </c>
      <c r="F1459" t="s">
        <v>150</v>
      </c>
      <c r="G1459" t="s">
        <v>175</v>
      </c>
      <c r="H1459" t="s">
        <v>210</v>
      </c>
      <c r="I1459" t="s">
        <v>230</v>
      </c>
      <c r="J1459" t="s">
        <v>249</v>
      </c>
      <c r="K1459" t="s">
        <v>263</v>
      </c>
      <c r="L1459" t="s">
        <v>275</v>
      </c>
      <c r="M1459" t="s">
        <v>284</v>
      </c>
      <c r="N1459" t="s">
        <v>294</v>
      </c>
      <c r="O1459" t="s">
        <v>302</v>
      </c>
      <c r="P1459" t="s">
        <v>310</v>
      </c>
      <c r="Q1459" t="s">
        <v>316</v>
      </c>
      <c r="R1459" t="s">
        <v>322</v>
      </c>
      <c r="S1459" t="s">
        <v>329</v>
      </c>
      <c r="AK1459" t="s">
        <v>357</v>
      </c>
    </row>
    <row r="1460" spans="1:37">
      <c r="A1460" t="s">
        <v>39</v>
      </c>
      <c r="B1460" t="s">
        <v>54</v>
      </c>
      <c r="C1460" t="s">
        <v>54</v>
      </c>
      <c r="D1460" t="s">
        <v>54</v>
      </c>
      <c r="E1460" t="s">
        <v>54</v>
      </c>
      <c r="F1460" t="s">
        <v>54</v>
      </c>
      <c r="G1460" t="s">
        <v>54</v>
      </c>
      <c r="H1460" t="s">
        <v>54</v>
      </c>
      <c r="I1460" t="s">
        <v>54</v>
      </c>
      <c r="J1460" t="s">
        <v>54</v>
      </c>
      <c r="K1460" t="s">
        <v>54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323</v>
      </c>
      <c r="S1460" t="s">
        <v>330</v>
      </c>
      <c r="AK1460" t="s">
        <v>357</v>
      </c>
    </row>
    <row r="1461" spans="1:37">
      <c r="B1461" t="s">
        <v>55</v>
      </c>
      <c r="C1461" t="s">
        <v>78</v>
      </c>
      <c r="D1461" t="s">
        <v>55</v>
      </c>
      <c r="E1461" t="s">
        <v>78</v>
      </c>
      <c r="F1461" t="s">
        <v>55</v>
      </c>
      <c r="G1461" t="s">
        <v>78</v>
      </c>
      <c r="H1461" t="s">
        <v>55</v>
      </c>
      <c r="I1461" t="s">
        <v>78</v>
      </c>
      <c r="J1461" t="s">
        <v>55</v>
      </c>
      <c r="K1461" t="s">
        <v>78</v>
      </c>
      <c r="L1461" t="s">
        <v>55</v>
      </c>
      <c r="M1461" t="s">
        <v>78</v>
      </c>
      <c r="N1461" t="s">
        <v>55</v>
      </c>
      <c r="O1461" t="s">
        <v>78</v>
      </c>
      <c r="P1461" t="s">
        <v>55</v>
      </c>
      <c r="Q1461" t="s">
        <v>78</v>
      </c>
      <c r="R1461" t="s">
        <v>55</v>
      </c>
      <c r="S1461" t="s">
        <v>78</v>
      </c>
      <c r="T1461" t="s">
        <v>55</v>
      </c>
      <c r="U1461" t="s">
        <v>78</v>
      </c>
      <c r="V1461" t="s">
        <v>55</v>
      </c>
      <c r="W1461" t="s">
        <v>78</v>
      </c>
      <c r="X1461" t="s">
        <v>55</v>
      </c>
      <c r="Y1461" t="s">
        <v>78</v>
      </c>
      <c r="Z1461" t="s">
        <v>55</v>
      </c>
      <c r="AA1461" t="s">
        <v>78</v>
      </c>
      <c r="AB1461" t="s">
        <v>55</v>
      </c>
      <c r="AC1461" t="s">
        <v>78</v>
      </c>
      <c r="AD1461" t="s">
        <v>55</v>
      </c>
      <c r="AE1461" t="s">
        <v>78</v>
      </c>
      <c r="AF1461" t="s">
        <v>55</v>
      </c>
      <c r="AG1461" t="s">
        <v>78</v>
      </c>
      <c r="AH1461" t="s">
        <v>55</v>
      </c>
      <c r="AI1461" t="s">
        <v>78</v>
      </c>
      <c r="AK1461" t="s">
        <v>357</v>
      </c>
    </row>
    <row r="1462" spans="1:37">
      <c r="B1462" t="s">
        <v>56</v>
      </c>
      <c r="C1462" t="s">
        <v>56</v>
      </c>
      <c r="D1462" t="s">
        <v>56</v>
      </c>
      <c r="E1462" t="s">
        <v>56</v>
      </c>
      <c r="F1462" t="s">
        <v>56</v>
      </c>
      <c r="G1462" t="s">
        <v>176</v>
      </c>
      <c r="H1462" t="s">
        <v>211</v>
      </c>
      <c r="I1462" t="s">
        <v>231</v>
      </c>
      <c r="J1462" t="s">
        <v>250</v>
      </c>
      <c r="K1462" t="s">
        <v>264</v>
      </c>
      <c r="L1462" t="s">
        <v>276</v>
      </c>
      <c r="M1462" t="s">
        <v>285</v>
      </c>
      <c r="N1462" t="s">
        <v>295</v>
      </c>
      <c r="O1462" t="s">
        <v>303</v>
      </c>
      <c r="P1462" t="s">
        <v>56</v>
      </c>
      <c r="Q1462" t="s">
        <v>317</v>
      </c>
      <c r="R1462" t="s">
        <v>324</v>
      </c>
      <c r="S1462" t="s">
        <v>331</v>
      </c>
      <c r="T1462" t="s">
        <v>334</v>
      </c>
      <c r="U1462" t="s">
        <v>338</v>
      </c>
      <c r="V1462" t="s">
        <v>342</v>
      </c>
      <c r="W1462" t="s">
        <v>346</v>
      </c>
      <c r="X1462" t="s">
        <v>351</v>
      </c>
      <c r="AK1462" t="s">
        <v>357</v>
      </c>
    </row>
    <row r="1463" spans="1:37">
      <c r="B1463" t="s">
        <v>57</v>
      </c>
      <c r="C1463" t="s">
        <v>79</v>
      </c>
      <c r="D1463" t="s">
        <v>98</v>
      </c>
      <c r="E1463" t="s">
        <v>117</v>
      </c>
      <c r="F1463" t="s">
        <v>151</v>
      </c>
      <c r="G1463" t="s">
        <v>177</v>
      </c>
      <c r="H1463" t="s">
        <v>212</v>
      </c>
      <c r="I1463" t="s">
        <v>232</v>
      </c>
      <c r="J1463" t="s">
        <v>251</v>
      </c>
      <c r="K1463" t="s">
        <v>265</v>
      </c>
      <c r="L1463" t="s">
        <v>277</v>
      </c>
      <c r="M1463" t="s">
        <v>286</v>
      </c>
      <c r="N1463" t="s">
        <v>296</v>
      </c>
      <c r="O1463" t="s">
        <v>304</v>
      </c>
      <c r="P1463" t="s">
        <v>311</v>
      </c>
      <c r="Q1463" t="s">
        <v>318</v>
      </c>
      <c r="R1463" t="s">
        <v>185</v>
      </c>
      <c r="S1463" t="s">
        <v>159</v>
      </c>
      <c r="T1463" t="s">
        <v>185</v>
      </c>
      <c r="U1463" t="s">
        <v>339</v>
      </c>
      <c r="V1463" t="s">
        <v>72</v>
      </c>
      <c r="W1463" t="s">
        <v>347</v>
      </c>
      <c r="X1463" t="s">
        <v>72</v>
      </c>
      <c r="Y1463" t="s">
        <v>96</v>
      </c>
      <c r="AK1463" t="s">
        <v>357</v>
      </c>
    </row>
    <row r="1464" spans="1:37">
      <c r="B1464" t="s">
        <v>58</v>
      </c>
      <c r="C1464" t="s">
        <v>80</v>
      </c>
      <c r="D1464" t="s">
        <v>99</v>
      </c>
      <c r="E1464" t="s">
        <v>118</v>
      </c>
      <c r="F1464" t="s">
        <v>152</v>
      </c>
      <c r="G1464" t="s">
        <v>178</v>
      </c>
      <c r="H1464" t="s">
        <v>213</v>
      </c>
      <c r="I1464" t="s">
        <v>233</v>
      </c>
      <c r="J1464" t="s">
        <v>252</v>
      </c>
      <c r="K1464" t="s">
        <v>266</v>
      </c>
      <c r="L1464" t="s">
        <v>278</v>
      </c>
      <c r="M1464" t="s">
        <v>287</v>
      </c>
      <c r="N1464" t="s">
        <v>297</v>
      </c>
      <c r="O1464" t="s">
        <v>305</v>
      </c>
      <c r="P1464" t="s">
        <v>312</v>
      </c>
      <c r="Q1464" t="s">
        <v>319</v>
      </c>
      <c r="R1464">
        <f>&gt;10       ветра      3.6     19   6  7</f>
        <v>0</v>
      </c>
      <c r="AK1464" t="s">
        <v>357</v>
      </c>
    </row>
    <row r="1465" spans="1:37">
      <c r="A1465" t="s">
        <v>40</v>
      </c>
      <c r="B1465" t="s">
        <v>59</v>
      </c>
      <c r="C1465" t="s">
        <v>81</v>
      </c>
      <c r="D1465" t="s">
        <v>100</v>
      </c>
      <c r="E1465" t="s">
        <v>119</v>
      </c>
      <c r="F1465" t="s">
        <v>153</v>
      </c>
      <c r="G1465" t="s">
        <v>179</v>
      </c>
      <c r="H1465" t="s">
        <v>214</v>
      </c>
      <c r="I1465" t="s">
        <v>234</v>
      </c>
      <c r="AK1465" t="s">
        <v>357</v>
      </c>
    </row>
    <row r="1466" spans="1:37">
      <c r="A1466" t="s">
        <v>40</v>
      </c>
      <c r="B1466" t="s">
        <v>60</v>
      </c>
      <c r="C1466" t="s">
        <v>82</v>
      </c>
      <c r="D1466" t="s">
        <v>101</v>
      </c>
      <c r="E1466" t="s">
        <v>120</v>
      </c>
      <c r="F1466" t="s">
        <v>154</v>
      </c>
      <c r="G1466" t="s">
        <v>180</v>
      </c>
      <c r="H1466" t="s">
        <v>215</v>
      </c>
      <c r="I1466" t="s">
        <v>235</v>
      </c>
      <c r="J1466" t="s">
        <v>253</v>
      </c>
      <c r="K1466" t="s">
        <v>267</v>
      </c>
      <c r="L1466" t="s">
        <v>279</v>
      </c>
      <c r="M1466" t="s">
        <v>288</v>
      </c>
      <c r="N1466" t="s">
        <v>100</v>
      </c>
      <c r="O1466" t="s">
        <v>306</v>
      </c>
      <c r="P1466" t="s">
        <v>313</v>
      </c>
      <c r="Q1466" t="s">
        <v>320</v>
      </c>
      <c r="R1466" t="s">
        <v>325</v>
      </c>
      <c r="S1466" t="s">
        <v>332</v>
      </c>
      <c r="T1466" t="s">
        <v>119</v>
      </c>
      <c r="U1466" t="s">
        <v>234</v>
      </c>
      <c r="V1466" t="s">
        <v>343</v>
      </c>
      <c r="W1466" t="s">
        <v>348</v>
      </c>
      <c r="X1466" t="s">
        <v>352</v>
      </c>
      <c r="Y1466" t="s">
        <v>354</v>
      </c>
      <c r="AK1466" t="s">
        <v>357</v>
      </c>
    </row>
    <row r="1467" spans="1:37">
      <c r="A1467" t="s">
        <v>41</v>
      </c>
      <c r="B1467" t="s">
        <v>61</v>
      </c>
      <c r="C1467" t="s">
        <v>83</v>
      </c>
      <c r="D1467" t="s">
        <v>102</v>
      </c>
      <c r="E1467" t="s">
        <v>121</v>
      </c>
      <c r="F1467" t="s">
        <v>155</v>
      </c>
      <c r="G1467" t="s">
        <v>181</v>
      </c>
      <c r="H1467" t="s">
        <v>216</v>
      </c>
      <c r="I1467" t="s">
        <v>236</v>
      </c>
      <c r="AK1467" t="s">
        <v>357</v>
      </c>
    </row>
    <row r="1468" spans="1:37">
      <c r="A1468" t="s">
        <v>42</v>
      </c>
      <c r="B1468" t="s">
        <v>62</v>
      </c>
      <c r="C1468" t="s">
        <v>84</v>
      </c>
      <c r="D1468" t="s">
        <v>103</v>
      </c>
      <c r="E1468" t="s">
        <v>122</v>
      </c>
      <c r="F1468" t="s">
        <v>156</v>
      </c>
      <c r="G1468" t="s">
        <v>182</v>
      </c>
      <c r="H1468" t="s">
        <v>83</v>
      </c>
      <c r="I1468" t="s">
        <v>237</v>
      </c>
      <c r="J1468" t="s">
        <v>254</v>
      </c>
      <c r="K1468" t="s">
        <v>268</v>
      </c>
      <c r="L1468" t="s">
        <v>280</v>
      </c>
      <c r="M1468" t="s">
        <v>289</v>
      </c>
      <c r="N1468" t="s">
        <v>298</v>
      </c>
      <c r="O1468" t="s">
        <v>307</v>
      </c>
      <c r="P1468" t="s">
        <v>314</v>
      </c>
      <c r="Q1468" t="s">
        <v>216</v>
      </c>
      <c r="R1468" t="s">
        <v>326</v>
      </c>
      <c r="S1468" t="s">
        <v>333</v>
      </c>
      <c r="T1468" t="s">
        <v>335</v>
      </c>
      <c r="U1468" t="s">
        <v>340</v>
      </c>
      <c r="V1468" t="s">
        <v>344</v>
      </c>
      <c r="W1468" t="s">
        <v>349</v>
      </c>
      <c r="AK1468" t="s">
        <v>357</v>
      </c>
    </row>
    <row r="1469" spans="1:37">
      <c r="A1469" t="s">
        <v>43</v>
      </c>
      <c r="B1469" t="s">
        <v>63</v>
      </c>
      <c r="C1469" t="s">
        <v>85</v>
      </c>
      <c r="D1469" t="s">
        <v>104</v>
      </c>
      <c r="E1469" t="s">
        <v>123</v>
      </c>
      <c r="F1469" t="s">
        <v>157</v>
      </c>
      <c r="G1469" t="s">
        <v>183</v>
      </c>
      <c r="AK1469" t="s">
        <v>357</v>
      </c>
    </row>
    <row r="1470" spans="1:37">
      <c r="A1470" t="s">
        <v>44</v>
      </c>
      <c r="B1470" t="s">
        <v>64</v>
      </c>
      <c r="C1470" t="s">
        <v>86</v>
      </c>
      <c r="D1470" t="s">
        <v>105</v>
      </c>
      <c r="E1470" t="s">
        <v>124</v>
      </c>
      <c r="F1470" t="s">
        <v>158</v>
      </c>
      <c r="G1470" t="s">
        <v>184</v>
      </c>
      <c r="AK1470" t="s">
        <v>357</v>
      </c>
    </row>
    <row r="1471" spans="1:37">
      <c r="A1471" t="s">
        <v>45</v>
      </c>
      <c r="B1471" t="s">
        <v>65</v>
      </c>
      <c r="C1471" t="s">
        <v>87</v>
      </c>
      <c r="D1471" t="s">
        <v>106</v>
      </c>
      <c r="E1471" t="s">
        <v>125</v>
      </c>
      <c r="F1471" t="s">
        <v>159</v>
      </c>
      <c r="G1471" t="s">
        <v>185</v>
      </c>
      <c r="H1471" t="s">
        <v>159</v>
      </c>
      <c r="I1471" t="s">
        <v>185</v>
      </c>
      <c r="J1471" t="s">
        <v>255</v>
      </c>
      <c r="AK1471" t="s">
        <v>357</v>
      </c>
    </row>
    <row r="1472" spans="1:37">
      <c r="A1472" t="s">
        <v>46</v>
      </c>
      <c r="B1472" t="s">
        <v>66</v>
      </c>
      <c r="C1472" t="s">
        <v>88</v>
      </c>
      <c r="D1472" t="s">
        <v>76</v>
      </c>
      <c r="E1472" t="s">
        <v>126</v>
      </c>
      <c r="F1472" t="s">
        <v>160</v>
      </c>
      <c r="G1472" t="s">
        <v>186</v>
      </c>
      <c r="H1472" t="s">
        <v>217</v>
      </c>
      <c r="I1472" t="s">
        <v>238</v>
      </c>
      <c r="J1472" t="s">
        <v>256</v>
      </c>
      <c r="K1472" t="s">
        <v>265</v>
      </c>
      <c r="L1472" t="s">
        <v>281</v>
      </c>
      <c r="M1472" t="s">
        <v>290</v>
      </c>
      <c r="N1472" t="s">
        <v>299</v>
      </c>
      <c r="O1472" t="s">
        <v>308</v>
      </c>
      <c r="P1472" t="s">
        <v>228</v>
      </c>
      <c r="Q1472" t="s">
        <v>72</v>
      </c>
      <c r="R1472" t="s">
        <v>327</v>
      </c>
      <c r="S1472" t="s">
        <v>327</v>
      </c>
      <c r="T1472" t="s">
        <v>336</v>
      </c>
      <c r="U1472" t="s">
        <v>336</v>
      </c>
      <c r="V1472" t="s">
        <v>336</v>
      </c>
      <c r="W1472" t="s">
        <v>336</v>
      </c>
      <c r="X1472" t="s">
        <v>353</v>
      </c>
      <c r="AK1472" t="s">
        <v>357</v>
      </c>
    </row>
    <row r="1473" spans="1:37">
      <c r="B1473" t="s">
        <v>67</v>
      </c>
      <c r="C1473" t="s">
        <v>89</v>
      </c>
      <c r="D1473" t="s">
        <v>107</v>
      </c>
      <c r="AK1473" t="s">
        <v>357</v>
      </c>
    </row>
    <row r="1474" spans="1:37">
      <c r="B1474" t="s">
        <v>68</v>
      </c>
      <c r="C1474" t="s">
        <v>90</v>
      </c>
      <c r="D1474" t="s">
        <v>108</v>
      </c>
      <c r="AK1474" t="s">
        <v>357</v>
      </c>
    </row>
    <row r="1475" spans="1:37">
      <c r="A1475" t="s">
        <v>47</v>
      </c>
      <c r="B1475" t="s">
        <v>69</v>
      </c>
      <c r="C1475" t="s">
        <v>91</v>
      </c>
      <c r="D1475" t="s">
        <v>109</v>
      </c>
      <c r="E1475" t="s">
        <v>109</v>
      </c>
      <c r="F1475" t="s">
        <v>109</v>
      </c>
      <c r="G1475" t="s">
        <v>109</v>
      </c>
      <c r="H1475" t="s">
        <v>109</v>
      </c>
      <c r="I1475" t="s">
        <v>239</v>
      </c>
      <c r="AK1475" t="s">
        <v>357</v>
      </c>
    </row>
    <row r="1476" spans="1:37">
      <c r="B1476" t="s">
        <v>70</v>
      </c>
      <c r="C1476" t="s">
        <v>92</v>
      </c>
      <c r="D1476" t="s">
        <v>110</v>
      </c>
      <c r="E1476" t="s">
        <v>127</v>
      </c>
      <c r="F1476" t="s">
        <v>161</v>
      </c>
      <c r="G1476" t="s">
        <v>187</v>
      </c>
      <c r="H1476" t="s">
        <v>218</v>
      </c>
      <c r="AK1476" t="s">
        <v>357</v>
      </c>
    </row>
    <row r="1477" spans="1:37">
      <c r="B1477" t="s">
        <v>71</v>
      </c>
      <c r="C1477" t="s">
        <v>93</v>
      </c>
      <c r="D1477" t="s">
        <v>111</v>
      </c>
      <c r="E1477" t="s">
        <v>128</v>
      </c>
      <c r="F1477" t="s">
        <v>162</v>
      </c>
      <c r="G1477" t="s">
        <v>188</v>
      </c>
      <c r="H1477" t="s">
        <v>219</v>
      </c>
      <c r="I1477" t="s">
        <v>240</v>
      </c>
      <c r="J1477" t="s">
        <v>257</v>
      </c>
      <c r="K1477" t="s">
        <v>269</v>
      </c>
      <c r="L1477" t="s">
        <v>109</v>
      </c>
      <c r="M1477" t="s">
        <v>109</v>
      </c>
      <c r="N1477" t="s">
        <v>109</v>
      </c>
      <c r="O1477" t="s">
        <v>109</v>
      </c>
      <c r="P1477" t="s">
        <v>109</v>
      </c>
      <c r="Q1477" t="s">
        <v>321</v>
      </c>
      <c r="AK1477" t="s">
        <v>357</v>
      </c>
    </row>
    <row r="1478" spans="1:37">
      <c r="A1478" t="s">
        <v>48</v>
      </c>
      <c r="B1478" t="s">
        <v>71</v>
      </c>
      <c r="C1478" t="s">
        <v>93</v>
      </c>
      <c r="D1478" t="s">
        <v>111</v>
      </c>
      <c r="E1478" t="s">
        <v>128</v>
      </c>
      <c r="F1478" t="s">
        <v>163</v>
      </c>
      <c r="G1478" t="s">
        <v>189</v>
      </c>
      <c r="H1478" t="s">
        <v>220</v>
      </c>
      <c r="I1478" t="s">
        <v>241</v>
      </c>
      <c r="J1478" t="s">
        <v>258</v>
      </c>
      <c r="K1478" t="s">
        <v>270</v>
      </c>
      <c r="AK1478" t="s">
        <v>357</v>
      </c>
    </row>
    <row r="1479" spans="1:37">
      <c r="B1479" t="s">
        <v>72</v>
      </c>
      <c r="C1479" t="s">
        <v>72</v>
      </c>
      <c r="D1479" t="s">
        <v>72</v>
      </c>
      <c r="E1479" t="s">
        <v>129</v>
      </c>
      <c r="F1479" t="s">
        <v>129</v>
      </c>
      <c r="G1479" t="s">
        <v>191</v>
      </c>
      <c r="H1479" t="s">
        <v>72</v>
      </c>
      <c r="I1479" t="s">
        <v>206</v>
      </c>
      <c r="J1479" t="s">
        <v>72</v>
      </c>
      <c r="K1479" t="s">
        <v>271</v>
      </c>
      <c r="AK1479" t="s">
        <v>357</v>
      </c>
    </row>
    <row r="1480" spans="1:37">
      <c r="A1480" t="s">
        <v>37</v>
      </c>
      <c r="B1480" t="s">
        <v>49</v>
      </c>
      <c r="C1480" t="s">
        <v>73</v>
      </c>
      <c r="D1480" t="s">
        <v>94</v>
      </c>
      <c r="E1480" t="s">
        <v>112</v>
      </c>
      <c r="F1480" t="s">
        <v>146</v>
      </c>
      <c r="G1480" t="s">
        <v>172</v>
      </c>
      <c r="H1480" t="s">
        <v>207</v>
      </c>
      <c r="I1480" t="s">
        <v>226</v>
      </c>
      <c r="J1480" t="s">
        <v>246</v>
      </c>
      <c r="K1480" t="s">
        <v>259</v>
      </c>
      <c r="AK1480" t="s">
        <v>357</v>
      </c>
    </row>
    <row r="1481" spans="1:37">
      <c r="A1481" t="s">
        <v>38</v>
      </c>
      <c r="B1481" t="s">
        <v>50</v>
      </c>
      <c r="C1481" t="s">
        <v>74</v>
      </c>
      <c r="D1481" t="s">
        <v>95</v>
      </c>
      <c r="E1481" t="s">
        <v>113</v>
      </c>
      <c r="F1481" t="s">
        <v>147</v>
      </c>
      <c r="G1481" t="s">
        <v>173</v>
      </c>
      <c r="H1481" t="s">
        <v>208</v>
      </c>
      <c r="I1481" t="s">
        <v>227</v>
      </c>
      <c r="J1481" t="s">
        <v>115</v>
      </c>
      <c r="K1481" t="s">
        <v>260</v>
      </c>
      <c r="L1481" t="s">
        <v>273</v>
      </c>
      <c r="M1481" t="s">
        <v>282</v>
      </c>
      <c r="N1481" t="s">
        <v>291</v>
      </c>
      <c r="AK1481" t="s">
        <v>357</v>
      </c>
    </row>
    <row r="1482" spans="1:37">
      <c r="B1482" t="s">
        <v>51</v>
      </c>
      <c r="C1482" t="s">
        <v>75</v>
      </c>
      <c r="D1482" t="s">
        <v>52</v>
      </c>
      <c r="E1482" t="s">
        <v>114</v>
      </c>
      <c r="F1482" t="s">
        <v>148</v>
      </c>
      <c r="G1482" t="s">
        <v>148</v>
      </c>
      <c r="H1482" t="s">
        <v>209</v>
      </c>
      <c r="I1482" t="s">
        <v>228</v>
      </c>
      <c r="J1482" t="s">
        <v>247</v>
      </c>
      <c r="K1482" t="s">
        <v>261</v>
      </c>
      <c r="L1482" t="s">
        <v>274</v>
      </c>
      <c r="M1482" t="s">
        <v>283</v>
      </c>
      <c r="N1482" t="s">
        <v>292</v>
      </c>
      <c r="O1482" t="s">
        <v>300</v>
      </c>
      <c r="AK1482" t="s">
        <v>357</v>
      </c>
    </row>
    <row r="1483" spans="1:37">
      <c r="B1483" t="s">
        <v>52</v>
      </c>
      <c r="C1483" t="s">
        <v>76</v>
      </c>
      <c r="D1483" t="s">
        <v>96</v>
      </c>
      <c r="E1483" t="s">
        <v>115</v>
      </c>
      <c r="F1483" t="s">
        <v>149</v>
      </c>
      <c r="G1483" t="s">
        <v>174</v>
      </c>
      <c r="H1483" t="s">
        <v>96</v>
      </c>
      <c r="I1483" t="s">
        <v>229</v>
      </c>
      <c r="J1483" t="s">
        <v>248</v>
      </c>
      <c r="K1483" t="s">
        <v>262</v>
      </c>
      <c r="L1483" t="s">
        <v>52</v>
      </c>
      <c r="M1483" t="s">
        <v>76</v>
      </c>
      <c r="N1483" t="s">
        <v>293</v>
      </c>
      <c r="O1483" t="s">
        <v>301</v>
      </c>
      <c r="P1483" t="s">
        <v>309</v>
      </c>
      <c r="Q1483" t="s">
        <v>315</v>
      </c>
      <c r="R1483" t="s">
        <v>228</v>
      </c>
      <c r="S1483" t="s">
        <v>328</v>
      </c>
      <c r="T1483" t="s">
        <v>149</v>
      </c>
      <c r="U1483" t="s">
        <v>337</v>
      </c>
      <c r="V1483" t="s">
        <v>341</v>
      </c>
      <c r="W1483" t="s">
        <v>345</v>
      </c>
      <c r="X1483" t="s">
        <v>350</v>
      </c>
      <c r="AK1483" t="s">
        <v>357</v>
      </c>
    </row>
    <row r="1484" spans="1:37">
      <c r="B1484" t="s">
        <v>53</v>
      </c>
      <c r="C1484" t="s">
        <v>77</v>
      </c>
      <c r="D1484" t="s">
        <v>97</v>
      </c>
      <c r="E1484" t="s">
        <v>116</v>
      </c>
      <c r="F1484" t="s">
        <v>150</v>
      </c>
      <c r="G1484" t="s">
        <v>175</v>
      </c>
      <c r="H1484" t="s">
        <v>210</v>
      </c>
      <c r="I1484" t="s">
        <v>230</v>
      </c>
      <c r="J1484" t="s">
        <v>249</v>
      </c>
      <c r="K1484" t="s">
        <v>263</v>
      </c>
      <c r="L1484" t="s">
        <v>275</v>
      </c>
      <c r="M1484" t="s">
        <v>284</v>
      </c>
      <c r="N1484" t="s">
        <v>294</v>
      </c>
      <c r="O1484" t="s">
        <v>302</v>
      </c>
      <c r="P1484" t="s">
        <v>310</v>
      </c>
      <c r="Q1484" t="s">
        <v>316</v>
      </c>
      <c r="R1484" t="s">
        <v>322</v>
      </c>
      <c r="S1484" t="s">
        <v>329</v>
      </c>
      <c r="AK1484" t="s">
        <v>357</v>
      </c>
    </row>
    <row r="1485" spans="1:37">
      <c r="A1485" t="s">
        <v>39</v>
      </c>
      <c r="B1485" t="s">
        <v>54</v>
      </c>
      <c r="C1485" t="s">
        <v>54</v>
      </c>
      <c r="D1485" t="s">
        <v>54</v>
      </c>
      <c r="E1485" t="s">
        <v>54</v>
      </c>
      <c r="F1485" t="s">
        <v>54</v>
      </c>
      <c r="G1485" t="s">
        <v>54</v>
      </c>
      <c r="H1485" t="s">
        <v>54</v>
      </c>
      <c r="I1485" t="s">
        <v>54</v>
      </c>
      <c r="J1485" t="s">
        <v>54</v>
      </c>
      <c r="K1485" t="s">
        <v>54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323</v>
      </c>
      <c r="S1485" t="s">
        <v>330</v>
      </c>
      <c r="AK1485" t="s">
        <v>357</v>
      </c>
    </row>
    <row r="1486" spans="1:37">
      <c r="B1486" t="s">
        <v>55</v>
      </c>
      <c r="C1486" t="s">
        <v>78</v>
      </c>
      <c r="D1486" t="s">
        <v>55</v>
      </c>
      <c r="E1486" t="s">
        <v>78</v>
      </c>
      <c r="F1486" t="s">
        <v>55</v>
      </c>
      <c r="G1486" t="s">
        <v>78</v>
      </c>
      <c r="H1486" t="s">
        <v>55</v>
      </c>
      <c r="I1486" t="s">
        <v>78</v>
      </c>
      <c r="J1486" t="s">
        <v>55</v>
      </c>
      <c r="K1486" t="s">
        <v>78</v>
      </c>
      <c r="L1486" t="s">
        <v>55</v>
      </c>
      <c r="M1486" t="s">
        <v>78</v>
      </c>
      <c r="N1486" t="s">
        <v>55</v>
      </c>
      <c r="O1486" t="s">
        <v>78</v>
      </c>
      <c r="P1486" t="s">
        <v>55</v>
      </c>
      <c r="Q1486" t="s">
        <v>78</v>
      </c>
      <c r="R1486" t="s">
        <v>55</v>
      </c>
      <c r="S1486" t="s">
        <v>78</v>
      </c>
      <c r="T1486" t="s">
        <v>55</v>
      </c>
      <c r="U1486" t="s">
        <v>78</v>
      </c>
      <c r="V1486" t="s">
        <v>55</v>
      </c>
      <c r="W1486" t="s">
        <v>78</v>
      </c>
      <c r="X1486" t="s">
        <v>55</v>
      </c>
      <c r="Y1486" t="s">
        <v>78</v>
      </c>
      <c r="Z1486" t="s">
        <v>55</v>
      </c>
      <c r="AA1486" t="s">
        <v>78</v>
      </c>
      <c r="AB1486" t="s">
        <v>55</v>
      </c>
      <c r="AC1486" t="s">
        <v>78</v>
      </c>
      <c r="AD1486" t="s">
        <v>55</v>
      </c>
      <c r="AE1486" t="s">
        <v>78</v>
      </c>
      <c r="AF1486" t="s">
        <v>55</v>
      </c>
      <c r="AG1486" t="s">
        <v>78</v>
      </c>
      <c r="AH1486" t="s">
        <v>55</v>
      </c>
      <c r="AI1486" t="s">
        <v>78</v>
      </c>
      <c r="AK1486" t="s">
        <v>357</v>
      </c>
    </row>
    <row r="1487" spans="1:37">
      <c r="B1487" t="s">
        <v>56</v>
      </c>
      <c r="C1487" t="s">
        <v>56</v>
      </c>
      <c r="D1487" t="s">
        <v>56</v>
      </c>
      <c r="E1487" t="s">
        <v>56</v>
      </c>
      <c r="F1487" t="s">
        <v>56</v>
      </c>
      <c r="G1487" t="s">
        <v>176</v>
      </c>
      <c r="H1487" t="s">
        <v>211</v>
      </c>
      <c r="I1487" t="s">
        <v>231</v>
      </c>
      <c r="J1487" t="s">
        <v>250</v>
      </c>
      <c r="K1487" t="s">
        <v>264</v>
      </c>
      <c r="L1487" t="s">
        <v>276</v>
      </c>
      <c r="M1487" t="s">
        <v>285</v>
      </c>
      <c r="N1487" t="s">
        <v>295</v>
      </c>
      <c r="O1487" t="s">
        <v>303</v>
      </c>
      <c r="P1487" t="s">
        <v>56</v>
      </c>
      <c r="Q1487" t="s">
        <v>317</v>
      </c>
      <c r="R1487" t="s">
        <v>324</v>
      </c>
      <c r="S1487" t="s">
        <v>331</v>
      </c>
      <c r="T1487" t="s">
        <v>334</v>
      </c>
      <c r="U1487" t="s">
        <v>338</v>
      </c>
      <c r="V1487" t="s">
        <v>342</v>
      </c>
      <c r="W1487" t="s">
        <v>346</v>
      </c>
      <c r="X1487" t="s">
        <v>351</v>
      </c>
      <c r="AK1487" t="s">
        <v>357</v>
      </c>
    </row>
    <row r="1488" spans="1:37">
      <c r="B1488" t="s">
        <v>57</v>
      </c>
      <c r="C1488" t="s">
        <v>79</v>
      </c>
      <c r="D1488" t="s">
        <v>98</v>
      </c>
      <c r="E1488" t="s">
        <v>117</v>
      </c>
      <c r="F1488" t="s">
        <v>151</v>
      </c>
      <c r="G1488" t="s">
        <v>177</v>
      </c>
      <c r="H1488" t="s">
        <v>212</v>
      </c>
      <c r="I1488" t="s">
        <v>232</v>
      </c>
      <c r="J1488" t="s">
        <v>251</v>
      </c>
      <c r="K1488" t="s">
        <v>265</v>
      </c>
      <c r="L1488" t="s">
        <v>277</v>
      </c>
      <c r="M1488" t="s">
        <v>286</v>
      </c>
      <c r="N1488" t="s">
        <v>296</v>
      </c>
      <c r="O1488" t="s">
        <v>304</v>
      </c>
      <c r="P1488" t="s">
        <v>311</v>
      </c>
      <c r="Q1488" t="s">
        <v>318</v>
      </c>
      <c r="R1488" t="s">
        <v>185</v>
      </c>
      <c r="S1488" t="s">
        <v>159</v>
      </c>
      <c r="T1488" t="s">
        <v>185</v>
      </c>
      <c r="U1488" t="s">
        <v>339</v>
      </c>
      <c r="V1488" t="s">
        <v>72</v>
      </c>
      <c r="W1488" t="s">
        <v>347</v>
      </c>
      <c r="X1488" t="s">
        <v>72</v>
      </c>
      <c r="Y1488" t="s">
        <v>96</v>
      </c>
      <c r="AK1488" t="s">
        <v>357</v>
      </c>
    </row>
    <row r="1489" spans="1:37">
      <c r="B1489" t="s">
        <v>58</v>
      </c>
      <c r="C1489" t="s">
        <v>80</v>
      </c>
      <c r="D1489" t="s">
        <v>99</v>
      </c>
      <c r="E1489" t="s">
        <v>118</v>
      </c>
      <c r="F1489" t="s">
        <v>152</v>
      </c>
      <c r="G1489" t="s">
        <v>178</v>
      </c>
      <c r="H1489" t="s">
        <v>213</v>
      </c>
      <c r="I1489" t="s">
        <v>233</v>
      </c>
      <c r="J1489" t="s">
        <v>252</v>
      </c>
      <c r="K1489" t="s">
        <v>266</v>
      </c>
      <c r="L1489" t="s">
        <v>278</v>
      </c>
      <c r="M1489" t="s">
        <v>287</v>
      </c>
      <c r="N1489" t="s">
        <v>297</v>
      </c>
      <c r="O1489" t="s">
        <v>305</v>
      </c>
      <c r="P1489" t="s">
        <v>312</v>
      </c>
      <c r="Q1489" t="s">
        <v>319</v>
      </c>
      <c r="R1489">
        <f>&gt;10       ветра      3.7     18   6 20</f>
        <v>0</v>
      </c>
      <c r="AK1489" t="s">
        <v>357</v>
      </c>
    </row>
    <row r="1490" spans="1:37">
      <c r="A1490" t="s">
        <v>40</v>
      </c>
      <c r="B1490" t="s">
        <v>59</v>
      </c>
      <c r="C1490" t="s">
        <v>81</v>
      </c>
      <c r="D1490" t="s">
        <v>100</v>
      </c>
      <c r="E1490" t="s">
        <v>119</v>
      </c>
      <c r="F1490" t="s">
        <v>153</v>
      </c>
      <c r="G1490" t="s">
        <v>179</v>
      </c>
      <c r="H1490" t="s">
        <v>214</v>
      </c>
      <c r="I1490" t="s">
        <v>234</v>
      </c>
      <c r="AK1490" t="s">
        <v>357</v>
      </c>
    </row>
    <row r="1491" spans="1:37">
      <c r="A1491" t="s">
        <v>40</v>
      </c>
      <c r="B1491" t="s">
        <v>60</v>
      </c>
      <c r="C1491" t="s">
        <v>82</v>
      </c>
      <c r="D1491" t="s">
        <v>101</v>
      </c>
      <c r="E1491" t="s">
        <v>120</v>
      </c>
      <c r="F1491" t="s">
        <v>154</v>
      </c>
      <c r="G1491" t="s">
        <v>180</v>
      </c>
      <c r="H1491" t="s">
        <v>215</v>
      </c>
      <c r="I1491" t="s">
        <v>235</v>
      </c>
      <c r="J1491" t="s">
        <v>253</v>
      </c>
      <c r="K1491" t="s">
        <v>267</v>
      </c>
      <c r="L1491" t="s">
        <v>279</v>
      </c>
      <c r="M1491" t="s">
        <v>288</v>
      </c>
      <c r="N1491" t="s">
        <v>100</v>
      </c>
      <c r="O1491" t="s">
        <v>306</v>
      </c>
      <c r="P1491" t="s">
        <v>313</v>
      </c>
      <c r="Q1491" t="s">
        <v>320</v>
      </c>
      <c r="R1491" t="s">
        <v>325</v>
      </c>
      <c r="S1491" t="s">
        <v>332</v>
      </c>
      <c r="T1491" t="s">
        <v>119</v>
      </c>
      <c r="U1491" t="s">
        <v>234</v>
      </c>
      <c r="V1491" t="s">
        <v>343</v>
      </c>
      <c r="W1491" t="s">
        <v>348</v>
      </c>
      <c r="X1491" t="s">
        <v>352</v>
      </c>
      <c r="Y1491" t="s">
        <v>354</v>
      </c>
      <c r="AK1491" t="s">
        <v>357</v>
      </c>
    </row>
    <row r="1492" spans="1:37">
      <c r="A1492" t="s">
        <v>41</v>
      </c>
      <c r="B1492" t="s">
        <v>61</v>
      </c>
      <c r="C1492" t="s">
        <v>83</v>
      </c>
      <c r="D1492" t="s">
        <v>102</v>
      </c>
      <c r="E1492" t="s">
        <v>121</v>
      </c>
      <c r="F1492" t="s">
        <v>155</v>
      </c>
      <c r="G1492" t="s">
        <v>181</v>
      </c>
      <c r="H1492" t="s">
        <v>216</v>
      </c>
      <c r="I1492" t="s">
        <v>236</v>
      </c>
      <c r="AK1492" t="s">
        <v>357</v>
      </c>
    </row>
    <row r="1493" spans="1:37">
      <c r="A1493" t="s">
        <v>42</v>
      </c>
      <c r="B1493" t="s">
        <v>62</v>
      </c>
      <c r="C1493" t="s">
        <v>84</v>
      </c>
      <c r="D1493" t="s">
        <v>103</v>
      </c>
      <c r="E1493" t="s">
        <v>122</v>
      </c>
      <c r="F1493" t="s">
        <v>156</v>
      </c>
      <c r="G1493" t="s">
        <v>182</v>
      </c>
      <c r="H1493" t="s">
        <v>83</v>
      </c>
      <c r="I1493" t="s">
        <v>237</v>
      </c>
      <c r="J1493" t="s">
        <v>254</v>
      </c>
      <c r="K1493" t="s">
        <v>268</v>
      </c>
      <c r="L1493" t="s">
        <v>280</v>
      </c>
      <c r="M1493" t="s">
        <v>289</v>
      </c>
      <c r="N1493" t="s">
        <v>298</v>
      </c>
      <c r="O1493" t="s">
        <v>307</v>
      </c>
      <c r="P1493" t="s">
        <v>314</v>
      </c>
      <c r="Q1493" t="s">
        <v>216</v>
      </c>
      <c r="R1493" t="s">
        <v>326</v>
      </c>
      <c r="S1493" t="s">
        <v>333</v>
      </c>
      <c r="T1493" t="s">
        <v>335</v>
      </c>
      <c r="U1493" t="s">
        <v>340</v>
      </c>
      <c r="V1493" t="s">
        <v>344</v>
      </c>
      <c r="W1493" t="s">
        <v>349</v>
      </c>
      <c r="AK1493" t="s">
        <v>357</v>
      </c>
    </row>
    <row r="1494" spans="1:37">
      <c r="A1494" t="s">
        <v>43</v>
      </c>
      <c r="B1494" t="s">
        <v>63</v>
      </c>
      <c r="C1494" t="s">
        <v>85</v>
      </c>
      <c r="D1494" t="s">
        <v>104</v>
      </c>
      <c r="E1494" t="s">
        <v>123</v>
      </c>
      <c r="F1494" t="s">
        <v>157</v>
      </c>
      <c r="G1494" t="s">
        <v>183</v>
      </c>
      <c r="AK1494" t="s">
        <v>357</v>
      </c>
    </row>
    <row r="1495" spans="1:37">
      <c r="A1495" t="s">
        <v>44</v>
      </c>
      <c r="B1495" t="s">
        <v>64</v>
      </c>
      <c r="C1495" t="s">
        <v>86</v>
      </c>
      <c r="D1495" t="s">
        <v>105</v>
      </c>
      <c r="E1495" t="s">
        <v>124</v>
      </c>
      <c r="F1495" t="s">
        <v>158</v>
      </c>
      <c r="G1495" t="s">
        <v>184</v>
      </c>
      <c r="AK1495" t="s">
        <v>357</v>
      </c>
    </row>
    <row r="1496" spans="1:37">
      <c r="A1496" t="s">
        <v>45</v>
      </c>
      <c r="B1496" t="s">
        <v>65</v>
      </c>
      <c r="C1496" t="s">
        <v>87</v>
      </c>
      <c r="D1496" t="s">
        <v>106</v>
      </c>
      <c r="E1496" t="s">
        <v>125</v>
      </c>
      <c r="F1496" t="s">
        <v>159</v>
      </c>
      <c r="G1496" t="s">
        <v>185</v>
      </c>
      <c r="H1496" t="s">
        <v>159</v>
      </c>
      <c r="I1496" t="s">
        <v>185</v>
      </c>
      <c r="J1496" t="s">
        <v>255</v>
      </c>
      <c r="AK1496" t="s">
        <v>357</v>
      </c>
    </row>
    <row r="1497" spans="1:37">
      <c r="A1497" t="s">
        <v>46</v>
      </c>
      <c r="B1497" t="s">
        <v>66</v>
      </c>
      <c r="C1497" t="s">
        <v>88</v>
      </c>
      <c r="D1497" t="s">
        <v>76</v>
      </c>
      <c r="E1497" t="s">
        <v>126</v>
      </c>
      <c r="F1497" t="s">
        <v>160</v>
      </c>
      <c r="G1497" t="s">
        <v>186</v>
      </c>
      <c r="H1497" t="s">
        <v>217</v>
      </c>
      <c r="I1497" t="s">
        <v>238</v>
      </c>
      <c r="J1497" t="s">
        <v>256</v>
      </c>
      <c r="K1497" t="s">
        <v>265</v>
      </c>
      <c r="L1497" t="s">
        <v>281</v>
      </c>
      <c r="M1497" t="s">
        <v>290</v>
      </c>
      <c r="N1497" t="s">
        <v>299</v>
      </c>
      <c r="O1497" t="s">
        <v>308</v>
      </c>
      <c r="P1497" t="s">
        <v>228</v>
      </c>
      <c r="Q1497" t="s">
        <v>72</v>
      </c>
      <c r="R1497" t="s">
        <v>327</v>
      </c>
      <c r="S1497" t="s">
        <v>327</v>
      </c>
      <c r="T1497" t="s">
        <v>336</v>
      </c>
      <c r="U1497" t="s">
        <v>336</v>
      </c>
      <c r="V1497" t="s">
        <v>336</v>
      </c>
      <c r="W1497" t="s">
        <v>336</v>
      </c>
      <c r="X1497" t="s">
        <v>353</v>
      </c>
      <c r="AK1497" t="s">
        <v>357</v>
      </c>
    </row>
    <row r="1498" spans="1:37">
      <c r="B1498" t="s">
        <v>67</v>
      </c>
      <c r="C1498" t="s">
        <v>89</v>
      </c>
      <c r="D1498" t="s">
        <v>107</v>
      </c>
      <c r="AK1498" t="s">
        <v>357</v>
      </c>
    </row>
    <row r="1499" spans="1:37">
      <c r="B1499" t="s">
        <v>68</v>
      </c>
      <c r="C1499" t="s">
        <v>90</v>
      </c>
      <c r="D1499" t="s">
        <v>108</v>
      </c>
      <c r="AK1499" t="s">
        <v>357</v>
      </c>
    </row>
    <row r="1500" spans="1:37">
      <c r="A1500" t="s">
        <v>47</v>
      </c>
      <c r="B1500" t="s">
        <v>69</v>
      </c>
      <c r="C1500" t="s">
        <v>91</v>
      </c>
      <c r="D1500" t="s">
        <v>109</v>
      </c>
      <c r="E1500" t="s">
        <v>109</v>
      </c>
      <c r="F1500" t="s">
        <v>109</v>
      </c>
      <c r="G1500" t="s">
        <v>109</v>
      </c>
      <c r="H1500" t="s">
        <v>109</v>
      </c>
      <c r="I1500" t="s">
        <v>239</v>
      </c>
      <c r="AK1500" t="s">
        <v>357</v>
      </c>
    </row>
    <row r="1501" spans="1:37">
      <c r="B1501" t="s">
        <v>70</v>
      </c>
      <c r="C1501" t="s">
        <v>92</v>
      </c>
      <c r="D1501" t="s">
        <v>110</v>
      </c>
      <c r="E1501" t="s">
        <v>127</v>
      </c>
      <c r="F1501" t="s">
        <v>161</v>
      </c>
      <c r="G1501" t="s">
        <v>187</v>
      </c>
      <c r="H1501" t="s">
        <v>218</v>
      </c>
      <c r="AK1501" t="s">
        <v>357</v>
      </c>
    </row>
    <row r="1502" spans="1:37">
      <c r="B1502" t="s">
        <v>71</v>
      </c>
      <c r="C1502" t="s">
        <v>93</v>
      </c>
      <c r="D1502" t="s">
        <v>111</v>
      </c>
      <c r="E1502" t="s">
        <v>128</v>
      </c>
      <c r="F1502" t="s">
        <v>162</v>
      </c>
      <c r="G1502" t="s">
        <v>188</v>
      </c>
      <c r="H1502" t="s">
        <v>219</v>
      </c>
      <c r="I1502" t="s">
        <v>240</v>
      </c>
      <c r="J1502" t="s">
        <v>257</v>
      </c>
      <c r="K1502" t="s">
        <v>269</v>
      </c>
      <c r="L1502" t="s">
        <v>109</v>
      </c>
      <c r="M1502" t="s">
        <v>109</v>
      </c>
      <c r="N1502" t="s">
        <v>109</v>
      </c>
      <c r="O1502" t="s">
        <v>109</v>
      </c>
      <c r="P1502" t="s">
        <v>109</v>
      </c>
      <c r="Q1502" t="s">
        <v>321</v>
      </c>
      <c r="AK1502" t="s">
        <v>357</v>
      </c>
    </row>
    <row r="1503" spans="1:37">
      <c r="A1503" t="s">
        <v>48</v>
      </c>
      <c r="B1503" t="s">
        <v>71</v>
      </c>
      <c r="C1503" t="s">
        <v>93</v>
      </c>
      <c r="D1503" t="s">
        <v>111</v>
      </c>
      <c r="E1503" t="s">
        <v>128</v>
      </c>
      <c r="F1503" t="s">
        <v>163</v>
      </c>
      <c r="G1503" t="s">
        <v>189</v>
      </c>
      <c r="H1503" t="s">
        <v>220</v>
      </c>
      <c r="I1503" t="s">
        <v>241</v>
      </c>
      <c r="J1503" t="s">
        <v>258</v>
      </c>
      <c r="K1503" t="s">
        <v>270</v>
      </c>
      <c r="AK1503" t="s">
        <v>357</v>
      </c>
    </row>
    <row r="1504" spans="1:37">
      <c r="B1504" t="s">
        <v>72</v>
      </c>
      <c r="C1504" t="s">
        <v>72</v>
      </c>
      <c r="D1504" t="s">
        <v>72</v>
      </c>
      <c r="E1504" t="s">
        <v>131</v>
      </c>
      <c r="F1504" t="s">
        <v>131</v>
      </c>
      <c r="G1504" t="s">
        <v>193</v>
      </c>
      <c r="H1504" t="s">
        <v>191</v>
      </c>
      <c r="I1504" t="s">
        <v>198</v>
      </c>
      <c r="J1504" t="s">
        <v>192</v>
      </c>
      <c r="K1504" t="s">
        <v>271</v>
      </c>
      <c r="AK1504" t="s">
        <v>357</v>
      </c>
    </row>
    <row r="1505" spans="1:37">
      <c r="A1505" t="s">
        <v>37</v>
      </c>
      <c r="B1505" t="s">
        <v>49</v>
      </c>
      <c r="C1505" t="s">
        <v>73</v>
      </c>
      <c r="D1505" t="s">
        <v>94</v>
      </c>
      <c r="E1505" t="s">
        <v>112</v>
      </c>
      <c r="F1505" t="s">
        <v>146</v>
      </c>
      <c r="G1505" t="s">
        <v>172</v>
      </c>
      <c r="H1505" t="s">
        <v>207</v>
      </c>
      <c r="I1505" t="s">
        <v>226</v>
      </c>
      <c r="J1505" t="s">
        <v>246</v>
      </c>
      <c r="K1505" t="s">
        <v>259</v>
      </c>
      <c r="AK1505" t="s">
        <v>357</v>
      </c>
    </row>
    <row r="1506" spans="1:37">
      <c r="A1506" t="s">
        <v>38</v>
      </c>
      <c r="B1506" t="s">
        <v>50</v>
      </c>
      <c r="C1506" t="s">
        <v>74</v>
      </c>
      <c r="D1506" t="s">
        <v>95</v>
      </c>
      <c r="E1506" t="s">
        <v>113</v>
      </c>
      <c r="F1506" t="s">
        <v>147</v>
      </c>
      <c r="G1506" t="s">
        <v>173</v>
      </c>
      <c r="H1506" t="s">
        <v>208</v>
      </c>
      <c r="I1506" t="s">
        <v>227</v>
      </c>
      <c r="J1506" t="s">
        <v>115</v>
      </c>
      <c r="K1506" t="s">
        <v>260</v>
      </c>
      <c r="L1506" t="s">
        <v>273</v>
      </c>
      <c r="M1506" t="s">
        <v>282</v>
      </c>
      <c r="N1506" t="s">
        <v>291</v>
      </c>
      <c r="AK1506" t="s">
        <v>357</v>
      </c>
    </row>
    <row r="1507" spans="1:37">
      <c r="B1507" t="s">
        <v>51</v>
      </c>
      <c r="C1507" t="s">
        <v>75</v>
      </c>
      <c r="D1507" t="s">
        <v>52</v>
      </c>
      <c r="E1507" t="s">
        <v>114</v>
      </c>
      <c r="F1507" t="s">
        <v>148</v>
      </c>
      <c r="G1507" t="s">
        <v>148</v>
      </c>
      <c r="H1507" t="s">
        <v>209</v>
      </c>
      <c r="I1507" t="s">
        <v>228</v>
      </c>
      <c r="J1507" t="s">
        <v>247</v>
      </c>
      <c r="K1507" t="s">
        <v>261</v>
      </c>
      <c r="L1507" t="s">
        <v>274</v>
      </c>
      <c r="M1507" t="s">
        <v>283</v>
      </c>
      <c r="N1507" t="s">
        <v>292</v>
      </c>
      <c r="O1507" t="s">
        <v>300</v>
      </c>
      <c r="AK1507" t="s">
        <v>357</v>
      </c>
    </row>
    <row r="1508" spans="1:37">
      <c r="B1508" t="s">
        <v>52</v>
      </c>
      <c r="C1508" t="s">
        <v>76</v>
      </c>
      <c r="D1508" t="s">
        <v>96</v>
      </c>
      <c r="E1508" t="s">
        <v>115</v>
      </c>
      <c r="F1508" t="s">
        <v>149</v>
      </c>
      <c r="G1508" t="s">
        <v>174</v>
      </c>
      <c r="H1508" t="s">
        <v>96</v>
      </c>
      <c r="I1508" t="s">
        <v>229</v>
      </c>
      <c r="J1508" t="s">
        <v>248</v>
      </c>
      <c r="K1508" t="s">
        <v>262</v>
      </c>
      <c r="L1508" t="s">
        <v>52</v>
      </c>
      <c r="M1508" t="s">
        <v>76</v>
      </c>
      <c r="N1508" t="s">
        <v>293</v>
      </c>
      <c r="O1508" t="s">
        <v>301</v>
      </c>
      <c r="P1508" t="s">
        <v>309</v>
      </c>
      <c r="Q1508" t="s">
        <v>315</v>
      </c>
      <c r="R1508" t="s">
        <v>228</v>
      </c>
      <c r="S1508" t="s">
        <v>328</v>
      </c>
      <c r="T1508" t="s">
        <v>149</v>
      </c>
      <c r="U1508" t="s">
        <v>337</v>
      </c>
      <c r="V1508" t="s">
        <v>341</v>
      </c>
      <c r="W1508" t="s">
        <v>345</v>
      </c>
      <c r="X1508" t="s">
        <v>350</v>
      </c>
      <c r="AK1508" t="s">
        <v>357</v>
      </c>
    </row>
    <row r="1509" spans="1:37">
      <c r="B1509" t="s">
        <v>53</v>
      </c>
      <c r="C1509" t="s">
        <v>77</v>
      </c>
      <c r="D1509" t="s">
        <v>97</v>
      </c>
      <c r="E1509" t="s">
        <v>116</v>
      </c>
      <c r="F1509" t="s">
        <v>150</v>
      </c>
      <c r="G1509" t="s">
        <v>175</v>
      </c>
      <c r="H1509" t="s">
        <v>210</v>
      </c>
      <c r="I1509" t="s">
        <v>230</v>
      </c>
      <c r="J1509" t="s">
        <v>249</v>
      </c>
      <c r="K1509" t="s">
        <v>263</v>
      </c>
      <c r="L1509" t="s">
        <v>275</v>
      </c>
      <c r="M1509" t="s">
        <v>284</v>
      </c>
      <c r="N1509" t="s">
        <v>294</v>
      </c>
      <c r="O1509" t="s">
        <v>302</v>
      </c>
      <c r="P1509" t="s">
        <v>310</v>
      </c>
      <c r="Q1509" t="s">
        <v>316</v>
      </c>
      <c r="R1509" t="s">
        <v>322</v>
      </c>
      <c r="S1509" t="s">
        <v>329</v>
      </c>
      <c r="AK1509" t="s">
        <v>357</v>
      </c>
    </row>
    <row r="1510" spans="1:37">
      <c r="A1510" t="s">
        <v>39</v>
      </c>
      <c r="B1510" t="s">
        <v>54</v>
      </c>
      <c r="C1510" t="s">
        <v>54</v>
      </c>
      <c r="D1510" t="s">
        <v>54</v>
      </c>
      <c r="E1510" t="s">
        <v>54</v>
      </c>
      <c r="F1510" t="s">
        <v>54</v>
      </c>
      <c r="G1510" t="s">
        <v>54</v>
      </c>
      <c r="H1510" t="s">
        <v>54</v>
      </c>
      <c r="I1510" t="s">
        <v>54</v>
      </c>
      <c r="J1510" t="s">
        <v>54</v>
      </c>
      <c r="K1510" t="s">
        <v>54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323</v>
      </c>
      <c r="S1510" t="s">
        <v>330</v>
      </c>
      <c r="AK1510" t="s">
        <v>357</v>
      </c>
    </row>
    <row r="1511" spans="1:37">
      <c r="B1511" t="s">
        <v>55</v>
      </c>
      <c r="C1511" t="s">
        <v>78</v>
      </c>
      <c r="D1511" t="s">
        <v>55</v>
      </c>
      <c r="E1511" t="s">
        <v>78</v>
      </c>
      <c r="F1511" t="s">
        <v>55</v>
      </c>
      <c r="G1511" t="s">
        <v>78</v>
      </c>
      <c r="H1511" t="s">
        <v>55</v>
      </c>
      <c r="I1511" t="s">
        <v>78</v>
      </c>
      <c r="J1511" t="s">
        <v>55</v>
      </c>
      <c r="K1511" t="s">
        <v>78</v>
      </c>
      <c r="L1511" t="s">
        <v>55</v>
      </c>
      <c r="M1511" t="s">
        <v>78</v>
      </c>
      <c r="N1511" t="s">
        <v>55</v>
      </c>
      <c r="O1511" t="s">
        <v>78</v>
      </c>
      <c r="P1511" t="s">
        <v>55</v>
      </c>
      <c r="Q1511" t="s">
        <v>78</v>
      </c>
      <c r="R1511" t="s">
        <v>55</v>
      </c>
      <c r="S1511" t="s">
        <v>78</v>
      </c>
      <c r="T1511" t="s">
        <v>55</v>
      </c>
      <c r="U1511" t="s">
        <v>78</v>
      </c>
      <c r="V1511" t="s">
        <v>55</v>
      </c>
      <c r="W1511" t="s">
        <v>78</v>
      </c>
      <c r="X1511" t="s">
        <v>55</v>
      </c>
      <c r="Y1511" t="s">
        <v>78</v>
      </c>
      <c r="Z1511" t="s">
        <v>55</v>
      </c>
      <c r="AA1511" t="s">
        <v>78</v>
      </c>
      <c r="AB1511" t="s">
        <v>55</v>
      </c>
      <c r="AC1511" t="s">
        <v>78</v>
      </c>
      <c r="AD1511" t="s">
        <v>55</v>
      </c>
      <c r="AE1511" t="s">
        <v>78</v>
      </c>
      <c r="AF1511" t="s">
        <v>55</v>
      </c>
      <c r="AG1511" t="s">
        <v>78</v>
      </c>
      <c r="AH1511" t="s">
        <v>55</v>
      </c>
      <c r="AI1511" t="s">
        <v>78</v>
      </c>
      <c r="AK1511" t="s">
        <v>357</v>
      </c>
    </row>
    <row r="1512" spans="1:37">
      <c r="B1512" t="s">
        <v>56</v>
      </c>
      <c r="C1512" t="s">
        <v>56</v>
      </c>
      <c r="D1512" t="s">
        <v>56</v>
      </c>
      <c r="E1512" t="s">
        <v>56</v>
      </c>
      <c r="F1512" t="s">
        <v>56</v>
      </c>
      <c r="G1512" t="s">
        <v>176</v>
      </c>
      <c r="H1512" t="s">
        <v>211</v>
      </c>
      <c r="I1512" t="s">
        <v>231</v>
      </c>
      <c r="J1512" t="s">
        <v>250</v>
      </c>
      <c r="K1512" t="s">
        <v>264</v>
      </c>
      <c r="L1512" t="s">
        <v>276</v>
      </c>
      <c r="M1512" t="s">
        <v>285</v>
      </c>
      <c r="N1512" t="s">
        <v>295</v>
      </c>
      <c r="O1512" t="s">
        <v>303</v>
      </c>
      <c r="P1512" t="s">
        <v>56</v>
      </c>
      <c r="Q1512" t="s">
        <v>317</v>
      </c>
      <c r="R1512" t="s">
        <v>324</v>
      </c>
      <c r="S1512" t="s">
        <v>331</v>
      </c>
      <c r="T1512" t="s">
        <v>334</v>
      </c>
      <c r="U1512" t="s">
        <v>338</v>
      </c>
      <c r="V1512" t="s">
        <v>342</v>
      </c>
      <c r="W1512" t="s">
        <v>346</v>
      </c>
      <c r="X1512" t="s">
        <v>351</v>
      </c>
      <c r="AK1512" t="s">
        <v>357</v>
      </c>
    </row>
    <row r="1513" spans="1:37">
      <c r="B1513" t="s">
        <v>57</v>
      </c>
      <c r="C1513" t="s">
        <v>79</v>
      </c>
      <c r="D1513" t="s">
        <v>98</v>
      </c>
      <c r="E1513" t="s">
        <v>117</v>
      </c>
      <c r="F1513" t="s">
        <v>151</v>
      </c>
      <c r="G1513" t="s">
        <v>177</v>
      </c>
      <c r="H1513" t="s">
        <v>212</v>
      </c>
      <c r="I1513" t="s">
        <v>232</v>
      </c>
      <c r="J1513" t="s">
        <v>251</v>
      </c>
      <c r="K1513" t="s">
        <v>265</v>
      </c>
      <c r="L1513" t="s">
        <v>277</v>
      </c>
      <c r="M1513" t="s">
        <v>286</v>
      </c>
      <c r="N1513" t="s">
        <v>296</v>
      </c>
      <c r="O1513" t="s">
        <v>304</v>
      </c>
      <c r="P1513" t="s">
        <v>311</v>
      </c>
      <c r="Q1513" t="s">
        <v>318</v>
      </c>
      <c r="R1513" t="s">
        <v>185</v>
      </c>
      <c r="S1513" t="s">
        <v>159</v>
      </c>
      <c r="T1513" t="s">
        <v>185</v>
      </c>
      <c r="U1513" t="s">
        <v>339</v>
      </c>
      <c r="V1513" t="s">
        <v>72</v>
      </c>
      <c r="W1513" t="s">
        <v>347</v>
      </c>
      <c r="X1513" t="s">
        <v>72</v>
      </c>
      <c r="Y1513" t="s">
        <v>96</v>
      </c>
      <c r="AK1513" t="s">
        <v>357</v>
      </c>
    </row>
    <row r="1514" spans="1:37">
      <c r="B1514" t="s">
        <v>58</v>
      </c>
      <c r="C1514" t="s">
        <v>80</v>
      </c>
      <c r="D1514" t="s">
        <v>99</v>
      </c>
      <c r="E1514" t="s">
        <v>118</v>
      </c>
      <c r="F1514" t="s">
        <v>152</v>
      </c>
      <c r="G1514" t="s">
        <v>178</v>
      </c>
      <c r="H1514" t="s">
        <v>213</v>
      </c>
      <c r="I1514" t="s">
        <v>233</v>
      </c>
      <c r="J1514" t="s">
        <v>252</v>
      </c>
      <c r="K1514" t="s">
        <v>266</v>
      </c>
      <c r="L1514" t="s">
        <v>278</v>
      </c>
      <c r="M1514" t="s">
        <v>287</v>
      </c>
      <c r="N1514" t="s">
        <v>297</v>
      </c>
      <c r="O1514" t="s">
        <v>305</v>
      </c>
      <c r="P1514" t="s">
        <v>312</v>
      </c>
      <c r="Q1514" t="s">
        <v>319</v>
      </c>
      <c r="R1514">
        <f>&gt;10       ветра      2.3     17   7</f>
        <v>0</v>
      </c>
      <c r="AK1514" t="s">
        <v>357</v>
      </c>
    </row>
    <row r="1515" spans="1:37">
      <c r="A1515" t="s">
        <v>40</v>
      </c>
      <c r="B1515" t="s">
        <v>59</v>
      </c>
      <c r="C1515" t="s">
        <v>81</v>
      </c>
      <c r="D1515" t="s">
        <v>100</v>
      </c>
      <c r="E1515" t="s">
        <v>119</v>
      </c>
      <c r="F1515" t="s">
        <v>153</v>
      </c>
      <c r="G1515" t="s">
        <v>179</v>
      </c>
      <c r="H1515" t="s">
        <v>214</v>
      </c>
      <c r="I1515" t="s">
        <v>234</v>
      </c>
      <c r="AK1515" t="s">
        <v>357</v>
      </c>
    </row>
    <row r="1516" spans="1:37">
      <c r="A1516" t="s">
        <v>40</v>
      </c>
      <c r="B1516" t="s">
        <v>60</v>
      </c>
      <c r="C1516" t="s">
        <v>82</v>
      </c>
      <c r="D1516" t="s">
        <v>101</v>
      </c>
      <c r="E1516" t="s">
        <v>120</v>
      </c>
      <c r="F1516" t="s">
        <v>154</v>
      </c>
      <c r="G1516" t="s">
        <v>180</v>
      </c>
      <c r="H1516" t="s">
        <v>215</v>
      </c>
      <c r="I1516" t="s">
        <v>235</v>
      </c>
      <c r="J1516" t="s">
        <v>253</v>
      </c>
      <c r="K1516" t="s">
        <v>267</v>
      </c>
      <c r="L1516" t="s">
        <v>279</v>
      </c>
      <c r="M1516" t="s">
        <v>288</v>
      </c>
      <c r="N1516" t="s">
        <v>100</v>
      </c>
      <c r="O1516" t="s">
        <v>306</v>
      </c>
      <c r="P1516" t="s">
        <v>313</v>
      </c>
      <c r="Q1516" t="s">
        <v>320</v>
      </c>
      <c r="R1516" t="s">
        <v>325</v>
      </c>
      <c r="S1516" t="s">
        <v>332</v>
      </c>
      <c r="T1516" t="s">
        <v>119</v>
      </c>
      <c r="U1516" t="s">
        <v>234</v>
      </c>
      <c r="V1516" t="s">
        <v>343</v>
      </c>
      <c r="W1516" t="s">
        <v>348</v>
      </c>
      <c r="X1516" t="s">
        <v>352</v>
      </c>
      <c r="Y1516" t="s">
        <v>354</v>
      </c>
      <c r="AK1516" t="s">
        <v>357</v>
      </c>
    </row>
    <row r="1517" spans="1:37">
      <c r="A1517" t="s">
        <v>41</v>
      </c>
      <c r="B1517" t="s">
        <v>61</v>
      </c>
      <c r="C1517" t="s">
        <v>83</v>
      </c>
      <c r="D1517" t="s">
        <v>102</v>
      </c>
      <c r="E1517" t="s">
        <v>121</v>
      </c>
      <c r="F1517" t="s">
        <v>155</v>
      </c>
      <c r="G1517" t="s">
        <v>181</v>
      </c>
      <c r="H1517" t="s">
        <v>216</v>
      </c>
      <c r="I1517" t="s">
        <v>236</v>
      </c>
      <c r="AK1517" t="s">
        <v>357</v>
      </c>
    </row>
    <row r="1518" spans="1:37">
      <c r="A1518" t="s">
        <v>42</v>
      </c>
      <c r="B1518" t="s">
        <v>62</v>
      </c>
      <c r="C1518" t="s">
        <v>84</v>
      </c>
      <c r="D1518" t="s">
        <v>103</v>
      </c>
      <c r="E1518" t="s">
        <v>122</v>
      </c>
      <c r="F1518" t="s">
        <v>156</v>
      </c>
      <c r="G1518" t="s">
        <v>182</v>
      </c>
      <c r="H1518" t="s">
        <v>83</v>
      </c>
      <c r="I1518" t="s">
        <v>237</v>
      </c>
      <c r="J1518" t="s">
        <v>254</v>
      </c>
      <c r="K1518" t="s">
        <v>268</v>
      </c>
      <c r="L1518" t="s">
        <v>280</v>
      </c>
      <c r="M1518" t="s">
        <v>289</v>
      </c>
      <c r="N1518" t="s">
        <v>298</v>
      </c>
      <c r="O1518" t="s">
        <v>307</v>
      </c>
      <c r="P1518" t="s">
        <v>314</v>
      </c>
      <c r="Q1518" t="s">
        <v>216</v>
      </c>
      <c r="R1518" t="s">
        <v>326</v>
      </c>
      <c r="S1518" t="s">
        <v>333</v>
      </c>
      <c r="T1518" t="s">
        <v>335</v>
      </c>
      <c r="U1518" t="s">
        <v>340</v>
      </c>
      <c r="V1518" t="s">
        <v>344</v>
      </c>
      <c r="W1518" t="s">
        <v>349</v>
      </c>
      <c r="AK1518" t="s">
        <v>357</v>
      </c>
    </row>
    <row r="1519" spans="1:37">
      <c r="A1519" t="s">
        <v>43</v>
      </c>
      <c r="B1519" t="s">
        <v>63</v>
      </c>
      <c r="C1519" t="s">
        <v>85</v>
      </c>
      <c r="D1519" t="s">
        <v>104</v>
      </c>
      <c r="E1519" t="s">
        <v>123</v>
      </c>
      <c r="F1519" t="s">
        <v>157</v>
      </c>
      <c r="G1519" t="s">
        <v>183</v>
      </c>
      <c r="AK1519" t="s">
        <v>357</v>
      </c>
    </row>
    <row r="1520" spans="1:37">
      <c r="A1520" t="s">
        <v>44</v>
      </c>
      <c r="B1520" t="s">
        <v>64</v>
      </c>
      <c r="C1520" t="s">
        <v>86</v>
      </c>
      <c r="D1520" t="s">
        <v>105</v>
      </c>
      <c r="E1520" t="s">
        <v>124</v>
      </c>
      <c r="F1520" t="s">
        <v>158</v>
      </c>
      <c r="G1520" t="s">
        <v>184</v>
      </c>
      <c r="AK1520" t="s">
        <v>357</v>
      </c>
    </row>
    <row r="1521" spans="1:37">
      <c r="A1521" t="s">
        <v>45</v>
      </c>
      <c r="B1521" t="s">
        <v>65</v>
      </c>
      <c r="C1521" t="s">
        <v>87</v>
      </c>
      <c r="D1521" t="s">
        <v>106</v>
      </c>
      <c r="E1521" t="s">
        <v>125</v>
      </c>
      <c r="F1521" t="s">
        <v>159</v>
      </c>
      <c r="G1521" t="s">
        <v>185</v>
      </c>
      <c r="H1521" t="s">
        <v>159</v>
      </c>
      <c r="I1521" t="s">
        <v>185</v>
      </c>
      <c r="J1521" t="s">
        <v>255</v>
      </c>
      <c r="AK1521" t="s">
        <v>357</v>
      </c>
    </row>
    <row r="1522" spans="1:37">
      <c r="A1522" t="s">
        <v>46</v>
      </c>
      <c r="B1522" t="s">
        <v>66</v>
      </c>
      <c r="C1522" t="s">
        <v>88</v>
      </c>
      <c r="D1522" t="s">
        <v>76</v>
      </c>
      <c r="E1522" t="s">
        <v>126</v>
      </c>
      <c r="F1522" t="s">
        <v>160</v>
      </c>
      <c r="G1522" t="s">
        <v>186</v>
      </c>
      <c r="H1522" t="s">
        <v>217</v>
      </c>
      <c r="I1522" t="s">
        <v>238</v>
      </c>
      <c r="J1522" t="s">
        <v>256</v>
      </c>
      <c r="K1522" t="s">
        <v>265</v>
      </c>
      <c r="L1522" t="s">
        <v>281</v>
      </c>
      <c r="M1522" t="s">
        <v>290</v>
      </c>
      <c r="N1522" t="s">
        <v>299</v>
      </c>
      <c r="O1522" t="s">
        <v>308</v>
      </c>
      <c r="P1522" t="s">
        <v>228</v>
      </c>
      <c r="Q1522" t="s">
        <v>72</v>
      </c>
      <c r="R1522" t="s">
        <v>327</v>
      </c>
      <c r="S1522" t="s">
        <v>327</v>
      </c>
      <c r="T1522" t="s">
        <v>336</v>
      </c>
      <c r="U1522" t="s">
        <v>336</v>
      </c>
      <c r="V1522" t="s">
        <v>336</v>
      </c>
      <c r="W1522" t="s">
        <v>336</v>
      </c>
      <c r="X1522" t="s">
        <v>353</v>
      </c>
      <c r="AK1522" t="s">
        <v>357</v>
      </c>
    </row>
    <row r="1523" spans="1:37">
      <c r="A1523" t="s">
        <v>37</v>
      </c>
      <c r="B1523" t="s">
        <v>49</v>
      </c>
      <c r="C1523" t="s">
        <v>73</v>
      </c>
      <c r="D1523" t="s">
        <v>94</v>
      </c>
      <c r="E1523" t="s">
        <v>112</v>
      </c>
      <c r="F1523" t="s">
        <v>146</v>
      </c>
      <c r="G1523" t="s">
        <v>172</v>
      </c>
      <c r="H1523" t="s">
        <v>207</v>
      </c>
      <c r="I1523" t="s">
        <v>226</v>
      </c>
      <c r="J1523" t="s">
        <v>246</v>
      </c>
      <c r="K1523" t="s">
        <v>259</v>
      </c>
      <c r="AK1523" t="s">
        <v>357</v>
      </c>
    </row>
    <row r="1524" spans="1:37">
      <c r="A1524" t="s">
        <v>38</v>
      </c>
      <c r="B1524" t="s">
        <v>50</v>
      </c>
      <c r="C1524" t="s">
        <v>74</v>
      </c>
      <c r="D1524" t="s">
        <v>95</v>
      </c>
      <c r="E1524" t="s">
        <v>113</v>
      </c>
      <c r="F1524" t="s">
        <v>147</v>
      </c>
      <c r="G1524" t="s">
        <v>173</v>
      </c>
      <c r="H1524" t="s">
        <v>208</v>
      </c>
      <c r="I1524" t="s">
        <v>227</v>
      </c>
      <c r="J1524" t="s">
        <v>115</v>
      </c>
      <c r="K1524" t="s">
        <v>260</v>
      </c>
      <c r="L1524" t="s">
        <v>273</v>
      </c>
      <c r="M1524" t="s">
        <v>282</v>
      </c>
      <c r="N1524" t="s">
        <v>291</v>
      </c>
      <c r="AK1524" t="s">
        <v>357</v>
      </c>
    </row>
    <row r="1525" spans="1:37">
      <c r="B1525" t="s">
        <v>51</v>
      </c>
      <c r="C1525" t="s">
        <v>75</v>
      </c>
      <c r="D1525" t="s">
        <v>52</v>
      </c>
      <c r="E1525" t="s">
        <v>114</v>
      </c>
      <c r="F1525" t="s">
        <v>148</v>
      </c>
      <c r="G1525" t="s">
        <v>148</v>
      </c>
      <c r="H1525" t="s">
        <v>209</v>
      </c>
      <c r="I1525" t="s">
        <v>228</v>
      </c>
      <c r="J1525" t="s">
        <v>247</v>
      </c>
      <c r="K1525" t="s">
        <v>261</v>
      </c>
      <c r="L1525" t="s">
        <v>274</v>
      </c>
      <c r="M1525" t="s">
        <v>283</v>
      </c>
      <c r="N1525" t="s">
        <v>292</v>
      </c>
      <c r="O1525" t="s">
        <v>300</v>
      </c>
      <c r="AK1525" t="s">
        <v>357</v>
      </c>
    </row>
    <row r="1526" spans="1:37">
      <c r="B1526" t="s">
        <v>52</v>
      </c>
      <c r="C1526" t="s">
        <v>76</v>
      </c>
      <c r="D1526" t="s">
        <v>96</v>
      </c>
      <c r="E1526" t="s">
        <v>115</v>
      </c>
      <c r="F1526" t="s">
        <v>149</v>
      </c>
      <c r="G1526" t="s">
        <v>174</v>
      </c>
      <c r="H1526" t="s">
        <v>96</v>
      </c>
      <c r="I1526" t="s">
        <v>229</v>
      </c>
      <c r="J1526" t="s">
        <v>248</v>
      </c>
      <c r="K1526" t="s">
        <v>262</v>
      </c>
      <c r="L1526" t="s">
        <v>52</v>
      </c>
      <c r="M1526" t="s">
        <v>76</v>
      </c>
      <c r="N1526" t="s">
        <v>293</v>
      </c>
      <c r="O1526" t="s">
        <v>301</v>
      </c>
      <c r="P1526" t="s">
        <v>309</v>
      </c>
      <c r="Q1526" t="s">
        <v>315</v>
      </c>
      <c r="R1526" t="s">
        <v>228</v>
      </c>
      <c r="S1526" t="s">
        <v>328</v>
      </c>
      <c r="T1526" t="s">
        <v>149</v>
      </c>
      <c r="U1526" t="s">
        <v>337</v>
      </c>
      <c r="V1526" t="s">
        <v>341</v>
      </c>
      <c r="W1526" t="s">
        <v>345</v>
      </c>
      <c r="X1526" t="s">
        <v>350</v>
      </c>
      <c r="AK1526" t="s">
        <v>357</v>
      </c>
    </row>
    <row r="1527" spans="1:37">
      <c r="B1527" t="s">
        <v>53</v>
      </c>
      <c r="C1527" t="s">
        <v>77</v>
      </c>
      <c r="D1527" t="s">
        <v>97</v>
      </c>
      <c r="E1527" t="s">
        <v>116</v>
      </c>
      <c r="F1527" t="s">
        <v>150</v>
      </c>
      <c r="G1527" t="s">
        <v>175</v>
      </c>
      <c r="H1527" t="s">
        <v>210</v>
      </c>
      <c r="I1527" t="s">
        <v>230</v>
      </c>
      <c r="J1527" t="s">
        <v>249</v>
      </c>
      <c r="K1527" t="s">
        <v>263</v>
      </c>
      <c r="L1527" t="s">
        <v>275</v>
      </c>
      <c r="M1527" t="s">
        <v>284</v>
      </c>
      <c r="N1527" t="s">
        <v>294</v>
      </c>
      <c r="O1527" t="s">
        <v>302</v>
      </c>
      <c r="P1527" t="s">
        <v>310</v>
      </c>
      <c r="Q1527" t="s">
        <v>316</v>
      </c>
      <c r="R1527" t="s">
        <v>322</v>
      </c>
      <c r="S1527" t="s">
        <v>329</v>
      </c>
      <c r="AK1527" t="s">
        <v>357</v>
      </c>
    </row>
    <row r="1528" spans="1:37">
      <c r="A1528" t="s">
        <v>39</v>
      </c>
      <c r="B1528" t="s">
        <v>54</v>
      </c>
      <c r="C1528" t="s">
        <v>54</v>
      </c>
      <c r="D1528" t="s">
        <v>54</v>
      </c>
      <c r="E1528" t="s">
        <v>54</v>
      </c>
      <c r="F1528" t="s">
        <v>54</v>
      </c>
      <c r="G1528" t="s">
        <v>54</v>
      </c>
      <c r="H1528" t="s">
        <v>54</v>
      </c>
      <c r="I1528" t="s">
        <v>54</v>
      </c>
      <c r="J1528" t="s">
        <v>54</v>
      </c>
      <c r="K1528" t="s">
        <v>54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 t="s">
        <v>323</v>
      </c>
      <c r="S1528" t="s">
        <v>330</v>
      </c>
      <c r="AK1528" t="s">
        <v>357</v>
      </c>
    </row>
    <row r="1529" spans="1:37">
      <c r="B1529" t="s">
        <v>55</v>
      </c>
      <c r="C1529" t="s">
        <v>78</v>
      </c>
      <c r="D1529" t="s">
        <v>55</v>
      </c>
      <c r="E1529" t="s">
        <v>78</v>
      </c>
      <c r="F1529" t="s">
        <v>55</v>
      </c>
      <c r="G1529" t="s">
        <v>78</v>
      </c>
      <c r="H1529" t="s">
        <v>55</v>
      </c>
      <c r="I1529" t="s">
        <v>78</v>
      </c>
      <c r="J1529" t="s">
        <v>55</v>
      </c>
      <c r="K1529" t="s">
        <v>78</v>
      </c>
      <c r="L1529" t="s">
        <v>55</v>
      </c>
      <c r="M1529" t="s">
        <v>78</v>
      </c>
      <c r="N1529" t="s">
        <v>55</v>
      </c>
      <c r="O1529" t="s">
        <v>78</v>
      </c>
      <c r="P1529" t="s">
        <v>55</v>
      </c>
      <c r="Q1529" t="s">
        <v>78</v>
      </c>
      <c r="R1529" t="s">
        <v>55</v>
      </c>
      <c r="S1529" t="s">
        <v>78</v>
      </c>
      <c r="T1529" t="s">
        <v>55</v>
      </c>
      <c r="U1529" t="s">
        <v>78</v>
      </c>
      <c r="V1529" t="s">
        <v>55</v>
      </c>
      <c r="W1529" t="s">
        <v>78</v>
      </c>
      <c r="X1529" t="s">
        <v>55</v>
      </c>
      <c r="Y1529" t="s">
        <v>78</v>
      </c>
      <c r="Z1529" t="s">
        <v>55</v>
      </c>
      <c r="AA1529" t="s">
        <v>78</v>
      </c>
      <c r="AB1529" t="s">
        <v>55</v>
      </c>
      <c r="AC1529" t="s">
        <v>78</v>
      </c>
      <c r="AD1529" t="s">
        <v>55</v>
      </c>
      <c r="AE1529" t="s">
        <v>78</v>
      </c>
      <c r="AF1529" t="s">
        <v>55</v>
      </c>
      <c r="AG1529" t="s">
        <v>78</v>
      </c>
      <c r="AH1529" t="s">
        <v>55</v>
      </c>
      <c r="AI1529" t="s">
        <v>78</v>
      </c>
      <c r="AK1529" t="s">
        <v>357</v>
      </c>
    </row>
    <row r="1530" spans="1:37">
      <c r="B1530" t="s">
        <v>56</v>
      </c>
      <c r="C1530" t="s">
        <v>56</v>
      </c>
      <c r="D1530" t="s">
        <v>56</v>
      </c>
      <c r="E1530" t="s">
        <v>56</v>
      </c>
      <c r="F1530" t="s">
        <v>56</v>
      </c>
      <c r="G1530" t="s">
        <v>176</v>
      </c>
      <c r="H1530" t="s">
        <v>211</v>
      </c>
      <c r="I1530" t="s">
        <v>231</v>
      </c>
      <c r="J1530" t="s">
        <v>250</v>
      </c>
      <c r="K1530" t="s">
        <v>264</v>
      </c>
      <c r="L1530" t="s">
        <v>276</v>
      </c>
      <c r="M1530" t="s">
        <v>285</v>
      </c>
      <c r="N1530" t="s">
        <v>295</v>
      </c>
      <c r="O1530" t="s">
        <v>303</v>
      </c>
      <c r="P1530" t="s">
        <v>56</v>
      </c>
      <c r="Q1530" t="s">
        <v>317</v>
      </c>
      <c r="R1530" t="s">
        <v>324</v>
      </c>
      <c r="S1530" t="s">
        <v>331</v>
      </c>
      <c r="T1530" t="s">
        <v>334</v>
      </c>
      <c r="U1530" t="s">
        <v>338</v>
      </c>
      <c r="V1530" t="s">
        <v>342</v>
      </c>
      <c r="W1530" t="s">
        <v>346</v>
      </c>
      <c r="X1530" t="s">
        <v>351</v>
      </c>
      <c r="AK1530" t="s">
        <v>357</v>
      </c>
    </row>
    <row r="1531" spans="1:37">
      <c r="B1531" t="s">
        <v>57</v>
      </c>
      <c r="C1531" t="s">
        <v>79</v>
      </c>
      <c r="D1531" t="s">
        <v>98</v>
      </c>
      <c r="E1531" t="s">
        <v>117</v>
      </c>
      <c r="F1531" t="s">
        <v>151</v>
      </c>
      <c r="G1531" t="s">
        <v>177</v>
      </c>
      <c r="H1531" t="s">
        <v>212</v>
      </c>
      <c r="I1531" t="s">
        <v>232</v>
      </c>
      <c r="J1531" t="s">
        <v>251</v>
      </c>
      <c r="K1531" t="s">
        <v>265</v>
      </c>
      <c r="L1531" t="s">
        <v>277</v>
      </c>
      <c r="M1531" t="s">
        <v>286</v>
      </c>
      <c r="N1531" t="s">
        <v>296</v>
      </c>
      <c r="O1531" t="s">
        <v>304</v>
      </c>
      <c r="P1531" t="s">
        <v>311</v>
      </c>
      <c r="Q1531" t="s">
        <v>318</v>
      </c>
      <c r="R1531" t="s">
        <v>185</v>
      </c>
      <c r="S1531" t="s">
        <v>159</v>
      </c>
      <c r="T1531" t="s">
        <v>185</v>
      </c>
      <c r="U1531" t="s">
        <v>339</v>
      </c>
      <c r="V1531" t="s">
        <v>72</v>
      </c>
      <c r="W1531" t="s">
        <v>347</v>
      </c>
      <c r="X1531" t="s">
        <v>72</v>
      </c>
      <c r="Y1531" t="s">
        <v>96</v>
      </c>
      <c r="AK1531" t="s">
        <v>357</v>
      </c>
    </row>
    <row r="1532" spans="1:37">
      <c r="B1532" t="s">
        <v>58</v>
      </c>
      <c r="C1532" t="s">
        <v>80</v>
      </c>
      <c r="D1532" t="s">
        <v>99</v>
      </c>
      <c r="E1532" t="s">
        <v>118</v>
      </c>
      <c r="F1532" t="s">
        <v>152</v>
      </c>
      <c r="G1532" t="s">
        <v>178</v>
      </c>
      <c r="H1532" t="s">
        <v>213</v>
      </c>
      <c r="I1532" t="s">
        <v>233</v>
      </c>
      <c r="J1532" t="s">
        <v>252</v>
      </c>
      <c r="K1532" t="s">
        <v>266</v>
      </c>
      <c r="L1532" t="s">
        <v>278</v>
      </c>
      <c r="M1532" t="s">
        <v>287</v>
      </c>
      <c r="N1532" t="s">
        <v>297</v>
      </c>
      <c r="O1532" t="s">
        <v>305</v>
      </c>
      <c r="P1532" t="s">
        <v>312</v>
      </c>
      <c r="Q1532" t="s">
        <v>319</v>
      </c>
      <c r="R1532">
        <f>&gt;10       ветра      4.7     19   7 19</f>
        <v>0</v>
      </c>
      <c r="AK1532" t="s">
        <v>357</v>
      </c>
    </row>
    <row r="1533" spans="1:37">
      <c r="A1533" t="s">
        <v>40</v>
      </c>
      <c r="B1533" t="s">
        <v>59</v>
      </c>
      <c r="C1533" t="s">
        <v>81</v>
      </c>
      <c r="D1533" t="s">
        <v>100</v>
      </c>
      <c r="E1533" t="s">
        <v>119</v>
      </c>
      <c r="F1533" t="s">
        <v>153</v>
      </c>
      <c r="G1533" t="s">
        <v>179</v>
      </c>
      <c r="H1533" t="s">
        <v>214</v>
      </c>
      <c r="I1533" t="s">
        <v>234</v>
      </c>
      <c r="AK1533" t="s">
        <v>357</v>
      </c>
    </row>
    <row r="1534" spans="1:37">
      <c r="A1534" t="s">
        <v>40</v>
      </c>
      <c r="B1534" t="s">
        <v>60</v>
      </c>
      <c r="C1534" t="s">
        <v>82</v>
      </c>
      <c r="D1534" t="s">
        <v>101</v>
      </c>
      <c r="E1534" t="s">
        <v>120</v>
      </c>
      <c r="F1534" t="s">
        <v>154</v>
      </c>
      <c r="G1534" t="s">
        <v>180</v>
      </c>
      <c r="H1534" t="s">
        <v>215</v>
      </c>
      <c r="I1534" t="s">
        <v>235</v>
      </c>
      <c r="J1534" t="s">
        <v>253</v>
      </c>
      <c r="K1534" t="s">
        <v>267</v>
      </c>
      <c r="L1534" t="s">
        <v>279</v>
      </c>
      <c r="M1534" t="s">
        <v>288</v>
      </c>
      <c r="N1534" t="s">
        <v>100</v>
      </c>
      <c r="O1534" t="s">
        <v>306</v>
      </c>
      <c r="P1534" t="s">
        <v>313</v>
      </c>
      <c r="Q1534" t="s">
        <v>320</v>
      </c>
      <c r="R1534" t="s">
        <v>325</v>
      </c>
      <c r="S1534" t="s">
        <v>332</v>
      </c>
      <c r="T1534" t="s">
        <v>119</v>
      </c>
      <c r="U1534" t="s">
        <v>234</v>
      </c>
      <c r="V1534" t="s">
        <v>343</v>
      </c>
      <c r="W1534" t="s">
        <v>348</v>
      </c>
      <c r="X1534" t="s">
        <v>352</v>
      </c>
      <c r="Y1534" t="s">
        <v>354</v>
      </c>
      <c r="AK1534" t="s">
        <v>357</v>
      </c>
    </row>
    <row r="1535" spans="1:37">
      <c r="A1535" t="s">
        <v>41</v>
      </c>
      <c r="B1535" t="s">
        <v>61</v>
      </c>
      <c r="C1535" t="s">
        <v>83</v>
      </c>
      <c r="D1535" t="s">
        <v>102</v>
      </c>
      <c r="E1535" t="s">
        <v>121</v>
      </c>
      <c r="F1535" t="s">
        <v>155</v>
      </c>
      <c r="G1535" t="s">
        <v>181</v>
      </c>
      <c r="H1535" t="s">
        <v>216</v>
      </c>
      <c r="I1535" t="s">
        <v>236</v>
      </c>
      <c r="AK1535" t="s">
        <v>357</v>
      </c>
    </row>
    <row r="1536" spans="1:37">
      <c r="A1536" t="s">
        <v>42</v>
      </c>
      <c r="B1536" t="s">
        <v>62</v>
      </c>
      <c r="C1536" t="s">
        <v>84</v>
      </c>
      <c r="D1536" t="s">
        <v>103</v>
      </c>
      <c r="E1536" t="s">
        <v>122</v>
      </c>
      <c r="F1536" t="s">
        <v>156</v>
      </c>
      <c r="G1536" t="s">
        <v>182</v>
      </c>
      <c r="H1536" t="s">
        <v>83</v>
      </c>
      <c r="I1536" t="s">
        <v>237</v>
      </c>
      <c r="J1536" t="s">
        <v>254</v>
      </c>
      <c r="K1536" t="s">
        <v>268</v>
      </c>
      <c r="L1536" t="s">
        <v>280</v>
      </c>
      <c r="M1536" t="s">
        <v>289</v>
      </c>
      <c r="N1536" t="s">
        <v>298</v>
      </c>
      <c r="O1536" t="s">
        <v>307</v>
      </c>
      <c r="P1536" t="s">
        <v>314</v>
      </c>
      <c r="Q1536" t="s">
        <v>216</v>
      </c>
      <c r="R1536" t="s">
        <v>326</v>
      </c>
      <c r="S1536" t="s">
        <v>333</v>
      </c>
      <c r="T1536" t="s">
        <v>335</v>
      </c>
      <c r="U1536" t="s">
        <v>340</v>
      </c>
      <c r="V1536" t="s">
        <v>344</v>
      </c>
      <c r="W1536" t="s">
        <v>349</v>
      </c>
      <c r="AK1536" t="s">
        <v>357</v>
      </c>
    </row>
    <row r="1537" spans="1:37">
      <c r="A1537" t="s">
        <v>43</v>
      </c>
      <c r="B1537" t="s">
        <v>63</v>
      </c>
      <c r="C1537" t="s">
        <v>85</v>
      </c>
      <c r="D1537" t="s">
        <v>104</v>
      </c>
      <c r="E1537" t="s">
        <v>123</v>
      </c>
      <c r="F1537" t="s">
        <v>157</v>
      </c>
      <c r="G1537" t="s">
        <v>183</v>
      </c>
      <c r="AK1537" t="s">
        <v>357</v>
      </c>
    </row>
    <row r="1538" spans="1:37">
      <c r="A1538" t="s">
        <v>44</v>
      </c>
      <c r="B1538" t="s">
        <v>64</v>
      </c>
      <c r="C1538" t="s">
        <v>86</v>
      </c>
      <c r="D1538" t="s">
        <v>105</v>
      </c>
      <c r="E1538" t="s">
        <v>124</v>
      </c>
      <c r="F1538" t="s">
        <v>158</v>
      </c>
      <c r="G1538" t="s">
        <v>184</v>
      </c>
      <c r="AK1538" t="s">
        <v>357</v>
      </c>
    </row>
    <row r="1539" spans="1:37">
      <c r="A1539" t="s">
        <v>45</v>
      </c>
      <c r="B1539" t="s">
        <v>65</v>
      </c>
      <c r="C1539" t="s">
        <v>87</v>
      </c>
      <c r="D1539" t="s">
        <v>106</v>
      </c>
      <c r="E1539" t="s">
        <v>125</v>
      </c>
      <c r="F1539" t="s">
        <v>159</v>
      </c>
      <c r="G1539" t="s">
        <v>185</v>
      </c>
      <c r="H1539" t="s">
        <v>159</v>
      </c>
      <c r="I1539" t="s">
        <v>185</v>
      </c>
      <c r="J1539" t="s">
        <v>255</v>
      </c>
      <c r="AK1539" t="s">
        <v>357</v>
      </c>
    </row>
    <row r="1540" spans="1:37">
      <c r="A1540" t="s">
        <v>46</v>
      </c>
      <c r="B1540" t="s">
        <v>66</v>
      </c>
      <c r="C1540" t="s">
        <v>88</v>
      </c>
      <c r="D1540" t="s">
        <v>76</v>
      </c>
      <c r="E1540" t="s">
        <v>126</v>
      </c>
      <c r="F1540" t="s">
        <v>160</v>
      </c>
      <c r="G1540" t="s">
        <v>186</v>
      </c>
      <c r="H1540" t="s">
        <v>217</v>
      </c>
      <c r="I1540" t="s">
        <v>238</v>
      </c>
      <c r="J1540" t="s">
        <v>256</v>
      </c>
      <c r="K1540" t="s">
        <v>265</v>
      </c>
      <c r="L1540" t="s">
        <v>281</v>
      </c>
      <c r="M1540" t="s">
        <v>290</v>
      </c>
      <c r="N1540" t="s">
        <v>299</v>
      </c>
      <c r="O1540" t="s">
        <v>308</v>
      </c>
      <c r="P1540" t="s">
        <v>228</v>
      </c>
      <c r="Q1540" t="s">
        <v>72</v>
      </c>
      <c r="R1540" t="s">
        <v>327</v>
      </c>
      <c r="S1540" t="s">
        <v>327</v>
      </c>
      <c r="T1540" t="s">
        <v>336</v>
      </c>
      <c r="U1540" t="s">
        <v>336</v>
      </c>
      <c r="V1540" t="s">
        <v>336</v>
      </c>
      <c r="W1540" t="s">
        <v>336</v>
      </c>
      <c r="X1540" t="s">
        <v>353</v>
      </c>
      <c r="AK1540" t="s">
        <v>357</v>
      </c>
    </row>
    <row r="1541" spans="1:37">
      <c r="A1541" t="s">
        <v>37</v>
      </c>
      <c r="B1541" t="s">
        <v>49</v>
      </c>
      <c r="C1541" t="s">
        <v>73</v>
      </c>
      <c r="D1541" t="s">
        <v>94</v>
      </c>
      <c r="E1541" t="s">
        <v>112</v>
      </c>
      <c r="F1541" t="s">
        <v>146</v>
      </c>
      <c r="G1541" t="s">
        <v>172</v>
      </c>
      <c r="H1541" t="s">
        <v>207</v>
      </c>
      <c r="I1541" t="s">
        <v>226</v>
      </c>
      <c r="J1541" t="s">
        <v>246</v>
      </c>
      <c r="K1541" t="s">
        <v>259</v>
      </c>
      <c r="AK1541" t="s">
        <v>357</v>
      </c>
    </row>
    <row r="1542" spans="1:37">
      <c r="A1542" t="s">
        <v>38</v>
      </c>
      <c r="B1542" t="s">
        <v>50</v>
      </c>
      <c r="C1542" t="s">
        <v>74</v>
      </c>
      <c r="D1542" t="s">
        <v>95</v>
      </c>
      <c r="E1542" t="s">
        <v>113</v>
      </c>
      <c r="F1542" t="s">
        <v>147</v>
      </c>
      <c r="G1542" t="s">
        <v>173</v>
      </c>
      <c r="H1542" t="s">
        <v>208</v>
      </c>
      <c r="I1542" t="s">
        <v>227</v>
      </c>
      <c r="J1542" t="s">
        <v>115</v>
      </c>
      <c r="K1542" t="s">
        <v>260</v>
      </c>
      <c r="L1542" t="s">
        <v>273</v>
      </c>
      <c r="M1542" t="s">
        <v>282</v>
      </c>
      <c r="N1542" t="s">
        <v>291</v>
      </c>
      <c r="AK1542" t="s">
        <v>357</v>
      </c>
    </row>
    <row r="1543" spans="1:37">
      <c r="B1543" t="s">
        <v>51</v>
      </c>
      <c r="C1543" t="s">
        <v>75</v>
      </c>
      <c r="D1543" t="s">
        <v>52</v>
      </c>
      <c r="E1543" t="s">
        <v>114</v>
      </c>
      <c r="F1543" t="s">
        <v>148</v>
      </c>
      <c r="G1543" t="s">
        <v>148</v>
      </c>
      <c r="H1543" t="s">
        <v>209</v>
      </c>
      <c r="I1543" t="s">
        <v>228</v>
      </c>
      <c r="J1543" t="s">
        <v>247</v>
      </c>
      <c r="K1543" t="s">
        <v>261</v>
      </c>
      <c r="L1543" t="s">
        <v>274</v>
      </c>
      <c r="M1543" t="s">
        <v>283</v>
      </c>
      <c r="N1543" t="s">
        <v>292</v>
      </c>
      <c r="O1543" t="s">
        <v>300</v>
      </c>
      <c r="AK1543" t="s">
        <v>357</v>
      </c>
    </row>
    <row r="1544" spans="1:37">
      <c r="B1544" t="s">
        <v>52</v>
      </c>
      <c r="C1544" t="s">
        <v>76</v>
      </c>
      <c r="D1544" t="s">
        <v>96</v>
      </c>
      <c r="E1544" t="s">
        <v>115</v>
      </c>
      <c r="F1544" t="s">
        <v>149</v>
      </c>
      <c r="G1544" t="s">
        <v>174</v>
      </c>
      <c r="H1544" t="s">
        <v>96</v>
      </c>
      <c r="I1544" t="s">
        <v>229</v>
      </c>
      <c r="J1544" t="s">
        <v>248</v>
      </c>
      <c r="K1544" t="s">
        <v>262</v>
      </c>
      <c r="L1544" t="s">
        <v>52</v>
      </c>
      <c r="M1544" t="s">
        <v>76</v>
      </c>
      <c r="N1544" t="s">
        <v>293</v>
      </c>
      <c r="O1544" t="s">
        <v>301</v>
      </c>
      <c r="P1544" t="s">
        <v>309</v>
      </c>
      <c r="Q1544" t="s">
        <v>315</v>
      </c>
      <c r="R1544" t="s">
        <v>228</v>
      </c>
      <c r="S1544" t="s">
        <v>328</v>
      </c>
      <c r="T1544" t="s">
        <v>149</v>
      </c>
      <c r="U1544" t="s">
        <v>337</v>
      </c>
      <c r="V1544" t="s">
        <v>341</v>
      </c>
      <c r="W1544" t="s">
        <v>345</v>
      </c>
      <c r="X1544" t="s">
        <v>350</v>
      </c>
      <c r="AK1544" t="s">
        <v>357</v>
      </c>
    </row>
    <row r="1545" spans="1:37">
      <c r="B1545" t="s">
        <v>53</v>
      </c>
      <c r="C1545" t="s">
        <v>77</v>
      </c>
      <c r="D1545" t="s">
        <v>97</v>
      </c>
      <c r="E1545" t="s">
        <v>116</v>
      </c>
      <c r="F1545" t="s">
        <v>150</v>
      </c>
      <c r="G1545" t="s">
        <v>175</v>
      </c>
      <c r="H1545" t="s">
        <v>210</v>
      </c>
      <c r="I1545" t="s">
        <v>230</v>
      </c>
      <c r="J1545" t="s">
        <v>249</v>
      </c>
      <c r="K1545" t="s">
        <v>263</v>
      </c>
      <c r="L1545" t="s">
        <v>275</v>
      </c>
      <c r="M1545" t="s">
        <v>284</v>
      </c>
      <c r="N1545" t="s">
        <v>294</v>
      </c>
      <c r="O1545" t="s">
        <v>302</v>
      </c>
      <c r="P1545" t="s">
        <v>310</v>
      </c>
      <c r="Q1545" t="s">
        <v>316</v>
      </c>
      <c r="R1545" t="s">
        <v>322</v>
      </c>
      <c r="S1545" t="s">
        <v>329</v>
      </c>
      <c r="AK1545" t="s">
        <v>357</v>
      </c>
    </row>
    <row r="1546" spans="1:37">
      <c r="A1546" t="s">
        <v>39</v>
      </c>
      <c r="B1546" t="s">
        <v>54</v>
      </c>
      <c r="C1546" t="s">
        <v>54</v>
      </c>
      <c r="D1546" t="s">
        <v>54</v>
      </c>
      <c r="E1546" t="s">
        <v>54</v>
      </c>
      <c r="F1546" t="s">
        <v>54</v>
      </c>
      <c r="G1546" t="s">
        <v>54</v>
      </c>
      <c r="H1546" t="s">
        <v>54</v>
      </c>
      <c r="I1546" t="s">
        <v>54</v>
      </c>
      <c r="J1546" t="s">
        <v>54</v>
      </c>
      <c r="K1546" t="s">
        <v>54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323</v>
      </c>
      <c r="S1546" t="s">
        <v>330</v>
      </c>
      <c r="AK1546" t="s">
        <v>357</v>
      </c>
    </row>
    <row r="1547" spans="1:37">
      <c r="B1547" t="s">
        <v>55</v>
      </c>
      <c r="C1547" t="s">
        <v>78</v>
      </c>
      <c r="D1547" t="s">
        <v>55</v>
      </c>
      <c r="E1547" t="s">
        <v>78</v>
      </c>
      <c r="F1547" t="s">
        <v>55</v>
      </c>
      <c r="G1547" t="s">
        <v>78</v>
      </c>
      <c r="H1547" t="s">
        <v>55</v>
      </c>
      <c r="I1547" t="s">
        <v>78</v>
      </c>
      <c r="J1547" t="s">
        <v>55</v>
      </c>
      <c r="K1547" t="s">
        <v>78</v>
      </c>
      <c r="L1547" t="s">
        <v>55</v>
      </c>
      <c r="M1547" t="s">
        <v>78</v>
      </c>
      <c r="N1547" t="s">
        <v>55</v>
      </c>
      <c r="O1547" t="s">
        <v>78</v>
      </c>
      <c r="P1547" t="s">
        <v>55</v>
      </c>
      <c r="Q1547" t="s">
        <v>78</v>
      </c>
      <c r="R1547" t="s">
        <v>55</v>
      </c>
      <c r="S1547" t="s">
        <v>78</v>
      </c>
      <c r="T1547" t="s">
        <v>55</v>
      </c>
      <c r="U1547" t="s">
        <v>78</v>
      </c>
      <c r="V1547" t="s">
        <v>55</v>
      </c>
      <c r="W1547" t="s">
        <v>78</v>
      </c>
      <c r="X1547" t="s">
        <v>55</v>
      </c>
      <c r="Y1547" t="s">
        <v>78</v>
      </c>
      <c r="Z1547" t="s">
        <v>55</v>
      </c>
      <c r="AA1547" t="s">
        <v>78</v>
      </c>
      <c r="AB1547" t="s">
        <v>55</v>
      </c>
      <c r="AC1547" t="s">
        <v>78</v>
      </c>
      <c r="AD1547" t="s">
        <v>55</v>
      </c>
      <c r="AE1547" t="s">
        <v>78</v>
      </c>
      <c r="AF1547" t="s">
        <v>55</v>
      </c>
      <c r="AG1547" t="s">
        <v>78</v>
      </c>
      <c r="AH1547" t="s">
        <v>55</v>
      </c>
      <c r="AI1547" t="s">
        <v>78</v>
      </c>
      <c r="AK1547" t="s">
        <v>357</v>
      </c>
    </row>
    <row r="1548" spans="1:37">
      <c r="B1548" t="s">
        <v>56</v>
      </c>
      <c r="C1548" t="s">
        <v>56</v>
      </c>
      <c r="D1548" t="s">
        <v>56</v>
      </c>
      <c r="E1548" t="s">
        <v>56</v>
      </c>
      <c r="F1548" t="s">
        <v>56</v>
      </c>
      <c r="G1548" t="s">
        <v>176</v>
      </c>
      <c r="H1548" t="s">
        <v>211</v>
      </c>
      <c r="I1548" t="s">
        <v>231</v>
      </c>
      <c r="J1548" t="s">
        <v>250</v>
      </c>
      <c r="K1548" t="s">
        <v>264</v>
      </c>
      <c r="L1548" t="s">
        <v>276</v>
      </c>
      <c r="M1548" t="s">
        <v>285</v>
      </c>
      <c r="N1548" t="s">
        <v>295</v>
      </c>
      <c r="O1548" t="s">
        <v>303</v>
      </c>
      <c r="P1548" t="s">
        <v>56</v>
      </c>
      <c r="Q1548" t="s">
        <v>317</v>
      </c>
      <c r="R1548" t="s">
        <v>324</v>
      </c>
      <c r="S1548" t="s">
        <v>331</v>
      </c>
      <c r="T1548" t="s">
        <v>334</v>
      </c>
      <c r="U1548" t="s">
        <v>338</v>
      </c>
      <c r="V1548" t="s">
        <v>342</v>
      </c>
      <c r="W1548" t="s">
        <v>346</v>
      </c>
      <c r="X1548" t="s">
        <v>351</v>
      </c>
      <c r="AK1548" t="s">
        <v>357</v>
      </c>
    </row>
    <row r="1549" spans="1:37">
      <c r="B1549" t="s">
        <v>57</v>
      </c>
      <c r="C1549" t="s">
        <v>79</v>
      </c>
      <c r="D1549" t="s">
        <v>98</v>
      </c>
      <c r="E1549" t="s">
        <v>117</v>
      </c>
      <c r="F1549" t="s">
        <v>151</v>
      </c>
      <c r="G1549" t="s">
        <v>177</v>
      </c>
      <c r="H1549" t="s">
        <v>212</v>
      </c>
      <c r="I1549" t="s">
        <v>232</v>
      </c>
      <c r="J1549" t="s">
        <v>251</v>
      </c>
      <c r="K1549" t="s">
        <v>265</v>
      </c>
      <c r="L1549" t="s">
        <v>277</v>
      </c>
      <c r="M1549" t="s">
        <v>286</v>
      </c>
      <c r="N1549" t="s">
        <v>296</v>
      </c>
      <c r="O1549" t="s">
        <v>304</v>
      </c>
      <c r="P1549" t="s">
        <v>311</v>
      </c>
      <c r="Q1549" t="s">
        <v>318</v>
      </c>
      <c r="R1549" t="s">
        <v>185</v>
      </c>
      <c r="S1549" t="s">
        <v>159</v>
      </c>
      <c r="T1549" t="s">
        <v>185</v>
      </c>
      <c r="U1549" t="s">
        <v>339</v>
      </c>
      <c r="V1549" t="s">
        <v>72</v>
      </c>
      <c r="W1549" t="s">
        <v>347</v>
      </c>
      <c r="X1549" t="s">
        <v>72</v>
      </c>
      <c r="Y1549" t="s">
        <v>96</v>
      </c>
      <c r="AK1549" t="s">
        <v>357</v>
      </c>
    </row>
    <row r="1550" spans="1:37">
      <c r="B1550" t="s">
        <v>58</v>
      </c>
      <c r="C1550" t="s">
        <v>80</v>
      </c>
      <c r="D1550" t="s">
        <v>99</v>
      </c>
      <c r="E1550" t="s">
        <v>118</v>
      </c>
      <c r="F1550" t="s">
        <v>152</v>
      </c>
      <c r="G1550" t="s">
        <v>178</v>
      </c>
      <c r="H1550" t="s">
        <v>213</v>
      </c>
      <c r="I1550" t="s">
        <v>233</v>
      </c>
      <c r="J1550" t="s">
        <v>252</v>
      </c>
      <c r="K1550" t="s">
        <v>266</v>
      </c>
      <c r="L1550" t="s">
        <v>278</v>
      </c>
      <c r="M1550" t="s">
        <v>287</v>
      </c>
      <c r="N1550" t="s">
        <v>297</v>
      </c>
      <c r="O1550" t="s">
        <v>305</v>
      </c>
      <c r="P1550" t="s">
        <v>312</v>
      </c>
      <c r="Q1550" t="s">
        <v>319</v>
      </c>
      <c r="R1550">
        <f>&gt;10       ветра      3.1     19   7</f>
        <v>0</v>
      </c>
      <c r="AK1550" t="s">
        <v>357</v>
      </c>
    </row>
    <row r="1551" spans="1:37">
      <c r="A1551" t="s">
        <v>40</v>
      </c>
      <c r="B1551" t="s">
        <v>59</v>
      </c>
      <c r="C1551" t="s">
        <v>81</v>
      </c>
      <c r="D1551" t="s">
        <v>100</v>
      </c>
      <c r="E1551" t="s">
        <v>119</v>
      </c>
      <c r="F1551" t="s">
        <v>153</v>
      </c>
      <c r="G1551" t="s">
        <v>179</v>
      </c>
      <c r="H1551" t="s">
        <v>214</v>
      </c>
      <c r="I1551" t="s">
        <v>234</v>
      </c>
      <c r="AK1551" t="s">
        <v>357</v>
      </c>
    </row>
    <row r="1552" spans="1:37">
      <c r="A1552" t="s">
        <v>40</v>
      </c>
      <c r="B1552" t="s">
        <v>60</v>
      </c>
      <c r="C1552" t="s">
        <v>82</v>
      </c>
      <c r="D1552" t="s">
        <v>101</v>
      </c>
      <c r="E1552" t="s">
        <v>120</v>
      </c>
      <c r="F1552" t="s">
        <v>154</v>
      </c>
      <c r="G1552" t="s">
        <v>180</v>
      </c>
      <c r="H1552" t="s">
        <v>215</v>
      </c>
      <c r="I1552" t="s">
        <v>235</v>
      </c>
      <c r="J1552" t="s">
        <v>253</v>
      </c>
      <c r="K1552" t="s">
        <v>267</v>
      </c>
      <c r="L1552" t="s">
        <v>279</v>
      </c>
      <c r="M1552" t="s">
        <v>288</v>
      </c>
      <c r="N1552" t="s">
        <v>100</v>
      </c>
      <c r="O1552" t="s">
        <v>306</v>
      </c>
      <c r="P1552" t="s">
        <v>313</v>
      </c>
      <c r="Q1552" t="s">
        <v>320</v>
      </c>
      <c r="R1552" t="s">
        <v>325</v>
      </c>
      <c r="S1552" t="s">
        <v>332</v>
      </c>
      <c r="T1552" t="s">
        <v>119</v>
      </c>
      <c r="U1552" t="s">
        <v>234</v>
      </c>
      <c r="V1552" t="s">
        <v>343</v>
      </c>
      <c r="W1552" t="s">
        <v>348</v>
      </c>
      <c r="X1552" t="s">
        <v>352</v>
      </c>
      <c r="Y1552" t="s">
        <v>354</v>
      </c>
      <c r="AK1552" t="s">
        <v>357</v>
      </c>
    </row>
    <row r="1553" spans="1:37">
      <c r="A1553" t="s">
        <v>41</v>
      </c>
      <c r="B1553" t="s">
        <v>61</v>
      </c>
      <c r="C1553" t="s">
        <v>83</v>
      </c>
      <c r="D1553" t="s">
        <v>102</v>
      </c>
      <c r="E1553" t="s">
        <v>121</v>
      </c>
      <c r="F1553" t="s">
        <v>155</v>
      </c>
      <c r="G1553" t="s">
        <v>181</v>
      </c>
      <c r="H1553" t="s">
        <v>216</v>
      </c>
      <c r="I1553" t="s">
        <v>236</v>
      </c>
      <c r="AK1553" t="s">
        <v>357</v>
      </c>
    </row>
    <row r="1554" spans="1:37">
      <c r="A1554" t="s">
        <v>42</v>
      </c>
      <c r="B1554" t="s">
        <v>62</v>
      </c>
      <c r="C1554" t="s">
        <v>84</v>
      </c>
      <c r="D1554" t="s">
        <v>103</v>
      </c>
      <c r="E1554" t="s">
        <v>122</v>
      </c>
      <c r="F1554" t="s">
        <v>156</v>
      </c>
      <c r="G1554" t="s">
        <v>182</v>
      </c>
      <c r="H1554" t="s">
        <v>83</v>
      </c>
      <c r="I1554" t="s">
        <v>237</v>
      </c>
      <c r="J1554" t="s">
        <v>254</v>
      </c>
      <c r="K1554" t="s">
        <v>268</v>
      </c>
      <c r="L1554" t="s">
        <v>280</v>
      </c>
      <c r="M1554" t="s">
        <v>289</v>
      </c>
      <c r="N1554" t="s">
        <v>298</v>
      </c>
      <c r="O1554" t="s">
        <v>307</v>
      </c>
      <c r="P1554" t="s">
        <v>314</v>
      </c>
      <c r="Q1554" t="s">
        <v>216</v>
      </c>
      <c r="R1554" t="s">
        <v>326</v>
      </c>
      <c r="S1554" t="s">
        <v>333</v>
      </c>
      <c r="T1554" t="s">
        <v>335</v>
      </c>
      <c r="U1554" t="s">
        <v>340</v>
      </c>
      <c r="V1554" t="s">
        <v>344</v>
      </c>
      <c r="W1554" t="s">
        <v>349</v>
      </c>
      <c r="AK1554" t="s">
        <v>357</v>
      </c>
    </row>
    <row r="1555" spans="1:37">
      <c r="A1555" t="s">
        <v>43</v>
      </c>
      <c r="B1555" t="s">
        <v>63</v>
      </c>
      <c r="C1555" t="s">
        <v>85</v>
      </c>
      <c r="D1555" t="s">
        <v>104</v>
      </c>
      <c r="E1555" t="s">
        <v>123</v>
      </c>
      <c r="F1555" t="s">
        <v>157</v>
      </c>
      <c r="G1555" t="s">
        <v>183</v>
      </c>
      <c r="AK1555" t="s">
        <v>357</v>
      </c>
    </row>
    <row r="1556" spans="1:37">
      <c r="A1556" t="s">
        <v>44</v>
      </c>
      <c r="B1556" t="s">
        <v>64</v>
      </c>
      <c r="C1556" t="s">
        <v>86</v>
      </c>
      <c r="D1556" t="s">
        <v>105</v>
      </c>
      <c r="E1556" t="s">
        <v>124</v>
      </c>
      <c r="F1556" t="s">
        <v>158</v>
      </c>
      <c r="G1556" t="s">
        <v>184</v>
      </c>
      <c r="AK1556" t="s">
        <v>357</v>
      </c>
    </row>
    <row r="1557" spans="1:37">
      <c r="A1557" t="s">
        <v>45</v>
      </c>
      <c r="B1557" t="s">
        <v>65</v>
      </c>
      <c r="C1557" t="s">
        <v>87</v>
      </c>
      <c r="D1557" t="s">
        <v>106</v>
      </c>
      <c r="E1557" t="s">
        <v>125</v>
      </c>
      <c r="F1557" t="s">
        <v>159</v>
      </c>
      <c r="G1557" t="s">
        <v>185</v>
      </c>
      <c r="H1557" t="s">
        <v>159</v>
      </c>
      <c r="I1557" t="s">
        <v>185</v>
      </c>
      <c r="J1557" t="s">
        <v>255</v>
      </c>
      <c r="AK1557" t="s">
        <v>357</v>
      </c>
    </row>
    <row r="1558" spans="1:37">
      <c r="A1558" t="s">
        <v>46</v>
      </c>
      <c r="B1558" t="s">
        <v>66</v>
      </c>
      <c r="C1558" t="s">
        <v>88</v>
      </c>
      <c r="D1558" t="s">
        <v>76</v>
      </c>
      <c r="E1558" t="s">
        <v>126</v>
      </c>
      <c r="F1558" t="s">
        <v>160</v>
      </c>
      <c r="G1558" t="s">
        <v>186</v>
      </c>
      <c r="H1558" t="s">
        <v>217</v>
      </c>
      <c r="I1558" t="s">
        <v>238</v>
      </c>
      <c r="J1558" t="s">
        <v>256</v>
      </c>
      <c r="K1558" t="s">
        <v>265</v>
      </c>
      <c r="L1558" t="s">
        <v>281</v>
      </c>
      <c r="M1558" t="s">
        <v>290</v>
      </c>
      <c r="N1558" t="s">
        <v>299</v>
      </c>
      <c r="O1558" t="s">
        <v>308</v>
      </c>
      <c r="P1558" t="s">
        <v>228</v>
      </c>
      <c r="Q1558" t="s">
        <v>72</v>
      </c>
      <c r="R1558" t="s">
        <v>327</v>
      </c>
      <c r="S1558" t="s">
        <v>327</v>
      </c>
      <c r="T1558" t="s">
        <v>336</v>
      </c>
      <c r="U1558" t="s">
        <v>336</v>
      </c>
      <c r="V1558" t="s">
        <v>336</v>
      </c>
      <c r="W1558" t="s">
        <v>336</v>
      </c>
      <c r="X1558" t="s">
        <v>353</v>
      </c>
      <c r="AK1558" t="s">
        <v>357</v>
      </c>
    </row>
    <row r="1559" spans="1:37">
      <c r="A1559" t="s">
        <v>37</v>
      </c>
      <c r="B1559" t="s">
        <v>49</v>
      </c>
      <c r="C1559" t="s">
        <v>73</v>
      </c>
      <c r="D1559" t="s">
        <v>94</v>
      </c>
      <c r="E1559" t="s">
        <v>112</v>
      </c>
      <c r="F1559" t="s">
        <v>146</v>
      </c>
      <c r="G1559" t="s">
        <v>172</v>
      </c>
      <c r="H1559" t="s">
        <v>207</v>
      </c>
      <c r="I1559" t="s">
        <v>226</v>
      </c>
      <c r="J1559" t="s">
        <v>246</v>
      </c>
      <c r="K1559" t="s">
        <v>259</v>
      </c>
      <c r="AK1559" t="s">
        <v>357</v>
      </c>
    </row>
    <row r="1560" spans="1:37">
      <c r="A1560" t="s">
        <v>38</v>
      </c>
      <c r="B1560" t="s">
        <v>50</v>
      </c>
      <c r="C1560" t="s">
        <v>74</v>
      </c>
      <c r="D1560" t="s">
        <v>95</v>
      </c>
      <c r="E1560" t="s">
        <v>113</v>
      </c>
      <c r="F1560" t="s">
        <v>147</v>
      </c>
      <c r="G1560" t="s">
        <v>173</v>
      </c>
      <c r="H1560" t="s">
        <v>208</v>
      </c>
      <c r="I1560" t="s">
        <v>227</v>
      </c>
      <c r="J1560" t="s">
        <v>115</v>
      </c>
      <c r="K1560" t="s">
        <v>260</v>
      </c>
      <c r="L1560" t="s">
        <v>273</v>
      </c>
      <c r="M1560" t="s">
        <v>282</v>
      </c>
      <c r="N1560" t="s">
        <v>291</v>
      </c>
      <c r="AK1560" t="s">
        <v>357</v>
      </c>
    </row>
    <row r="1561" spans="1:37">
      <c r="B1561" t="s">
        <v>51</v>
      </c>
      <c r="C1561" t="s">
        <v>75</v>
      </c>
      <c r="D1561" t="s">
        <v>52</v>
      </c>
      <c r="E1561" t="s">
        <v>114</v>
      </c>
      <c r="F1561" t="s">
        <v>148</v>
      </c>
      <c r="G1561" t="s">
        <v>148</v>
      </c>
      <c r="H1561" t="s">
        <v>209</v>
      </c>
      <c r="I1561" t="s">
        <v>228</v>
      </c>
      <c r="J1561" t="s">
        <v>247</v>
      </c>
      <c r="K1561" t="s">
        <v>261</v>
      </c>
      <c r="L1561" t="s">
        <v>274</v>
      </c>
      <c r="M1561" t="s">
        <v>283</v>
      </c>
      <c r="N1561" t="s">
        <v>292</v>
      </c>
      <c r="O1561" t="s">
        <v>300</v>
      </c>
      <c r="AK1561" t="s">
        <v>357</v>
      </c>
    </row>
    <row r="1562" spans="1:37">
      <c r="B1562" t="s">
        <v>52</v>
      </c>
      <c r="C1562" t="s">
        <v>76</v>
      </c>
      <c r="D1562" t="s">
        <v>96</v>
      </c>
      <c r="E1562" t="s">
        <v>115</v>
      </c>
      <c r="F1562" t="s">
        <v>149</v>
      </c>
      <c r="G1562" t="s">
        <v>174</v>
      </c>
      <c r="H1562" t="s">
        <v>96</v>
      </c>
      <c r="I1562" t="s">
        <v>229</v>
      </c>
      <c r="J1562" t="s">
        <v>248</v>
      </c>
      <c r="K1562" t="s">
        <v>262</v>
      </c>
      <c r="L1562" t="s">
        <v>52</v>
      </c>
      <c r="M1562" t="s">
        <v>76</v>
      </c>
      <c r="N1562" t="s">
        <v>293</v>
      </c>
      <c r="O1562" t="s">
        <v>301</v>
      </c>
      <c r="P1562" t="s">
        <v>309</v>
      </c>
      <c r="Q1562" t="s">
        <v>315</v>
      </c>
      <c r="R1562" t="s">
        <v>228</v>
      </c>
      <c r="S1562" t="s">
        <v>328</v>
      </c>
      <c r="T1562" t="s">
        <v>149</v>
      </c>
      <c r="U1562" t="s">
        <v>337</v>
      </c>
      <c r="V1562" t="s">
        <v>341</v>
      </c>
      <c r="W1562" t="s">
        <v>345</v>
      </c>
      <c r="X1562" t="s">
        <v>350</v>
      </c>
      <c r="AK1562" t="s">
        <v>357</v>
      </c>
    </row>
    <row r="1563" spans="1:37">
      <c r="B1563" t="s">
        <v>53</v>
      </c>
      <c r="C1563" t="s">
        <v>77</v>
      </c>
      <c r="D1563" t="s">
        <v>97</v>
      </c>
      <c r="E1563" t="s">
        <v>116</v>
      </c>
      <c r="F1563" t="s">
        <v>150</v>
      </c>
      <c r="G1563" t="s">
        <v>175</v>
      </c>
      <c r="H1563" t="s">
        <v>210</v>
      </c>
      <c r="I1563" t="s">
        <v>230</v>
      </c>
      <c r="J1563" t="s">
        <v>249</v>
      </c>
      <c r="K1563" t="s">
        <v>263</v>
      </c>
      <c r="L1563" t="s">
        <v>275</v>
      </c>
      <c r="M1563" t="s">
        <v>284</v>
      </c>
      <c r="N1563" t="s">
        <v>294</v>
      </c>
      <c r="O1563" t="s">
        <v>302</v>
      </c>
      <c r="P1563" t="s">
        <v>310</v>
      </c>
      <c r="Q1563" t="s">
        <v>316</v>
      </c>
      <c r="R1563" t="s">
        <v>322</v>
      </c>
      <c r="S1563" t="s">
        <v>329</v>
      </c>
      <c r="AK1563" t="s">
        <v>357</v>
      </c>
    </row>
    <row r="1564" spans="1:37">
      <c r="A1564" t="s">
        <v>39</v>
      </c>
      <c r="B1564" t="s">
        <v>54</v>
      </c>
      <c r="C1564" t="s">
        <v>54</v>
      </c>
      <c r="D1564" t="s">
        <v>54</v>
      </c>
      <c r="E1564" t="s">
        <v>54</v>
      </c>
      <c r="F1564" t="s">
        <v>54</v>
      </c>
      <c r="G1564" t="s">
        <v>54</v>
      </c>
      <c r="H1564" t="s">
        <v>54</v>
      </c>
      <c r="I1564" t="s">
        <v>54</v>
      </c>
      <c r="J1564" t="s">
        <v>54</v>
      </c>
      <c r="K1564" t="s">
        <v>54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 t="s">
        <v>323</v>
      </c>
      <c r="S1564" t="s">
        <v>330</v>
      </c>
      <c r="AK1564" t="s">
        <v>357</v>
      </c>
    </row>
    <row r="1565" spans="1:37">
      <c r="B1565" t="s">
        <v>55</v>
      </c>
      <c r="C1565" t="s">
        <v>78</v>
      </c>
      <c r="D1565" t="s">
        <v>55</v>
      </c>
      <c r="E1565" t="s">
        <v>78</v>
      </c>
      <c r="F1565" t="s">
        <v>55</v>
      </c>
      <c r="G1565" t="s">
        <v>78</v>
      </c>
      <c r="H1565" t="s">
        <v>55</v>
      </c>
      <c r="I1565" t="s">
        <v>78</v>
      </c>
      <c r="J1565" t="s">
        <v>55</v>
      </c>
      <c r="K1565" t="s">
        <v>78</v>
      </c>
      <c r="L1565" t="s">
        <v>55</v>
      </c>
      <c r="M1565" t="s">
        <v>78</v>
      </c>
      <c r="N1565" t="s">
        <v>55</v>
      </c>
      <c r="O1565" t="s">
        <v>78</v>
      </c>
      <c r="P1565" t="s">
        <v>55</v>
      </c>
      <c r="Q1565" t="s">
        <v>78</v>
      </c>
      <c r="R1565" t="s">
        <v>55</v>
      </c>
      <c r="S1565" t="s">
        <v>78</v>
      </c>
      <c r="T1565" t="s">
        <v>55</v>
      </c>
      <c r="U1565" t="s">
        <v>78</v>
      </c>
      <c r="V1565" t="s">
        <v>55</v>
      </c>
      <c r="W1565" t="s">
        <v>78</v>
      </c>
      <c r="X1565" t="s">
        <v>55</v>
      </c>
      <c r="Y1565" t="s">
        <v>78</v>
      </c>
      <c r="Z1565" t="s">
        <v>55</v>
      </c>
      <c r="AA1565" t="s">
        <v>78</v>
      </c>
      <c r="AB1565" t="s">
        <v>55</v>
      </c>
      <c r="AC1565" t="s">
        <v>78</v>
      </c>
      <c r="AD1565" t="s">
        <v>55</v>
      </c>
      <c r="AE1565" t="s">
        <v>78</v>
      </c>
      <c r="AF1565" t="s">
        <v>55</v>
      </c>
      <c r="AG1565" t="s">
        <v>78</v>
      </c>
      <c r="AH1565" t="s">
        <v>55</v>
      </c>
      <c r="AI1565" t="s">
        <v>78</v>
      </c>
      <c r="AK1565" t="s">
        <v>357</v>
      </c>
    </row>
    <row r="1566" spans="1:37">
      <c r="B1566" t="s">
        <v>56</v>
      </c>
      <c r="C1566" t="s">
        <v>56</v>
      </c>
      <c r="D1566" t="s">
        <v>56</v>
      </c>
      <c r="E1566" t="s">
        <v>56</v>
      </c>
      <c r="F1566" t="s">
        <v>56</v>
      </c>
      <c r="G1566" t="s">
        <v>176</v>
      </c>
      <c r="H1566" t="s">
        <v>211</v>
      </c>
      <c r="I1566" t="s">
        <v>231</v>
      </c>
      <c r="J1566" t="s">
        <v>250</v>
      </c>
      <c r="K1566" t="s">
        <v>264</v>
      </c>
      <c r="L1566" t="s">
        <v>276</v>
      </c>
      <c r="M1566" t="s">
        <v>285</v>
      </c>
      <c r="N1566" t="s">
        <v>295</v>
      </c>
      <c r="O1566" t="s">
        <v>303</v>
      </c>
      <c r="P1566" t="s">
        <v>56</v>
      </c>
      <c r="Q1566" t="s">
        <v>317</v>
      </c>
      <c r="R1566" t="s">
        <v>324</v>
      </c>
      <c r="S1566" t="s">
        <v>331</v>
      </c>
      <c r="T1566" t="s">
        <v>334</v>
      </c>
      <c r="U1566" t="s">
        <v>338</v>
      </c>
      <c r="V1566" t="s">
        <v>342</v>
      </c>
      <c r="W1566" t="s">
        <v>346</v>
      </c>
      <c r="X1566" t="s">
        <v>351</v>
      </c>
      <c r="AK1566" t="s">
        <v>357</v>
      </c>
    </row>
    <row r="1567" spans="1:37">
      <c r="B1567" t="s">
        <v>57</v>
      </c>
      <c r="C1567" t="s">
        <v>79</v>
      </c>
      <c r="D1567" t="s">
        <v>98</v>
      </c>
      <c r="E1567" t="s">
        <v>117</v>
      </c>
      <c r="F1567" t="s">
        <v>151</v>
      </c>
      <c r="G1567" t="s">
        <v>177</v>
      </c>
      <c r="H1567" t="s">
        <v>212</v>
      </c>
      <c r="I1567" t="s">
        <v>232</v>
      </c>
      <c r="J1567" t="s">
        <v>251</v>
      </c>
      <c r="K1567" t="s">
        <v>265</v>
      </c>
      <c r="L1567" t="s">
        <v>277</v>
      </c>
      <c r="M1567" t="s">
        <v>286</v>
      </c>
      <c r="N1567" t="s">
        <v>296</v>
      </c>
      <c r="O1567" t="s">
        <v>304</v>
      </c>
      <c r="P1567" t="s">
        <v>311</v>
      </c>
      <c r="Q1567" t="s">
        <v>318</v>
      </c>
      <c r="R1567" t="s">
        <v>185</v>
      </c>
      <c r="S1567" t="s">
        <v>159</v>
      </c>
      <c r="T1567" t="s">
        <v>185</v>
      </c>
      <c r="U1567" t="s">
        <v>339</v>
      </c>
      <c r="V1567" t="s">
        <v>72</v>
      </c>
      <c r="W1567" t="s">
        <v>347</v>
      </c>
      <c r="X1567" t="s">
        <v>72</v>
      </c>
      <c r="Y1567" t="s">
        <v>96</v>
      </c>
      <c r="AK1567" t="s">
        <v>357</v>
      </c>
    </row>
    <row r="1568" spans="1:37">
      <c r="B1568" t="s">
        <v>58</v>
      </c>
      <c r="C1568" t="s">
        <v>80</v>
      </c>
      <c r="D1568" t="s">
        <v>99</v>
      </c>
      <c r="E1568" t="s">
        <v>118</v>
      </c>
      <c r="F1568" t="s">
        <v>152</v>
      </c>
      <c r="G1568" t="s">
        <v>178</v>
      </c>
      <c r="H1568" t="s">
        <v>213</v>
      </c>
      <c r="I1568" t="s">
        <v>233</v>
      </c>
      <c r="J1568" t="s">
        <v>252</v>
      </c>
      <c r="K1568" t="s">
        <v>266</v>
      </c>
      <c r="L1568" t="s">
        <v>278</v>
      </c>
      <c r="M1568" t="s">
        <v>287</v>
      </c>
      <c r="N1568" t="s">
        <v>297</v>
      </c>
      <c r="O1568" t="s">
        <v>305</v>
      </c>
      <c r="P1568" t="s">
        <v>312</v>
      </c>
      <c r="Q1568" t="s">
        <v>319</v>
      </c>
      <c r="R1568">
        <f>&gt;10       ветра      2.4     18  19</f>
        <v>0</v>
      </c>
      <c r="AK1568" t="s">
        <v>357</v>
      </c>
    </row>
    <row r="1569" spans="1:37">
      <c r="A1569" t="s">
        <v>40</v>
      </c>
      <c r="B1569" t="s">
        <v>59</v>
      </c>
      <c r="C1569" t="s">
        <v>81</v>
      </c>
      <c r="D1569" t="s">
        <v>100</v>
      </c>
      <c r="E1569" t="s">
        <v>119</v>
      </c>
      <c r="F1569" t="s">
        <v>153</v>
      </c>
      <c r="G1569" t="s">
        <v>179</v>
      </c>
      <c r="H1569" t="s">
        <v>214</v>
      </c>
      <c r="I1569" t="s">
        <v>234</v>
      </c>
      <c r="AK1569" t="s">
        <v>357</v>
      </c>
    </row>
    <row r="1570" spans="1:37">
      <c r="A1570" t="s">
        <v>40</v>
      </c>
      <c r="B1570" t="s">
        <v>60</v>
      </c>
      <c r="C1570" t="s">
        <v>82</v>
      </c>
      <c r="D1570" t="s">
        <v>101</v>
      </c>
      <c r="E1570" t="s">
        <v>120</v>
      </c>
      <c r="F1570" t="s">
        <v>154</v>
      </c>
      <c r="G1570" t="s">
        <v>180</v>
      </c>
      <c r="H1570" t="s">
        <v>215</v>
      </c>
      <c r="I1570" t="s">
        <v>235</v>
      </c>
      <c r="J1570" t="s">
        <v>253</v>
      </c>
      <c r="K1570" t="s">
        <v>267</v>
      </c>
      <c r="L1570" t="s">
        <v>279</v>
      </c>
      <c r="M1570" t="s">
        <v>288</v>
      </c>
      <c r="N1570" t="s">
        <v>100</v>
      </c>
      <c r="O1570" t="s">
        <v>306</v>
      </c>
      <c r="P1570" t="s">
        <v>313</v>
      </c>
      <c r="Q1570" t="s">
        <v>320</v>
      </c>
      <c r="R1570" t="s">
        <v>325</v>
      </c>
      <c r="S1570" t="s">
        <v>332</v>
      </c>
      <c r="T1570" t="s">
        <v>119</v>
      </c>
      <c r="U1570" t="s">
        <v>234</v>
      </c>
      <c r="V1570" t="s">
        <v>343</v>
      </c>
      <c r="W1570" t="s">
        <v>348</v>
      </c>
      <c r="X1570" t="s">
        <v>352</v>
      </c>
      <c r="Y1570" t="s">
        <v>354</v>
      </c>
      <c r="AK1570" t="s">
        <v>357</v>
      </c>
    </row>
    <row r="1571" spans="1:37">
      <c r="A1571" t="s">
        <v>41</v>
      </c>
      <c r="B1571" t="s">
        <v>61</v>
      </c>
      <c r="C1571" t="s">
        <v>83</v>
      </c>
      <c r="D1571" t="s">
        <v>102</v>
      </c>
      <c r="E1571" t="s">
        <v>121</v>
      </c>
      <c r="F1571" t="s">
        <v>155</v>
      </c>
      <c r="G1571" t="s">
        <v>181</v>
      </c>
      <c r="H1571" t="s">
        <v>216</v>
      </c>
      <c r="I1571" t="s">
        <v>236</v>
      </c>
      <c r="AK1571" t="s">
        <v>357</v>
      </c>
    </row>
    <row r="1572" spans="1:37">
      <c r="A1572" t="s">
        <v>42</v>
      </c>
      <c r="B1572" t="s">
        <v>62</v>
      </c>
      <c r="C1572" t="s">
        <v>84</v>
      </c>
      <c r="D1572" t="s">
        <v>103</v>
      </c>
      <c r="E1572" t="s">
        <v>122</v>
      </c>
      <c r="F1572" t="s">
        <v>156</v>
      </c>
      <c r="G1572" t="s">
        <v>182</v>
      </c>
      <c r="H1572" t="s">
        <v>83</v>
      </c>
      <c r="I1572" t="s">
        <v>237</v>
      </c>
      <c r="J1572" t="s">
        <v>254</v>
      </c>
      <c r="K1572" t="s">
        <v>268</v>
      </c>
      <c r="L1572" t="s">
        <v>280</v>
      </c>
      <c r="M1572" t="s">
        <v>289</v>
      </c>
      <c r="N1572" t="s">
        <v>298</v>
      </c>
      <c r="O1572" t="s">
        <v>307</v>
      </c>
      <c r="P1572" t="s">
        <v>314</v>
      </c>
      <c r="Q1572" t="s">
        <v>216</v>
      </c>
      <c r="R1572" t="s">
        <v>326</v>
      </c>
      <c r="S1572" t="s">
        <v>333</v>
      </c>
      <c r="T1572" t="s">
        <v>335</v>
      </c>
      <c r="U1572" t="s">
        <v>340</v>
      </c>
      <c r="V1572" t="s">
        <v>344</v>
      </c>
      <c r="W1572" t="s">
        <v>349</v>
      </c>
      <c r="AK1572" t="s">
        <v>357</v>
      </c>
    </row>
    <row r="1573" spans="1:37">
      <c r="A1573" t="s">
        <v>43</v>
      </c>
      <c r="B1573" t="s">
        <v>63</v>
      </c>
      <c r="C1573" t="s">
        <v>85</v>
      </c>
      <c r="D1573" t="s">
        <v>104</v>
      </c>
      <c r="E1573" t="s">
        <v>123</v>
      </c>
      <c r="F1573" t="s">
        <v>157</v>
      </c>
      <c r="G1573" t="s">
        <v>183</v>
      </c>
      <c r="AK1573" t="s">
        <v>357</v>
      </c>
    </row>
    <row r="1574" spans="1:37">
      <c r="A1574" t="s">
        <v>44</v>
      </c>
      <c r="B1574" t="s">
        <v>64</v>
      </c>
      <c r="C1574" t="s">
        <v>86</v>
      </c>
      <c r="D1574" t="s">
        <v>105</v>
      </c>
      <c r="E1574" t="s">
        <v>124</v>
      </c>
      <c r="F1574" t="s">
        <v>158</v>
      </c>
      <c r="G1574" t="s">
        <v>184</v>
      </c>
      <c r="AK1574" t="s">
        <v>357</v>
      </c>
    </row>
    <row r="1575" spans="1:37">
      <c r="A1575" t="s">
        <v>45</v>
      </c>
      <c r="B1575" t="s">
        <v>65</v>
      </c>
      <c r="C1575" t="s">
        <v>87</v>
      </c>
      <c r="D1575" t="s">
        <v>106</v>
      </c>
      <c r="E1575" t="s">
        <v>125</v>
      </c>
      <c r="F1575" t="s">
        <v>159</v>
      </c>
      <c r="G1575" t="s">
        <v>185</v>
      </c>
      <c r="H1575" t="s">
        <v>159</v>
      </c>
      <c r="I1575" t="s">
        <v>185</v>
      </c>
      <c r="J1575" t="s">
        <v>255</v>
      </c>
      <c r="AK1575" t="s">
        <v>357</v>
      </c>
    </row>
    <row r="1576" spans="1:37">
      <c r="A1576" t="s">
        <v>46</v>
      </c>
      <c r="B1576" t="s">
        <v>66</v>
      </c>
      <c r="C1576" t="s">
        <v>88</v>
      </c>
      <c r="D1576" t="s">
        <v>76</v>
      </c>
      <c r="E1576" t="s">
        <v>126</v>
      </c>
      <c r="F1576" t="s">
        <v>160</v>
      </c>
      <c r="G1576" t="s">
        <v>186</v>
      </c>
      <c r="H1576" t="s">
        <v>217</v>
      </c>
      <c r="I1576" t="s">
        <v>238</v>
      </c>
      <c r="J1576" t="s">
        <v>256</v>
      </c>
      <c r="K1576" t="s">
        <v>265</v>
      </c>
      <c r="L1576" t="s">
        <v>281</v>
      </c>
      <c r="M1576" t="s">
        <v>290</v>
      </c>
      <c r="N1576" t="s">
        <v>299</v>
      </c>
      <c r="O1576" t="s">
        <v>308</v>
      </c>
      <c r="P1576" t="s">
        <v>228</v>
      </c>
      <c r="Q1576" t="s">
        <v>72</v>
      </c>
      <c r="R1576" t="s">
        <v>327</v>
      </c>
      <c r="S1576" t="s">
        <v>327</v>
      </c>
      <c r="T1576" t="s">
        <v>336</v>
      </c>
      <c r="U1576" t="s">
        <v>336</v>
      </c>
      <c r="V1576" t="s">
        <v>336</v>
      </c>
      <c r="W1576" t="s">
        <v>336</v>
      </c>
      <c r="X1576" t="s">
        <v>353</v>
      </c>
      <c r="AK1576" t="s">
        <v>357</v>
      </c>
    </row>
    <row r="1577" spans="1:37">
      <c r="B1577" t="s">
        <v>67</v>
      </c>
      <c r="C1577" t="s">
        <v>89</v>
      </c>
      <c r="D1577" t="s">
        <v>107</v>
      </c>
      <c r="AK1577" t="s">
        <v>357</v>
      </c>
    </row>
    <row r="1578" spans="1:37">
      <c r="B1578" t="s">
        <v>68</v>
      </c>
      <c r="C1578" t="s">
        <v>90</v>
      </c>
      <c r="D1578" t="s">
        <v>108</v>
      </c>
      <c r="AK1578" t="s">
        <v>357</v>
      </c>
    </row>
    <row r="1579" spans="1:37">
      <c r="A1579" t="s">
        <v>47</v>
      </c>
      <c r="B1579" t="s">
        <v>69</v>
      </c>
      <c r="C1579" t="s">
        <v>91</v>
      </c>
      <c r="D1579" t="s">
        <v>109</v>
      </c>
      <c r="E1579" t="s">
        <v>109</v>
      </c>
      <c r="F1579" t="s">
        <v>109</v>
      </c>
      <c r="G1579" t="s">
        <v>109</v>
      </c>
      <c r="H1579" t="s">
        <v>109</v>
      </c>
      <c r="I1579" t="s">
        <v>239</v>
      </c>
      <c r="AK1579" t="s">
        <v>357</v>
      </c>
    </row>
    <row r="1580" spans="1:37">
      <c r="B1580" t="s">
        <v>70</v>
      </c>
      <c r="C1580" t="s">
        <v>92</v>
      </c>
      <c r="D1580" t="s">
        <v>110</v>
      </c>
      <c r="E1580" t="s">
        <v>127</v>
      </c>
      <c r="F1580" t="s">
        <v>161</v>
      </c>
      <c r="G1580" t="s">
        <v>187</v>
      </c>
      <c r="H1580" t="s">
        <v>218</v>
      </c>
      <c r="AK1580" t="s">
        <v>357</v>
      </c>
    </row>
    <row r="1581" spans="1:37">
      <c r="B1581" t="s">
        <v>71</v>
      </c>
      <c r="C1581" t="s">
        <v>93</v>
      </c>
      <c r="D1581" t="s">
        <v>111</v>
      </c>
      <c r="E1581" t="s">
        <v>128</v>
      </c>
      <c r="F1581" t="s">
        <v>162</v>
      </c>
      <c r="G1581" t="s">
        <v>188</v>
      </c>
      <c r="H1581" t="s">
        <v>219</v>
      </c>
      <c r="I1581" t="s">
        <v>240</v>
      </c>
      <c r="J1581" t="s">
        <v>257</v>
      </c>
      <c r="K1581" t="s">
        <v>269</v>
      </c>
      <c r="L1581" t="s">
        <v>109</v>
      </c>
      <c r="M1581" t="s">
        <v>109</v>
      </c>
      <c r="N1581" t="s">
        <v>109</v>
      </c>
      <c r="O1581" t="s">
        <v>109</v>
      </c>
      <c r="P1581" t="s">
        <v>109</v>
      </c>
      <c r="Q1581" t="s">
        <v>321</v>
      </c>
      <c r="AK1581" t="s">
        <v>357</v>
      </c>
    </row>
    <row r="1582" spans="1:37">
      <c r="A1582" t="s">
        <v>48</v>
      </c>
      <c r="B1582" t="s">
        <v>71</v>
      </c>
      <c r="C1582" t="s">
        <v>93</v>
      </c>
      <c r="D1582" t="s">
        <v>111</v>
      </c>
      <c r="E1582" t="s">
        <v>128</v>
      </c>
      <c r="F1582" t="s">
        <v>163</v>
      </c>
      <c r="G1582" t="s">
        <v>189</v>
      </c>
      <c r="H1582" t="s">
        <v>220</v>
      </c>
      <c r="I1582" t="s">
        <v>241</v>
      </c>
      <c r="J1582" t="s">
        <v>258</v>
      </c>
      <c r="K1582" t="s">
        <v>270</v>
      </c>
      <c r="AK1582" t="s">
        <v>357</v>
      </c>
    </row>
    <row r="1583" spans="1:37">
      <c r="B1583" t="s">
        <v>72</v>
      </c>
      <c r="C1583" t="s">
        <v>72</v>
      </c>
      <c r="D1583" t="s">
        <v>72</v>
      </c>
      <c r="E1583" t="s">
        <v>130</v>
      </c>
      <c r="F1583" t="s">
        <v>129</v>
      </c>
      <c r="G1583" t="s">
        <v>191</v>
      </c>
      <c r="H1583" t="s">
        <v>192</v>
      </c>
      <c r="I1583" t="s">
        <v>192</v>
      </c>
      <c r="J1583" t="s">
        <v>192</v>
      </c>
      <c r="K1583" t="s">
        <v>271</v>
      </c>
      <c r="AK1583" t="s">
        <v>357</v>
      </c>
    </row>
    <row r="1584" spans="1:37">
      <c r="A1584" t="s">
        <v>37</v>
      </c>
      <c r="B1584" t="s">
        <v>49</v>
      </c>
      <c r="C1584" t="s">
        <v>73</v>
      </c>
      <c r="D1584" t="s">
        <v>94</v>
      </c>
      <c r="E1584" t="s">
        <v>112</v>
      </c>
      <c r="F1584" t="s">
        <v>146</v>
      </c>
      <c r="G1584" t="s">
        <v>172</v>
      </c>
      <c r="H1584" t="s">
        <v>207</v>
      </c>
      <c r="I1584" t="s">
        <v>226</v>
      </c>
      <c r="J1584" t="s">
        <v>246</v>
      </c>
      <c r="K1584" t="s">
        <v>259</v>
      </c>
      <c r="AK1584" t="s">
        <v>357</v>
      </c>
    </row>
    <row r="1585" spans="1:37">
      <c r="A1585" t="s">
        <v>38</v>
      </c>
      <c r="B1585" t="s">
        <v>50</v>
      </c>
      <c r="C1585" t="s">
        <v>74</v>
      </c>
      <c r="D1585" t="s">
        <v>95</v>
      </c>
      <c r="E1585" t="s">
        <v>113</v>
      </c>
      <c r="F1585" t="s">
        <v>147</v>
      </c>
      <c r="G1585" t="s">
        <v>173</v>
      </c>
      <c r="H1585" t="s">
        <v>208</v>
      </c>
      <c r="I1585" t="s">
        <v>227</v>
      </c>
      <c r="J1585" t="s">
        <v>115</v>
      </c>
      <c r="K1585" t="s">
        <v>260</v>
      </c>
      <c r="L1585" t="s">
        <v>273</v>
      </c>
      <c r="M1585" t="s">
        <v>282</v>
      </c>
      <c r="N1585" t="s">
        <v>291</v>
      </c>
      <c r="AK1585" t="s">
        <v>357</v>
      </c>
    </row>
    <row r="1586" spans="1:37">
      <c r="B1586" t="s">
        <v>51</v>
      </c>
      <c r="C1586" t="s">
        <v>75</v>
      </c>
      <c r="D1586" t="s">
        <v>52</v>
      </c>
      <c r="E1586" t="s">
        <v>114</v>
      </c>
      <c r="F1586" t="s">
        <v>148</v>
      </c>
      <c r="G1586" t="s">
        <v>148</v>
      </c>
      <c r="H1586" t="s">
        <v>209</v>
      </c>
      <c r="I1586" t="s">
        <v>228</v>
      </c>
      <c r="J1586" t="s">
        <v>247</v>
      </c>
      <c r="K1586" t="s">
        <v>261</v>
      </c>
      <c r="L1586" t="s">
        <v>274</v>
      </c>
      <c r="M1586" t="s">
        <v>283</v>
      </c>
      <c r="N1586" t="s">
        <v>292</v>
      </c>
      <c r="O1586" t="s">
        <v>300</v>
      </c>
      <c r="AK1586" t="s">
        <v>357</v>
      </c>
    </row>
    <row r="1587" spans="1:37">
      <c r="B1587" t="s">
        <v>52</v>
      </c>
      <c r="C1587" t="s">
        <v>76</v>
      </c>
      <c r="D1587" t="s">
        <v>96</v>
      </c>
      <c r="E1587" t="s">
        <v>115</v>
      </c>
      <c r="F1587" t="s">
        <v>149</v>
      </c>
      <c r="G1587" t="s">
        <v>174</v>
      </c>
      <c r="H1587" t="s">
        <v>96</v>
      </c>
      <c r="I1587" t="s">
        <v>229</v>
      </c>
      <c r="J1587" t="s">
        <v>248</v>
      </c>
      <c r="K1587" t="s">
        <v>262</v>
      </c>
      <c r="L1587" t="s">
        <v>52</v>
      </c>
      <c r="M1587" t="s">
        <v>76</v>
      </c>
      <c r="N1587" t="s">
        <v>293</v>
      </c>
      <c r="O1587" t="s">
        <v>301</v>
      </c>
      <c r="P1587" t="s">
        <v>309</v>
      </c>
      <c r="Q1587" t="s">
        <v>315</v>
      </c>
      <c r="R1587" t="s">
        <v>228</v>
      </c>
      <c r="S1587" t="s">
        <v>328</v>
      </c>
      <c r="T1587" t="s">
        <v>149</v>
      </c>
      <c r="U1587" t="s">
        <v>337</v>
      </c>
      <c r="V1587" t="s">
        <v>341</v>
      </c>
      <c r="W1587" t="s">
        <v>345</v>
      </c>
      <c r="X1587" t="s">
        <v>350</v>
      </c>
      <c r="AK1587" t="s">
        <v>357</v>
      </c>
    </row>
    <row r="1588" spans="1:37">
      <c r="B1588" t="s">
        <v>53</v>
      </c>
      <c r="C1588" t="s">
        <v>77</v>
      </c>
      <c r="D1588" t="s">
        <v>97</v>
      </c>
      <c r="E1588" t="s">
        <v>116</v>
      </c>
      <c r="F1588" t="s">
        <v>150</v>
      </c>
      <c r="G1588" t="s">
        <v>175</v>
      </c>
      <c r="H1588" t="s">
        <v>210</v>
      </c>
      <c r="I1588" t="s">
        <v>230</v>
      </c>
      <c r="J1588" t="s">
        <v>249</v>
      </c>
      <c r="K1588" t="s">
        <v>263</v>
      </c>
      <c r="L1588" t="s">
        <v>275</v>
      </c>
      <c r="M1588" t="s">
        <v>284</v>
      </c>
      <c r="N1588" t="s">
        <v>294</v>
      </c>
      <c r="O1588" t="s">
        <v>302</v>
      </c>
      <c r="P1588" t="s">
        <v>310</v>
      </c>
      <c r="Q1588" t="s">
        <v>316</v>
      </c>
      <c r="R1588" t="s">
        <v>322</v>
      </c>
      <c r="S1588" t="s">
        <v>329</v>
      </c>
      <c r="AK1588" t="s">
        <v>357</v>
      </c>
    </row>
    <row r="1589" spans="1:37">
      <c r="A1589" t="s">
        <v>39</v>
      </c>
      <c r="B1589" t="s">
        <v>54</v>
      </c>
      <c r="C1589" t="s">
        <v>54</v>
      </c>
      <c r="D1589" t="s">
        <v>54</v>
      </c>
      <c r="E1589" t="s">
        <v>54</v>
      </c>
      <c r="F1589" t="s">
        <v>54</v>
      </c>
      <c r="G1589" t="s">
        <v>54</v>
      </c>
      <c r="H1589" t="s">
        <v>54</v>
      </c>
      <c r="I1589" t="s">
        <v>54</v>
      </c>
      <c r="J1589" t="s">
        <v>54</v>
      </c>
      <c r="K1589" t="s">
        <v>54</v>
      </c>
      <c r="L1589" t="s">
        <v>54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323</v>
      </c>
      <c r="S1589" t="s">
        <v>330</v>
      </c>
      <c r="AK1589" t="s">
        <v>357</v>
      </c>
    </row>
    <row r="1590" spans="1:37">
      <c r="B1590" t="s">
        <v>55</v>
      </c>
      <c r="C1590" t="s">
        <v>78</v>
      </c>
      <c r="D1590" t="s">
        <v>55</v>
      </c>
      <c r="E1590" t="s">
        <v>78</v>
      </c>
      <c r="F1590" t="s">
        <v>55</v>
      </c>
      <c r="G1590" t="s">
        <v>78</v>
      </c>
      <c r="H1590" t="s">
        <v>55</v>
      </c>
      <c r="I1590" t="s">
        <v>78</v>
      </c>
      <c r="J1590" t="s">
        <v>55</v>
      </c>
      <c r="K1590" t="s">
        <v>78</v>
      </c>
      <c r="L1590" t="s">
        <v>55</v>
      </c>
      <c r="M1590" t="s">
        <v>78</v>
      </c>
      <c r="N1590" t="s">
        <v>55</v>
      </c>
      <c r="O1590" t="s">
        <v>78</v>
      </c>
      <c r="P1590" t="s">
        <v>55</v>
      </c>
      <c r="Q1590" t="s">
        <v>78</v>
      </c>
      <c r="R1590" t="s">
        <v>55</v>
      </c>
      <c r="S1590" t="s">
        <v>78</v>
      </c>
      <c r="T1590" t="s">
        <v>55</v>
      </c>
      <c r="U1590" t="s">
        <v>78</v>
      </c>
      <c r="V1590" t="s">
        <v>55</v>
      </c>
      <c r="W1590" t="s">
        <v>78</v>
      </c>
      <c r="X1590" t="s">
        <v>55</v>
      </c>
      <c r="Y1590" t="s">
        <v>78</v>
      </c>
      <c r="Z1590" t="s">
        <v>55</v>
      </c>
      <c r="AA1590" t="s">
        <v>78</v>
      </c>
      <c r="AB1590" t="s">
        <v>55</v>
      </c>
      <c r="AC1590" t="s">
        <v>78</v>
      </c>
      <c r="AD1590" t="s">
        <v>55</v>
      </c>
      <c r="AE1590" t="s">
        <v>78</v>
      </c>
      <c r="AF1590" t="s">
        <v>55</v>
      </c>
      <c r="AG1590" t="s">
        <v>78</v>
      </c>
      <c r="AH1590" t="s">
        <v>55</v>
      </c>
      <c r="AI1590" t="s">
        <v>78</v>
      </c>
      <c r="AK1590" t="s">
        <v>357</v>
      </c>
    </row>
    <row r="1591" spans="1:37">
      <c r="B1591" t="s">
        <v>56</v>
      </c>
      <c r="C1591" t="s">
        <v>56</v>
      </c>
      <c r="D1591" t="s">
        <v>56</v>
      </c>
      <c r="E1591" t="s">
        <v>56</v>
      </c>
      <c r="F1591" t="s">
        <v>56</v>
      </c>
      <c r="G1591" t="s">
        <v>176</v>
      </c>
      <c r="H1591" t="s">
        <v>211</v>
      </c>
      <c r="I1591" t="s">
        <v>231</v>
      </c>
      <c r="J1591" t="s">
        <v>250</v>
      </c>
      <c r="K1591" t="s">
        <v>264</v>
      </c>
      <c r="L1591" t="s">
        <v>276</v>
      </c>
      <c r="M1591" t="s">
        <v>285</v>
      </c>
      <c r="N1591" t="s">
        <v>295</v>
      </c>
      <c r="O1591" t="s">
        <v>303</v>
      </c>
      <c r="P1591" t="s">
        <v>56</v>
      </c>
      <c r="Q1591" t="s">
        <v>317</v>
      </c>
      <c r="R1591" t="s">
        <v>324</v>
      </c>
      <c r="S1591" t="s">
        <v>331</v>
      </c>
      <c r="T1591" t="s">
        <v>334</v>
      </c>
      <c r="U1591" t="s">
        <v>338</v>
      </c>
      <c r="V1591" t="s">
        <v>342</v>
      </c>
      <c r="W1591" t="s">
        <v>346</v>
      </c>
      <c r="X1591" t="s">
        <v>351</v>
      </c>
      <c r="AK1591" t="s">
        <v>357</v>
      </c>
    </row>
    <row r="1592" spans="1:37">
      <c r="B1592" t="s">
        <v>57</v>
      </c>
      <c r="C1592" t="s">
        <v>79</v>
      </c>
      <c r="D1592" t="s">
        <v>98</v>
      </c>
      <c r="E1592" t="s">
        <v>117</v>
      </c>
      <c r="F1592" t="s">
        <v>151</v>
      </c>
      <c r="G1592" t="s">
        <v>177</v>
      </c>
      <c r="H1592" t="s">
        <v>212</v>
      </c>
      <c r="I1592" t="s">
        <v>232</v>
      </c>
      <c r="J1592" t="s">
        <v>251</v>
      </c>
      <c r="K1592" t="s">
        <v>265</v>
      </c>
      <c r="L1592" t="s">
        <v>277</v>
      </c>
      <c r="M1592" t="s">
        <v>286</v>
      </c>
      <c r="N1592" t="s">
        <v>296</v>
      </c>
      <c r="O1592" t="s">
        <v>304</v>
      </c>
      <c r="P1592" t="s">
        <v>311</v>
      </c>
      <c r="Q1592" t="s">
        <v>318</v>
      </c>
      <c r="R1592" t="s">
        <v>185</v>
      </c>
      <c r="S1592" t="s">
        <v>159</v>
      </c>
      <c r="T1592" t="s">
        <v>185</v>
      </c>
      <c r="U1592" t="s">
        <v>339</v>
      </c>
      <c r="V1592" t="s">
        <v>72</v>
      </c>
      <c r="W1592" t="s">
        <v>347</v>
      </c>
      <c r="X1592" t="s">
        <v>72</v>
      </c>
      <c r="Y1592" t="s">
        <v>96</v>
      </c>
      <c r="AK1592" t="s">
        <v>357</v>
      </c>
    </row>
    <row r="1593" spans="1:37">
      <c r="B1593" t="s">
        <v>58</v>
      </c>
      <c r="C1593" t="s">
        <v>80</v>
      </c>
      <c r="D1593" t="s">
        <v>99</v>
      </c>
      <c r="E1593" t="s">
        <v>118</v>
      </c>
      <c r="F1593" t="s">
        <v>152</v>
      </c>
      <c r="G1593" t="s">
        <v>178</v>
      </c>
      <c r="H1593" t="s">
        <v>213</v>
      </c>
      <c r="I1593" t="s">
        <v>233</v>
      </c>
      <c r="J1593" t="s">
        <v>252</v>
      </c>
      <c r="K1593" t="s">
        <v>266</v>
      </c>
      <c r="L1593" t="s">
        <v>278</v>
      </c>
      <c r="M1593" t="s">
        <v>287</v>
      </c>
      <c r="N1593" t="s">
        <v>297</v>
      </c>
      <c r="O1593" t="s">
        <v>305</v>
      </c>
      <c r="P1593" t="s">
        <v>312</v>
      </c>
      <c r="Q1593" t="s">
        <v>319</v>
      </c>
      <c r="R1593">
        <f>&gt;10       ветра      1.8     18   1</f>
        <v>0</v>
      </c>
      <c r="AK1593" t="s">
        <v>357</v>
      </c>
    </row>
    <row r="1594" spans="1:37">
      <c r="A1594" t="s">
        <v>40</v>
      </c>
      <c r="B1594" t="s">
        <v>59</v>
      </c>
      <c r="C1594" t="s">
        <v>81</v>
      </c>
      <c r="D1594" t="s">
        <v>100</v>
      </c>
      <c r="E1594" t="s">
        <v>119</v>
      </c>
      <c r="F1594" t="s">
        <v>153</v>
      </c>
      <c r="G1594" t="s">
        <v>179</v>
      </c>
      <c r="H1594" t="s">
        <v>214</v>
      </c>
      <c r="I1594" t="s">
        <v>234</v>
      </c>
      <c r="AK1594" t="s">
        <v>357</v>
      </c>
    </row>
    <row r="1595" spans="1:37">
      <c r="A1595" t="s">
        <v>40</v>
      </c>
      <c r="B1595" t="s">
        <v>60</v>
      </c>
      <c r="C1595" t="s">
        <v>82</v>
      </c>
      <c r="D1595" t="s">
        <v>101</v>
      </c>
      <c r="E1595" t="s">
        <v>120</v>
      </c>
      <c r="F1595" t="s">
        <v>154</v>
      </c>
      <c r="G1595" t="s">
        <v>180</v>
      </c>
      <c r="H1595" t="s">
        <v>215</v>
      </c>
      <c r="I1595" t="s">
        <v>235</v>
      </c>
      <c r="J1595" t="s">
        <v>253</v>
      </c>
      <c r="K1595" t="s">
        <v>267</v>
      </c>
      <c r="L1595" t="s">
        <v>279</v>
      </c>
      <c r="M1595" t="s">
        <v>288</v>
      </c>
      <c r="N1595" t="s">
        <v>100</v>
      </c>
      <c r="O1595" t="s">
        <v>306</v>
      </c>
      <c r="P1595" t="s">
        <v>313</v>
      </c>
      <c r="Q1595" t="s">
        <v>320</v>
      </c>
      <c r="R1595" t="s">
        <v>325</v>
      </c>
      <c r="S1595" t="s">
        <v>332</v>
      </c>
      <c r="T1595" t="s">
        <v>119</v>
      </c>
      <c r="U1595" t="s">
        <v>234</v>
      </c>
      <c r="V1595" t="s">
        <v>343</v>
      </c>
      <c r="W1595" t="s">
        <v>348</v>
      </c>
      <c r="X1595" t="s">
        <v>352</v>
      </c>
      <c r="Y1595" t="s">
        <v>354</v>
      </c>
      <c r="AK1595" t="s">
        <v>357</v>
      </c>
    </row>
    <row r="1596" spans="1:37">
      <c r="A1596" t="s">
        <v>41</v>
      </c>
      <c r="B1596" t="s">
        <v>61</v>
      </c>
      <c r="C1596" t="s">
        <v>83</v>
      </c>
      <c r="D1596" t="s">
        <v>102</v>
      </c>
      <c r="E1596" t="s">
        <v>121</v>
      </c>
      <c r="F1596" t="s">
        <v>155</v>
      </c>
      <c r="G1596" t="s">
        <v>181</v>
      </c>
      <c r="H1596" t="s">
        <v>216</v>
      </c>
      <c r="I1596" t="s">
        <v>236</v>
      </c>
      <c r="AK1596" t="s">
        <v>357</v>
      </c>
    </row>
    <row r="1597" spans="1:37">
      <c r="A1597" t="s">
        <v>42</v>
      </c>
      <c r="B1597" t="s">
        <v>62</v>
      </c>
      <c r="C1597" t="s">
        <v>84</v>
      </c>
      <c r="D1597" t="s">
        <v>103</v>
      </c>
      <c r="E1597" t="s">
        <v>122</v>
      </c>
      <c r="F1597" t="s">
        <v>156</v>
      </c>
      <c r="G1597" t="s">
        <v>182</v>
      </c>
      <c r="H1597" t="s">
        <v>83</v>
      </c>
      <c r="I1597" t="s">
        <v>237</v>
      </c>
      <c r="J1597" t="s">
        <v>254</v>
      </c>
      <c r="K1597" t="s">
        <v>268</v>
      </c>
      <c r="L1597" t="s">
        <v>280</v>
      </c>
      <c r="M1597" t="s">
        <v>289</v>
      </c>
      <c r="N1597" t="s">
        <v>298</v>
      </c>
      <c r="O1597" t="s">
        <v>307</v>
      </c>
      <c r="P1597" t="s">
        <v>314</v>
      </c>
      <c r="Q1597" t="s">
        <v>216</v>
      </c>
      <c r="R1597" t="s">
        <v>326</v>
      </c>
      <c r="S1597" t="s">
        <v>333</v>
      </c>
      <c r="T1597" t="s">
        <v>335</v>
      </c>
      <c r="U1597" t="s">
        <v>340</v>
      </c>
      <c r="V1597" t="s">
        <v>344</v>
      </c>
      <c r="W1597" t="s">
        <v>349</v>
      </c>
      <c r="AK1597" t="s">
        <v>357</v>
      </c>
    </row>
    <row r="1598" spans="1:37">
      <c r="A1598" t="s">
        <v>43</v>
      </c>
      <c r="B1598" t="s">
        <v>63</v>
      </c>
      <c r="C1598" t="s">
        <v>85</v>
      </c>
      <c r="D1598" t="s">
        <v>104</v>
      </c>
      <c r="E1598" t="s">
        <v>123</v>
      </c>
      <c r="F1598" t="s">
        <v>157</v>
      </c>
      <c r="G1598" t="s">
        <v>183</v>
      </c>
      <c r="AK1598" t="s">
        <v>357</v>
      </c>
    </row>
    <row r="1599" spans="1:37">
      <c r="A1599" t="s">
        <v>44</v>
      </c>
      <c r="B1599" t="s">
        <v>64</v>
      </c>
      <c r="C1599" t="s">
        <v>86</v>
      </c>
      <c r="D1599" t="s">
        <v>105</v>
      </c>
      <c r="E1599" t="s">
        <v>124</v>
      </c>
      <c r="F1599" t="s">
        <v>158</v>
      </c>
      <c r="G1599" t="s">
        <v>184</v>
      </c>
      <c r="AK1599" t="s">
        <v>357</v>
      </c>
    </row>
    <row r="1600" spans="1:37">
      <c r="A1600" t="s">
        <v>45</v>
      </c>
      <c r="B1600" t="s">
        <v>65</v>
      </c>
      <c r="C1600" t="s">
        <v>87</v>
      </c>
      <c r="D1600" t="s">
        <v>106</v>
      </c>
      <c r="E1600" t="s">
        <v>125</v>
      </c>
      <c r="F1600" t="s">
        <v>159</v>
      </c>
      <c r="G1600" t="s">
        <v>185</v>
      </c>
      <c r="H1600" t="s">
        <v>159</v>
      </c>
      <c r="I1600" t="s">
        <v>185</v>
      </c>
      <c r="J1600" t="s">
        <v>255</v>
      </c>
      <c r="AK1600" t="s">
        <v>357</v>
      </c>
    </row>
    <row r="1601" spans="1:37">
      <c r="A1601" t="s">
        <v>46</v>
      </c>
      <c r="B1601" t="s">
        <v>66</v>
      </c>
      <c r="C1601" t="s">
        <v>88</v>
      </c>
      <c r="D1601" t="s">
        <v>76</v>
      </c>
      <c r="E1601" t="s">
        <v>126</v>
      </c>
      <c r="F1601" t="s">
        <v>160</v>
      </c>
      <c r="G1601" t="s">
        <v>186</v>
      </c>
      <c r="H1601" t="s">
        <v>217</v>
      </c>
      <c r="I1601" t="s">
        <v>238</v>
      </c>
      <c r="J1601" t="s">
        <v>256</v>
      </c>
      <c r="K1601" t="s">
        <v>265</v>
      </c>
      <c r="L1601" t="s">
        <v>281</v>
      </c>
      <c r="M1601" t="s">
        <v>290</v>
      </c>
      <c r="N1601" t="s">
        <v>299</v>
      </c>
      <c r="O1601" t="s">
        <v>308</v>
      </c>
      <c r="P1601" t="s">
        <v>228</v>
      </c>
      <c r="Q1601" t="s">
        <v>72</v>
      </c>
      <c r="R1601" t="s">
        <v>327</v>
      </c>
      <c r="S1601" t="s">
        <v>327</v>
      </c>
      <c r="T1601" t="s">
        <v>336</v>
      </c>
      <c r="U1601" t="s">
        <v>336</v>
      </c>
      <c r="V1601" t="s">
        <v>336</v>
      </c>
      <c r="W1601" t="s">
        <v>336</v>
      </c>
      <c r="X1601" t="s">
        <v>353</v>
      </c>
      <c r="AK1601" t="s">
        <v>357</v>
      </c>
    </row>
    <row r="1602" spans="1:37">
      <c r="A1602" t="s">
        <v>37</v>
      </c>
      <c r="B1602" t="s">
        <v>49</v>
      </c>
      <c r="C1602" t="s">
        <v>73</v>
      </c>
      <c r="D1602" t="s">
        <v>94</v>
      </c>
      <c r="E1602" t="s">
        <v>112</v>
      </c>
      <c r="F1602" t="s">
        <v>146</v>
      </c>
      <c r="G1602" t="s">
        <v>172</v>
      </c>
      <c r="H1602" t="s">
        <v>207</v>
      </c>
      <c r="I1602" t="s">
        <v>226</v>
      </c>
      <c r="J1602" t="s">
        <v>246</v>
      </c>
      <c r="K1602" t="s">
        <v>259</v>
      </c>
      <c r="AK1602" t="s">
        <v>357</v>
      </c>
    </row>
    <row r="1603" spans="1:37">
      <c r="A1603" t="s">
        <v>38</v>
      </c>
      <c r="B1603" t="s">
        <v>50</v>
      </c>
      <c r="C1603" t="s">
        <v>74</v>
      </c>
      <c r="D1603" t="s">
        <v>95</v>
      </c>
      <c r="E1603" t="s">
        <v>113</v>
      </c>
      <c r="F1603" t="s">
        <v>147</v>
      </c>
      <c r="G1603" t="s">
        <v>173</v>
      </c>
      <c r="H1603" t="s">
        <v>208</v>
      </c>
      <c r="I1603" t="s">
        <v>227</v>
      </c>
      <c r="J1603" t="s">
        <v>115</v>
      </c>
      <c r="K1603" t="s">
        <v>260</v>
      </c>
      <c r="L1603" t="s">
        <v>273</v>
      </c>
      <c r="M1603" t="s">
        <v>282</v>
      </c>
      <c r="N1603" t="s">
        <v>291</v>
      </c>
      <c r="AK1603" t="s">
        <v>357</v>
      </c>
    </row>
    <row r="1604" spans="1:37">
      <c r="B1604" t="s">
        <v>51</v>
      </c>
      <c r="C1604" t="s">
        <v>75</v>
      </c>
      <c r="D1604" t="s">
        <v>52</v>
      </c>
      <c r="E1604" t="s">
        <v>114</v>
      </c>
      <c r="F1604" t="s">
        <v>148</v>
      </c>
      <c r="G1604" t="s">
        <v>148</v>
      </c>
      <c r="H1604" t="s">
        <v>209</v>
      </c>
      <c r="I1604" t="s">
        <v>228</v>
      </c>
      <c r="J1604" t="s">
        <v>247</v>
      </c>
      <c r="K1604" t="s">
        <v>261</v>
      </c>
      <c r="L1604" t="s">
        <v>274</v>
      </c>
      <c r="M1604" t="s">
        <v>283</v>
      </c>
      <c r="N1604" t="s">
        <v>292</v>
      </c>
      <c r="O1604" t="s">
        <v>300</v>
      </c>
      <c r="AK1604" t="s">
        <v>357</v>
      </c>
    </row>
    <row r="1605" spans="1:37">
      <c r="B1605" t="s">
        <v>52</v>
      </c>
      <c r="C1605" t="s">
        <v>76</v>
      </c>
      <c r="D1605" t="s">
        <v>96</v>
      </c>
      <c r="E1605" t="s">
        <v>115</v>
      </c>
      <c r="F1605" t="s">
        <v>149</v>
      </c>
      <c r="G1605" t="s">
        <v>174</v>
      </c>
      <c r="H1605" t="s">
        <v>96</v>
      </c>
      <c r="I1605" t="s">
        <v>229</v>
      </c>
      <c r="J1605" t="s">
        <v>248</v>
      </c>
      <c r="K1605" t="s">
        <v>262</v>
      </c>
      <c r="L1605" t="s">
        <v>52</v>
      </c>
      <c r="M1605" t="s">
        <v>76</v>
      </c>
      <c r="N1605" t="s">
        <v>293</v>
      </c>
      <c r="O1605" t="s">
        <v>301</v>
      </c>
      <c r="P1605" t="s">
        <v>309</v>
      </c>
      <c r="Q1605" t="s">
        <v>315</v>
      </c>
      <c r="R1605" t="s">
        <v>228</v>
      </c>
      <c r="S1605" t="s">
        <v>328</v>
      </c>
      <c r="T1605" t="s">
        <v>149</v>
      </c>
      <c r="U1605" t="s">
        <v>337</v>
      </c>
      <c r="V1605" t="s">
        <v>341</v>
      </c>
      <c r="W1605" t="s">
        <v>345</v>
      </c>
      <c r="X1605" t="s">
        <v>350</v>
      </c>
      <c r="AK1605" t="s">
        <v>357</v>
      </c>
    </row>
    <row r="1606" spans="1:37">
      <c r="B1606" t="s">
        <v>53</v>
      </c>
      <c r="C1606" t="s">
        <v>77</v>
      </c>
      <c r="D1606" t="s">
        <v>97</v>
      </c>
      <c r="E1606" t="s">
        <v>116</v>
      </c>
      <c r="F1606" t="s">
        <v>150</v>
      </c>
      <c r="G1606" t="s">
        <v>175</v>
      </c>
      <c r="H1606" t="s">
        <v>210</v>
      </c>
      <c r="I1606" t="s">
        <v>230</v>
      </c>
      <c r="J1606" t="s">
        <v>249</v>
      </c>
      <c r="K1606" t="s">
        <v>263</v>
      </c>
      <c r="L1606" t="s">
        <v>275</v>
      </c>
      <c r="M1606" t="s">
        <v>284</v>
      </c>
      <c r="N1606" t="s">
        <v>294</v>
      </c>
      <c r="O1606" t="s">
        <v>302</v>
      </c>
      <c r="P1606" t="s">
        <v>310</v>
      </c>
      <c r="Q1606" t="s">
        <v>316</v>
      </c>
      <c r="R1606" t="s">
        <v>322</v>
      </c>
      <c r="S1606" t="s">
        <v>329</v>
      </c>
      <c r="AK1606" t="s">
        <v>357</v>
      </c>
    </row>
    <row r="1607" spans="1:37">
      <c r="A1607" t="s">
        <v>39</v>
      </c>
      <c r="B1607" t="s">
        <v>54</v>
      </c>
      <c r="C1607" t="s">
        <v>54</v>
      </c>
      <c r="D1607" t="s">
        <v>54</v>
      </c>
      <c r="E1607" t="s">
        <v>54</v>
      </c>
      <c r="F1607" t="s">
        <v>54</v>
      </c>
      <c r="G1607" t="s">
        <v>54</v>
      </c>
      <c r="H1607" t="s">
        <v>54</v>
      </c>
      <c r="I1607" t="s">
        <v>54</v>
      </c>
      <c r="J1607" t="s">
        <v>54</v>
      </c>
      <c r="K1607" t="s">
        <v>54</v>
      </c>
      <c r="L1607" t="s">
        <v>54</v>
      </c>
      <c r="M1607" t="s">
        <v>54</v>
      </c>
      <c r="N1607" t="s">
        <v>54</v>
      </c>
      <c r="O1607" t="s">
        <v>54</v>
      </c>
      <c r="P1607" t="s">
        <v>54</v>
      </c>
      <c r="Q1607" t="s">
        <v>54</v>
      </c>
      <c r="R1607" t="s">
        <v>323</v>
      </c>
      <c r="S1607" t="s">
        <v>330</v>
      </c>
      <c r="AK1607" t="s">
        <v>357</v>
      </c>
    </row>
    <row r="1608" spans="1:37">
      <c r="B1608" t="s">
        <v>55</v>
      </c>
      <c r="C1608" t="s">
        <v>78</v>
      </c>
      <c r="D1608" t="s">
        <v>55</v>
      </c>
      <c r="E1608" t="s">
        <v>78</v>
      </c>
      <c r="F1608" t="s">
        <v>55</v>
      </c>
      <c r="G1608" t="s">
        <v>78</v>
      </c>
      <c r="H1608" t="s">
        <v>55</v>
      </c>
      <c r="I1608" t="s">
        <v>78</v>
      </c>
      <c r="J1608" t="s">
        <v>55</v>
      </c>
      <c r="K1608" t="s">
        <v>78</v>
      </c>
      <c r="L1608" t="s">
        <v>55</v>
      </c>
      <c r="M1608" t="s">
        <v>78</v>
      </c>
      <c r="N1608" t="s">
        <v>55</v>
      </c>
      <c r="O1608" t="s">
        <v>78</v>
      </c>
      <c r="P1608" t="s">
        <v>55</v>
      </c>
      <c r="Q1608" t="s">
        <v>78</v>
      </c>
      <c r="R1608" t="s">
        <v>55</v>
      </c>
      <c r="S1608" t="s">
        <v>78</v>
      </c>
      <c r="T1608" t="s">
        <v>55</v>
      </c>
      <c r="U1608" t="s">
        <v>78</v>
      </c>
      <c r="V1608" t="s">
        <v>55</v>
      </c>
      <c r="W1608" t="s">
        <v>78</v>
      </c>
      <c r="X1608" t="s">
        <v>55</v>
      </c>
      <c r="Y1608" t="s">
        <v>78</v>
      </c>
      <c r="Z1608" t="s">
        <v>55</v>
      </c>
      <c r="AA1608" t="s">
        <v>78</v>
      </c>
      <c r="AB1608" t="s">
        <v>55</v>
      </c>
      <c r="AC1608" t="s">
        <v>78</v>
      </c>
      <c r="AD1608" t="s">
        <v>55</v>
      </c>
      <c r="AE1608" t="s">
        <v>78</v>
      </c>
      <c r="AF1608" t="s">
        <v>55</v>
      </c>
      <c r="AG1608" t="s">
        <v>78</v>
      </c>
      <c r="AH1608" t="s">
        <v>55</v>
      </c>
      <c r="AI1608" t="s">
        <v>78</v>
      </c>
      <c r="AK1608" t="s">
        <v>357</v>
      </c>
    </row>
    <row r="1609" spans="1:37">
      <c r="B1609" t="s">
        <v>56</v>
      </c>
      <c r="C1609" t="s">
        <v>56</v>
      </c>
      <c r="D1609" t="s">
        <v>56</v>
      </c>
      <c r="E1609" t="s">
        <v>56</v>
      </c>
      <c r="F1609" t="s">
        <v>56</v>
      </c>
      <c r="G1609" t="s">
        <v>176</v>
      </c>
      <c r="H1609" t="s">
        <v>211</v>
      </c>
      <c r="I1609" t="s">
        <v>231</v>
      </c>
      <c r="J1609" t="s">
        <v>250</v>
      </c>
      <c r="K1609" t="s">
        <v>264</v>
      </c>
      <c r="L1609" t="s">
        <v>276</v>
      </c>
      <c r="M1609" t="s">
        <v>285</v>
      </c>
      <c r="N1609" t="s">
        <v>295</v>
      </c>
      <c r="O1609" t="s">
        <v>303</v>
      </c>
      <c r="P1609" t="s">
        <v>56</v>
      </c>
      <c r="Q1609" t="s">
        <v>317</v>
      </c>
      <c r="R1609" t="s">
        <v>324</v>
      </c>
      <c r="S1609" t="s">
        <v>331</v>
      </c>
      <c r="T1609" t="s">
        <v>334</v>
      </c>
      <c r="U1609" t="s">
        <v>338</v>
      </c>
      <c r="V1609" t="s">
        <v>342</v>
      </c>
      <c r="W1609" t="s">
        <v>346</v>
      </c>
      <c r="X1609" t="s">
        <v>351</v>
      </c>
      <c r="AK1609" t="s">
        <v>357</v>
      </c>
    </row>
    <row r="1610" spans="1:37">
      <c r="B1610" t="s">
        <v>57</v>
      </c>
      <c r="C1610" t="s">
        <v>79</v>
      </c>
      <c r="D1610" t="s">
        <v>98</v>
      </c>
      <c r="E1610" t="s">
        <v>117</v>
      </c>
      <c r="F1610" t="s">
        <v>151</v>
      </c>
      <c r="G1610" t="s">
        <v>177</v>
      </c>
      <c r="H1610" t="s">
        <v>212</v>
      </c>
      <c r="I1610" t="s">
        <v>232</v>
      </c>
      <c r="J1610" t="s">
        <v>251</v>
      </c>
      <c r="K1610" t="s">
        <v>265</v>
      </c>
      <c r="L1610" t="s">
        <v>277</v>
      </c>
      <c r="M1610" t="s">
        <v>286</v>
      </c>
      <c r="N1610" t="s">
        <v>296</v>
      </c>
      <c r="O1610" t="s">
        <v>304</v>
      </c>
      <c r="P1610" t="s">
        <v>311</v>
      </c>
      <c r="Q1610" t="s">
        <v>318</v>
      </c>
      <c r="R1610" t="s">
        <v>185</v>
      </c>
      <c r="S1610" t="s">
        <v>159</v>
      </c>
      <c r="T1610" t="s">
        <v>185</v>
      </c>
      <c r="U1610" t="s">
        <v>339</v>
      </c>
      <c r="V1610" t="s">
        <v>72</v>
      </c>
      <c r="W1610" t="s">
        <v>347</v>
      </c>
      <c r="X1610" t="s">
        <v>72</v>
      </c>
      <c r="Y1610" t="s">
        <v>96</v>
      </c>
      <c r="AK1610" t="s">
        <v>357</v>
      </c>
    </row>
    <row r="1611" spans="1:37">
      <c r="B1611" t="s">
        <v>58</v>
      </c>
      <c r="C1611" t="s">
        <v>80</v>
      </c>
      <c r="D1611" t="s">
        <v>99</v>
      </c>
      <c r="E1611" t="s">
        <v>118</v>
      </c>
      <c r="F1611" t="s">
        <v>152</v>
      </c>
      <c r="G1611" t="s">
        <v>178</v>
      </c>
      <c r="H1611" t="s">
        <v>213</v>
      </c>
      <c r="I1611" t="s">
        <v>233</v>
      </c>
      <c r="J1611" t="s">
        <v>252</v>
      </c>
      <c r="K1611" t="s">
        <v>266</v>
      </c>
      <c r="L1611" t="s">
        <v>278</v>
      </c>
      <c r="M1611" t="s">
        <v>287</v>
      </c>
      <c r="N1611" t="s">
        <v>297</v>
      </c>
      <c r="O1611" t="s">
        <v>305</v>
      </c>
      <c r="P1611" t="s">
        <v>312</v>
      </c>
      <c r="Q1611" t="s">
        <v>319</v>
      </c>
      <c r="R1611">
        <f>&gt;10       ветра      2.9     20   1</f>
        <v>0</v>
      </c>
      <c r="AK1611" t="s">
        <v>357</v>
      </c>
    </row>
    <row r="1612" spans="1:37">
      <c r="A1612" t="s">
        <v>40</v>
      </c>
      <c r="B1612" t="s">
        <v>59</v>
      </c>
      <c r="C1612" t="s">
        <v>81</v>
      </c>
      <c r="D1612" t="s">
        <v>100</v>
      </c>
      <c r="E1612" t="s">
        <v>119</v>
      </c>
      <c r="F1612" t="s">
        <v>153</v>
      </c>
      <c r="G1612" t="s">
        <v>179</v>
      </c>
      <c r="H1612" t="s">
        <v>214</v>
      </c>
      <c r="I1612" t="s">
        <v>234</v>
      </c>
      <c r="AK1612" t="s">
        <v>357</v>
      </c>
    </row>
    <row r="1613" spans="1:37">
      <c r="A1613" t="s">
        <v>40</v>
      </c>
      <c r="B1613" t="s">
        <v>60</v>
      </c>
      <c r="C1613" t="s">
        <v>82</v>
      </c>
      <c r="D1613" t="s">
        <v>101</v>
      </c>
      <c r="E1613" t="s">
        <v>120</v>
      </c>
      <c r="F1613" t="s">
        <v>154</v>
      </c>
      <c r="G1613" t="s">
        <v>180</v>
      </c>
      <c r="H1613" t="s">
        <v>215</v>
      </c>
      <c r="I1613" t="s">
        <v>235</v>
      </c>
      <c r="J1613" t="s">
        <v>253</v>
      </c>
      <c r="K1613" t="s">
        <v>267</v>
      </c>
      <c r="L1613" t="s">
        <v>279</v>
      </c>
      <c r="M1613" t="s">
        <v>288</v>
      </c>
      <c r="N1613" t="s">
        <v>100</v>
      </c>
      <c r="O1613" t="s">
        <v>306</v>
      </c>
      <c r="P1613" t="s">
        <v>313</v>
      </c>
      <c r="Q1613" t="s">
        <v>320</v>
      </c>
      <c r="R1613" t="s">
        <v>325</v>
      </c>
      <c r="S1613" t="s">
        <v>332</v>
      </c>
      <c r="T1613" t="s">
        <v>119</v>
      </c>
      <c r="U1613" t="s">
        <v>234</v>
      </c>
      <c r="V1613" t="s">
        <v>343</v>
      </c>
      <c r="W1613" t="s">
        <v>348</v>
      </c>
      <c r="X1613" t="s">
        <v>352</v>
      </c>
      <c r="Y1613" t="s">
        <v>354</v>
      </c>
      <c r="AK1613" t="s">
        <v>357</v>
      </c>
    </row>
    <row r="1614" spans="1:37">
      <c r="A1614" t="s">
        <v>41</v>
      </c>
      <c r="B1614" t="s">
        <v>61</v>
      </c>
      <c r="C1614" t="s">
        <v>83</v>
      </c>
      <c r="D1614" t="s">
        <v>102</v>
      </c>
      <c r="E1614" t="s">
        <v>121</v>
      </c>
      <c r="F1614" t="s">
        <v>155</v>
      </c>
      <c r="G1614" t="s">
        <v>181</v>
      </c>
      <c r="H1614" t="s">
        <v>216</v>
      </c>
      <c r="I1614" t="s">
        <v>236</v>
      </c>
      <c r="AK1614" t="s">
        <v>357</v>
      </c>
    </row>
    <row r="1615" spans="1:37">
      <c r="A1615" t="s">
        <v>42</v>
      </c>
      <c r="B1615" t="s">
        <v>62</v>
      </c>
      <c r="C1615" t="s">
        <v>84</v>
      </c>
      <c r="D1615" t="s">
        <v>103</v>
      </c>
      <c r="E1615" t="s">
        <v>122</v>
      </c>
      <c r="F1615" t="s">
        <v>156</v>
      </c>
      <c r="G1615" t="s">
        <v>182</v>
      </c>
      <c r="H1615" t="s">
        <v>83</v>
      </c>
      <c r="I1615" t="s">
        <v>237</v>
      </c>
      <c r="J1615" t="s">
        <v>254</v>
      </c>
      <c r="K1615" t="s">
        <v>268</v>
      </c>
      <c r="L1615" t="s">
        <v>280</v>
      </c>
      <c r="M1615" t="s">
        <v>289</v>
      </c>
      <c r="N1615" t="s">
        <v>298</v>
      </c>
      <c r="O1615" t="s">
        <v>307</v>
      </c>
      <c r="P1615" t="s">
        <v>314</v>
      </c>
      <c r="Q1615" t="s">
        <v>216</v>
      </c>
      <c r="R1615" t="s">
        <v>326</v>
      </c>
      <c r="S1615" t="s">
        <v>333</v>
      </c>
      <c r="T1615" t="s">
        <v>335</v>
      </c>
      <c r="U1615" t="s">
        <v>340</v>
      </c>
      <c r="V1615" t="s">
        <v>344</v>
      </c>
      <c r="W1615" t="s">
        <v>349</v>
      </c>
      <c r="AK1615" t="s">
        <v>357</v>
      </c>
    </row>
    <row r="1616" spans="1:37">
      <c r="A1616" t="s">
        <v>43</v>
      </c>
      <c r="B1616" t="s">
        <v>63</v>
      </c>
      <c r="C1616" t="s">
        <v>85</v>
      </c>
      <c r="D1616" t="s">
        <v>104</v>
      </c>
      <c r="E1616" t="s">
        <v>123</v>
      </c>
      <c r="F1616" t="s">
        <v>157</v>
      </c>
      <c r="G1616" t="s">
        <v>183</v>
      </c>
      <c r="AK1616" t="s">
        <v>357</v>
      </c>
    </row>
    <row r="1617" spans="1:37">
      <c r="A1617" t="s">
        <v>44</v>
      </c>
      <c r="B1617" t="s">
        <v>64</v>
      </c>
      <c r="C1617" t="s">
        <v>86</v>
      </c>
      <c r="D1617" t="s">
        <v>105</v>
      </c>
      <c r="E1617" t="s">
        <v>124</v>
      </c>
      <c r="F1617" t="s">
        <v>158</v>
      </c>
      <c r="G1617" t="s">
        <v>184</v>
      </c>
      <c r="AK1617" t="s">
        <v>357</v>
      </c>
    </row>
    <row r="1618" spans="1:37">
      <c r="A1618" t="s">
        <v>45</v>
      </c>
      <c r="B1618" t="s">
        <v>65</v>
      </c>
      <c r="C1618" t="s">
        <v>87</v>
      </c>
      <c r="D1618" t="s">
        <v>106</v>
      </c>
      <c r="E1618" t="s">
        <v>125</v>
      </c>
      <c r="F1618" t="s">
        <v>159</v>
      </c>
      <c r="G1618" t="s">
        <v>185</v>
      </c>
      <c r="H1618" t="s">
        <v>159</v>
      </c>
      <c r="I1618" t="s">
        <v>185</v>
      </c>
      <c r="J1618" t="s">
        <v>255</v>
      </c>
      <c r="AK1618" t="s">
        <v>357</v>
      </c>
    </row>
    <row r="1619" spans="1:37">
      <c r="A1619" t="s">
        <v>46</v>
      </c>
      <c r="B1619" t="s">
        <v>66</v>
      </c>
      <c r="C1619" t="s">
        <v>88</v>
      </c>
      <c r="D1619" t="s">
        <v>76</v>
      </c>
      <c r="E1619" t="s">
        <v>126</v>
      </c>
      <c r="F1619" t="s">
        <v>160</v>
      </c>
      <c r="G1619" t="s">
        <v>186</v>
      </c>
      <c r="H1619" t="s">
        <v>217</v>
      </c>
      <c r="I1619" t="s">
        <v>238</v>
      </c>
      <c r="J1619" t="s">
        <v>256</v>
      </c>
      <c r="K1619" t="s">
        <v>265</v>
      </c>
      <c r="L1619" t="s">
        <v>281</v>
      </c>
      <c r="M1619" t="s">
        <v>290</v>
      </c>
      <c r="N1619" t="s">
        <v>299</v>
      </c>
      <c r="O1619" t="s">
        <v>308</v>
      </c>
      <c r="P1619" t="s">
        <v>228</v>
      </c>
      <c r="Q1619" t="s">
        <v>72</v>
      </c>
      <c r="R1619" t="s">
        <v>327</v>
      </c>
      <c r="S1619" t="s">
        <v>327</v>
      </c>
      <c r="T1619" t="s">
        <v>336</v>
      </c>
      <c r="U1619" t="s">
        <v>336</v>
      </c>
      <c r="V1619" t="s">
        <v>336</v>
      </c>
      <c r="W1619" t="s">
        <v>336</v>
      </c>
      <c r="X1619" t="s">
        <v>353</v>
      </c>
      <c r="AK1619" t="s">
        <v>357</v>
      </c>
    </row>
    <row r="1620" spans="1:37">
      <c r="B1620" t="s">
        <v>67</v>
      </c>
      <c r="C1620" t="s">
        <v>89</v>
      </c>
      <c r="D1620" t="s">
        <v>107</v>
      </c>
      <c r="AK1620" t="s">
        <v>357</v>
      </c>
    </row>
    <row r="1621" spans="1:37">
      <c r="B1621" t="s">
        <v>68</v>
      </c>
      <c r="C1621" t="s">
        <v>90</v>
      </c>
      <c r="D1621" t="s">
        <v>108</v>
      </c>
      <c r="AK1621" t="s">
        <v>357</v>
      </c>
    </row>
    <row r="1622" spans="1:37">
      <c r="A1622" t="s">
        <v>47</v>
      </c>
      <c r="B1622" t="s">
        <v>69</v>
      </c>
      <c r="C1622" t="s">
        <v>91</v>
      </c>
      <c r="D1622" t="s">
        <v>109</v>
      </c>
      <c r="E1622" t="s">
        <v>109</v>
      </c>
      <c r="F1622" t="s">
        <v>109</v>
      </c>
      <c r="G1622" t="s">
        <v>109</v>
      </c>
      <c r="H1622" t="s">
        <v>109</v>
      </c>
      <c r="I1622" t="s">
        <v>239</v>
      </c>
      <c r="AK1622" t="s">
        <v>357</v>
      </c>
    </row>
    <row r="1623" spans="1:37">
      <c r="B1623" t="s">
        <v>70</v>
      </c>
      <c r="C1623" t="s">
        <v>92</v>
      </c>
      <c r="D1623" t="s">
        <v>110</v>
      </c>
      <c r="E1623" t="s">
        <v>127</v>
      </c>
      <c r="F1623" t="s">
        <v>161</v>
      </c>
      <c r="G1623" t="s">
        <v>187</v>
      </c>
      <c r="H1623" t="s">
        <v>218</v>
      </c>
      <c r="AK1623" t="s">
        <v>357</v>
      </c>
    </row>
    <row r="1624" spans="1:37">
      <c r="B1624" t="s">
        <v>71</v>
      </c>
      <c r="C1624" t="s">
        <v>93</v>
      </c>
      <c r="D1624" t="s">
        <v>111</v>
      </c>
      <c r="E1624" t="s">
        <v>128</v>
      </c>
      <c r="F1624" t="s">
        <v>162</v>
      </c>
      <c r="G1624" t="s">
        <v>188</v>
      </c>
      <c r="H1624" t="s">
        <v>219</v>
      </c>
      <c r="I1624" t="s">
        <v>240</v>
      </c>
      <c r="J1624" t="s">
        <v>257</v>
      </c>
      <c r="K1624" t="s">
        <v>269</v>
      </c>
      <c r="L1624" t="s">
        <v>109</v>
      </c>
      <c r="M1624" t="s">
        <v>109</v>
      </c>
      <c r="N1624" t="s">
        <v>109</v>
      </c>
      <c r="O1624" t="s">
        <v>109</v>
      </c>
      <c r="P1624" t="s">
        <v>109</v>
      </c>
      <c r="Q1624" t="s">
        <v>321</v>
      </c>
      <c r="AK1624" t="s">
        <v>357</v>
      </c>
    </row>
    <row r="1625" spans="1:37">
      <c r="A1625" t="s">
        <v>48</v>
      </c>
      <c r="B1625" t="s">
        <v>71</v>
      </c>
      <c r="C1625" t="s">
        <v>93</v>
      </c>
      <c r="D1625" t="s">
        <v>111</v>
      </c>
      <c r="E1625" t="s">
        <v>128</v>
      </c>
      <c r="F1625" t="s">
        <v>163</v>
      </c>
      <c r="G1625" t="s">
        <v>189</v>
      </c>
      <c r="H1625" t="s">
        <v>220</v>
      </c>
      <c r="I1625" t="s">
        <v>241</v>
      </c>
      <c r="J1625" t="s">
        <v>258</v>
      </c>
      <c r="K1625" t="s">
        <v>270</v>
      </c>
      <c r="AK1625" t="s">
        <v>357</v>
      </c>
    </row>
    <row r="1626" spans="1:37">
      <c r="B1626" t="s">
        <v>72</v>
      </c>
      <c r="C1626" t="s">
        <v>72</v>
      </c>
      <c r="D1626" t="s">
        <v>72</v>
      </c>
      <c r="E1626" t="s">
        <v>132</v>
      </c>
      <c r="F1626" t="s">
        <v>129</v>
      </c>
      <c r="G1626" t="s">
        <v>191</v>
      </c>
      <c r="H1626" t="s">
        <v>191</v>
      </c>
      <c r="I1626" t="s">
        <v>191</v>
      </c>
      <c r="J1626" t="s">
        <v>192</v>
      </c>
      <c r="K1626" t="s">
        <v>272</v>
      </c>
      <c r="AK1626" t="s">
        <v>357</v>
      </c>
    </row>
    <row r="1627" spans="1:37">
      <c r="A1627" t="s">
        <v>37</v>
      </c>
      <c r="B1627" t="s">
        <v>49</v>
      </c>
      <c r="C1627" t="s">
        <v>73</v>
      </c>
      <c r="D1627" t="s">
        <v>94</v>
      </c>
      <c r="E1627" t="s">
        <v>112</v>
      </c>
      <c r="F1627" t="s">
        <v>146</v>
      </c>
      <c r="G1627" t="s">
        <v>172</v>
      </c>
      <c r="H1627" t="s">
        <v>207</v>
      </c>
      <c r="I1627" t="s">
        <v>226</v>
      </c>
      <c r="J1627" t="s">
        <v>246</v>
      </c>
      <c r="K1627" t="s">
        <v>259</v>
      </c>
      <c r="AK1627" t="s">
        <v>357</v>
      </c>
    </row>
    <row r="1628" spans="1:37">
      <c r="A1628" t="s">
        <v>38</v>
      </c>
      <c r="B1628" t="s">
        <v>50</v>
      </c>
      <c r="C1628" t="s">
        <v>74</v>
      </c>
      <c r="D1628" t="s">
        <v>95</v>
      </c>
      <c r="E1628" t="s">
        <v>113</v>
      </c>
      <c r="F1628" t="s">
        <v>147</v>
      </c>
      <c r="G1628" t="s">
        <v>173</v>
      </c>
      <c r="H1628" t="s">
        <v>208</v>
      </c>
      <c r="I1628" t="s">
        <v>227</v>
      </c>
      <c r="J1628" t="s">
        <v>115</v>
      </c>
      <c r="K1628" t="s">
        <v>260</v>
      </c>
      <c r="L1628" t="s">
        <v>273</v>
      </c>
      <c r="M1628" t="s">
        <v>282</v>
      </c>
      <c r="N1628" t="s">
        <v>291</v>
      </c>
      <c r="AK1628" t="s">
        <v>357</v>
      </c>
    </row>
    <row r="1629" spans="1:37">
      <c r="B1629" t="s">
        <v>51</v>
      </c>
      <c r="C1629" t="s">
        <v>75</v>
      </c>
      <c r="D1629" t="s">
        <v>52</v>
      </c>
      <c r="E1629" t="s">
        <v>114</v>
      </c>
      <c r="F1629" t="s">
        <v>148</v>
      </c>
      <c r="G1629" t="s">
        <v>148</v>
      </c>
      <c r="H1629" t="s">
        <v>209</v>
      </c>
      <c r="I1629" t="s">
        <v>228</v>
      </c>
      <c r="J1629" t="s">
        <v>247</v>
      </c>
      <c r="K1629" t="s">
        <v>261</v>
      </c>
      <c r="L1629" t="s">
        <v>274</v>
      </c>
      <c r="M1629" t="s">
        <v>283</v>
      </c>
      <c r="N1629" t="s">
        <v>292</v>
      </c>
      <c r="O1629" t="s">
        <v>300</v>
      </c>
      <c r="AK1629" t="s">
        <v>357</v>
      </c>
    </row>
    <row r="1630" spans="1:37">
      <c r="B1630" t="s">
        <v>52</v>
      </c>
      <c r="C1630" t="s">
        <v>76</v>
      </c>
      <c r="D1630" t="s">
        <v>96</v>
      </c>
      <c r="E1630" t="s">
        <v>115</v>
      </c>
      <c r="F1630" t="s">
        <v>149</v>
      </c>
      <c r="G1630" t="s">
        <v>174</v>
      </c>
      <c r="H1630" t="s">
        <v>96</v>
      </c>
      <c r="I1630" t="s">
        <v>229</v>
      </c>
      <c r="J1630" t="s">
        <v>248</v>
      </c>
      <c r="K1630" t="s">
        <v>262</v>
      </c>
      <c r="L1630" t="s">
        <v>52</v>
      </c>
      <c r="M1630" t="s">
        <v>76</v>
      </c>
      <c r="N1630" t="s">
        <v>293</v>
      </c>
      <c r="O1630" t="s">
        <v>301</v>
      </c>
      <c r="P1630" t="s">
        <v>309</v>
      </c>
      <c r="Q1630" t="s">
        <v>315</v>
      </c>
      <c r="R1630" t="s">
        <v>228</v>
      </c>
      <c r="S1630" t="s">
        <v>328</v>
      </c>
      <c r="T1630" t="s">
        <v>149</v>
      </c>
      <c r="U1630" t="s">
        <v>337</v>
      </c>
      <c r="V1630" t="s">
        <v>341</v>
      </c>
      <c r="W1630" t="s">
        <v>345</v>
      </c>
      <c r="X1630" t="s">
        <v>350</v>
      </c>
      <c r="AK1630" t="s">
        <v>357</v>
      </c>
    </row>
    <row r="1631" spans="1:37">
      <c r="B1631" t="s">
        <v>53</v>
      </c>
      <c r="C1631" t="s">
        <v>77</v>
      </c>
      <c r="D1631" t="s">
        <v>97</v>
      </c>
      <c r="E1631" t="s">
        <v>116</v>
      </c>
      <c r="F1631" t="s">
        <v>150</v>
      </c>
      <c r="G1631" t="s">
        <v>175</v>
      </c>
      <c r="H1631" t="s">
        <v>210</v>
      </c>
      <c r="I1631" t="s">
        <v>230</v>
      </c>
      <c r="J1631" t="s">
        <v>249</v>
      </c>
      <c r="K1631" t="s">
        <v>263</v>
      </c>
      <c r="L1631" t="s">
        <v>275</v>
      </c>
      <c r="M1631" t="s">
        <v>284</v>
      </c>
      <c r="N1631" t="s">
        <v>294</v>
      </c>
      <c r="O1631" t="s">
        <v>302</v>
      </c>
      <c r="P1631" t="s">
        <v>310</v>
      </c>
      <c r="Q1631" t="s">
        <v>316</v>
      </c>
      <c r="R1631" t="s">
        <v>322</v>
      </c>
      <c r="S1631" t="s">
        <v>329</v>
      </c>
      <c r="AK1631" t="s">
        <v>357</v>
      </c>
    </row>
    <row r="1632" spans="1:37">
      <c r="A1632" t="s">
        <v>39</v>
      </c>
      <c r="B1632" t="s">
        <v>54</v>
      </c>
      <c r="C1632" t="s">
        <v>54</v>
      </c>
      <c r="D1632" t="s">
        <v>54</v>
      </c>
      <c r="E1632" t="s">
        <v>54</v>
      </c>
      <c r="F1632" t="s">
        <v>54</v>
      </c>
      <c r="G1632" t="s">
        <v>54</v>
      </c>
      <c r="H1632" t="s">
        <v>54</v>
      </c>
      <c r="I1632" t="s">
        <v>54</v>
      </c>
      <c r="J1632" t="s">
        <v>54</v>
      </c>
      <c r="K1632" t="s">
        <v>54</v>
      </c>
      <c r="L1632" t="s">
        <v>54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323</v>
      </c>
      <c r="S1632" t="s">
        <v>330</v>
      </c>
      <c r="AK1632" t="s">
        <v>357</v>
      </c>
    </row>
    <row r="1633" spans="1:37">
      <c r="B1633" t="s">
        <v>55</v>
      </c>
      <c r="C1633" t="s">
        <v>78</v>
      </c>
      <c r="D1633" t="s">
        <v>55</v>
      </c>
      <c r="E1633" t="s">
        <v>78</v>
      </c>
      <c r="F1633" t="s">
        <v>55</v>
      </c>
      <c r="G1633" t="s">
        <v>78</v>
      </c>
      <c r="H1633" t="s">
        <v>55</v>
      </c>
      <c r="I1633" t="s">
        <v>78</v>
      </c>
      <c r="J1633" t="s">
        <v>55</v>
      </c>
      <c r="K1633" t="s">
        <v>78</v>
      </c>
      <c r="L1633" t="s">
        <v>55</v>
      </c>
      <c r="M1633" t="s">
        <v>78</v>
      </c>
      <c r="N1633" t="s">
        <v>55</v>
      </c>
      <c r="O1633" t="s">
        <v>78</v>
      </c>
      <c r="P1633" t="s">
        <v>55</v>
      </c>
      <c r="Q1633" t="s">
        <v>78</v>
      </c>
      <c r="R1633" t="s">
        <v>55</v>
      </c>
      <c r="S1633" t="s">
        <v>78</v>
      </c>
      <c r="T1633" t="s">
        <v>55</v>
      </c>
      <c r="U1633" t="s">
        <v>78</v>
      </c>
      <c r="V1633" t="s">
        <v>55</v>
      </c>
      <c r="W1633" t="s">
        <v>78</v>
      </c>
      <c r="X1633" t="s">
        <v>55</v>
      </c>
      <c r="Y1633" t="s">
        <v>78</v>
      </c>
      <c r="Z1633" t="s">
        <v>55</v>
      </c>
      <c r="AA1633" t="s">
        <v>78</v>
      </c>
      <c r="AB1633" t="s">
        <v>55</v>
      </c>
      <c r="AC1633" t="s">
        <v>78</v>
      </c>
      <c r="AD1633" t="s">
        <v>55</v>
      </c>
      <c r="AE1633" t="s">
        <v>78</v>
      </c>
      <c r="AF1633" t="s">
        <v>55</v>
      </c>
      <c r="AG1633" t="s">
        <v>78</v>
      </c>
      <c r="AH1633" t="s">
        <v>55</v>
      </c>
      <c r="AI1633" t="s">
        <v>78</v>
      </c>
      <c r="AK1633" t="s">
        <v>357</v>
      </c>
    </row>
    <row r="1634" spans="1:37">
      <c r="B1634" t="s">
        <v>56</v>
      </c>
      <c r="C1634" t="s">
        <v>56</v>
      </c>
      <c r="D1634" t="s">
        <v>56</v>
      </c>
      <c r="E1634" t="s">
        <v>56</v>
      </c>
      <c r="F1634" t="s">
        <v>56</v>
      </c>
      <c r="G1634" t="s">
        <v>176</v>
      </c>
      <c r="H1634" t="s">
        <v>211</v>
      </c>
      <c r="I1634" t="s">
        <v>231</v>
      </c>
      <c r="J1634" t="s">
        <v>250</v>
      </c>
      <c r="K1634" t="s">
        <v>264</v>
      </c>
      <c r="L1634" t="s">
        <v>276</v>
      </c>
      <c r="M1634" t="s">
        <v>285</v>
      </c>
      <c r="N1634" t="s">
        <v>295</v>
      </c>
      <c r="O1634" t="s">
        <v>303</v>
      </c>
      <c r="P1634" t="s">
        <v>56</v>
      </c>
      <c r="Q1634" t="s">
        <v>317</v>
      </c>
      <c r="R1634" t="s">
        <v>324</v>
      </c>
      <c r="S1634" t="s">
        <v>331</v>
      </c>
      <c r="T1634" t="s">
        <v>334</v>
      </c>
      <c r="U1634" t="s">
        <v>338</v>
      </c>
      <c r="V1634" t="s">
        <v>342</v>
      </c>
      <c r="W1634" t="s">
        <v>346</v>
      </c>
      <c r="X1634" t="s">
        <v>351</v>
      </c>
      <c r="AK1634" t="s">
        <v>357</v>
      </c>
    </row>
    <row r="1635" spans="1:37">
      <c r="B1635" t="s">
        <v>57</v>
      </c>
      <c r="C1635" t="s">
        <v>79</v>
      </c>
      <c r="D1635" t="s">
        <v>98</v>
      </c>
      <c r="E1635" t="s">
        <v>117</v>
      </c>
      <c r="F1635" t="s">
        <v>151</v>
      </c>
      <c r="G1635" t="s">
        <v>177</v>
      </c>
      <c r="H1635" t="s">
        <v>212</v>
      </c>
      <c r="I1635" t="s">
        <v>232</v>
      </c>
      <c r="J1635" t="s">
        <v>251</v>
      </c>
      <c r="K1635" t="s">
        <v>265</v>
      </c>
      <c r="L1635" t="s">
        <v>277</v>
      </c>
      <c r="M1635" t="s">
        <v>286</v>
      </c>
      <c r="N1635" t="s">
        <v>296</v>
      </c>
      <c r="O1635" t="s">
        <v>304</v>
      </c>
      <c r="P1635" t="s">
        <v>311</v>
      </c>
      <c r="Q1635" t="s">
        <v>318</v>
      </c>
      <c r="R1635" t="s">
        <v>185</v>
      </c>
      <c r="S1635" t="s">
        <v>159</v>
      </c>
      <c r="T1635" t="s">
        <v>185</v>
      </c>
      <c r="U1635" t="s">
        <v>339</v>
      </c>
      <c r="V1635" t="s">
        <v>72</v>
      </c>
      <c r="W1635" t="s">
        <v>347</v>
      </c>
      <c r="X1635" t="s">
        <v>72</v>
      </c>
      <c r="Y1635" t="s">
        <v>96</v>
      </c>
      <c r="AK1635" t="s">
        <v>357</v>
      </c>
    </row>
    <row r="1636" spans="1:37">
      <c r="B1636" t="s">
        <v>58</v>
      </c>
      <c r="C1636" t="s">
        <v>80</v>
      </c>
      <c r="D1636" t="s">
        <v>99</v>
      </c>
      <c r="E1636" t="s">
        <v>118</v>
      </c>
      <c r="F1636" t="s">
        <v>152</v>
      </c>
      <c r="G1636" t="s">
        <v>178</v>
      </c>
      <c r="H1636" t="s">
        <v>213</v>
      </c>
      <c r="I1636" t="s">
        <v>233</v>
      </c>
      <c r="J1636" t="s">
        <v>252</v>
      </c>
      <c r="K1636" t="s">
        <v>266</v>
      </c>
      <c r="L1636" t="s">
        <v>278</v>
      </c>
      <c r="M1636" t="s">
        <v>287</v>
      </c>
      <c r="N1636" t="s">
        <v>297</v>
      </c>
      <c r="O1636" t="s">
        <v>305</v>
      </c>
      <c r="P1636" t="s">
        <v>312</v>
      </c>
      <c r="Q1636" t="s">
        <v>319</v>
      </c>
      <c r="R1636">
        <f>&gt;10       ветра      4.7     17  20</f>
        <v>0</v>
      </c>
      <c r="AK1636" t="s">
        <v>357</v>
      </c>
    </row>
    <row r="1637" spans="1:37">
      <c r="A1637" t="s">
        <v>40</v>
      </c>
      <c r="B1637" t="s">
        <v>59</v>
      </c>
      <c r="C1637" t="s">
        <v>81</v>
      </c>
      <c r="D1637" t="s">
        <v>100</v>
      </c>
      <c r="E1637" t="s">
        <v>119</v>
      </c>
      <c r="F1637" t="s">
        <v>153</v>
      </c>
      <c r="G1637" t="s">
        <v>179</v>
      </c>
      <c r="H1637" t="s">
        <v>214</v>
      </c>
      <c r="I1637" t="s">
        <v>234</v>
      </c>
      <c r="AK1637" t="s">
        <v>357</v>
      </c>
    </row>
    <row r="1638" spans="1:37">
      <c r="A1638" t="s">
        <v>40</v>
      </c>
      <c r="B1638" t="s">
        <v>60</v>
      </c>
      <c r="C1638" t="s">
        <v>82</v>
      </c>
      <c r="D1638" t="s">
        <v>101</v>
      </c>
      <c r="E1638" t="s">
        <v>120</v>
      </c>
      <c r="F1638" t="s">
        <v>154</v>
      </c>
      <c r="G1638" t="s">
        <v>180</v>
      </c>
      <c r="H1638" t="s">
        <v>215</v>
      </c>
      <c r="I1638" t="s">
        <v>235</v>
      </c>
      <c r="J1638" t="s">
        <v>253</v>
      </c>
      <c r="K1638" t="s">
        <v>267</v>
      </c>
      <c r="L1638" t="s">
        <v>279</v>
      </c>
      <c r="M1638" t="s">
        <v>288</v>
      </c>
      <c r="N1638" t="s">
        <v>100</v>
      </c>
      <c r="O1638" t="s">
        <v>306</v>
      </c>
      <c r="P1638" t="s">
        <v>313</v>
      </c>
      <c r="Q1638" t="s">
        <v>320</v>
      </c>
      <c r="R1638" t="s">
        <v>325</v>
      </c>
      <c r="S1638" t="s">
        <v>332</v>
      </c>
      <c r="T1638" t="s">
        <v>119</v>
      </c>
      <c r="U1638" t="s">
        <v>234</v>
      </c>
      <c r="V1638" t="s">
        <v>343</v>
      </c>
      <c r="W1638" t="s">
        <v>348</v>
      </c>
      <c r="X1638" t="s">
        <v>352</v>
      </c>
      <c r="Y1638" t="s">
        <v>354</v>
      </c>
      <c r="AK1638" t="s">
        <v>357</v>
      </c>
    </row>
    <row r="1639" spans="1:37">
      <c r="A1639" t="s">
        <v>41</v>
      </c>
      <c r="B1639" t="s">
        <v>61</v>
      </c>
      <c r="C1639" t="s">
        <v>83</v>
      </c>
      <c r="D1639" t="s">
        <v>102</v>
      </c>
      <c r="E1639" t="s">
        <v>121</v>
      </c>
      <c r="F1639" t="s">
        <v>155</v>
      </c>
      <c r="G1639" t="s">
        <v>181</v>
      </c>
      <c r="H1639" t="s">
        <v>216</v>
      </c>
      <c r="I1639" t="s">
        <v>236</v>
      </c>
      <c r="AK1639" t="s">
        <v>357</v>
      </c>
    </row>
    <row r="1640" spans="1:37">
      <c r="A1640" t="s">
        <v>42</v>
      </c>
      <c r="B1640" t="s">
        <v>62</v>
      </c>
      <c r="C1640" t="s">
        <v>84</v>
      </c>
      <c r="D1640" t="s">
        <v>103</v>
      </c>
      <c r="E1640" t="s">
        <v>122</v>
      </c>
      <c r="F1640" t="s">
        <v>156</v>
      </c>
      <c r="G1640" t="s">
        <v>182</v>
      </c>
      <c r="H1640" t="s">
        <v>83</v>
      </c>
      <c r="I1640" t="s">
        <v>237</v>
      </c>
      <c r="J1640" t="s">
        <v>254</v>
      </c>
      <c r="K1640" t="s">
        <v>268</v>
      </c>
      <c r="L1640" t="s">
        <v>280</v>
      </c>
      <c r="M1640" t="s">
        <v>289</v>
      </c>
      <c r="N1640" t="s">
        <v>298</v>
      </c>
      <c r="O1640" t="s">
        <v>307</v>
      </c>
      <c r="P1640" t="s">
        <v>314</v>
      </c>
      <c r="Q1640" t="s">
        <v>216</v>
      </c>
      <c r="R1640" t="s">
        <v>326</v>
      </c>
      <c r="S1640" t="s">
        <v>333</v>
      </c>
      <c r="T1640" t="s">
        <v>335</v>
      </c>
      <c r="U1640" t="s">
        <v>340</v>
      </c>
      <c r="V1640" t="s">
        <v>344</v>
      </c>
      <c r="W1640" t="s">
        <v>349</v>
      </c>
      <c r="AK1640" t="s">
        <v>357</v>
      </c>
    </row>
    <row r="1641" spans="1:37">
      <c r="A1641" t="s">
        <v>43</v>
      </c>
      <c r="B1641" t="s">
        <v>63</v>
      </c>
      <c r="C1641" t="s">
        <v>85</v>
      </c>
      <c r="D1641" t="s">
        <v>104</v>
      </c>
      <c r="E1641" t="s">
        <v>123</v>
      </c>
      <c r="F1641" t="s">
        <v>157</v>
      </c>
      <c r="G1641" t="s">
        <v>183</v>
      </c>
      <c r="AK1641" t="s">
        <v>357</v>
      </c>
    </row>
    <row r="1642" spans="1:37">
      <c r="A1642" t="s">
        <v>44</v>
      </c>
      <c r="B1642" t="s">
        <v>64</v>
      </c>
      <c r="C1642" t="s">
        <v>86</v>
      </c>
      <c r="D1642" t="s">
        <v>105</v>
      </c>
      <c r="E1642" t="s">
        <v>124</v>
      </c>
      <c r="F1642" t="s">
        <v>158</v>
      </c>
      <c r="G1642" t="s">
        <v>184</v>
      </c>
      <c r="AK1642" t="s">
        <v>357</v>
      </c>
    </row>
    <row r="1643" spans="1:37">
      <c r="A1643" t="s">
        <v>45</v>
      </c>
      <c r="B1643" t="s">
        <v>65</v>
      </c>
      <c r="C1643" t="s">
        <v>87</v>
      </c>
      <c r="D1643" t="s">
        <v>106</v>
      </c>
      <c r="E1643" t="s">
        <v>125</v>
      </c>
      <c r="F1643" t="s">
        <v>159</v>
      </c>
      <c r="G1643" t="s">
        <v>185</v>
      </c>
      <c r="H1643" t="s">
        <v>159</v>
      </c>
      <c r="I1643" t="s">
        <v>185</v>
      </c>
      <c r="J1643" t="s">
        <v>255</v>
      </c>
      <c r="AK1643" t="s">
        <v>357</v>
      </c>
    </row>
    <row r="1644" spans="1:37">
      <c r="A1644" t="s">
        <v>46</v>
      </c>
      <c r="B1644" t="s">
        <v>66</v>
      </c>
      <c r="C1644" t="s">
        <v>88</v>
      </c>
      <c r="D1644" t="s">
        <v>76</v>
      </c>
      <c r="E1644" t="s">
        <v>126</v>
      </c>
      <c r="F1644" t="s">
        <v>160</v>
      </c>
      <c r="G1644" t="s">
        <v>186</v>
      </c>
      <c r="H1644" t="s">
        <v>217</v>
      </c>
      <c r="I1644" t="s">
        <v>238</v>
      </c>
      <c r="J1644" t="s">
        <v>256</v>
      </c>
      <c r="K1644" t="s">
        <v>265</v>
      </c>
      <c r="L1644" t="s">
        <v>281</v>
      </c>
      <c r="M1644" t="s">
        <v>290</v>
      </c>
      <c r="N1644" t="s">
        <v>299</v>
      </c>
      <c r="O1644" t="s">
        <v>308</v>
      </c>
      <c r="P1644" t="s">
        <v>228</v>
      </c>
      <c r="Q1644" t="s">
        <v>72</v>
      </c>
      <c r="R1644" t="s">
        <v>327</v>
      </c>
      <c r="S1644" t="s">
        <v>327</v>
      </c>
      <c r="T1644" t="s">
        <v>336</v>
      </c>
      <c r="U1644" t="s">
        <v>336</v>
      </c>
      <c r="V1644" t="s">
        <v>336</v>
      </c>
      <c r="W1644" t="s">
        <v>336</v>
      </c>
      <c r="X1644" t="s">
        <v>353</v>
      </c>
      <c r="AK1644" t="s">
        <v>357</v>
      </c>
    </row>
    <row r="1645" spans="1:37">
      <c r="B1645" t="s">
        <v>67</v>
      </c>
      <c r="C1645" t="s">
        <v>89</v>
      </c>
      <c r="D1645" t="s">
        <v>107</v>
      </c>
      <c r="AK1645" t="s">
        <v>357</v>
      </c>
    </row>
    <row r="1646" spans="1:37">
      <c r="B1646" t="s">
        <v>68</v>
      </c>
      <c r="C1646" t="s">
        <v>90</v>
      </c>
      <c r="D1646" t="s">
        <v>108</v>
      </c>
      <c r="AK1646" t="s">
        <v>357</v>
      </c>
    </row>
    <row r="1647" spans="1:37">
      <c r="A1647" t="s">
        <v>47</v>
      </c>
      <c r="B1647" t="s">
        <v>69</v>
      </c>
      <c r="C1647" t="s">
        <v>91</v>
      </c>
      <c r="D1647" t="s">
        <v>109</v>
      </c>
      <c r="E1647" t="s">
        <v>109</v>
      </c>
      <c r="F1647" t="s">
        <v>109</v>
      </c>
      <c r="G1647" t="s">
        <v>109</v>
      </c>
      <c r="H1647" t="s">
        <v>109</v>
      </c>
      <c r="I1647" t="s">
        <v>239</v>
      </c>
      <c r="AK1647" t="s">
        <v>357</v>
      </c>
    </row>
    <row r="1648" spans="1:37">
      <c r="B1648" t="s">
        <v>70</v>
      </c>
      <c r="C1648" t="s">
        <v>92</v>
      </c>
      <c r="D1648" t="s">
        <v>110</v>
      </c>
      <c r="E1648" t="s">
        <v>127</v>
      </c>
      <c r="F1648" t="s">
        <v>161</v>
      </c>
      <c r="G1648" t="s">
        <v>187</v>
      </c>
      <c r="H1648" t="s">
        <v>218</v>
      </c>
      <c r="AK1648" t="s">
        <v>357</v>
      </c>
    </row>
    <row r="1649" spans="1:37">
      <c r="B1649" t="s">
        <v>71</v>
      </c>
      <c r="C1649" t="s">
        <v>93</v>
      </c>
      <c r="D1649" t="s">
        <v>111</v>
      </c>
      <c r="E1649" t="s">
        <v>128</v>
      </c>
      <c r="F1649" t="s">
        <v>162</v>
      </c>
      <c r="G1649" t="s">
        <v>188</v>
      </c>
      <c r="H1649" t="s">
        <v>219</v>
      </c>
      <c r="I1649" t="s">
        <v>240</v>
      </c>
      <c r="J1649" t="s">
        <v>257</v>
      </c>
      <c r="K1649" t="s">
        <v>269</v>
      </c>
      <c r="L1649" t="s">
        <v>109</v>
      </c>
      <c r="M1649" t="s">
        <v>109</v>
      </c>
      <c r="N1649" t="s">
        <v>109</v>
      </c>
      <c r="O1649" t="s">
        <v>109</v>
      </c>
      <c r="P1649" t="s">
        <v>109</v>
      </c>
      <c r="Q1649" t="s">
        <v>321</v>
      </c>
      <c r="AK1649" t="s">
        <v>357</v>
      </c>
    </row>
    <row r="1650" spans="1:37">
      <c r="A1650" t="s">
        <v>48</v>
      </c>
      <c r="B1650" t="s">
        <v>71</v>
      </c>
      <c r="C1650" t="s">
        <v>93</v>
      </c>
      <c r="D1650" t="s">
        <v>111</v>
      </c>
      <c r="E1650" t="s">
        <v>128</v>
      </c>
      <c r="F1650" t="s">
        <v>163</v>
      </c>
      <c r="G1650" t="s">
        <v>189</v>
      </c>
      <c r="H1650" t="s">
        <v>220</v>
      </c>
      <c r="I1650" t="s">
        <v>241</v>
      </c>
      <c r="J1650" t="s">
        <v>258</v>
      </c>
      <c r="K1650" t="s">
        <v>270</v>
      </c>
      <c r="AK1650" t="s">
        <v>357</v>
      </c>
    </row>
    <row r="1651" spans="1:37">
      <c r="B1651" t="s">
        <v>72</v>
      </c>
      <c r="C1651" t="s">
        <v>72</v>
      </c>
      <c r="D1651" t="s">
        <v>72</v>
      </c>
      <c r="E1651" t="s">
        <v>133</v>
      </c>
      <c r="F1651" t="s">
        <v>145</v>
      </c>
      <c r="G1651" t="s">
        <v>196</v>
      </c>
      <c r="H1651" t="s">
        <v>195</v>
      </c>
      <c r="I1651" t="s">
        <v>192</v>
      </c>
      <c r="J1651" t="s">
        <v>192</v>
      </c>
      <c r="K1651" t="s">
        <v>271</v>
      </c>
      <c r="AK1651" t="s">
        <v>357</v>
      </c>
    </row>
    <row r="1652" spans="1:37">
      <c r="A1652" t="s">
        <v>37</v>
      </c>
      <c r="B1652" t="s">
        <v>49</v>
      </c>
      <c r="C1652" t="s">
        <v>73</v>
      </c>
      <c r="D1652" t="s">
        <v>94</v>
      </c>
      <c r="E1652" t="s">
        <v>112</v>
      </c>
      <c r="F1652" t="s">
        <v>146</v>
      </c>
      <c r="G1652" t="s">
        <v>172</v>
      </c>
      <c r="H1652" t="s">
        <v>207</v>
      </c>
      <c r="I1652" t="s">
        <v>226</v>
      </c>
      <c r="J1652" t="s">
        <v>246</v>
      </c>
      <c r="K1652" t="s">
        <v>259</v>
      </c>
      <c r="AK1652" t="s">
        <v>357</v>
      </c>
    </row>
    <row r="1653" spans="1:37">
      <c r="A1653" t="s">
        <v>38</v>
      </c>
      <c r="B1653" t="s">
        <v>50</v>
      </c>
      <c r="C1653" t="s">
        <v>74</v>
      </c>
      <c r="D1653" t="s">
        <v>95</v>
      </c>
      <c r="E1653" t="s">
        <v>113</v>
      </c>
      <c r="F1653" t="s">
        <v>147</v>
      </c>
      <c r="G1653" t="s">
        <v>173</v>
      </c>
      <c r="H1653" t="s">
        <v>208</v>
      </c>
      <c r="I1653" t="s">
        <v>227</v>
      </c>
      <c r="J1653" t="s">
        <v>115</v>
      </c>
      <c r="K1653" t="s">
        <v>260</v>
      </c>
      <c r="L1653" t="s">
        <v>273</v>
      </c>
      <c r="M1653" t="s">
        <v>282</v>
      </c>
      <c r="N1653" t="s">
        <v>291</v>
      </c>
      <c r="AK1653" t="s">
        <v>357</v>
      </c>
    </row>
    <row r="1654" spans="1:37">
      <c r="B1654" t="s">
        <v>51</v>
      </c>
      <c r="C1654" t="s">
        <v>75</v>
      </c>
      <c r="D1654" t="s">
        <v>52</v>
      </c>
      <c r="E1654" t="s">
        <v>114</v>
      </c>
      <c r="F1654" t="s">
        <v>148</v>
      </c>
      <c r="G1654" t="s">
        <v>148</v>
      </c>
      <c r="H1654" t="s">
        <v>209</v>
      </c>
      <c r="I1654" t="s">
        <v>228</v>
      </c>
      <c r="J1654" t="s">
        <v>247</v>
      </c>
      <c r="K1654" t="s">
        <v>261</v>
      </c>
      <c r="L1654" t="s">
        <v>274</v>
      </c>
      <c r="M1654" t="s">
        <v>283</v>
      </c>
      <c r="N1654" t="s">
        <v>292</v>
      </c>
      <c r="O1654" t="s">
        <v>300</v>
      </c>
      <c r="AK1654" t="s">
        <v>357</v>
      </c>
    </row>
    <row r="1655" spans="1:37">
      <c r="B1655" t="s">
        <v>52</v>
      </c>
      <c r="C1655" t="s">
        <v>76</v>
      </c>
      <c r="D1655" t="s">
        <v>96</v>
      </c>
      <c r="E1655" t="s">
        <v>115</v>
      </c>
      <c r="F1655" t="s">
        <v>149</v>
      </c>
      <c r="G1655" t="s">
        <v>174</v>
      </c>
      <c r="H1655" t="s">
        <v>96</v>
      </c>
      <c r="I1655" t="s">
        <v>229</v>
      </c>
      <c r="J1655" t="s">
        <v>248</v>
      </c>
      <c r="K1655" t="s">
        <v>262</v>
      </c>
      <c r="L1655" t="s">
        <v>52</v>
      </c>
      <c r="M1655" t="s">
        <v>76</v>
      </c>
      <c r="N1655" t="s">
        <v>293</v>
      </c>
      <c r="O1655" t="s">
        <v>301</v>
      </c>
      <c r="P1655" t="s">
        <v>309</v>
      </c>
      <c r="Q1655" t="s">
        <v>315</v>
      </c>
      <c r="R1655" t="s">
        <v>228</v>
      </c>
      <c r="S1655" t="s">
        <v>328</v>
      </c>
      <c r="T1655" t="s">
        <v>149</v>
      </c>
      <c r="U1655" t="s">
        <v>337</v>
      </c>
      <c r="V1655" t="s">
        <v>341</v>
      </c>
      <c r="W1655" t="s">
        <v>345</v>
      </c>
      <c r="X1655" t="s">
        <v>350</v>
      </c>
      <c r="AK1655" t="s">
        <v>357</v>
      </c>
    </row>
    <row r="1656" spans="1:37">
      <c r="B1656" t="s">
        <v>53</v>
      </c>
      <c r="C1656" t="s">
        <v>77</v>
      </c>
      <c r="D1656" t="s">
        <v>97</v>
      </c>
      <c r="E1656" t="s">
        <v>116</v>
      </c>
      <c r="F1656" t="s">
        <v>150</v>
      </c>
      <c r="G1656" t="s">
        <v>175</v>
      </c>
      <c r="H1656" t="s">
        <v>210</v>
      </c>
      <c r="I1656" t="s">
        <v>230</v>
      </c>
      <c r="J1656" t="s">
        <v>249</v>
      </c>
      <c r="K1656" t="s">
        <v>263</v>
      </c>
      <c r="L1656" t="s">
        <v>275</v>
      </c>
      <c r="M1656" t="s">
        <v>284</v>
      </c>
      <c r="N1656" t="s">
        <v>294</v>
      </c>
      <c r="O1656" t="s">
        <v>302</v>
      </c>
      <c r="P1656" t="s">
        <v>310</v>
      </c>
      <c r="Q1656" t="s">
        <v>316</v>
      </c>
      <c r="R1656" t="s">
        <v>322</v>
      </c>
      <c r="S1656" t="s">
        <v>329</v>
      </c>
      <c r="AK1656" t="s">
        <v>357</v>
      </c>
    </row>
    <row r="1657" spans="1:37">
      <c r="A1657" t="s">
        <v>39</v>
      </c>
      <c r="B1657" t="s">
        <v>54</v>
      </c>
      <c r="C1657" t="s">
        <v>54</v>
      </c>
      <c r="D1657" t="s">
        <v>54</v>
      </c>
      <c r="E1657" t="s">
        <v>54</v>
      </c>
      <c r="F1657" t="s">
        <v>54</v>
      </c>
      <c r="G1657" t="s">
        <v>54</v>
      </c>
      <c r="H1657" t="s">
        <v>54</v>
      </c>
      <c r="I1657" t="s">
        <v>54</v>
      </c>
      <c r="J1657" t="s">
        <v>54</v>
      </c>
      <c r="K1657" t="s">
        <v>54</v>
      </c>
      <c r="L1657" t="s">
        <v>54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323</v>
      </c>
      <c r="S1657" t="s">
        <v>330</v>
      </c>
      <c r="AK1657" t="s">
        <v>357</v>
      </c>
    </row>
    <row r="1658" spans="1:37">
      <c r="B1658" t="s">
        <v>55</v>
      </c>
      <c r="C1658" t="s">
        <v>78</v>
      </c>
      <c r="D1658" t="s">
        <v>55</v>
      </c>
      <c r="E1658" t="s">
        <v>78</v>
      </c>
      <c r="F1658" t="s">
        <v>55</v>
      </c>
      <c r="G1658" t="s">
        <v>78</v>
      </c>
      <c r="H1658" t="s">
        <v>55</v>
      </c>
      <c r="I1658" t="s">
        <v>78</v>
      </c>
      <c r="J1658" t="s">
        <v>55</v>
      </c>
      <c r="K1658" t="s">
        <v>78</v>
      </c>
      <c r="L1658" t="s">
        <v>55</v>
      </c>
      <c r="M1658" t="s">
        <v>78</v>
      </c>
      <c r="N1658" t="s">
        <v>55</v>
      </c>
      <c r="O1658" t="s">
        <v>78</v>
      </c>
      <c r="P1658" t="s">
        <v>55</v>
      </c>
      <c r="Q1658" t="s">
        <v>78</v>
      </c>
      <c r="R1658" t="s">
        <v>55</v>
      </c>
      <c r="S1658" t="s">
        <v>78</v>
      </c>
      <c r="T1658" t="s">
        <v>55</v>
      </c>
      <c r="U1658" t="s">
        <v>78</v>
      </c>
      <c r="V1658" t="s">
        <v>55</v>
      </c>
      <c r="W1658" t="s">
        <v>78</v>
      </c>
      <c r="X1658" t="s">
        <v>55</v>
      </c>
      <c r="Y1658" t="s">
        <v>78</v>
      </c>
      <c r="Z1658" t="s">
        <v>55</v>
      </c>
      <c r="AA1658" t="s">
        <v>78</v>
      </c>
      <c r="AB1658" t="s">
        <v>55</v>
      </c>
      <c r="AC1658" t="s">
        <v>78</v>
      </c>
      <c r="AD1658" t="s">
        <v>55</v>
      </c>
      <c r="AE1658" t="s">
        <v>78</v>
      </c>
      <c r="AF1658" t="s">
        <v>55</v>
      </c>
      <c r="AG1658" t="s">
        <v>78</v>
      </c>
      <c r="AH1658" t="s">
        <v>55</v>
      </c>
      <c r="AI1658" t="s">
        <v>78</v>
      </c>
      <c r="AK1658" t="s">
        <v>357</v>
      </c>
    </row>
    <row r="1659" spans="1:37">
      <c r="B1659" t="s">
        <v>56</v>
      </c>
      <c r="C1659" t="s">
        <v>56</v>
      </c>
      <c r="D1659" t="s">
        <v>56</v>
      </c>
      <c r="E1659" t="s">
        <v>56</v>
      </c>
      <c r="F1659" t="s">
        <v>56</v>
      </c>
      <c r="G1659" t="s">
        <v>176</v>
      </c>
      <c r="H1659" t="s">
        <v>211</v>
      </c>
      <c r="I1659" t="s">
        <v>231</v>
      </c>
      <c r="J1659" t="s">
        <v>250</v>
      </c>
      <c r="K1659" t="s">
        <v>264</v>
      </c>
      <c r="L1659" t="s">
        <v>276</v>
      </c>
      <c r="M1659" t="s">
        <v>285</v>
      </c>
      <c r="N1659" t="s">
        <v>295</v>
      </c>
      <c r="O1659" t="s">
        <v>303</v>
      </c>
      <c r="P1659" t="s">
        <v>56</v>
      </c>
      <c r="Q1659" t="s">
        <v>317</v>
      </c>
      <c r="R1659" t="s">
        <v>324</v>
      </c>
      <c r="S1659" t="s">
        <v>331</v>
      </c>
      <c r="T1659" t="s">
        <v>334</v>
      </c>
      <c r="U1659" t="s">
        <v>338</v>
      </c>
      <c r="V1659" t="s">
        <v>342</v>
      </c>
      <c r="W1659" t="s">
        <v>346</v>
      </c>
      <c r="X1659" t="s">
        <v>351</v>
      </c>
      <c r="AK1659" t="s">
        <v>357</v>
      </c>
    </row>
    <row r="1660" spans="1:37">
      <c r="B1660" t="s">
        <v>57</v>
      </c>
      <c r="C1660" t="s">
        <v>79</v>
      </c>
      <c r="D1660" t="s">
        <v>98</v>
      </c>
      <c r="E1660" t="s">
        <v>117</v>
      </c>
      <c r="F1660" t="s">
        <v>151</v>
      </c>
      <c r="G1660" t="s">
        <v>177</v>
      </c>
      <c r="H1660" t="s">
        <v>212</v>
      </c>
      <c r="I1660" t="s">
        <v>232</v>
      </c>
      <c r="J1660" t="s">
        <v>251</v>
      </c>
      <c r="K1660" t="s">
        <v>265</v>
      </c>
      <c r="L1660" t="s">
        <v>277</v>
      </c>
      <c r="M1660" t="s">
        <v>286</v>
      </c>
      <c r="N1660" t="s">
        <v>296</v>
      </c>
      <c r="O1660" t="s">
        <v>304</v>
      </c>
      <c r="P1660" t="s">
        <v>311</v>
      </c>
      <c r="Q1660" t="s">
        <v>318</v>
      </c>
      <c r="R1660" t="s">
        <v>185</v>
      </c>
      <c r="S1660" t="s">
        <v>159</v>
      </c>
      <c r="T1660" t="s">
        <v>185</v>
      </c>
      <c r="U1660" t="s">
        <v>339</v>
      </c>
      <c r="V1660" t="s">
        <v>72</v>
      </c>
      <c r="W1660" t="s">
        <v>347</v>
      </c>
      <c r="X1660" t="s">
        <v>72</v>
      </c>
      <c r="Y1660" t="s">
        <v>96</v>
      </c>
      <c r="AK1660" t="s">
        <v>357</v>
      </c>
    </row>
    <row r="1661" spans="1:37">
      <c r="B1661" t="s">
        <v>58</v>
      </c>
      <c r="C1661" t="s">
        <v>80</v>
      </c>
      <c r="D1661" t="s">
        <v>99</v>
      </c>
      <c r="E1661" t="s">
        <v>118</v>
      </c>
      <c r="F1661" t="s">
        <v>152</v>
      </c>
      <c r="G1661" t="s">
        <v>178</v>
      </c>
      <c r="H1661" t="s">
        <v>213</v>
      </c>
      <c r="I1661" t="s">
        <v>233</v>
      </c>
      <c r="J1661" t="s">
        <v>252</v>
      </c>
      <c r="K1661" t="s">
        <v>266</v>
      </c>
      <c r="L1661" t="s">
        <v>278</v>
      </c>
      <c r="M1661" t="s">
        <v>287</v>
      </c>
      <c r="N1661" t="s">
        <v>297</v>
      </c>
      <c r="O1661" t="s">
        <v>305</v>
      </c>
      <c r="P1661" t="s">
        <v>312</v>
      </c>
      <c r="Q1661" t="s">
        <v>319</v>
      </c>
      <c r="R1661">
        <f>&gt;10       ветра      2.6     21   1</f>
        <v>0</v>
      </c>
      <c r="AK1661" t="s">
        <v>357</v>
      </c>
    </row>
    <row r="1662" spans="1:37">
      <c r="A1662" t="s">
        <v>40</v>
      </c>
      <c r="B1662" t="s">
        <v>59</v>
      </c>
      <c r="C1662" t="s">
        <v>81</v>
      </c>
      <c r="D1662" t="s">
        <v>100</v>
      </c>
      <c r="E1662" t="s">
        <v>119</v>
      </c>
      <c r="F1662" t="s">
        <v>153</v>
      </c>
      <c r="G1662" t="s">
        <v>179</v>
      </c>
      <c r="H1662" t="s">
        <v>214</v>
      </c>
      <c r="I1662" t="s">
        <v>234</v>
      </c>
      <c r="AK1662" t="s">
        <v>357</v>
      </c>
    </row>
    <row r="1663" spans="1:37">
      <c r="A1663" t="s">
        <v>40</v>
      </c>
      <c r="B1663" t="s">
        <v>60</v>
      </c>
      <c r="C1663" t="s">
        <v>82</v>
      </c>
      <c r="D1663" t="s">
        <v>101</v>
      </c>
      <c r="E1663" t="s">
        <v>120</v>
      </c>
      <c r="F1663" t="s">
        <v>154</v>
      </c>
      <c r="G1663" t="s">
        <v>180</v>
      </c>
      <c r="H1663" t="s">
        <v>215</v>
      </c>
      <c r="I1663" t="s">
        <v>235</v>
      </c>
      <c r="J1663" t="s">
        <v>253</v>
      </c>
      <c r="K1663" t="s">
        <v>267</v>
      </c>
      <c r="L1663" t="s">
        <v>279</v>
      </c>
      <c r="M1663" t="s">
        <v>288</v>
      </c>
      <c r="N1663" t="s">
        <v>100</v>
      </c>
      <c r="O1663" t="s">
        <v>306</v>
      </c>
      <c r="P1663" t="s">
        <v>313</v>
      </c>
      <c r="Q1663" t="s">
        <v>320</v>
      </c>
      <c r="R1663" t="s">
        <v>325</v>
      </c>
      <c r="S1663" t="s">
        <v>332</v>
      </c>
      <c r="T1663" t="s">
        <v>119</v>
      </c>
      <c r="U1663" t="s">
        <v>234</v>
      </c>
      <c r="V1663" t="s">
        <v>343</v>
      </c>
      <c r="W1663" t="s">
        <v>348</v>
      </c>
      <c r="X1663" t="s">
        <v>352</v>
      </c>
      <c r="Y1663" t="s">
        <v>354</v>
      </c>
      <c r="AK1663" t="s">
        <v>357</v>
      </c>
    </row>
    <row r="1664" spans="1:37">
      <c r="A1664" t="s">
        <v>41</v>
      </c>
      <c r="B1664" t="s">
        <v>61</v>
      </c>
      <c r="C1664" t="s">
        <v>83</v>
      </c>
      <c r="D1664" t="s">
        <v>102</v>
      </c>
      <c r="E1664" t="s">
        <v>121</v>
      </c>
      <c r="F1664" t="s">
        <v>155</v>
      </c>
      <c r="G1664" t="s">
        <v>181</v>
      </c>
      <c r="H1664" t="s">
        <v>216</v>
      </c>
      <c r="I1664" t="s">
        <v>236</v>
      </c>
      <c r="AK1664" t="s">
        <v>357</v>
      </c>
    </row>
    <row r="1665" spans="1:37">
      <c r="A1665" t="s">
        <v>42</v>
      </c>
      <c r="B1665" t="s">
        <v>62</v>
      </c>
      <c r="C1665" t="s">
        <v>84</v>
      </c>
      <c r="D1665" t="s">
        <v>103</v>
      </c>
      <c r="E1665" t="s">
        <v>122</v>
      </c>
      <c r="F1665" t="s">
        <v>156</v>
      </c>
      <c r="G1665" t="s">
        <v>182</v>
      </c>
      <c r="H1665" t="s">
        <v>83</v>
      </c>
      <c r="I1665" t="s">
        <v>237</v>
      </c>
      <c r="J1665" t="s">
        <v>254</v>
      </c>
      <c r="K1665" t="s">
        <v>268</v>
      </c>
      <c r="L1665" t="s">
        <v>280</v>
      </c>
      <c r="M1665" t="s">
        <v>289</v>
      </c>
      <c r="N1665" t="s">
        <v>298</v>
      </c>
      <c r="O1665" t="s">
        <v>307</v>
      </c>
      <c r="P1665" t="s">
        <v>314</v>
      </c>
      <c r="Q1665" t="s">
        <v>216</v>
      </c>
      <c r="R1665" t="s">
        <v>326</v>
      </c>
      <c r="S1665" t="s">
        <v>333</v>
      </c>
      <c r="T1665" t="s">
        <v>335</v>
      </c>
      <c r="U1665" t="s">
        <v>340</v>
      </c>
      <c r="V1665" t="s">
        <v>344</v>
      </c>
      <c r="W1665" t="s">
        <v>349</v>
      </c>
      <c r="AK1665" t="s">
        <v>357</v>
      </c>
    </row>
    <row r="1666" spans="1:37">
      <c r="A1666" t="s">
        <v>43</v>
      </c>
      <c r="B1666" t="s">
        <v>63</v>
      </c>
      <c r="C1666" t="s">
        <v>85</v>
      </c>
      <c r="D1666" t="s">
        <v>104</v>
      </c>
      <c r="E1666" t="s">
        <v>123</v>
      </c>
      <c r="F1666" t="s">
        <v>157</v>
      </c>
      <c r="G1666" t="s">
        <v>183</v>
      </c>
      <c r="AK1666" t="s">
        <v>357</v>
      </c>
    </row>
    <row r="1667" spans="1:37">
      <c r="A1667" t="s">
        <v>44</v>
      </c>
      <c r="B1667" t="s">
        <v>64</v>
      </c>
      <c r="C1667" t="s">
        <v>86</v>
      </c>
      <c r="D1667" t="s">
        <v>105</v>
      </c>
      <c r="E1667" t="s">
        <v>124</v>
      </c>
      <c r="F1667" t="s">
        <v>158</v>
      </c>
      <c r="G1667" t="s">
        <v>184</v>
      </c>
      <c r="AK1667" t="s">
        <v>357</v>
      </c>
    </row>
    <row r="1668" spans="1:37">
      <c r="A1668" t="s">
        <v>45</v>
      </c>
      <c r="B1668" t="s">
        <v>65</v>
      </c>
      <c r="C1668" t="s">
        <v>87</v>
      </c>
      <c r="D1668" t="s">
        <v>106</v>
      </c>
      <c r="E1668" t="s">
        <v>125</v>
      </c>
      <c r="F1668" t="s">
        <v>159</v>
      </c>
      <c r="G1668" t="s">
        <v>185</v>
      </c>
      <c r="H1668" t="s">
        <v>159</v>
      </c>
      <c r="I1668" t="s">
        <v>185</v>
      </c>
      <c r="J1668" t="s">
        <v>255</v>
      </c>
      <c r="AK1668" t="s">
        <v>357</v>
      </c>
    </row>
    <row r="1669" spans="1:37">
      <c r="A1669" t="s">
        <v>46</v>
      </c>
      <c r="B1669" t="s">
        <v>66</v>
      </c>
      <c r="C1669" t="s">
        <v>88</v>
      </c>
      <c r="D1669" t="s">
        <v>76</v>
      </c>
      <c r="E1669" t="s">
        <v>126</v>
      </c>
      <c r="F1669" t="s">
        <v>160</v>
      </c>
      <c r="G1669" t="s">
        <v>186</v>
      </c>
      <c r="H1669" t="s">
        <v>217</v>
      </c>
      <c r="I1669" t="s">
        <v>238</v>
      </c>
      <c r="J1669" t="s">
        <v>256</v>
      </c>
      <c r="K1669" t="s">
        <v>265</v>
      </c>
      <c r="L1669" t="s">
        <v>281</v>
      </c>
      <c r="M1669" t="s">
        <v>290</v>
      </c>
      <c r="N1669" t="s">
        <v>299</v>
      </c>
      <c r="O1669" t="s">
        <v>308</v>
      </c>
      <c r="P1669" t="s">
        <v>228</v>
      </c>
      <c r="Q1669" t="s">
        <v>72</v>
      </c>
      <c r="R1669" t="s">
        <v>327</v>
      </c>
      <c r="S1669" t="s">
        <v>327</v>
      </c>
      <c r="T1669" t="s">
        <v>336</v>
      </c>
      <c r="U1669" t="s">
        <v>336</v>
      </c>
      <c r="V1669" t="s">
        <v>336</v>
      </c>
      <c r="W1669" t="s">
        <v>336</v>
      </c>
      <c r="X1669" t="s">
        <v>353</v>
      </c>
      <c r="AK1669" t="s">
        <v>357</v>
      </c>
    </row>
    <row r="1670" spans="1:37">
      <c r="A1670" t="s">
        <v>37</v>
      </c>
      <c r="B1670" t="s">
        <v>49</v>
      </c>
      <c r="C1670" t="s">
        <v>73</v>
      </c>
      <c r="D1670" t="s">
        <v>94</v>
      </c>
      <c r="E1670" t="s">
        <v>112</v>
      </c>
      <c r="F1670" t="s">
        <v>146</v>
      </c>
      <c r="G1670" t="s">
        <v>172</v>
      </c>
      <c r="H1670" t="s">
        <v>207</v>
      </c>
      <c r="I1670" t="s">
        <v>226</v>
      </c>
      <c r="J1670" t="s">
        <v>246</v>
      </c>
      <c r="K1670" t="s">
        <v>259</v>
      </c>
      <c r="AK1670" t="s">
        <v>357</v>
      </c>
    </row>
    <row r="1671" spans="1:37">
      <c r="A1671" t="s">
        <v>38</v>
      </c>
      <c r="B1671" t="s">
        <v>50</v>
      </c>
      <c r="C1671" t="s">
        <v>74</v>
      </c>
      <c r="D1671" t="s">
        <v>95</v>
      </c>
      <c r="E1671" t="s">
        <v>113</v>
      </c>
      <c r="F1671" t="s">
        <v>147</v>
      </c>
      <c r="G1671" t="s">
        <v>173</v>
      </c>
      <c r="H1671" t="s">
        <v>208</v>
      </c>
      <c r="I1671" t="s">
        <v>227</v>
      </c>
      <c r="J1671" t="s">
        <v>115</v>
      </c>
      <c r="K1671" t="s">
        <v>260</v>
      </c>
      <c r="L1671" t="s">
        <v>273</v>
      </c>
      <c r="M1671" t="s">
        <v>282</v>
      </c>
      <c r="N1671" t="s">
        <v>291</v>
      </c>
      <c r="AK1671" t="s">
        <v>357</v>
      </c>
    </row>
    <row r="1672" spans="1:37">
      <c r="B1672" t="s">
        <v>51</v>
      </c>
      <c r="C1672" t="s">
        <v>75</v>
      </c>
      <c r="D1672" t="s">
        <v>52</v>
      </c>
      <c r="E1672" t="s">
        <v>114</v>
      </c>
      <c r="F1672" t="s">
        <v>148</v>
      </c>
      <c r="G1672" t="s">
        <v>148</v>
      </c>
      <c r="H1672" t="s">
        <v>209</v>
      </c>
      <c r="I1672" t="s">
        <v>228</v>
      </c>
      <c r="J1672" t="s">
        <v>247</v>
      </c>
      <c r="K1672" t="s">
        <v>261</v>
      </c>
      <c r="L1672" t="s">
        <v>274</v>
      </c>
      <c r="M1672" t="s">
        <v>283</v>
      </c>
      <c r="N1672" t="s">
        <v>292</v>
      </c>
      <c r="O1672" t="s">
        <v>300</v>
      </c>
      <c r="AK1672" t="s">
        <v>357</v>
      </c>
    </row>
    <row r="1673" spans="1:37">
      <c r="B1673" t="s">
        <v>52</v>
      </c>
      <c r="C1673" t="s">
        <v>76</v>
      </c>
      <c r="D1673" t="s">
        <v>96</v>
      </c>
      <c r="E1673" t="s">
        <v>115</v>
      </c>
      <c r="F1673" t="s">
        <v>149</v>
      </c>
      <c r="G1673" t="s">
        <v>174</v>
      </c>
      <c r="H1673" t="s">
        <v>96</v>
      </c>
      <c r="I1673" t="s">
        <v>229</v>
      </c>
      <c r="J1673" t="s">
        <v>248</v>
      </c>
      <c r="K1673" t="s">
        <v>262</v>
      </c>
      <c r="L1673" t="s">
        <v>52</v>
      </c>
      <c r="M1673" t="s">
        <v>76</v>
      </c>
      <c r="N1673" t="s">
        <v>293</v>
      </c>
      <c r="O1673" t="s">
        <v>301</v>
      </c>
      <c r="P1673" t="s">
        <v>309</v>
      </c>
      <c r="Q1673" t="s">
        <v>315</v>
      </c>
      <c r="R1673" t="s">
        <v>228</v>
      </c>
      <c r="S1673" t="s">
        <v>328</v>
      </c>
      <c r="T1673" t="s">
        <v>149</v>
      </c>
      <c r="U1673" t="s">
        <v>337</v>
      </c>
      <c r="V1673" t="s">
        <v>341</v>
      </c>
      <c r="W1673" t="s">
        <v>345</v>
      </c>
      <c r="X1673" t="s">
        <v>350</v>
      </c>
      <c r="AK1673" t="s">
        <v>357</v>
      </c>
    </row>
    <row r="1674" spans="1:37">
      <c r="B1674" t="s">
        <v>53</v>
      </c>
      <c r="C1674" t="s">
        <v>77</v>
      </c>
      <c r="D1674" t="s">
        <v>97</v>
      </c>
      <c r="E1674" t="s">
        <v>116</v>
      </c>
      <c r="F1674" t="s">
        <v>150</v>
      </c>
      <c r="G1674" t="s">
        <v>175</v>
      </c>
      <c r="H1674" t="s">
        <v>210</v>
      </c>
      <c r="I1674" t="s">
        <v>230</v>
      </c>
      <c r="J1674" t="s">
        <v>249</v>
      </c>
      <c r="K1674" t="s">
        <v>263</v>
      </c>
      <c r="L1674" t="s">
        <v>275</v>
      </c>
      <c r="M1674" t="s">
        <v>284</v>
      </c>
      <c r="N1674" t="s">
        <v>294</v>
      </c>
      <c r="O1674" t="s">
        <v>302</v>
      </c>
      <c r="P1674" t="s">
        <v>310</v>
      </c>
      <c r="Q1674" t="s">
        <v>316</v>
      </c>
      <c r="R1674" t="s">
        <v>322</v>
      </c>
      <c r="S1674" t="s">
        <v>329</v>
      </c>
      <c r="AK1674" t="s">
        <v>357</v>
      </c>
    </row>
    <row r="1675" spans="1:37">
      <c r="A1675" t="s">
        <v>39</v>
      </c>
      <c r="B1675" t="s">
        <v>54</v>
      </c>
      <c r="C1675" t="s">
        <v>54</v>
      </c>
      <c r="D1675" t="s">
        <v>54</v>
      </c>
      <c r="E1675" t="s">
        <v>54</v>
      </c>
      <c r="F1675" t="s">
        <v>54</v>
      </c>
      <c r="G1675" t="s">
        <v>54</v>
      </c>
      <c r="H1675" t="s">
        <v>54</v>
      </c>
      <c r="I1675" t="s">
        <v>54</v>
      </c>
      <c r="J1675" t="s">
        <v>54</v>
      </c>
      <c r="K1675" t="s">
        <v>54</v>
      </c>
      <c r="L1675" t="s">
        <v>54</v>
      </c>
      <c r="M1675" t="s">
        <v>54</v>
      </c>
      <c r="N1675" t="s">
        <v>54</v>
      </c>
      <c r="O1675" t="s">
        <v>54</v>
      </c>
      <c r="P1675" t="s">
        <v>54</v>
      </c>
      <c r="Q1675" t="s">
        <v>54</v>
      </c>
      <c r="R1675" t="s">
        <v>323</v>
      </c>
      <c r="S1675" t="s">
        <v>330</v>
      </c>
      <c r="AK1675" t="s">
        <v>357</v>
      </c>
    </row>
    <row r="1676" spans="1:37">
      <c r="B1676" t="s">
        <v>55</v>
      </c>
      <c r="C1676" t="s">
        <v>78</v>
      </c>
      <c r="D1676" t="s">
        <v>55</v>
      </c>
      <c r="E1676" t="s">
        <v>78</v>
      </c>
      <c r="F1676" t="s">
        <v>55</v>
      </c>
      <c r="G1676" t="s">
        <v>78</v>
      </c>
      <c r="H1676" t="s">
        <v>55</v>
      </c>
      <c r="I1676" t="s">
        <v>78</v>
      </c>
      <c r="J1676" t="s">
        <v>55</v>
      </c>
      <c r="K1676" t="s">
        <v>78</v>
      </c>
      <c r="L1676" t="s">
        <v>55</v>
      </c>
      <c r="M1676" t="s">
        <v>78</v>
      </c>
      <c r="N1676" t="s">
        <v>55</v>
      </c>
      <c r="O1676" t="s">
        <v>78</v>
      </c>
      <c r="P1676" t="s">
        <v>55</v>
      </c>
      <c r="Q1676" t="s">
        <v>78</v>
      </c>
      <c r="R1676" t="s">
        <v>55</v>
      </c>
      <c r="S1676" t="s">
        <v>78</v>
      </c>
      <c r="T1676" t="s">
        <v>55</v>
      </c>
      <c r="U1676" t="s">
        <v>78</v>
      </c>
      <c r="V1676" t="s">
        <v>55</v>
      </c>
      <c r="W1676" t="s">
        <v>78</v>
      </c>
      <c r="X1676" t="s">
        <v>55</v>
      </c>
      <c r="Y1676" t="s">
        <v>78</v>
      </c>
      <c r="Z1676" t="s">
        <v>55</v>
      </c>
      <c r="AA1676" t="s">
        <v>78</v>
      </c>
      <c r="AB1676" t="s">
        <v>55</v>
      </c>
      <c r="AC1676" t="s">
        <v>78</v>
      </c>
      <c r="AD1676" t="s">
        <v>55</v>
      </c>
      <c r="AE1676" t="s">
        <v>78</v>
      </c>
      <c r="AF1676" t="s">
        <v>55</v>
      </c>
      <c r="AG1676" t="s">
        <v>78</v>
      </c>
      <c r="AH1676" t="s">
        <v>55</v>
      </c>
      <c r="AI1676" t="s">
        <v>78</v>
      </c>
      <c r="AK1676" t="s">
        <v>357</v>
      </c>
    </row>
    <row r="1677" spans="1:37">
      <c r="B1677" t="s">
        <v>56</v>
      </c>
      <c r="C1677" t="s">
        <v>56</v>
      </c>
      <c r="D1677" t="s">
        <v>56</v>
      </c>
      <c r="E1677" t="s">
        <v>56</v>
      </c>
      <c r="F1677" t="s">
        <v>56</v>
      </c>
      <c r="G1677" t="s">
        <v>176</v>
      </c>
      <c r="H1677" t="s">
        <v>211</v>
      </c>
      <c r="I1677" t="s">
        <v>231</v>
      </c>
      <c r="J1677" t="s">
        <v>250</v>
      </c>
      <c r="K1677" t="s">
        <v>264</v>
      </c>
      <c r="L1677" t="s">
        <v>276</v>
      </c>
      <c r="M1677" t="s">
        <v>285</v>
      </c>
      <c r="N1677" t="s">
        <v>295</v>
      </c>
      <c r="O1677" t="s">
        <v>303</v>
      </c>
      <c r="P1677" t="s">
        <v>56</v>
      </c>
      <c r="Q1677" t="s">
        <v>317</v>
      </c>
      <c r="R1677" t="s">
        <v>324</v>
      </c>
      <c r="S1677" t="s">
        <v>331</v>
      </c>
      <c r="T1677" t="s">
        <v>334</v>
      </c>
      <c r="U1677" t="s">
        <v>338</v>
      </c>
      <c r="V1677" t="s">
        <v>342</v>
      </c>
      <c r="W1677" t="s">
        <v>346</v>
      </c>
      <c r="X1677" t="s">
        <v>351</v>
      </c>
      <c r="AK1677" t="s">
        <v>357</v>
      </c>
    </row>
    <row r="1678" spans="1:37">
      <c r="B1678" t="s">
        <v>57</v>
      </c>
      <c r="C1678" t="s">
        <v>79</v>
      </c>
      <c r="D1678" t="s">
        <v>98</v>
      </c>
      <c r="E1678" t="s">
        <v>117</v>
      </c>
      <c r="F1678" t="s">
        <v>151</v>
      </c>
      <c r="G1678" t="s">
        <v>177</v>
      </c>
      <c r="H1678" t="s">
        <v>212</v>
      </c>
      <c r="I1678" t="s">
        <v>232</v>
      </c>
      <c r="J1678" t="s">
        <v>251</v>
      </c>
      <c r="K1678" t="s">
        <v>265</v>
      </c>
      <c r="L1678" t="s">
        <v>277</v>
      </c>
      <c r="M1678" t="s">
        <v>286</v>
      </c>
      <c r="N1678" t="s">
        <v>296</v>
      </c>
      <c r="O1678" t="s">
        <v>304</v>
      </c>
      <c r="P1678" t="s">
        <v>311</v>
      </c>
      <c r="Q1678" t="s">
        <v>318</v>
      </c>
      <c r="R1678" t="s">
        <v>185</v>
      </c>
      <c r="S1678" t="s">
        <v>159</v>
      </c>
      <c r="T1678" t="s">
        <v>185</v>
      </c>
      <c r="U1678" t="s">
        <v>339</v>
      </c>
      <c r="V1678" t="s">
        <v>72</v>
      </c>
      <c r="W1678" t="s">
        <v>347</v>
      </c>
      <c r="X1678" t="s">
        <v>72</v>
      </c>
      <c r="Y1678" t="s">
        <v>96</v>
      </c>
      <c r="AK1678" t="s">
        <v>357</v>
      </c>
    </row>
    <row r="1679" spans="1:37">
      <c r="B1679" t="s">
        <v>58</v>
      </c>
      <c r="C1679" t="s">
        <v>80</v>
      </c>
      <c r="D1679" t="s">
        <v>99</v>
      </c>
      <c r="E1679" t="s">
        <v>118</v>
      </c>
      <c r="F1679" t="s">
        <v>152</v>
      </c>
      <c r="G1679" t="s">
        <v>178</v>
      </c>
      <c r="H1679" t="s">
        <v>213</v>
      </c>
      <c r="I1679" t="s">
        <v>233</v>
      </c>
      <c r="J1679" t="s">
        <v>252</v>
      </c>
      <c r="K1679" t="s">
        <v>266</v>
      </c>
      <c r="L1679" t="s">
        <v>278</v>
      </c>
      <c r="M1679" t="s">
        <v>287</v>
      </c>
      <c r="N1679" t="s">
        <v>297</v>
      </c>
      <c r="O1679" t="s">
        <v>305</v>
      </c>
      <c r="P1679" t="s">
        <v>312</v>
      </c>
      <c r="Q1679" t="s">
        <v>319</v>
      </c>
      <c r="R1679">
        <f>&gt;10       ветра      2.9     18   6 18</f>
        <v>0</v>
      </c>
      <c r="AK1679" t="s">
        <v>357</v>
      </c>
    </row>
    <row r="1680" spans="1:37">
      <c r="A1680" t="s">
        <v>40</v>
      </c>
      <c r="B1680" t="s">
        <v>59</v>
      </c>
      <c r="C1680" t="s">
        <v>81</v>
      </c>
      <c r="D1680" t="s">
        <v>100</v>
      </c>
      <c r="E1680" t="s">
        <v>119</v>
      </c>
      <c r="F1680" t="s">
        <v>153</v>
      </c>
      <c r="G1680" t="s">
        <v>179</v>
      </c>
      <c r="H1680" t="s">
        <v>214</v>
      </c>
      <c r="I1680" t="s">
        <v>234</v>
      </c>
      <c r="AK1680" t="s">
        <v>357</v>
      </c>
    </row>
    <row r="1681" spans="1:37">
      <c r="A1681" t="s">
        <v>40</v>
      </c>
      <c r="B1681" t="s">
        <v>60</v>
      </c>
      <c r="C1681" t="s">
        <v>82</v>
      </c>
      <c r="D1681" t="s">
        <v>101</v>
      </c>
      <c r="E1681" t="s">
        <v>120</v>
      </c>
      <c r="F1681" t="s">
        <v>154</v>
      </c>
      <c r="G1681" t="s">
        <v>180</v>
      </c>
      <c r="H1681" t="s">
        <v>215</v>
      </c>
      <c r="I1681" t="s">
        <v>235</v>
      </c>
      <c r="J1681" t="s">
        <v>253</v>
      </c>
      <c r="K1681" t="s">
        <v>267</v>
      </c>
      <c r="L1681" t="s">
        <v>279</v>
      </c>
      <c r="M1681" t="s">
        <v>288</v>
      </c>
      <c r="N1681" t="s">
        <v>100</v>
      </c>
      <c r="O1681" t="s">
        <v>306</v>
      </c>
      <c r="P1681" t="s">
        <v>313</v>
      </c>
      <c r="Q1681" t="s">
        <v>320</v>
      </c>
      <c r="R1681" t="s">
        <v>325</v>
      </c>
      <c r="S1681" t="s">
        <v>332</v>
      </c>
      <c r="T1681" t="s">
        <v>119</v>
      </c>
      <c r="U1681" t="s">
        <v>234</v>
      </c>
      <c r="V1681" t="s">
        <v>343</v>
      </c>
      <c r="W1681" t="s">
        <v>348</v>
      </c>
      <c r="X1681" t="s">
        <v>352</v>
      </c>
      <c r="Y1681" t="s">
        <v>354</v>
      </c>
      <c r="AK1681" t="s">
        <v>357</v>
      </c>
    </row>
    <row r="1682" spans="1:37">
      <c r="A1682" t="s">
        <v>41</v>
      </c>
      <c r="B1682" t="s">
        <v>61</v>
      </c>
      <c r="C1682" t="s">
        <v>83</v>
      </c>
      <c r="D1682" t="s">
        <v>102</v>
      </c>
      <c r="E1682" t="s">
        <v>121</v>
      </c>
      <c r="F1682" t="s">
        <v>155</v>
      </c>
      <c r="G1682" t="s">
        <v>181</v>
      </c>
      <c r="H1682" t="s">
        <v>216</v>
      </c>
      <c r="I1682" t="s">
        <v>236</v>
      </c>
      <c r="AK1682" t="s">
        <v>357</v>
      </c>
    </row>
    <row r="1683" spans="1:37">
      <c r="A1683" t="s">
        <v>42</v>
      </c>
      <c r="B1683" t="s">
        <v>62</v>
      </c>
      <c r="C1683" t="s">
        <v>84</v>
      </c>
      <c r="D1683" t="s">
        <v>103</v>
      </c>
      <c r="E1683" t="s">
        <v>122</v>
      </c>
      <c r="F1683" t="s">
        <v>156</v>
      </c>
      <c r="G1683" t="s">
        <v>182</v>
      </c>
      <c r="H1683" t="s">
        <v>83</v>
      </c>
      <c r="I1683" t="s">
        <v>237</v>
      </c>
      <c r="J1683" t="s">
        <v>254</v>
      </c>
      <c r="K1683" t="s">
        <v>268</v>
      </c>
      <c r="L1683" t="s">
        <v>280</v>
      </c>
      <c r="M1683" t="s">
        <v>289</v>
      </c>
      <c r="N1683" t="s">
        <v>298</v>
      </c>
      <c r="O1683" t="s">
        <v>307</v>
      </c>
      <c r="P1683" t="s">
        <v>314</v>
      </c>
      <c r="Q1683" t="s">
        <v>216</v>
      </c>
      <c r="R1683" t="s">
        <v>326</v>
      </c>
      <c r="S1683" t="s">
        <v>333</v>
      </c>
      <c r="T1683" t="s">
        <v>335</v>
      </c>
      <c r="U1683" t="s">
        <v>340</v>
      </c>
      <c r="V1683" t="s">
        <v>344</v>
      </c>
      <c r="W1683" t="s">
        <v>349</v>
      </c>
      <c r="AK1683" t="s">
        <v>357</v>
      </c>
    </row>
    <row r="1684" spans="1:37">
      <c r="A1684" t="s">
        <v>43</v>
      </c>
      <c r="B1684" t="s">
        <v>63</v>
      </c>
      <c r="C1684" t="s">
        <v>85</v>
      </c>
      <c r="D1684" t="s">
        <v>104</v>
      </c>
      <c r="E1684" t="s">
        <v>123</v>
      </c>
      <c r="F1684" t="s">
        <v>157</v>
      </c>
      <c r="G1684" t="s">
        <v>183</v>
      </c>
      <c r="AK1684" t="s">
        <v>357</v>
      </c>
    </row>
    <row r="1685" spans="1:37">
      <c r="A1685" t="s">
        <v>44</v>
      </c>
      <c r="B1685" t="s">
        <v>64</v>
      </c>
      <c r="C1685" t="s">
        <v>86</v>
      </c>
      <c r="D1685" t="s">
        <v>105</v>
      </c>
      <c r="E1685" t="s">
        <v>124</v>
      </c>
      <c r="F1685" t="s">
        <v>158</v>
      </c>
      <c r="G1685" t="s">
        <v>184</v>
      </c>
      <c r="AK1685" t="s">
        <v>357</v>
      </c>
    </row>
    <row r="1686" spans="1:37">
      <c r="A1686" t="s">
        <v>45</v>
      </c>
      <c r="B1686" t="s">
        <v>65</v>
      </c>
      <c r="C1686" t="s">
        <v>87</v>
      </c>
      <c r="D1686" t="s">
        <v>106</v>
      </c>
      <c r="E1686" t="s">
        <v>125</v>
      </c>
      <c r="F1686" t="s">
        <v>159</v>
      </c>
      <c r="G1686" t="s">
        <v>185</v>
      </c>
      <c r="H1686" t="s">
        <v>159</v>
      </c>
      <c r="I1686" t="s">
        <v>185</v>
      </c>
      <c r="J1686" t="s">
        <v>255</v>
      </c>
      <c r="AK1686" t="s">
        <v>357</v>
      </c>
    </row>
    <row r="1687" spans="1:37">
      <c r="A1687" t="s">
        <v>46</v>
      </c>
      <c r="B1687" t="s">
        <v>66</v>
      </c>
      <c r="C1687" t="s">
        <v>88</v>
      </c>
      <c r="D1687" t="s">
        <v>76</v>
      </c>
      <c r="E1687" t="s">
        <v>126</v>
      </c>
      <c r="F1687" t="s">
        <v>160</v>
      </c>
      <c r="G1687" t="s">
        <v>186</v>
      </c>
      <c r="H1687" t="s">
        <v>217</v>
      </c>
      <c r="I1687" t="s">
        <v>238</v>
      </c>
      <c r="J1687" t="s">
        <v>256</v>
      </c>
      <c r="K1687" t="s">
        <v>265</v>
      </c>
      <c r="L1687" t="s">
        <v>281</v>
      </c>
      <c r="M1687" t="s">
        <v>290</v>
      </c>
      <c r="N1687" t="s">
        <v>299</v>
      </c>
      <c r="O1687" t="s">
        <v>308</v>
      </c>
      <c r="P1687" t="s">
        <v>228</v>
      </c>
      <c r="Q1687" t="s">
        <v>72</v>
      </c>
      <c r="R1687" t="s">
        <v>327</v>
      </c>
      <c r="S1687" t="s">
        <v>327</v>
      </c>
      <c r="T1687" t="s">
        <v>336</v>
      </c>
      <c r="U1687" t="s">
        <v>336</v>
      </c>
      <c r="V1687" t="s">
        <v>336</v>
      </c>
      <c r="W1687" t="s">
        <v>336</v>
      </c>
      <c r="X1687" t="s">
        <v>353</v>
      </c>
      <c r="AK1687" t="s">
        <v>357</v>
      </c>
    </row>
    <row r="1688" spans="1:37">
      <c r="A1688" t="s">
        <v>37</v>
      </c>
      <c r="B1688" t="s">
        <v>49</v>
      </c>
      <c r="C1688" t="s">
        <v>73</v>
      </c>
      <c r="D1688" t="s">
        <v>94</v>
      </c>
      <c r="E1688" t="s">
        <v>112</v>
      </c>
      <c r="F1688" t="s">
        <v>146</v>
      </c>
      <c r="G1688" t="s">
        <v>172</v>
      </c>
      <c r="H1688" t="s">
        <v>207</v>
      </c>
      <c r="I1688" t="s">
        <v>226</v>
      </c>
      <c r="J1688" t="s">
        <v>246</v>
      </c>
      <c r="K1688" t="s">
        <v>259</v>
      </c>
      <c r="AK1688" t="s">
        <v>357</v>
      </c>
    </row>
    <row r="1689" spans="1:37">
      <c r="A1689" t="s">
        <v>38</v>
      </c>
      <c r="B1689" t="s">
        <v>50</v>
      </c>
      <c r="C1689" t="s">
        <v>74</v>
      </c>
      <c r="D1689" t="s">
        <v>95</v>
      </c>
      <c r="E1689" t="s">
        <v>113</v>
      </c>
      <c r="F1689" t="s">
        <v>147</v>
      </c>
      <c r="G1689" t="s">
        <v>173</v>
      </c>
      <c r="H1689" t="s">
        <v>208</v>
      </c>
      <c r="I1689" t="s">
        <v>227</v>
      </c>
      <c r="J1689" t="s">
        <v>115</v>
      </c>
      <c r="K1689" t="s">
        <v>260</v>
      </c>
      <c r="L1689" t="s">
        <v>273</v>
      </c>
      <c r="M1689" t="s">
        <v>282</v>
      </c>
      <c r="N1689" t="s">
        <v>291</v>
      </c>
      <c r="AK1689" t="s">
        <v>357</v>
      </c>
    </row>
    <row r="1690" spans="1:37">
      <c r="B1690" t="s">
        <v>51</v>
      </c>
      <c r="C1690" t="s">
        <v>75</v>
      </c>
      <c r="D1690" t="s">
        <v>52</v>
      </c>
      <c r="E1690" t="s">
        <v>114</v>
      </c>
      <c r="F1690" t="s">
        <v>148</v>
      </c>
      <c r="G1690" t="s">
        <v>148</v>
      </c>
      <c r="H1690" t="s">
        <v>209</v>
      </c>
      <c r="I1690" t="s">
        <v>228</v>
      </c>
      <c r="J1690" t="s">
        <v>247</v>
      </c>
      <c r="K1690" t="s">
        <v>261</v>
      </c>
      <c r="L1690" t="s">
        <v>274</v>
      </c>
      <c r="M1690" t="s">
        <v>283</v>
      </c>
      <c r="N1690" t="s">
        <v>292</v>
      </c>
      <c r="O1690" t="s">
        <v>300</v>
      </c>
      <c r="AK1690" t="s">
        <v>357</v>
      </c>
    </row>
    <row r="1691" spans="1:37">
      <c r="B1691" t="s">
        <v>52</v>
      </c>
      <c r="C1691" t="s">
        <v>76</v>
      </c>
      <c r="D1691" t="s">
        <v>96</v>
      </c>
      <c r="E1691" t="s">
        <v>115</v>
      </c>
      <c r="F1691" t="s">
        <v>149</v>
      </c>
      <c r="G1691" t="s">
        <v>174</v>
      </c>
      <c r="H1691" t="s">
        <v>96</v>
      </c>
      <c r="I1691" t="s">
        <v>229</v>
      </c>
      <c r="J1691" t="s">
        <v>248</v>
      </c>
      <c r="K1691" t="s">
        <v>262</v>
      </c>
      <c r="L1691" t="s">
        <v>52</v>
      </c>
      <c r="M1691" t="s">
        <v>76</v>
      </c>
      <c r="N1691" t="s">
        <v>293</v>
      </c>
      <c r="O1691" t="s">
        <v>301</v>
      </c>
      <c r="P1691" t="s">
        <v>309</v>
      </c>
      <c r="Q1691" t="s">
        <v>315</v>
      </c>
      <c r="R1691" t="s">
        <v>228</v>
      </c>
      <c r="S1691" t="s">
        <v>328</v>
      </c>
      <c r="T1691" t="s">
        <v>149</v>
      </c>
      <c r="U1691" t="s">
        <v>337</v>
      </c>
      <c r="V1691" t="s">
        <v>341</v>
      </c>
      <c r="W1691" t="s">
        <v>345</v>
      </c>
      <c r="X1691" t="s">
        <v>350</v>
      </c>
      <c r="AK1691" t="s">
        <v>357</v>
      </c>
    </row>
    <row r="1692" spans="1:37">
      <c r="B1692" t="s">
        <v>53</v>
      </c>
      <c r="C1692" t="s">
        <v>77</v>
      </c>
      <c r="D1692" t="s">
        <v>97</v>
      </c>
      <c r="E1692" t="s">
        <v>116</v>
      </c>
      <c r="F1692" t="s">
        <v>150</v>
      </c>
      <c r="G1692" t="s">
        <v>175</v>
      </c>
      <c r="H1692" t="s">
        <v>210</v>
      </c>
      <c r="I1692" t="s">
        <v>230</v>
      </c>
      <c r="J1692" t="s">
        <v>249</v>
      </c>
      <c r="K1692" t="s">
        <v>263</v>
      </c>
      <c r="L1692" t="s">
        <v>275</v>
      </c>
      <c r="M1692" t="s">
        <v>284</v>
      </c>
      <c r="N1692" t="s">
        <v>294</v>
      </c>
      <c r="O1692" t="s">
        <v>302</v>
      </c>
      <c r="P1692" t="s">
        <v>310</v>
      </c>
      <c r="Q1692" t="s">
        <v>316</v>
      </c>
      <c r="R1692" t="s">
        <v>322</v>
      </c>
      <c r="S1692" t="s">
        <v>329</v>
      </c>
      <c r="AK1692" t="s">
        <v>357</v>
      </c>
    </row>
    <row r="1693" spans="1:37">
      <c r="A1693" t="s">
        <v>39</v>
      </c>
      <c r="B1693" t="s">
        <v>54</v>
      </c>
      <c r="C1693" t="s">
        <v>54</v>
      </c>
      <c r="D1693" t="s">
        <v>54</v>
      </c>
      <c r="E1693" t="s">
        <v>54</v>
      </c>
      <c r="F1693" t="s">
        <v>54</v>
      </c>
      <c r="G1693" t="s">
        <v>54</v>
      </c>
      <c r="H1693" t="s">
        <v>54</v>
      </c>
      <c r="I1693" t="s">
        <v>54</v>
      </c>
      <c r="J1693" t="s">
        <v>54</v>
      </c>
      <c r="K1693" t="s">
        <v>54</v>
      </c>
      <c r="L1693" t="s">
        <v>54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323</v>
      </c>
      <c r="S1693" t="s">
        <v>330</v>
      </c>
      <c r="AK1693" t="s">
        <v>357</v>
      </c>
    </row>
    <row r="1694" spans="1:37">
      <c r="B1694" t="s">
        <v>55</v>
      </c>
      <c r="C1694" t="s">
        <v>78</v>
      </c>
      <c r="D1694" t="s">
        <v>55</v>
      </c>
      <c r="E1694" t="s">
        <v>78</v>
      </c>
      <c r="F1694" t="s">
        <v>55</v>
      </c>
      <c r="G1694" t="s">
        <v>78</v>
      </c>
      <c r="H1694" t="s">
        <v>55</v>
      </c>
      <c r="I1694" t="s">
        <v>78</v>
      </c>
      <c r="J1694" t="s">
        <v>55</v>
      </c>
      <c r="K1694" t="s">
        <v>78</v>
      </c>
      <c r="L1694" t="s">
        <v>55</v>
      </c>
      <c r="M1694" t="s">
        <v>78</v>
      </c>
      <c r="N1694" t="s">
        <v>55</v>
      </c>
      <c r="O1694" t="s">
        <v>78</v>
      </c>
      <c r="P1694" t="s">
        <v>55</v>
      </c>
      <c r="Q1694" t="s">
        <v>78</v>
      </c>
      <c r="R1694" t="s">
        <v>55</v>
      </c>
      <c r="S1694" t="s">
        <v>78</v>
      </c>
      <c r="T1694" t="s">
        <v>55</v>
      </c>
      <c r="U1694" t="s">
        <v>78</v>
      </c>
      <c r="V1694" t="s">
        <v>55</v>
      </c>
      <c r="W1694" t="s">
        <v>78</v>
      </c>
      <c r="X1694" t="s">
        <v>55</v>
      </c>
      <c r="Y1694" t="s">
        <v>78</v>
      </c>
      <c r="Z1694" t="s">
        <v>55</v>
      </c>
      <c r="AA1694" t="s">
        <v>78</v>
      </c>
      <c r="AB1694" t="s">
        <v>55</v>
      </c>
      <c r="AC1694" t="s">
        <v>78</v>
      </c>
      <c r="AD1694" t="s">
        <v>55</v>
      </c>
      <c r="AE1694" t="s">
        <v>78</v>
      </c>
      <c r="AF1694" t="s">
        <v>55</v>
      </c>
      <c r="AG1694" t="s">
        <v>78</v>
      </c>
      <c r="AH1694" t="s">
        <v>55</v>
      </c>
      <c r="AI1694" t="s">
        <v>78</v>
      </c>
      <c r="AK1694" t="s">
        <v>357</v>
      </c>
    </row>
    <row r="1695" spans="1:37">
      <c r="B1695" t="s">
        <v>56</v>
      </c>
      <c r="C1695" t="s">
        <v>56</v>
      </c>
      <c r="D1695" t="s">
        <v>56</v>
      </c>
      <c r="E1695" t="s">
        <v>56</v>
      </c>
      <c r="F1695" t="s">
        <v>56</v>
      </c>
      <c r="G1695" t="s">
        <v>176</v>
      </c>
      <c r="H1695" t="s">
        <v>211</v>
      </c>
      <c r="I1695" t="s">
        <v>231</v>
      </c>
      <c r="J1695" t="s">
        <v>250</v>
      </c>
      <c r="K1695" t="s">
        <v>264</v>
      </c>
      <c r="L1695" t="s">
        <v>276</v>
      </c>
      <c r="M1695" t="s">
        <v>285</v>
      </c>
      <c r="N1695" t="s">
        <v>295</v>
      </c>
      <c r="O1695" t="s">
        <v>303</v>
      </c>
      <c r="P1695" t="s">
        <v>56</v>
      </c>
      <c r="Q1695" t="s">
        <v>317</v>
      </c>
      <c r="R1695" t="s">
        <v>324</v>
      </c>
      <c r="S1695" t="s">
        <v>331</v>
      </c>
      <c r="T1695" t="s">
        <v>334</v>
      </c>
      <c r="U1695" t="s">
        <v>338</v>
      </c>
      <c r="V1695" t="s">
        <v>342</v>
      </c>
      <c r="W1695" t="s">
        <v>346</v>
      </c>
      <c r="X1695" t="s">
        <v>351</v>
      </c>
      <c r="AK1695" t="s">
        <v>357</v>
      </c>
    </row>
    <row r="1696" spans="1:37">
      <c r="B1696" t="s">
        <v>57</v>
      </c>
      <c r="C1696" t="s">
        <v>79</v>
      </c>
      <c r="D1696" t="s">
        <v>98</v>
      </c>
      <c r="E1696" t="s">
        <v>117</v>
      </c>
      <c r="F1696" t="s">
        <v>151</v>
      </c>
      <c r="G1696" t="s">
        <v>177</v>
      </c>
      <c r="H1696" t="s">
        <v>212</v>
      </c>
      <c r="I1696" t="s">
        <v>232</v>
      </c>
      <c r="J1696" t="s">
        <v>251</v>
      </c>
      <c r="K1696" t="s">
        <v>265</v>
      </c>
      <c r="L1696" t="s">
        <v>277</v>
      </c>
      <c r="M1696" t="s">
        <v>286</v>
      </c>
      <c r="N1696" t="s">
        <v>296</v>
      </c>
      <c r="O1696" t="s">
        <v>304</v>
      </c>
      <c r="P1696" t="s">
        <v>311</v>
      </c>
      <c r="Q1696" t="s">
        <v>318</v>
      </c>
      <c r="R1696" t="s">
        <v>185</v>
      </c>
      <c r="S1696" t="s">
        <v>159</v>
      </c>
      <c r="T1696" t="s">
        <v>185</v>
      </c>
      <c r="U1696" t="s">
        <v>339</v>
      </c>
      <c r="V1696" t="s">
        <v>72</v>
      </c>
      <c r="W1696" t="s">
        <v>347</v>
      </c>
      <c r="X1696" t="s">
        <v>72</v>
      </c>
      <c r="Y1696" t="s">
        <v>96</v>
      </c>
      <c r="AK1696" t="s">
        <v>357</v>
      </c>
    </row>
    <row r="1697" spans="1:37">
      <c r="B1697" t="s">
        <v>58</v>
      </c>
      <c r="C1697" t="s">
        <v>80</v>
      </c>
      <c r="D1697" t="s">
        <v>99</v>
      </c>
      <c r="E1697" t="s">
        <v>118</v>
      </c>
      <c r="F1697" t="s">
        <v>152</v>
      </c>
      <c r="G1697" t="s">
        <v>178</v>
      </c>
      <c r="H1697" t="s">
        <v>213</v>
      </c>
      <c r="I1697" t="s">
        <v>233</v>
      </c>
      <c r="J1697" t="s">
        <v>252</v>
      </c>
      <c r="K1697" t="s">
        <v>266</v>
      </c>
      <c r="L1697" t="s">
        <v>278</v>
      </c>
      <c r="M1697" t="s">
        <v>287</v>
      </c>
      <c r="N1697" t="s">
        <v>297</v>
      </c>
      <c r="O1697" t="s">
        <v>305</v>
      </c>
      <c r="P1697" t="s">
        <v>312</v>
      </c>
      <c r="Q1697" t="s">
        <v>319</v>
      </c>
      <c r="R1697">
        <f>&gt;10       ветра      3.0     20   1</f>
        <v>0</v>
      </c>
      <c r="AK1697" t="s">
        <v>357</v>
      </c>
    </row>
    <row r="1698" spans="1:37">
      <c r="A1698" t="s">
        <v>40</v>
      </c>
      <c r="B1698" t="s">
        <v>59</v>
      </c>
      <c r="C1698" t="s">
        <v>81</v>
      </c>
      <c r="D1698" t="s">
        <v>100</v>
      </c>
      <c r="E1698" t="s">
        <v>119</v>
      </c>
      <c r="F1698" t="s">
        <v>153</v>
      </c>
      <c r="G1698" t="s">
        <v>179</v>
      </c>
      <c r="H1698" t="s">
        <v>214</v>
      </c>
      <c r="I1698" t="s">
        <v>234</v>
      </c>
      <c r="AK1698" t="s">
        <v>357</v>
      </c>
    </row>
    <row r="1699" spans="1:37">
      <c r="A1699" t="s">
        <v>40</v>
      </c>
      <c r="B1699" t="s">
        <v>60</v>
      </c>
      <c r="C1699" t="s">
        <v>82</v>
      </c>
      <c r="D1699" t="s">
        <v>101</v>
      </c>
      <c r="E1699" t="s">
        <v>120</v>
      </c>
      <c r="F1699" t="s">
        <v>154</v>
      </c>
      <c r="G1699" t="s">
        <v>180</v>
      </c>
      <c r="H1699" t="s">
        <v>215</v>
      </c>
      <c r="I1699" t="s">
        <v>235</v>
      </c>
      <c r="J1699" t="s">
        <v>253</v>
      </c>
      <c r="K1699" t="s">
        <v>267</v>
      </c>
      <c r="L1699" t="s">
        <v>279</v>
      </c>
      <c r="M1699" t="s">
        <v>288</v>
      </c>
      <c r="N1699" t="s">
        <v>100</v>
      </c>
      <c r="O1699" t="s">
        <v>306</v>
      </c>
      <c r="P1699" t="s">
        <v>313</v>
      </c>
      <c r="Q1699" t="s">
        <v>320</v>
      </c>
      <c r="R1699" t="s">
        <v>325</v>
      </c>
      <c r="S1699" t="s">
        <v>332</v>
      </c>
      <c r="T1699" t="s">
        <v>119</v>
      </c>
      <c r="U1699" t="s">
        <v>234</v>
      </c>
      <c r="V1699" t="s">
        <v>343</v>
      </c>
      <c r="W1699" t="s">
        <v>348</v>
      </c>
      <c r="X1699" t="s">
        <v>352</v>
      </c>
      <c r="Y1699" t="s">
        <v>354</v>
      </c>
      <c r="AK1699" t="s">
        <v>357</v>
      </c>
    </row>
    <row r="1700" spans="1:37">
      <c r="A1700" t="s">
        <v>41</v>
      </c>
      <c r="B1700" t="s">
        <v>61</v>
      </c>
      <c r="C1700" t="s">
        <v>83</v>
      </c>
      <c r="D1700" t="s">
        <v>102</v>
      </c>
      <c r="E1700" t="s">
        <v>121</v>
      </c>
      <c r="F1700" t="s">
        <v>155</v>
      </c>
      <c r="G1700" t="s">
        <v>181</v>
      </c>
      <c r="H1700" t="s">
        <v>216</v>
      </c>
      <c r="I1700" t="s">
        <v>236</v>
      </c>
      <c r="AK1700" t="s">
        <v>357</v>
      </c>
    </row>
    <row r="1701" spans="1:37">
      <c r="A1701" t="s">
        <v>42</v>
      </c>
      <c r="B1701" t="s">
        <v>62</v>
      </c>
      <c r="C1701" t="s">
        <v>84</v>
      </c>
      <c r="D1701" t="s">
        <v>103</v>
      </c>
      <c r="E1701" t="s">
        <v>122</v>
      </c>
      <c r="F1701" t="s">
        <v>156</v>
      </c>
      <c r="G1701" t="s">
        <v>182</v>
      </c>
      <c r="H1701" t="s">
        <v>83</v>
      </c>
      <c r="I1701" t="s">
        <v>237</v>
      </c>
      <c r="J1701" t="s">
        <v>254</v>
      </c>
      <c r="K1701" t="s">
        <v>268</v>
      </c>
      <c r="L1701" t="s">
        <v>280</v>
      </c>
      <c r="M1701" t="s">
        <v>289</v>
      </c>
      <c r="N1701" t="s">
        <v>298</v>
      </c>
      <c r="O1701" t="s">
        <v>307</v>
      </c>
      <c r="P1701" t="s">
        <v>314</v>
      </c>
      <c r="Q1701" t="s">
        <v>216</v>
      </c>
      <c r="R1701" t="s">
        <v>326</v>
      </c>
      <c r="S1701" t="s">
        <v>333</v>
      </c>
      <c r="T1701" t="s">
        <v>335</v>
      </c>
      <c r="U1701" t="s">
        <v>340</v>
      </c>
      <c r="V1701" t="s">
        <v>344</v>
      </c>
      <c r="W1701" t="s">
        <v>349</v>
      </c>
      <c r="AK1701" t="s">
        <v>357</v>
      </c>
    </row>
    <row r="1702" spans="1:37">
      <c r="A1702" t="s">
        <v>43</v>
      </c>
      <c r="B1702" t="s">
        <v>63</v>
      </c>
      <c r="C1702" t="s">
        <v>85</v>
      </c>
      <c r="D1702" t="s">
        <v>104</v>
      </c>
      <c r="E1702" t="s">
        <v>123</v>
      </c>
      <c r="F1702" t="s">
        <v>157</v>
      </c>
      <c r="G1702" t="s">
        <v>183</v>
      </c>
      <c r="AK1702" t="s">
        <v>357</v>
      </c>
    </row>
    <row r="1703" spans="1:37">
      <c r="A1703" t="s">
        <v>44</v>
      </c>
      <c r="B1703" t="s">
        <v>64</v>
      </c>
      <c r="C1703" t="s">
        <v>86</v>
      </c>
      <c r="D1703" t="s">
        <v>105</v>
      </c>
      <c r="E1703" t="s">
        <v>124</v>
      </c>
      <c r="F1703" t="s">
        <v>158</v>
      </c>
      <c r="G1703" t="s">
        <v>184</v>
      </c>
      <c r="AK1703" t="s">
        <v>357</v>
      </c>
    </row>
    <row r="1704" spans="1:37">
      <c r="A1704" t="s">
        <v>45</v>
      </c>
      <c r="B1704" t="s">
        <v>65</v>
      </c>
      <c r="C1704" t="s">
        <v>87</v>
      </c>
      <c r="D1704" t="s">
        <v>106</v>
      </c>
      <c r="E1704" t="s">
        <v>125</v>
      </c>
      <c r="F1704" t="s">
        <v>159</v>
      </c>
      <c r="G1704" t="s">
        <v>185</v>
      </c>
      <c r="H1704" t="s">
        <v>159</v>
      </c>
      <c r="I1704" t="s">
        <v>185</v>
      </c>
      <c r="J1704" t="s">
        <v>255</v>
      </c>
      <c r="AK1704" t="s">
        <v>357</v>
      </c>
    </row>
    <row r="1705" spans="1:37">
      <c r="A1705" t="s">
        <v>46</v>
      </c>
      <c r="B1705" t="s">
        <v>66</v>
      </c>
      <c r="C1705" t="s">
        <v>88</v>
      </c>
      <c r="D1705" t="s">
        <v>76</v>
      </c>
      <c r="E1705" t="s">
        <v>126</v>
      </c>
      <c r="F1705" t="s">
        <v>160</v>
      </c>
      <c r="G1705" t="s">
        <v>186</v>
      </c>
      <c r="H1705" t="s">
        <v>217</v>
      </c>
      <c r="I1705" t="s">
        <v>238</v>
      </c>
      <c r="J1705" t="s">
        <v>256</v>
      </c>
      <c r="K1705" t="s">
        <v>265</v>
      </c>
      <c r="L1705" t="s">
        <v>281</v>
      </c>
      <c r="M1705" t="s">
        <v>290</v>
      </c>
      <c r="N1705" t="s">
        <v>299</v>
      </c>
      <c r="O1705" t="s">
        <v>308</v>
      </c>
      <c r="P1705" t="s">
        <v>228</v>
      </c>
      <c r="Q1705" t="s">
        <v>72</v>
      </c>
      <c r="R1705" t="s">
        <v>327</v>
      </c>
      <c r="S1705" t="s">
        <v>327</v>
      </c>
      <c r="T1705" t="s">
        <v>336</v>
      </c>
      <c r="U1705" t="s">
        <v>336</v>
      </c>
      <c r="V1705" t="s">
        <v>336</v>
      </c>
      <c r="W1705" t="s">
        <v>336</v>
      </c>
      <c r="X1705" t="s">
        <v>353</v>
      </c>
      <c r="AK1705" t="s">
        <v>357</v>
      </c>
    </row>
    <row r="1706" spans="1:37">
      <c r="A1706" t="s">
        <v>37</v>
      </c>
      <c r="B1706" t="s">
        <v>49</v>
      </c>
      <c r="C1706" t="s">
        <v>73</v>
      </c>
      <c r="D1706" t="s">
        <v>94</v>
      </c>
      <c r="E1706" t="s">
        <v>112</v>
      </c>
      <c r="F1706" t="s">
        <v>146</v>
      </c>
      <c r="G1706" t="s">
        <v>172</v>
      </c>
      <c r="H1706" t="s">
        <v>207</v>
      </c>
      <c r="I1706" t="s">
        <v>226</v>
      </c>
      <c r="J1706" t="s">
        <v>246</v>
      </c>
      <c r="K1706" t="s">
        <v>259</v>
      </c>
      <c r="AK1706" t="s">
        <v>357</v>
      </c>
    </row>
    <row r="1707" spans="1:37">
      <c r="A1707" t="s">
        <v>38</v>
      </c>
      <c r="B1707" t="s">
        <v>50</v>
      </c>
      <c r="C1707" t="s">
        <v>74</v>
      </c>
      <c r="D1707" t="s">
        <v>95</v>
      </c>
      <c r="E1707" t="s">
        <v>113</v>
      </c>
      <c r="F1707" t="s">
        <v>147</v>
      </c>
      <c r="G1707" t="s">
        <v>173</v>
      </c>
      <c r="H1707" t="s">
        <v>208</v>
      </c>
      <c r="I1707" t="s">
        <v>227</v>
      </c>
      <c r="J1707" t="s">
        <v>115</v>
      </c>
      <c r="K1707" t="s">
        <v>260</v>
      </c>
      <c r="L1707" t="s">
        <v>273</v>
      </c>
      <c r="M1707" t="s">
        <v>282</v>
      </c>
      <c r="N1707" t="s">
        <v>291</v>
      </c>
      <c r="AK1707" t="s">
        <v>357</v>
      </c>
    </row>
    <row r="1708" spans="1:37">
      <c r="B1708" t="s">
        <v>51</v>
      </c>
      <c r="C1708" t="s">
        <v>75</v>
      </c>
      <c r="D1708" t="s">
        <v>52</v>
      </c>
      <c r="E1708" t="s">
        <v>114</v>
      </c>
      <c r="F1708" t="s">
        <v>148</v>
      </c>
      <c r="G1708" t="s">
        <v>148</v>
      </c>
      <c r="H1708" t="s">
        <v>209</v>
      </c>
      <c r="I1708" t="s">
        <v>228</v>
      </c>
      <c r="J1708" t="s">
        <v>247</v>
      </c>
      <c r="K1708" t="s">
        <v>261</v>
      </c>
      <c r="L1708" t="s">
        <v>274</v>
      </c>
      <c r="M1708" t="s">
        <v>283</v>
      </c>
      <c r="N1708" t="s">
        <v>292</v>
      </c>
      <c r="O1708" t="s">
        <v>300</v>
      </c>
      <c r="AK1708" t="s">
        <v>357</v>
      </c>
    </row>
    <row r="1709" spans="1:37">
      <c r="B1709" t="s">
        <v>52</v>
      </c>
      <c r="C1709" t="s">
        <v>76</v>
      </c>
      <c r="D1709" t="s">
        <v>96</v>
      </c>
      <c r="E1709" t="s">
        <v>115</v>
      </c>
      <c r="F1709" t="s">
        <v>149</v>
      </c>
      <c r="G1709" t="s">
        <v>174</v>
      </c>
      <c r="H1709" t="s">
        <v>96</v>
      </c>
      <c r="I1709" t="s">
        <v>229</v>
      </c>
      <c r="J1709" t="s">
        <v>248</v>
      </c>
      <c r="K1709" t="s">
        <v>262</v>
      </c>
      <c r="L1709" t="s">
        <v>52</v>
      </c>
      <c r="M1709" t="s">
        <v>76</v>
      </c>
      <c r="N1709" t="s">
        <v>293</v>
      </c>
      <c r="O1709" t="s">
        <v>301</v>
      </c>
      <c r="P1709" t="s">
        <v>309</v>
      </c>
      <c r="Q1709" t="s">
        <v>315</v>
      </c>
      <c r="R1709" t="s">
        <v>228</v>
      </c>
      <c r="S1709" t="s">
        <v>328</v>
      </c>
      <c r="T1709" t="s">
        <v>149</v>
      </c>
      <c r="U1709" t="s">
        <v>337</v>
      </c>
      <c r="V1709" t="s">
        <v>341</v>
      </c>
      <c r="W1709" t="s">
        <v>345</v>
      </c>
      <c r="X1709" t="s">
        <v>350</v>
      </c>
      <c r="AK1709" t="s">
        <v>357</v>
      </c>
    </row>
    <row r="1710" spans="1:37">
      <c r="B1710" t="s">
        <v>53</v>
      </c>
      <c r="C1710" t="s">
        <v>77</v>
      </c>
      <c r="D1710" t="s">
        <v>97</v>
      </c>
      <c r="E1710" t="s">
        <v>116</v>
      </c>
      <c r="F1710" t="s">
        <v>150</v>
      </c>
      <c r="G1710" t="s">
        <v>175</v>
      </c>
      <c r="H1710" t="s">
        <v>210</v>
      </c>
      <c r="I1710" t="s">
        <v>230</v>
      </c>
      <c r="J1710" t="s">
        <v>249</v>
      </c>
      <c r="K1710" t="s">
        <v>263</v>
      </c>
      <c r="L1710" t="s">
        <v>275</v>
      </c>
      <c r="M1710" t="s">
        <v>284</v>
      </c>
      <c r="N1710" t="s">
        <v>294</v>
      </c>
      <c r="O1710" t="s">
        <v>302</v>
      </c>
      <c r="P1710" t="s">
        <v>310</v>
      </c>
      <c r="Q1710" t="s">
        <v>316</v>
      </c>
      <c r="R1710" t="s">
        <v>322</v>
      </c>
      <c r="S1710" t="s">
        <v>329</v>
      </c>
      <c r="AK1710" t="s">
        <v>357</v>
      </c>
    </row>
    <row r="1711" spans="1:37">
      <c r="A1711" t="s">
        <v>39</v>
      </c>
      <c r="B1711" t="s">
        <v>54</v>
      </c>
      <c r="C1711" t="s">
        <v>54</v>
      </c>
      <c r="D1711" t="s">
        <v>54</v>
      </c>
      <c r="E1711" t="s">
        <v>54</v>
      </c>
      <c r="F1711" t="s">
        <v>54</v>
      </c>
      <c r="G1711" t="s">
        <v>54</v>
      </c>
      <c r="H1711" t="s">
        <v>54</v>
      </c>
      <c r="I1711" t="s">
        <v>54</v>
      </c>
      <c r="J1711" t="s">
        <v>54</v>
      </c>
      <c r="K1711" t="s">
        <v>54</v>
      </c>
      <c r="L1711" t="s">
        <v>54</v>
      </c>
      <c r="M1711" t="s">
        <v>54</v>
      </c>
      <c r="N1711" t="s">
        <v>54</v>
      </c>
      <c r="O1711" t="s">
        <v>54</v>
      </c>
      <c r="P1711" t="s">
        <v>54</v>
      </c>
      <c r="Q1711" t="s">
        <v>54</v>
      </c>
      <c r="R1711" t="s">
        <v>323</v>
      </c>
      <c r="S1711" t="s">
        <v>330</v>
      </c>
      <c r="AK1711" t="s">
        <v>357</v>
      </c>
    </row>
    <row r="1712" spans="1:37">
      <c r="B1712" t="s">
        <v>55</v>
      </c>
      <c r="C1712" t="s">
        <v>78</v>
      </c>
      <c r="D1712" t="s">
        <v>55</v>
      </c>
      <c r="E1712" t="s">
        <v>78</v>
      </c>
      <c r="F1712" t="s">
        <v>55</v>
      </c>
      <c r="G1712" t="s">
        <v>78</v>
      </c>
      <c r="H1712" t="s">
        <v>55</v>
      </c>
      <c r="I1712" t="s">
        <v>78</v>
      </c>
      <c r="J1712" t="s">
        <v>55</v>
      </c>
      <c r="K1712" t="s">
        <v>78</v>
      </c>
      <c r="L1712" t="s">
        <v>55</v>
      </c>
      <c r="M1712" t="s">
        <v>78</v>
      </c>
      <c r="N1712" t="s">
        <v>55</v>
      </c>
      <c r="O1712" t="s">
        <v>78</v>
      </c>
      <c r="P1712" t="s">
        <v>55</v>
      </c>
      <c r="Q1712" t="s">
        <v>78</v>
      </c>
      <c r="R1712" t="s">
        <v>55</v>
      </c>
      <c r="S1712" t="s">
        <v>78</v>
      </c>
      <c r="T1712" t="s">
        <v>55</v>
      </c>
      <c r="U1712" t="s">
        <v>78</v>
      </c>
      <c r="V1712" t="s">
        <v>55</v>
      </c>
      <c r="W1712" t="s">
        <v>78</v>
      </c>
      <c r="X1712" t="s">
        <v>55</v>
      </c>
      <c r="Y1712" t="s">
        <v>78</v>
      </c>
      <c r="Z1712" t="s">
        <v>55</v>
      </c>
      <c r="AA1712" t="s">
        <v>78</v>
      </c>
      <c r="AB1712" t="s">
        <v>55</v>
      </c>
      <c r="AC1712" t="s">
        <v>78</v>
      </c>
      <c r="AD1712" t="s">
        <v>55</v>
      </c>
      <c r="AE1712" t="s">
        <v>78</v>
      </c>
      <c r="AF1712" t="s">
        <v>55</v>
      </c>
      <c r="AG1712" t="s">
        <v>78</v>
      </c>
      <c r="AH1712" t="s">
        <v>55</v>
      </c>
      <c r="AI1712" t="s">
        <v>78</v>
      </c>
      <c r="AK1712" t="s">
        <v>357</v>
      </c>
    </row>
    <row r="1713" spans="1:37">
      <c r="B1713" t="s">
        <v>56</v>
      </c>
      <c r="C1713" t="s">
        <v>56</v>
      </c>
      <c r="D1713" t="s">
        <v>56</v>
      </c>
      <c r="E1713" t="s">
        <v>56</v>
      </c>
      <c r="F1713" t="s">
        <v>56</v>
      </c>
      <c r="G1713" t="s">
        <v>176</v>
      </c>
      <c r="H1713" t="s">
        <v>211</v>
      </c>
      <c r="I1713" t="s">
        <v>231</v>
      </c>
      <c r="J1713" t="s">
        <v>250</v>
      </c>
      <c r="K1713" t="s">
        <v>264</v>
      </c>
      <c r="L1713" t="s">
        <v>276</v>
      </c>
      <c r="M1713" t="s">
        <v>285</v>
      </c>
      <c r="N1713" t="s">
        <v>295</v>
      </c>
      <c r="O1713" t="s">
        <v>303</v>
      </c>
      <c r="P1713" t="s">
        <v>56</v>
      </c>
      <c r="Q1713" t="s">
        <v>317</v>
      </c>
      <c r="R1713" t="s">
        <v>324</v>
      </c>
      <c r="S1713" t="s">
        <v>331</v>
      </c>
      <c r="T1713" t="s">
        <v>334</v>
      </c>
      <c r="U1713" t="s">
        <v>338</v>
      </c>
      <c r="V1713" t="s">
        <v>342</v>
      </c>
      <c r="W1713" t="s">
        <v>346</v>
      </c>
      <c r="X1713" t="s">
        <v>351</v>
      </c>
      <c r="AK1713" t="s">
        <v>357</v>
      </c>
    </row>
    <row r="1714" spans="1:37">
      <c r="B1714" t="s">
        <v>57</v>
      </c>
      <c r="C1714" t="s">
        <v>79</v>
      </c>
      <c r="D1714" t="s">
        <v>98</v>
      </c>
      <c r="E1714" t="s">
        <v>117</v>
      </c>
      <c r="F1714" t="s">
        <v>151</v>
      </c>
      <c r="G1714" t="s">
        <v>177</v>
      </c>
      <c r="H1714" t="s">
        <v>212</v>
      </c>
      <c r="I1714" t="s">
        <v>232</v>
      </c>
      <c r="J1714" t="s">
        <v>251</v>
      </c>
      <c r="K1714" t="s">
        <v>265</v>
      </c>
      <c r="L1714" t="s">
        <v>277</v>
      </c>
      <c r="M1714" t="s">
        <v>286</v>
      </c>
      <c r="N1714" t="s">
        <v>296</v>
      </c>
      <c r="O1714" t="s">
        <v>304</v>
      </c>
      <c r="P1714" t="s">
        <v>311</v>
      </c>
      <c r="Q1714" t="s">
        <v>318</v>
      </c>
      <c r="R1714" t="s">
        <v>185</v>
      </c>
      <c r="S1714" t="s">
        <v>159</v>
      </c>
      <c r="T1714" t="s">
        <v>185</v>
      </c>
      <c r="U1714" t="s">
        <v>339</v>
      </c>
      <c r="V1714" t="s">
        <v>72</v>
      </c>
      <c r="W1714" t="s">
        <v>347</v>
      </c>
      <c r="X1714" t="s">
        <v>72</v>
      </c>
      <c r="Y1714" t="s">
        <v>96</v>
      </c>
      <c r="AK1714" t="s">
        <v>357</v>
      </c>
    </row>
    <row r="1715" spans="1:37">
      <c r="B1715" t="s">
        <v>58</v>
      </c>
      <c r="C1715" t="s">
        <v>80</v>
      </c>
      <c r="D1715" t="s">
        <v>99</v>
      </c>
      <c r="E1715" t="s">
        <v>118</v>
      </c>
      <c r="F1715" t="s">
        <v>152</v>
      </c>
      <c r="G1715" t="s">
        <v>178</v>
      </c>
      <c r="H1715" t="s">
        <v>213</v>
      </c>
      <c r="I1715" t="s">
        <v>233</v>
      </c>
      <c r="J1715" t="s">
        <v>252</v>
      </c>
      <c r="K1715" t="s">
        <v>266</v>
      </c>
      <c r="L1715" t="s">
        <v>278</v>
      </c>
      <c r="M1715" t="s">
        <v>287</v>
      </c>
      <c r="N1715" t="s">
        <v>297</v>
      </c>
      <c r="O1715" t="s">
        <v>305</v>
      </c>
      <c r="P1715" t="s">
        <v>312</v>
      </c>
      <c r="Q1715" t="s">
        <v>319</v>
      </c>
      <c r="R1715">
        <f>&gt;10       ветра      3.6     22  24</f>
        <v>0</v>
      </c>
      <c r="AK1715" t="s">
        <v>357</v>
      </c>
    </row>
    <row r="1716" spans="1:37">
      <c r="A1716" t="s">
        <v>40</v>
      </c>
      <c r="B1716" t="s">
        <v>59</v>
      </c>
      <c r="C1716" t="s">
        <v>81</v>
      </c>
      <c r="D1716" t="s">
        <v>100</v>
      </c>
      <c r="E1716" t="s">
        <v>119</v>
      </c>
      <c r="F1716" t="s">
        <v>153</v>
      </c>
      <c r="G1716" t="s">
        <v>179</v>
      </c>
      <c r="H1716" t="s">
        <v>214</v>
      </c>
      <c r="I1716" t="s">
        <v>234</v>
      </c>
      <c r="AK1716" t="s">
        <v>357</v>
      </c>
    </row>
    <row r="1717" spans="1:37">
      <c r="A1717" t="s">
        <v>40</v>
      </c>
      <c r="B1717" t="s">
        <v>60</v>
      </c>
      <c r="C1717" t="s">
        <v>82</v>
      </c>
      <c r="D1717" t="s">
        <v>101</v>
      </c>
      <c r="E1717" t="s">
        <v>120</v>
      </c>
      <c r="F1717" t="s">
        <v>154</v>
      </c>
      <c r="G1717" t="s">
        <v>180</v>
      </c>
      <c r="H1717" t="s">
        <v>215</v>
      </c>
      <c r="I1717" t="s">
        <v>235</v>
      </c>
      <c r="J1717" t="s">
        <v>253</v>
      </c>
      <c r="K1717" t="s">
        <v>267</v>
      </c>
      <c r="L1717" t="s">
        <v>279</v>
      </c>
      <c r="M1717" t="s">
        <v>288</v>
      </c>
      <c r="N1717" t="s">
        <v>100</v>
      </c>
      <c r="O1717" t="s">
        <v>306</v>
      </c>
      <c r="P1717" t="s">
        <v>313</v>
      </c>
      <c r="Q1717" t="s">
        <v>320</v>
      </c>
      <c r="R1717" t="s">
        <v>325</v>
      </c>
      <c r="S1717" t="s">
        <v>332</v>
      </c>
      <c r="T1717" t="s">
        <v>119</v>
      </c>
      <c r="U1717" t="s">
        <v>234</v>
      </c>
      <c r="V1717" t="s">
        <v>343</v>
      </c>
      <c r="W1717" t="s">
        <v>348</v>
      </c>
      <c r="X1717" t="s">
        <v>352</v>
      </c>
      <c r="Y1717" t="s">
        <v>354</v>
      </c>
      <c r="AK1717" t="s">
        <v>357</v>
      </c>
    </row>
    <row r="1718" spans="1:37">
      <c r="A1718" t="s">
        <v>41</v>
      </c>
      <c r="B1718" t="s">
        <v>61</v>
      </c>
      <c r="C1718" t="s">
        <v>83</v>
      </c>
      <c r="D1718" t="s">
        <v>102</v>
      </c>
      <c r="E1718" t="s">
        <v>121</v>
      </c>
      <c r="F1718" t="s">
        <v>155</v>
      </c>
      <c r="G1718" t="s">
        <v>181</v>
      </c>
      <c r="H1718" t="s">
        <v>216</v>
      </c>
      <c r="I1718" t="s">
        <v>236</v>
      </c>
      <c r="AK1718" t="s">
        <v>357</v>
      </c>
    </row>
    <row r="1719" spans="1:37">
      <c r="A1719" t="s">
        <v>42</v>
      </c>
      <c r="B1719" t="s">
        <v>62</v>
      </c>
      <c r="C1719" t="s">
        <v>84</v>
      </c>
      <c r="D1719" t="s">
        <v>103</v>
      </c>
      <c r="E1719" t="s">
        <v>122</v>
      </c>
      <c r="F1719" t="s">
        <v>156</v>
      </c>
      <c r="G1719" t="s">
        <v>182</v>
      </c>
      <c r="H1719" t="s">
        <v>83</v>
      </c>
      <c r="I1719" t="s">
        <v>237</v>
      </c>
      <c r="J1719" t="s">
        <v>254</v>
      </c>
      <c r="K1719" t="s">
        <v>268</v>
      </c>
      <c r="L1719" t="s">
        <v>280</v>
      </c>
      <c r="M1719" t="s">
        <v>289</v>
      </c>
      <c r="N1719" t="s">
        <v>298</v>
      </c>
      <c r="O1719" t="s">
        <v>307</v>
      </c>
      <c r="P1719" t="s">
        <v>314</v>
      </c>
      <c r="Q1719" t="s">
        <v>216</v>
      </c>
      <c r="R1719" t="s">
        <v>326</v>
      </c>
      <c r="S1719" t="s">
        <v>333</v>
      </c>
      <c r="T1719" t="s">
        <v>335</v>
      </c>
      <c r="U1719" t="s">
        <v>340</v>
      </c>
      <c r="V1719" t="s">
        <v>344</v>
      </c>
      <c r="W1719" t="s">
        <v>349</v>
      </c>
      <c r="AK1719" t="s">
        <v>357</v>
      </c>
    </row>
    <row r="1720" spans="1:37">
      <c r="A1720" t="s">
        <v>43</v>
      </c>
      <c r="B1720" t="s">
        <v>63</v>
      </c>
      <c r="C1720" t="s">
        <v>85</v>
      </c>
      <c r="D1720" t="s">
        <v>104</v>
      </c>
      <c r="E1720" t="s">
        <v>123</v>
      </c>
      <c r="F1720" t="s">
        <v>157</v>
      </c>
      <c r="G1720" t="s">
        <v>183</v>
      </c>
      <c r="AK1720" t="s">
        <v>357</v>
      </c>
    </row>
    <row r="1721" spans="1:37">
      <c r="A1721" t="s">
        <v>44</v>
      </c>
      <c r="B1721" t="s">
        <v>64</v>
      </c>
      <c r="C1721" t="s">
        <v>86</v>
      </c>
      <c r="D1721" t="s">
        <v>105</v>
      </c>
      <c r="E1721" t="s">
        <v>124</v>
      </c>
      <c r="F1721" t="s">
        <v>158</v>
      </c>
      <c r="G1721" t="s">
        <v>184</v>
      </c>
      <c r="AK1721" t="s">
        <v>357</v>
      </c>
    </row>
    <row r="1722" spans="1:37">
      <c r="A1722" t="s">
        <v>45</v>
      </c>
      <c r="B1722" t="s">
        <v>65</v>
      </c>
      <c r="C1722" t="s">
        <v>87</v>
      </c>
      <c r="D1722" t="s">
        <v>106</v>
      </c>
      <c r="E1722" t="s">
        <v>125</v>
      </c>
      <c r="F1722" t="s">
        <v>159</v>
      </c>
      <c r="G1722" t="s">
        <v>185</v>
      </c>
      <c r="H1722" t="s">
        <v>159</v>
      </c>
      <c r="I1722" t="s">
        <v>185</v>
      </c>
      <c r="J1722" t="s">
        <v>255</v>
      </c>
      <c r="AK1722" t="s">
        <v>357</v>
      </c>
    </row>
    <row r="1723" spans="1:37">
      <c r="A1723" t="s">
        <v>46</v>
      </c>
      <c r="B1723" t="s">
        <v>66</v>
      </c>
      <c r="C1723" t="s">
        <v>88</v>
      </c>
      <c r="D1723" t="s">
        <v>76</v>
      </c>
      <c r="E1723" t="s">
        <v>126</v>
      </c>
      <c r="F1723" t="s">
        <v>160</v>
      </c>
      <c r="G1723" t="s">
        <v>186</v>
      </c>
      <c r="H1723" t="s">
        <v>217</v>
      </c>
      <c r="I1723" t="s">
        <v>238</v>
      </c>
      <c r="J1723" t="s">
        <v>256</v>
      </c>
      <c r="K1723" t="s">
        <v>265</v>
      </c>
      <c r="L1723" t="s">
        <v>281</v>
      </c>
      <c r="M1723" t="s">
        <v>290</v>
      </c>
      <c r="N1723" t="s">
        <v>299</v>
      </c>
      <c r="O1723" t="s">
        <v>308</v>
      </c>
      <c r="P1723" t="s">
        <v>228</v>
      </c>
      <c r="Q1723" t="s">
        <v>72</v>
      </c>
      <c r="R1723" t="s">
        <v>327</v>
      </c>
      <c r="S1723" t="s">
        <v>327</v>
      </c>
      <c r="T1723" t="s">
        <v>336</v>
      </c>
      <c r="U1723" t="s">
        <v>336</v>
      </c>
      <c r="V1723" t="s">
        <v>336</v>
      </c>
      <c r="W1723" t="s">
        <v>336</v>
      </c>
      <c r="X1723" t="s">
        <v>353</v>
      </c>
      <c r="AK1723" t="s">
        <v>357</v>
      </c>
    </row>
    <row r="1724" spans="1:37">
      <c r="A1724" t="s">
        <v>37</v>
      </c>
      <c r="B1724" t="s">
        <v>49</v>
      </c>
      <c r="C1724" t="s">
        <v>73</v>
      </c>
      <c r="D1724" t="s">
        <v>94</v>
      </c>
      <c r="E1724" t="s">
        <v>112</v>
      </c>
      <c r="F1724" t="s">
        <v>146</v>
      </c>
      <c r="G1724" t="s">
        <v>172</v>
      </c>
      <c r="H1724" t="s">
        <v>207</v>
      </c>
      <c r="I1724" t="s">
        <v>226</v>
      </c>
      <c r="J1724" t="s">
        <v>246</v>
      </c>
      <c r="K1724" t="s">
        <v>259</v>
      </c>
      <c r="AK1724" t="s">
        <v>357</v>
      </c>
    </row>
    <row r="1725" spans="1:37">
      <c r="A1725" t="s">
        <v>38</v>
      </c>
      <c r="B1725" t="s">
        <v>50</v>
      </c>
      <c r="C1725" t="s">
        <v>74</v>
      </c>
      <c r="D1725" t="s">
        <v>95</v>
      </c>
      <c r="E1725" t="s">
        <v>113</v>
      </c>
      <c r="F1725" t="s">
        <v>147</v>
      </c>
      <c r="G1725" t="s">
        <v>173</v>
      </c>
      <c r="H1725" t="s">
        <v>208</v>
      </c>
      <c r="I1725" t="s">
        <v>227</v>
      </c>
      <c r="J1725" t="s">
        <v>115</v>
      </c>
      <c r="K1725" t="s">
        <v>260</v>
      </c>
      <c r="L1725" t="s">
        <v>273</v>
      </c>
      <c r="M1725" t="s">
        <v>282</v>
      </c>
      <c r="N1725" t="s">
        <v>291</v>
      </c>
      <c r="AK1725" t="s">
        <v>357</v>
      </c>
    </row>
    <row r="1726" spans="1:37">
      <c r="B1726" t="s">
        <v>51</v>
      </c>
      <c r="C1726" t="s">
        <v>75</v>
      </c>
      <c r="D1726" t="s">
        <v>52</v>
      </c>
      <c r="E1726" t="s">
        <v>114</v>
      </c>
      <c r="F1726" t="s">
        <v>148</v>
      </c>
      <c r="G1726" t="s">
        <v>148</v>
      </c>
      <c r="H1726" t="s">
        <v>209</v>
      </c>
      <c r="I1726" t="s">
        <v>228</v>
      </c>
      <c r="J1726" t="s">
        <v>247</v>
      </c>
      <c r="K1726" t="s">
        <v>261</v>
      </c>
      <c r="L1726" t="s">
        <v>274</v>
      </c>
      <c r="M1726" t="s">
        <v>283</v>
      </c>
      <c r="N1726" t="s">
        <v>292</v>
      </c>
      <c r="O1726" t="s">
        <v>300</v>
      </c>
      <c r="AK1726" t="s">
        <v>357</v>
      </c>
    </row>
    <row r="1727" spans="1:37">
      <c r="B1727" t="s">
        <v>52</v>
      </c>
      <c r="C1727" t="s">
        <v>76</v>
      </c>
      <c r="D1727" t="s">
        <v>96</v>
      </c>
      <c r="E1727" t="s">
        <v>115</v>
      </c>
      <c r="F1727" t="s">
        <v>149</v>
      </c>
      <c r="G1727" t="s">
        <v>174</v>
      </c>
      <c r="H1727" t="s">
        <v>96</v>
      </c>
      <c r="I1727" t="s">
        <v>229</v>
      </c>
      <c r="J1727" t="s">
        <v>248</v>
      </c>
      <c r="K1727" t="s">
        <v>262</v>
      </c>
      <c r="L1727" t="s">
        <v>52</v>
      </c>
      <c r="M1727" t="s">
        <v>76</v>
      </c>
      <c r="N1727" t="s">
        <v>293</v>
      </c>
      <c r="O1727" t="s">
        <v>301</v>
      </c>
      <c r="P1727" t="s">
        <v>309</v>
      </c>
      <c r="Q1727" t="s">
        <v>315</v>
      </c>
      <c r="R1727" t="s">
        <v>228</v>
      </c>
      <c r="S1727" t="s">
        <v>328</v>
      </c>
      <c r="T1727" t="s">
        <v>149</v>
      </c>
      <c r="U1727" t="s">
        <v>337</v>
      </c>
      <c r="V1727" t="s">
        <v>341</v>
      </c>
      <c r="W1727" t="s">
        <v>345</v>
      </c>
      <c r="X1727" t="s">
        <v>350</v>
      </c>
      <c r="AK1727" t="s">
        <v>357</v>
      </c>
    </row>
    <row r="1728" spans="1:37">
      <c r="B1728" t="s">
        <v>53</v>
      </c>
      <c r="C1728" t="s">
        <v>77</v>
      </c>
      <c r="D1728" t="s">
        <v>97</v>
      </c>
      <c r="E1728" t="s">
        <v>116</v>
      </c>
      <c r="F1728" t="s">
        <v>150</v>
      </c>
      <c r="G1728" t="s">
        <v>175</v>
      </c>
      <c r="H1728" t="s">
        <v>210</v>
      </c>
      <c r="I1728" t="s">
        <v>230</v>
      </c>
      <c r="J1728" t="s">
        <v>249</v>
      </c>
      <c r="K1728" t="s">
        <v>263</v>
      </c>
      <c r="L1728" t="s">
        <v>275</v>
      </c>
      <c r="M1728" t="s">
        <v>284</v>
      </c>
      <c r="N1728" t="s">
        <v>294</v>
      </c>
      <c r="O1728" t="s">
        <v>302</v>
      </c>
      <c r="P1728" t="s">
        <v>310</v>
      </c>
      <c r="Q1728" t="s">
        <v>316</v>
      </c>
      <c r="R1728" t="s">
        <v>322</v>
      </c>
      <c r="S1728" t="s">
        <v>329</v>
      </c>
      <c r="AK1728" t="s">
        <v>357</v>
      </c>
    </row>
    <row r="1729" spans="1:37">
      <c r="A1729" t="s">
        <v>39</v>
      </c>
      <c r="B1729" t="s">
        <v>54</v>
      </c>
      <c r="C1729" t="s">
        <v>54</v>
      </c>
      <c r="D1729" t="s">
        <v>54</v>
      </c>
      <c r="E1729" t="s">
        <v>54</v>
      </c>
      <c r="F1729" t="s">
        <v>54</v>
      </c>
      <c r="G1729" t="s">
        <v>54</v>
      </c>
      <c r="H1729" t="s">
        <v>54</v>
      </c>
      <c r="I1729" t="s">
        <v>54</v>
      </c>
      <c r="J1729" t="s">
        <v>54</v>
      </c>
      <c r="K1729" t="s">
        <v>54</v>
      </c>
      <c r="L1729" t="s">
        <v>54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323</v>
      </c>
      <c r="S1729" t="s">
        <v>330</v>
      </c>
      <c r="AK1729" t="s">
        <v>357</v>
      </c>
    </row>
    <row r="1730" spans="1:37">
      <c r="B1730" t="s">
        <v>55</v>
      </c>
      <c r="C1730" t="s">
        <v>78</v>
      </c>
      <c r="D1730" t="s">
        <v>55</v>
      </c>
      <c r="E1730" t="s">
        <v>78</v>
      </c>
      <c r="F1730" t="s">
        <v>55</v>
      </c>
      <c r="G1730" t="s">
        <v>78</v>
      </c>
      <c r="H1730" t="s">
        <v>55</v>
      </c>
      <c r="I1730" t="s">
        <v>78</v>
      </c>
      <c r="J1730" t="s">
        <v>55</v>
      </c>
      <c r="K1730" t="s">
        <v>78</v>
      </c>
      <c r="L1730" t="s">
        <v>55</v>
      </c>
      <c r="M1730" t="s">
        <v>78</v>
      </c>
      <c r="N1730" t="s">
        <v>55</v>
      </c>
      <c r="O1730" t="s">
        <v>78</v>
      </c>
      <c r="P1730" t="s">
        <v>55</v>
      </c>
      <c r="Q1730" t="s">
        <v>78</v>
      </c>
      <c r="R1730" t="s">
        <v>55</v>
      </c>
      <c r="S1730" t="s">
        <v>78</v>
      </c>
      <c r="T1730" t="s">
        <v>55</v>
      </c>
      <c r="U1730" t="s">
        <v>78</v>
      </c>
      <c r="V1730" t="s">
        <v>55</v>
      </c>
      <c r="W1730" t="s">
        <v>78</v>
      </c>
      <c r="X1730" t="s">
        <v>55</v>
      </c>
      <c r="Y1730" t="s">
        <v>78</v>
      </c>
      <c r="Z1730" t="s">
        <v>55</v>
      </c>
      <c r="AA1730" t="s">
        <v>78</v>
      </c>
      <c r="AB1730" t="s">
        <v>55</v>
      </c>
      <c r="AC1730" t="s">
        <v>78</v>
      </c>
      <c r="AD1730" t="s">
        <v>55</v>
      </c>
      <c r="AE1730" t="s">
        <v>78</v>
      </c>
      <c r="AF1730" t="s">
        <v>55</v>
      </c>
      <c r="AG1730" t="s">
        <v>78</v>
      </c>
      <c r="AH1730" t="s">
        <v>55</v>
      </c>
      <c r="AI1730" t="s">
        <v>78</v>
      </c>
      <c r="AK1730" t="s">
        <v>357</v>
      </c>
    </row>
    <row r="1731" spans="1:37">
      <c r="B1731" t="s">
        <v>56</v>
      </c>
      <c r="C1731" t="s">
        <v>56</v>
      </c>
      <c r="D1731" t="s">
        <v>56</v>
      </c>
      <c r="E1731" t="s">
        <v>56</v>
      </c>
      <c r="F1731" t="s">
        <v>56</v>
      </c>
      <c r="G1731" t="s">
        <v>176</v>
      </c>
      <c r="H1731" t="s">
        <v>211</v>
      </c>
      <c r="I1731" t="s">
        <v>231</v>
      </c>
      <c r="J1731" t="s">
        <v>250</v>
      </c>
      <c r="K1731" t="s">
        <v>264</v>
      </c>
      <c r="L1731" t="s">
        <v>276</v>
      </c>
      <c r="M1731" t="s">
        <v>285</v>
      </c>
      <c r="N1731" t="s">
        <v>295</v>
      </c>
      <c r="O1731" t="s">
        <v>303</v>
      </c>
      <c r="P1731" t="s">
        <v>56</v>
      </c>
      <c r="Q1731" t="s">
        <v>317</v>
      </c>
      <c r="R1731" t="s">
        <v>324</v>
      </c>
      <c r="S1731" t="s">
        <v>331</v>
      </c>
      <c r="T1731" t="s">
        <v>334</v>
      </c>
      <c r="U1731" t="s">
        <v>338</v>
      </c>
      <c r="V1731" t="s">
        <v>342</v>
      </c>
      <c r="W1731" t="s">
        <v>346</v>
      </c>
      <c r="X1731" t="s">
        <v>351</v>
      </c>
      <c r="AK1731" t="s">
        <v>357</v>
      </c>
    </row>
    <row r="1732" spans="1:37">
      <c r="B1732" t="s">
        <v>57</v>
      </c>
      <c r="C1732" t="s">
        <v>79</v>
      </c>
      <c r="D1732" t="s">
        <v>98</v>
      </c>
      <c r="E1732" t="s">
        <v>117</v>
      </c>
      <c r="F1732" t="s">
        <v>151</v>
      </c>
      <c r="G1732" t="s">
        <v>177</v>
      </c>
      <c r="H1732" t="s">
        <v>212</v>
      </c>
      <c r="I1732" t="s">
        <v>232</v>
      </c>
      <c r="J1732" t="s">
        <v>251</v>
      </c>
      <c r="K1732" t="s">
        <v>265</v>
      </c>
      <c r="L1732" t="s">
        <v>277</v>
      </c>
      <c r="M1732" t="s">
        <v>286</v>
      </c>
      <c r="N1732" t="s">
        <v>296</v>
      </c>
      <c r="O1732" t="s">
        <v>304</v>
      </c>
      <c r="P1732" t="s">
        <v>311</v>
      </c>
      <c r="Q1732" t="s">
        <v>318</v>
      </c>
      <c r="R1732" t="s">
        <v>185</v>
      </c>
      <c r="S1732" t="s">
        <v>159</v>
      </c>
      <c r="T1732" t="s">
        <v>185</v>
      </c>
      <c r="U1732" t="s">
        <v>339</v>
      </c>
      <c r="V1732" t="s">
        <v>72</v>
      </c>
      <c r="W1732" t="s">
        <v>347</v>
      </c>
      <c r="X1732" t="s">
        <v>72</v>
      </c>
      <c r="Y1732" t="s">
        <v>96</v>
      </c>
      <c r="AK1732" t="s">
        <v>357</v>
      </c>
    </row>
    <row r="1733" spans="1:37">
      <c r="B1733" t="s">
        <v>58</v>
      </c>
      <c r="C1733" t="s">
        <v>80</v>
      </c>
      <c r="D1733" t="s">
        <v>99</v>
      </c>
      <c r="E1733" t="s">
        <v>118</v>
      </c>
      <c r="F1733" t="s">
        <v>152</v>
      </c>
      <c r="G1733" t="s">
        <v>178</v>
      </c>
      <c r="H1733" t="s">
        <v>213</v>
      </c>
      <c r="I1733" t="s">
        <v>233</v>
      </c>
      <c r="J1733" t="s">
        <v>252</v>
      </c>
      <c r="K1733" t="s">
        <v>266</v>
      </c>
      <c r="L1733" t="s">
        <v>278</v>
      </c>
      <c r="M1733" t="s">
        <v>287</v>
      </c>
      <c r="N1733" t="s">
        <v>297</v>
      </c>
      <c r="O1733" t="s">
        <v>305</v>
      </c>
      <c r="P1733" t="s">
        <v>312</v>
      </c>
      <c r="Q1733" t="s">
        <v>319</v>
      </c>
      <c r="R1733">
        <f>&gt;10       ветра      4.5     17   7</f>
        <v>0</v>
      </c>
      <c r="AK1733" t="s">
        <v>357</v>
      </c>
    </row>
    <row r="1734" spans="1:37">
      <c r="A1734" t="s">
        <v>40</v>
      </c>
      <c r="B1734" t="s">
        <v>59</v>
      </c>
      <c r="C1734" t="s">
        <v>81</v>
      </c>
      <c r="D1734" t="s">
        <v>100</v>
      </c>
      <c r="E1734" t="s">
        <v>119</v>
      </c>
      <c r="F1734" t="s">
        <v>153</v>
      </c>
      <c r="G1734" t="s">
        <v>179</v>
      </c>
      <c r="H1734" t="s">
        <v>214</v>
      </c>
      <c r="I1734" t="s">
        <v>234</v>
      </c>
      <c r="AK1734" t="s">
        <v>357</v>
      </c>
    </row>
    <row r="1735" spans="1:37">
      <c r="A1735" t="s">
        <v>40</v>
      </c>
      <c r="B1735" t="s">
        <v>60</v>
      </c>
      <c r="C1735" t="s">
        <v>82</v>
      </c>
      <c r="D1735" t="s">
        <v>101</v>
      </c>
      <c r="E1735" t="s">
        <v>120</v>
      </c>
      <c r="F1735" t="s">
        <v>154</v>
      </c>
      <c r="G1735" t="s">
        <v>180</v>
      </c>
      <c r="H1735" t="s">
        <v>215</v>
      </c>
      <c r="I1735" t="s">
        <v>235</v>
      </c>
      <c r="J1735" t="s">
        <v>253</v>
      </c>
      <c r="K1735" t="s">
        <v>267</v>
      </c>
      <c r="L1735" t="s">
        <v>279</v>
      </c>
      <c r="M1735" t="s">
        <v>288</v>
      </c>
      <c r="N1735" t="s">
        <v>100</v>
      </c>
      <c r="O1735" t="s">
        <v>306</v>
      </c>
      <c r="P1735" t="s">
        <v>313</v>
      </c>
      <c r="Q1735" t="s">
        <v>320</v>
      </c>
      <c r="R1735" t="s">
        <v>325</v>
      </c>
      <c r="S1735" t="s">
        <v>332</v>
      </c>
      <c r="T1735" t="s">
        <v>119</v>
      </c>
      <c r="U1735" t="s">
        <v>234</v>
      </c>
      <c r="V1735" t="s">
        <v>343</v>
      </c>
      <c r="W1735" t="s">
        <v>348</v>
      </c>
      <c r="X1735" t="s">
        <v>352</v>
      </c>
      <c r="Y1735" t="s">
        <v>354</v>
      </c>
      <c r="AK1735" t="s">
        <v>357</v>
      </c>
    </row>
    <row r="1736" spans="1:37">
      <c r="A1736" t="s">
        <v>41</v>
      </c>
      <c r="B1736" t="s">
        <v>61</v>
      </c>
      <c r="C1736" t="s">
        <v>83</v>
      </c>
      <c r="D1736" t="s">
        <v>102</v>
      </c>
      <c r="E1736" t="s">
        <v>121</v>
      </c>
      <c r="F1736" t="s">
        <v>155</v>
      </c>
      <c r="G1736" t="s">
        <v>181</v>
      </c>
      <c r="H1736" t="s">
        <v>216</v>
      </c>
      <c r="I1736" t="s">
        <v>236</v>
      </c>
      <c r="AK1736" t="s">
        <v>357</v>
      </c>
    </row>
    <row r="1737" spans="1:37">
      <c r="A1737" t="s">
        <v>42</v>
      </c>
      <c r="B1737" t="s">
        <v>62</v>
      </c>
      <c r="C1737" t="s">
        <v>84</v>
      </c>
      <c r="D1737" t="s">
        <v>103</v>
      </c>
      <c r="E1737" t="s">
        <v>122</v>
      </c>
      <c r="F1737" t="s">
        <v>156</v>
      </c>
      <c r="G1737" t="s">
        <v>182</v>
      </c>
      <c r="H1737" t="s">
        <v>83</v>
      </c>
      <c r="I1737" t="s">
        <v>237</v>
      </c>
      <c r="J1737" t="s">
        <v>254</v>
      </c>
      <c r="K1737" t="s">
        <v>268</v>
      </c>
      <c r="L1737" t="s">
        <v>280</v>
      </c>
      <c r="M1737" t="s">
        <v>289</v>
      </c>
      <c r="N1737" t="s">
        <v>298</v>
      </c>
      <c r="O1737" t="s">
        <v>307</v>
      </c>
      <c r="P1737" t="s">
        <v>314</v>
      </c>
      <c r="Q1737" t="s">
        <v>216</v>
      </c>
      <c r="R1737" t="s">
        <v>326</v>
      </c>
      <c r="S1737" t="s">
        <v>333</v>
      </c>
      <c r="T1737" t="s">
        <v>335</v>
      </c>
      <c r="U1737" t="s">
        <v>340</v>
      </c>
      <c r="V1737" t="s">
        <v>344</v>
      </c>
      <c r="W1737" t="s">
        <v>349</v>
      </c>
      <c r="AK1737" t="s">
        <v>357</v>
      </c>
    </row>
    <row r="1738" spans="1:37">
      <c r="A1738" t="s">
        <v>43</v>
      </c>
      <c r="B1738" t="s">
        <v>63</v>
      </c>
      <c r="C1738" t="s">
        <v>85</v>
      </c>
      <c r="D1738" t="s">
        <v>104</v>
      </c>
      <c r="E1738" t="s">
        <v>123</v>
      </c>
      <c r="F1738" t="s">
        <v>157</v>
      </c>
      <c r="G1738" t="s">
        <v>183</v>
      </c>
      <c r="AK1738" t="s">
        <v>357</v>
      </c>
    </row>
    <row r="1739" spans="1:37">
      <c r="A1739" t="s">
        <v>44</v>
      </c>
      <c r="B1739" t="s">
        <v>64</v>
      </c>
      <c r="C1739" t="s">
        <v>86</v>
      </c>
      <c r="D1739" t="s">
        <v>105</v>
      </c>
      <c r="E1739" t="s">
        <v>124</v>
      </c>
      <c r="F1739" t="s">
        <v>158</v>
      </c>
      <c r="G1739" t="s">
        <v>184</v>
      </c>
      <c r="AK1739" t="s">
        <v>357</v>
      </c>
    </row>
    <row r="1740" spans="1:37">
      <c r="A1740" t="s">
        <v>45</v>
      </c>
      <c r="B1740" t="s">
        <v>65</v>
      </c>
      <c r="C1740" t="s">
        <v>87</v>
      </c>
      <c r="D1740" t="s">
        <v>106</v>
      </c>
      <c r="E1740" t="s">
        <v>125</v>
      </c>
      <c r="F1740" t="s">
        <v>159</v>
      </c>
      <c r="G1740" t="s">
        <v>185</v>
      </c>
      <c r="H1740" t="s">
        <v>159</v>
      </c>
      <c r="I1740" t="s">
        <v>185</v>
      </c>
      <c r="J1740" t="s">
        <v>255</v>
      </c>
      <c r="AK1740" t="s">
        <v>357</v>
      </c>
    </row>
    <row r="1741" spans="1:37">
      <c r="A1741" t="s">
        <v>46</v>
      </c>
      <c r="B1741" t="s">
        <v>66</v>
      </c>
      <c r="C1741" t="s">
        <v>88</v>
      </c>
      <c r="D1741" t="s">
        <v>76</v>
      </c>
      <c r="E1741" t="s">
        <v>126</v>
      </c>
      <c r="F1741" t="s">
        <v>160</v>
      </c>
      <c r="G1741" t="s">
        <v>186</v>
      </c>
      <c r="H1741" t="s">
        <v>217</v>
      </c>
      <c r="I1741" t="s">
        <v>238</v>
      </c>
      <c r="J1741" t="s">
        <v>256</v>
      </c>
      <c r="K1741" t="s">
        <v>265</v>
      </c>
      <c r="L1741" t="s">
        <v>281</v>
      </c>
      <c r="M1741" t="s">
        <v>290</v>
      </c>
      <c r="N1741" t="s">
        <v>299</v>
      </c>
      <c r="O1741" t="s">
        <v>308</v>
      </c>
      <c r="P1741" t="s">
        <v>228</v>
      </c>
      <c r="Q1741" t="s">
        <v>72</v>
      </c>
      <c r="R1741" t="s">
        <v>327</v>
      </c>
      <c r="S1741" t="s">
        <v>327</v>
      </c>
      <c r="T1741" t="s">
        <v>336</v>
      </c>
      <c r="U1741" t="s">
        <v>336</v>
      </c>
      <c r="V1741" t="s">
        <v>336</v>
      </c>
      <c r="W1741" t="s">
        <v>336</v>
      </c>
      <c r="X1741" t="s">
        <v>353</v>
      </c>
      <c r="AK1741" t="s">
        <v>357</v>
      </c>
    </row>
    <row r="1742" spans="1:37">
      <c r="A1742" t="s">
        <v>37</v>
      </c>
      <c r="B1742" t="s">
        <v>49</v>
      </c>
      <c r="C1742" t="s">
        <v>73</v>
      </c>
      <c r="D1742" t="s">
        <v>94</v>
      </c>
      <c r="E1742" t="s">
        <v>112</v>
      </c>
      <c r="F1742" t="s">
        <v>146</v>
      </c>
      <c r="G1742" t="s">
        <v>172</v>
      </c>
      <c r="H1742" t="s">
        <v>207</v>
      </c>
      <c r="I1742" t="s">
        <v>226</v>
      </c>
      <c r="J1742" t="s">
        <v>246</v>
      </c>
      <c r="K1742" t="s">
        <v>259</v>
      </c>
      <c r="AK1742" t="s">
        <v>357</v>
      </c>
    </row>
    <row r="1743" spans="1:37">
      <c r="A1743" t="s">
        <v>38</v>
      </c>
      <c r="B1743" t="s">
        <v>50</v>
      </c>
      <c r="C1743" t="s">
        <v>74</v>
      </c>
      <c r="D1743" t="s">
        <v>95</v>
      </c>
      <c r="E1743" t="s">
        <v>113</v>
      </c>
      <c r="F1743" t="s">
        <v>147</v>
      </c>
      <c r="G1743" t="s">
        <v>173</v>
      </c>
      <c r="H1743" t="s">
        <v>208</v>
      </c>
      <c r="I1743" t="s">
        <v>227</v>
      </c>
      <c r="J1743" t="s">
        <v>115</v>
      </c>
      <c r="K1743" t="s">
        <v>260</v>
      </c>
      <c r="L1743" t="s">
        <v>273</v>
      </c>
      <c r="M1743" t="s">
        <v>282</v>
      </c>
      <c r="N1743" t="s">
        <v>291</v>
      </c>
      <c r="AK1743" t="s">
        <v>357</v>
      </c>
    </row>
    <row r="1744" spans="1:37">
      <c r="B1744" t="s">
        <v>51</v>
      </c>
      <c r="C1744" t="s">
        <v>75</v>
      </c>
      <c r="D1744" t="s">
        <v>52</v>
      </c>
      <c r="E1744" t="s">
        <v>114</v>
      </c>
      <c r="F1744" t="s">
        <v>148</v>
      </c>
      <c r="G1744" t="s">
        <v>148</v>
      </c>
      <c r="H1744" t="s">
        <v>209</v>
      </c>
      <c r="I1744" t="s">
        <v>228</v>
      </c>
      <c r="J1744" t="s">
        <v>247</v>
      </c>
      <c r="K1744" t="s">
        <v>261</v>
      </c>
      <c r="L1744" t="s">
        <v>274</v>
      </c>
      <c r="M1744" t="s">
        <v>283</v>
      </c>
      <c r="N1744" t="s">
        <v>292</v>
      </c>
      <c r="O1744" t="s">
        <v>300</v>
      </c>
      <c r="AK1744" t="s">
        <v>357</v>
      </c>
    </row>
    <row r="1745" spans="1:37">
      <c r="B1745" t="s">
        <v>52</v>
      </c>
      <c r="C1745" t="s">
        <v>76</v>
      </c>
      <c r="D1745" t="s">
        <v>96</v>
      </c>
      <c r="E1745" t="s">
        <v>115</v>
      </c>
      <c r="F1745" t="s">
        <v>149</v>
      </c>
      <c r="G1745" t="s">
        <v>174</v>
      </c>
      <c r="H1745" t="s">
        <v>96</v>
      </c>
      <c r="I1745" t="s">
        <v>229</v>
      </c>
      <c r="J1745" t="s">
        <v>248</v>
      </c>
      <c r="K1745" t="s">
        <v>262</v>
      </c>
      <c r="L1745" t="s">
        <v>52</v>
      </c>
      <c r="M1745" t="s">
        <v>76</v>
      </c>
      <c r="N1745" t="s">
        <v>293</v>
      </c>
      <c r="O1745" t="s">
        <v>301</v>
      </c>
      <c r="P1745" t="s">
        <v>309</v>
      </c>
      <c r="Q1745" t="s">
        <v>315</v>
      </c>
      <c r="R1745" t="s">
        <v>228</v>
      </c>
      <c r="S1745" t="s">
        <v>328</v>
      </c>
      <c r="T1745" t="s">
        <v>149</v>
      </c>
      <c r="U1745" t="s">
        <v>337</v>
      </c>
      <c r="V1745" t="s">
        <v>341</v>
      </c>
      <c r="W1745" t="s">
        <v>345</v>
      </c>
      <c r="X1745" t="s">
        <v>350</v>
      </c>
      <c r="AK1745" t="s">
        <v>357</v>
      </c>
    </row>
    <row r="1746" spans="1:37">
      <c r="B1746" t="s">
        <v>53</v>
      </c>
      <c r="C1746" t="s">
        <v>77</v>
      </c>
      <c r="D1746" t="s">
        <v>97</v>
      </c>
      <c r="E1746" t="s">
        <v>116</v>
      </c>
      <c r="F1746" t="s">
        <v>150</v>
      </c>
      <c r="G1746" t="s">
        <v>175</v>
      </c>
      <c r="H1746" t="s">
        <v>210</v>
      </c>
      <c r="I1746" t="s">
        <v>230</v>
      </c>
      <c r="J1746" t="s">
        <v>249</v>
      </c>
      <c r="K1746" t="s">
        <v>263</v>
      </c>
      <c r="L1746" t="s">
        <v>275</v>
      </c>
      <c r="M1746" t="s">
        <v>284</v>
      </c>
      <c r="N1746" t="s">
        <v>294</v>
      </c>
      <c r="O1746" t="s">
        <v>302</v>
      </c>
      <c r="P1746" t="s">
        <v>310</v>
      </c>
      <c r="Q1746" t="s">
        <v>316</v>
      </c>
      <c r="R1746" t="s">
        <v>322</v>
      </c>
      <c r="S1746" t="s">
        <v>329</v>
      </c>
      <c r="AK1746" t="s">
        <v>357</v>
      </c>
    </row>
    <row r="1747" spans="1:37">
      <c r="A1747" t="s">
        <v>39</v>
      </c>
      <c r="B1747" t="s">
        <v>54</v>
      </c>
      <c r="C1747" t="s">
        <v>54</v>
      </c>
      <c r="D1747" t="s">
        <v>54</v>
      </c>
      <c r="E1747" t="s">
        <v>54</v>
      </c>
      <c r="F1747" t="s">
        <v>54</v>
      </c>
      <c r="G1747" t="s">
        <v>54</v>
      </c>
      <c r="H1747" t="s">
        <v>54</v>
      </c>
      <c r="I1747" t="s">
        <v>54</v>
      </c>
      <c r="J1747" t="s">
        <v>54</v>
      </c>
      <c r="K1747" t="s">
        <v>54</v>
      </c>
      <c r="L1747" t="s">
        <v>54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323</v>
      </c>
      <c r="S1747" t="s">
        <v>330</v>
      </c>
      <c r="AK1747" t="s">
        <v>357</v>
      </c>
    </row>
    <row r="1748" spans="1:37">
      <c r="B1748" t="s">
        <v>55</v>
      </c>
      <c r="C1748" t="s">
        <v>78</v>
      </c>
      <c r="D1748" t="s">
        <v>55</v>
      </c>
      <c r="E1748" t="s">
        <v>78</v>
      </c>
      <c r="F1748" t="s">
        <v>55</v>
      </c>
      <c r="G1748" t="s">
        <v>78</v>
      </c>
      <c r="H1748" t="s">
        <v>55</v>
      </c>
      <c r="I1748" t="s">
        <v>78</v>
      </c>
      <c r="J1748" t="s">
        <v>55</v>
      </c>
      <c r="K1748" t="s">
        <v>78</v>
      </c>
      <c r="L1748" t="s">
        <v>55</v>
      </c>
      <c r="M1748" t="s">
        <v>78</v>
      </c>
      <c r="N1748" t="s">
        <v>55</v>
      </c>
      <c r="O1748" t="s">
        <v>78</v>
      </c>
      <c r="P1748" t="s">
        <v>55</v>
      </c>
      <c r="Q1748" t="s">
        <v>78</v>
      </c>
      <c r="R1748" t="s">
        <v>55</v>
      </c>
      <c r="S1748" t="s">
        <v>78</v>
      </c>
      <c r="T1748" t="s">
        <v>55</v>
      </c>
      <c r="U1748" t="s">
        <v>78</v>
      </c>
      <c r="V1748" t="s">
        <v>55</v>
      </c>
      <c r="W1748" t="s">
        <v>78</v>
      </c>
      <c r="X1748" t="s">
        <v>55</v>
      </c>
      <c r="Y1748" t="s">
        <v>78</v>
      </c>
      <c r="Z1748" t="s">
        <v>55</v>
      </c>
      <c r="AA1748" t="s">
        <v>78</v>
      </c>
      <c r="AB1748" t="s">
        <v>55</v>
      </c>
      <c r="AC1748" t="s">
        <v>78</v>
      </c>
      <c r="AD1748" t="s">
        <v>55</v>
      </c>
      <c r="AE1748" t="s">
        <v>78</v>
      </c>
      <c r="AF1748" t="s">
        <v>55</v>
      </c>
      <c r="AG1748" t="s">
        <v>78</v>
      </c>
      <c r="AH1748" t="s">
        <v>55</v>
      </c>
      <c r="AI1748" t="s">
        <v>78</v>
      </c>
      <c r="AK1748" t="s">
        <v>357</v>
      </c>
    </row>
    <row r="1749" spans="1:37">
      <c r="B1749" t="s">
        <v>56</v>
      </c>
      <c r="C1749" t="s">
        <v>56</v>
      </c>
      <c r="D1749" t="s">
        <v>56</v>
      </c>
      <c r="E1749" t="s">
        <v>56</v>
      </c>
      <c r="F1749" t="s">
        <v>56</v>
      </c>
      <c r="G1749" t="s">
        <v>176</v>
      </c>
      <c r="H1749" t="s">
        <v>211</v>
      </c>
      <c r="I1749" t="s">
        <v>231</v>
      </c>
      <c r="J1749" t="s">
        <v>250</v>
      </c>
      <c r="K1749" t="s">
        <v>264</v>
      </c>
      <c r="L1749" t="s">
        <v>276</v>
      </c>
      <c r="M1749" t="s">
        <v>285</v>
      </c>
      <c r="N1749" t="s">
        <v>295</v>
      </c>
      <c r="O1749" t="s">
        <v>303</v>
      </c>
      <c r="P1749" t="s">
        <v>56</v>
      </c>
      <c r="Q1749" t="s">
        <v>317</v>
      </c>
      <c r="R1749" t="s">
        <v>324</v>
      </c>
      <c r="S1749" t="s">
        <v>331</v>
      </c>
      <c r="T1749" t="s">
        <v>334</v>
      </c>
      <c r="U1749" t="s">
        <v>338</v>
      </c>
      <c r="V1749" t="s">
        <v>342</v>
      </c>
      <c r="W1749" t="s">
        <v>346</v>
      </c>
      <c r="X1749" t="s">
        <v>351</v>
      </c>
      <c r="AK1749" t="s">
        <v>357</v>
      </c>
    </row>
    <row r="1750" spans="1:37">
      <c r="B1750" t="s">
        <v>57</v>
      </c>
      <c r="C1750" t="s">
        <v>79</v>
      </c>
      <c r="D1750" t="s">
        <v>98</v>
      </c>
      <c r="E1750" t="s">
        <v>117</v>
      </c>
      <c r="F1750" t="s">
        <v>151</v>
      </c>
      <c r="G1750" t="s">
        <v>177</v>
      </c>
      <c r="H1750" t="s">
        <v>212</v>
      </c>
      <c r="I1750" t="s">
        <v>232</v>
      </c>
      <c r="J1750" t="s">
        <v>251</v>
      </c>
      <c r="K1750" t="s">
        <v>265</v>
      </c>
      <c r="L1750" t="s">
        <v>277</v>
      </c>
      <c r="M1750" t="s">
        <v>286</v>
      </c>
      <c r="N1750" t="s">
        <v>296</v>
      </c>
      <c r="O1750" t="s">
        <v>304</v>
      </c>
      <c r="P1750" t="s">
        <v>311</v>
      </c>
      <c r="Q1750" t="s">
        <v>318</v>
      </c>
      <c r="R1750" t="s">
        <v>185</v>
      </c>
      <c r="S1750" t="s">
        <v>159</v>
      </c>
      <c r="T1750" t="s">
        <v>185</v>
      </c>
      <c r="U1750" t="s">
        <v>339</v>
      </c>
      <c r="V1750" t="s">
        <v>72</v>
      </c>
      <c r="W1750" t="s">
        <v>347</v>
      </c>
      <c r="X1750" t="s">
        <v>72</v>
      </c>
      <c r="Y1750" t="s">
        <v>96</v>
      </c>
      <c r="AK1750" t="s">
        <v>357</v>
      </c>
    </row>
    <row r="1751" spans="1:37">
      <c r="B1751" t="s">
        <v>58</v>
      </c>
      <c r="C1751" t="s">
        <v>80</v>
      </c>
      <c r="D1751" t="s">
        <v>99</v>
      </c>
      <c r="E1751" t="s">
        <v>118</v>
      </c>
      <c r="F1751" t="s">
        <v>152</v>
      </c>
      <c r="G1751" t="s">
        <v>178</v>
      </c>
      <c r="H1751" t="s">
        <v>213</v>
      </c>
      <c r="I1751" t="s">
        <v>233</v>
      </c>
      <c r="J1751" t="s">
        <v>252</v>
      </c>
      <c r="K1751" t="s">
        <v>266</v>
      </c>
      <c r="L1751" t="s">
        <v>278</v>
      </c>
      <c r="M1751" t="s">
        <v>287</v>
      </c>
      <c r="N1751" t="s">
        <v>297</v>
      </c>
      <c r="O1751" t="s">
        <v>305</v>
      </c>
      <c r="P1751" t="s">
        <v>312</v>
      </c>
      <c r="Q1751" t="s">
        <v>319</v>
      </c>
      <c r="R1751">
        <f>&gt;10       ветра      3.4     20   1</f>
        <v>0</v>
      </c>
      <c r="AK1751" t="s">
        <v>357</v>
      </c>
    </row>
    <row r="1752" spans="1:37">
      <c r="A1752" t="s">
        <v>40</v>
      </c>
      <c r="B1752" t="s">
        <v>59</v>
      </c>
      <c r="C1752" t="s">
        <v>81</v>
      </c>
      <c r="D1752" t="s">
        <v>100</v>
      </c>
      <c r="E1752" t="s">
        <v>119</v>
      </c>
      <c r="F1752" t="s">
        <v>153</v>
      </c>
      <c r="G1752" t="s">
        <v>179</v>
      </c>
      <c r="H1752" t="s">
        <v>214</v>
      </c>
      <c r="I1752" t="s">
        <v>234</v>
      </c>
      <c r="AK1752" t="s">
        <v>357</v>
      </c>
    </row>
    <row r="1753" spans="1:37">
      <c r="A1753" t="s">
        <v>40</v>
      </c>
      <c r="B1753" t="s">
        <v>60</v>
      </c>
      <c r="C1753" t="s">
        <v>82</v>
      </c>
      <c r="D1753" t="s">
        <v>101</v>
      </c>
      <c r="E1753" t="s">
        <v>120</v>
      </c>
      <c r="F1753" t="s">
        <v>154</v>
      </c>
      <c r="G1753" t="s">
        <v>180</v>
      </c>
      <c r="H1753" t="s">
        <v>215</v>
      </c>
      <c r="I1753" t="s">
        <v>235</v>
      </c>
      <c r="J1753" t="s">
        <v>253</v>
      </c>
      <c r="K1753" t="s">
        <v>267</v>
      </c>
      <c r="L1753" t="s">
        <v>279</v>
      </c>
      <c r="M1753" t="s">
        <v>288</v>
      </c>
      <c r="N1753" t="s">
        <v>100</v>
      </c>
      <c r="O1753" t="s">
        <v>306</v>
      </c>
      <c r="P1753" t="s">
        <v>313</v>
      </c>
      <c r="Q1753" t="s">
        <v>320</v>
      </c>
      <c r="R1753" t="s">
        <v>325</v>
      </c>
      <c r="S1753" t="s">
        <v>332</v>
      </c>
      <c r="T1753" t="s">
        <v>119</v>
      </c>
      <c r="U1753" t="s">
        <v>234</v>
      </c>
      <c r="V1753" t="s">
        <v>343</v>
      </c>
      <c r="W1753" t="s">
        <v>348</v>
      </c>
      <c r="X1753" t="s">
        <v>352</v>
      </c>
      <c r="Y1753" t="s">
        <v>354</v>
      </c>
      <c r="AK1753" t="s">
        <v>357</v>
      </c>
    </row>
    <row r="1754" spans="1:37">
      <c r="A1754" t="s">
        <v>41</v>
      </c>
      <c r="B1754" t="s">
        <v>61</v>
      </c>
      <c r="C1754" t="s">
        <v>83</v>
      </c>
      <c r="D1754" t="s">
        <v>102</v>
      </c>
      <c r="E1754" t="s">
        <v>121</v>
      </c>
      <c r="F1754" t="s">
        <v>155</v>
      </c>
      <c r="G1754" t="s">
        <v>181</v>
      </c>
      <c r="H1754" t="s">
        <v>216</v>
      </c>
      <c r="I1754" t="s">
        <v>236</v>
      </c>
      <c r="AK1754" t="s">
        <v>357</v>
      </c>
    </row>
    <row r="1755" spans="1:37">
      <c r="A1755" t="s">
        <v>42</v>
      </c>
      <c r="B1755" t="s">
        <v>62</v>
      </c>
      <c r="C1755" t="s">
        <v>84</v>
      </c>
      <c r="D1755" t="s">
        <v>103</v>
      </c>
      <c r="E1755" t="s">
        <v>122</v>
      </c>
      <c r="F1755" t="s">
        <v>156</v>
      </c>
      <c r="G1755" t="s">
        <v>182</v>
      </c>
      <c r="H1755" t="s">
        <v>83</v>
      </c>
      <c r="I1755" t="s">
        <v>237</v>
      </c>
      <c r="J1755" t="s">
        <v>254</v>
      </c>
      <c r="K1755" t="s">
        <v>268</v>
      </c>
      <c r="L1755" t="s">
        <v>280</v>
      </c>
      <c r="M1755" t="s">
        <v>289</v>
      </c>
      <c r="N1755" t="s">
        <v>298</v>
      </c>
      <c r="O1755" t="s">
        <v>307</v>
      </c>
      <c r="P1755" t="s">
        <v>314</v>
      </c>
      <c r="Q1755" t="s">
        <v>216</v>
      </c>
      <c r="R1755" t="s">
        <v>326</v>
      </c>
      <c r="S1755" t="s">
        <v>333</v>
      </c>
      <c r="T1755" t="s">
        <v>335</v>
      </c>
      <c r="U1755" t="s">
        <v>340</v>
      </c>
      <c r="V1755" t="s">
        <v>344</v>
      </c>
      <c r="W1755" t="s">
        <v>349</v>
      </c>
      <c r="AK1755" t="s">
        <v>357</v>
      </c>
    </row>
    <row r="1756" spans="1:37">
      <c r="A1756" t="s">
        <v>43</v>
      </c>
      <c r="B1756" t="s">
        <v>63</v>
      </c>
      <c r="C1756" t="s">
        <v>85</v>
      </c>
      <c r="D1756" t="s">
        <v>104</v>
      </c>
      <c r="E1756" t="s">
        <v>123</v>
      </c>
      <c r="F1756" t="s">
        <v>157</v>
      </c>
      <c r="G1756" t="s">
        <v>183</v>
      </c>
      <c r="AK1756" t="s">
        <v>357</v>
      </c>
    </row>
    <row r="1757" spans="1:37">
      <c r="A1757" t="s">
        <v>44</v>
      </c>
      <c r="B1757" t="s">
        <v>64</v>
      </c>
      <c r="C1757" t="s">
        <v>86</v>
      </c>
      <c r="D1757" t="s">
        <v>105</v>
      </c>
      <c r="E1757" t="s">
        <v>124</v>
      </c>
      <c r="F1757" t="s">
        <v>158</v>
      </c>
      <c r="G1757" t="s">
        <v>184</v>
      </c>
      <c r="AK1757" t="s">
        <v>357</v>
      </c>
    </row>
    <row r="1758" spans="1:37">
      <c r="A1758" t="s">
        <v>45</v>
      </c>
      <c r="B1758" t="s">
        <v>65</v>
      </c>
      <c r="C1758" t="s">
        <v>87</v>
      </c>
      <c r="D1758" t="s">
        <v>106</v>
      </c>
      <c r="E1758" t="s">
        <v>125</v>
      </c>
      <c r="F1758" t="s">
        <v>159</v>
      </c>
      <c r="G1758" t="s">
        <v>185</v>
      </c>
      <c r="H1758" t="s">
        <v>159</v>
      </c>
      <c r="I1758" t="s">
        <v>185</v>
      </c>
      <c r="J1758" t="s">
        <v>255</v>
      </c>
      <c r="AK1758" t="s">
        <v>357</v>
      </c>
    </row>
    <row r="1759" spans="1:37">
      <c r="A1759" t="s">
        <v>46</v>
      </c>
      <c r="B1759" t="s">
        <v>66</v>
      </c>
      <c r="C1759" t="s">
        <v>88</v>
      </c>
      <c r="D1759" t="s">
        <v>76</v>
      </c>
      <c r="E1759" t="s">
        <v>126</v>
      </c>
      <c r="F1759" t="s">
        <v>160</v>
      </c>
      <c r="G1759" t="s">
        <v>186</v>
      </c>
      <c r="H1759" t="s">
        <v>217</v>
      </c>
      <c r="I1759" t="s">
        <v>238</v>
      </c>
      <c r="J1759" t="s">
        <v>256</v>
      </c>
      <c r="K1759" t="s">
        <v>265</v>
      </c>
      <c r="L1759" t="s">
        <v>281</v>
      </c>
      <c r="M1759" t="s">
        <v>290</v>
      </c>
      <c r="N1759" t="s">
        <v>299</v>
      </c>
      <c r="O1759" t="s">
        <v>308</v>
      </c>
      <c r="P1759" t="s">
        <v>228</v>
      </c>
      <c r="Q1759" t="s">
        <v>72</v>
      </c>
      <c r="R1759" t="s">
        <v>327</v>
      </c>
      <c r="S1759" t="s">
        <v>327</v>
      </c>
      <c r="T1759" t="s">
        <v>336</v>
      </c>
      <c r="U1759" t="s">
        <v>336</v>
      </c>
      <c r="V1759" t="s">
        <v>336</v>
      </c>
      <c r="W1759" t="s">
        <v>336</v>
      </c>
      <c r="X1759" t="s">
        <v>353</v>
      </c>
      <c r="AK1759" t="s">
        <v>357</v>
      </c>
    </row>
    <row r="1760" spans="1:37">
      <c r="A1760" t="s">
        <v>37</v>
      </c>
      <c r="B1760" t="s">
        <v>49</v>
      </c>
      <c r="C1760" t="s">
        <v>73</v>
      </c>
      <c r="D1760" t="s">
        <v>94</v>
      </c>
      <c r="E1760" t="s">
        <v>112</v>
      </c>
      <c r="F1760" t="s">
        <v>146</v>
      </c>
      <c r="G1760" t="s">
        <v>172</v>
      </c>
      <c r="H1760" t="s">
        <v>207</v>
      </c>
      <c r="I1760" t="s">
        <v>226</v>
      </c>
      <c r="J1760" t="s">
        <v>246</v>
      </c>
      <c r="K1760" t="s">
        <v>259</v>
      </c>
      <c r="AK1760" t="s">
        <v>357</v>
      </c>
    </row>
    <row r="1761" spans="1:37">
      <c r="A1761" t="s">
        <v>38</v>
      </c>
      <c r="B1761" t="s">
        <v>50</v>
      </c>
      <c r="C1761" t="s">
        <v>74</v>
      </c>
      <c r="D1761" t="s">
        <v>95</v>
      </c>
      <c r="E1761" t="s">
        <v>113</v>
      </c>
      <c r="F1761" t="s">
        <v>147</v>
      </c>
      <c r="G1761" t="s">
        <v>173</v>
      </c>
      <c r="H1761" t="s">
        <v>208</v>
      </c>
      <c r="I1761" t="s">
        <v>227</v>
      </c>
      <c r="J1761" t="s">
        <v>115</v>
      </c>
      <c r="K1761" t="s">
        <v>260</v>
      </c>
      <c r="L1761" t="s">
        <v>273</v>
      </c>
      <c r="M1761" t="s">
        <v>282</v>
      </c>
      <c r="N1761" t="s">
        <v>291</v>
      </c>
      <c r="AK1761" t="s">
        <v>357</v>
      </c>
    </row>
    <row r="1762" spans="1:37">
      <c r="B1762" t="s">
        <v>51</v>
      </c>
      <c r="C1762" t="s">
        <v>75</v>
      </c>
      <c r="D1762" t="s">
        <v>52</v>
      </c>
      <c r="E1762" t="s">
        <v>114</v>
      </c>
      <c r="F1762" t="s">
        <v>148</v>
      </c>
      <c r="G1762" t="s">
        <v>148</v>
      </c>
      <c r="H1762" t="s">
        <v>209</v>
      </c>
      <c r="I1762" t="s">
        <v>228</v>
      </c>
      <c r="J1762" t="s">
        <v>247</v>
      </c>
      <c r="K1762" t="s">
        <v>261</v>
      </c>
      <c r="L1762" t="s">
        <v>274</v>
      </c>
      <c r="M1762" t="s">
        <v>283</v>
      </c>
      <c r="N1762" t="s">
        <v>292</v>
      </c>
      <c r="O1762" t="s">
        <v>300</v>
      </c>
      <c r="AK1762" t="s">
        <v>357</v>
      </c>
    </row>
    <row r="1763" spans="1:37">
      <c r="B1763" t="s">
        <v>52</v>
      </c>
      <c r="C1763" t="s">
        <v>76</v>
      </c>
      <c r="D1763" t="s">
        <v>96</v>
      </c>
      <c r="E1763" t="s">
        <v>115</v>
      </c>
      <c r="F1763" t="s">
        <v>149</v>
      </c>
      <c r="G1763" t="s">
        <v>174</v>
      </c>
      <c r="H1763" t="s">
        <v>96</v>
      </c>
      <c r="I1763" t="s">
        <v>229</v>
      </c>
      <c r="J1763" t="s">
        <v>248</v>
      </c>
      <c r="K1763" t="s">
        <v>262</v>
      </c>
      <c r="L1763" t="s">
        <v>52</v>
      </c>
      <c r="M1763" t="s">
        <v>76</v>
      </c>
      <c r="N1763" t="s">
        <v>293</v>
      </c>
      <c r="O1763" t="s">
        <v>301</v>
      </c>
      <c r="P1763" t="s">
        <v>309</v>
      </c>
      <c r="Q1763" t="s">
        <v>315</v>
      </c>
      <c r="R1763" t="s">
        <v>228</v>
      </c>
      <c r="S1763" t="s">
        <v>328</v>
      </c>
      <c r="T1763" t="s">
        <v>149</v>
      </c>
      <c r="U1763" t="s">
        <v>337</v>
      </c>
      <c r="V1763" t="s">
        <v>341</v>
      </c>
      <c r="W1763" t="s">
        <v>345</v>
      </c>
      <c r="X1763" t="s">
        <v>350</v>
      </c>
      <c r="AK1763" t="s">
        <v>357</v>
      </c>
    </row>
    <row r="1764" spans="1:37">
      <c r="B1764" t="s">
        <v>53</v>
      </c>
      <c r="C1764" t="s">
        <v>77</v>
      </c>
      <c r="D1764" t="s">
        <v>97</v>
      </c>
      <c r="E1764" t="s">
        <v>116</v>
      </c>
      <c r="F1764" t="s">
        <v>150</v>
      </c>
      <c r="G1764" t="s">
        <v>175</v>
      </c>
      <c r="H1764" t="s">
        <v>210</v>
      </c>
      <c r="I1764" t="s">
        <v>230</v>
      </c>
      <c r="J1764" t="s">
        <v>249</v>
      </c>
      <c r="K1764" t="s">
        <v>263</v>
      </c>
      <c r="L1764" t="s">
        <v>275</v>
      </c>
      <c r="M1764" t="s">
        <v>284</v>
      </c>
      <c r="N1764" t="s">
        <v>294</v>
      </c>
      <c r="O1764" t="s">
        <v>302</v>
      </c>
      <c r="P1764" t="s">
        <v>310</v>
      </c>
      <c r="Q1764" t="s">
        <v>316</v>
      </c>
      <c r="R1764" t="s">
        <v>322</v>
      </c>
      <c r="S1764" t="s">
        <v>329</v>
      </c>
      <c r="AK1764" t="s">
        <v>357</v>
      </c>
    </row>
    <row r="1765" spans="1:37">
      <c r="A1765" t="s">
        <v>39</v>
      </c>
      <c r="B1765" t="s">
        <v>54</v>
      </c>
      <c r="C1765" t="s">
        <v>54</v>
      </c>
      <c r="D1765" t="s">
        <v>54</v>
      </c>
      <c r="E1765" t="s">
        <v>54</v>
      </c>
      <c r="F1765" t="s">
        <v>54</v>
      </c>
      <c r="G1765" t="s">
        <v>54</v>
      </c>
      <c r="H1765" t="s">
        <v>54</v>
      </c>
      <c r="I1765" t="s">
        <v>54</v>
      </c>
      <c r="J1765" t="s">
        <v>54</v>
      </c>
      <c r="K1765" t="s">
        <v>54</v>
      </c>
      <c r="L1765" t="s">
        <v>54</v>
      </c>
      <c r="M1765" t="s">
        <v>54</v>
      </c>
      <c r="N1765" t="s">
        <v>54</v>
      </c>
      <c r="O1765" t="s">
        <v>54</v>
      </c>
      <c r="P1765" t="s">
        <v>54</v>
      </c>
      <c r="Q1765" t="s">
        <v>54</v>
      </c>
      <c r="R1765" t="s">
        <v>323</v>
      </c>
      <c r="S1765" t="s">
        <v>330</v>
      </c>
      <c r="AK1765" t="s">
        <v>357</v>
      </c>
    </row>
    <row r="1766" spans="1:37">
      <c r="B1766" t="s">
        <v>55</v>
      </c>
      <c r="C1766" t="s">
        <v>78</v>
      </c>
      <c r="D1766" t="s">
        <v>55</v>
      </c>
      <c r="E1766" t="s">
        <v>78</v>
      </c>
      <c r="F1766" t="s">
        <v>55</v>
      </c>
      <c r="G1766" t="s">
        <v>78</v>
      </c>
      <c r="H1766" t="s">
        <v>55</v>
      </c>
      <c r="I1766" t="s">
        <v>78</v>
      </c>
      <c r="J1766" t="s">
        <v>55</v>
      </c>
      <c r="K1766" t="s">
        <v>78</v>
      </c>
      <c r="L1766" t="s">
        <v>55</v>
      </c>
      <c r="M1766" t="s">
        <v>78</v>
      </c>
      <c r="N1766" t="s">
        <v>55</v>
      </c>
      <c r="O1766" t="s">
        <v>78</v>
      </c>
      <c r="P1766" t="s">
        <v>55</v>
      </c>
      <c r="Q1766" t="s">
        <v>78</v>
      </c>
      <c r="R1766" t="s">
        <v>55</v>
      </c>
      <c r="S1766" t="s">
        <v>78</v>
      </c>
      <c r="T1766" t="s">
        <v>55</v>
      </c>
      <c r="U1766" t="s">
        <v>78</v>
      </c>
      <c r="V1766" t="s">
        <v>55</v>
      </c>
      <c r="W1766" t="s">
        <v>78</v>
      </c>
      <c r="X1766" t="s">
        <v>55</v>
      </c>
      <c r="Y1766" t="s">
        <v>78</v>
      </c>
      <c r="Z1766" t="s">
        <v>55</v>
      </c>
      <c r="AA1766" t="s">
        <v>78</v>
      </c>
      <c r="AB1766" t="s">
        <v>55</v>
      </c>
      <c r="AC1766" t="s">
        <v>78</v>
      </c>
      <c r="AD1766" t="s">
        <v>55</v>
      </c>
      <c r="AE1766" t="s">
        <v>78</v>
      </c>
      <c r="AF1766" t="s">
        <v>55</v>
      </c>
      <c r="AG1766" t="s">
        <v>78</v>
      </c>
      <c r="AH1766" t="s">
        <v>55</v>
      </c>
      <c r="AI1766" t="s">
        <v>78</v>
      </c>
      <c r="AK1766" t="s">
        <v>357</v>
      </c>
    </row>
    <row r="1767" spans="1:37">
      <c r="B1767" t="s">
        <v>56</v>
      </c>
      <c r="C1767" t="s">
        <v>56</v>
      </c>
      <c r="D1767" t="s">
        <v>56</v>
      </c>
      <c r="E1767" t="s">
        <v>56</v>
      </c>
      <c r="F1767" t="s">
        <v>56</v>
      </c>
      <c r="G1767" t="s">
        <v>176</v>
      </c>
      <c r="H1767" t="s">
        <v>211</v>
      </c>
      <c r="I1767" t="s">
        <v>231</v>
      </c>
      <c r="J1767" t="s">
        <v>250</v>
      </c>
      <c r="K1767" t="s">
        <v>264</v>
      </c>
      <c r="L1767" t="s">
        <v>276</v>
      </c>
      <c r="M1767" t="s">
        <v>285</v>
      </c>
      <c r="N1767" t="s">
        <v>295</v>
      </c>
      <c r="O1767" t="s">
        <v>303</v>
      </c>
      <c r="P1767" t="s">
        <v>56</v>
      </c>
      <c r="Q1767" t="s">
        <v>317</v>
      </c>
      <c r="R1767" t="s">
        <v>324</v>
      </c>
      <c r="S1767" t="s">
        <v>331</v>
      </c>
      <c r="T1767" t="s">
        <v>334</v>
      </c>
      <c r="U1767" t="s">
        <v>338</v>
      </c>
      <c r="V1767" t="s">
        <v>342</v>
      </c>
      <c r="W1767" t="s">
        <v>346</v>
      </c>
      <c r="X1767" t="s">
        <v>351</v>
      </c>
      <c r="AK1767" t="s">
        <v>357</v>
      </c>
    </row>
    <row r="1768" spans="1:37">
      <c r="B1768" t="s">
        <v>57</v>
      </c>
      <c r="C1768" t="s">
        <v>79</v>
      </c>
      <c r="D1768" t="s">
        <v>98</v>
      </c>
      <c r="E1768" t="s">
        <v>117</v>
      </c>
      <c r="F1768" t="s">
        <v>151</v>
      </c>
      <c r="G1768" t="s">
        <v>177</v>
      </c>
      <c r="H1768" t="s">
        <v>212</v>
      </c>
      <c r="I1768" t="s">
        <v>232</v>
      </c>
      <c r="J1768" t="s">
        <v>251</v>
      </c>
      <c r="K1768" t="s">
        <v>265</v>
      </c>
      <c r="L1768" t="s">
        <v>277</v>
      </c>
      <c r="M1768" t="s">
        <v>286</v>
      </c>
      <c r="N1768" t="s">
        <v>296</v>
      </c>
      <c r="O1768" t="s">
        <v>304</v>
      </c>
      <c r="P1768" t="s">
        <v>311</v>
      </c>
      <c r="Q1768" t="s">
        <v>318</v>
      </c>
      <c r="R1768" t="s">
        <v>185</v>
      </c>
      <c r="S1768" t="s">
        <v>159</v>
      </c>
      <c r="T1768" t="s">
        <v>185</v>
      </c>
      <c r="U1768" t="s">
        <v>339</v>
      </c>
      <c r="V1768" t="s">
        <v>72</v>
      </c>
      <c r="W1768" t="s">
        <v>347</v>
      </c>
      <c r="X1768" t="s">
        <v>72</v>
      </c>
      <c r="Y1768" t="s">
        <v>96</v>
      </c>
      <c r="AK1768" t="s">
        <v>357</v>
      </c>
    </row>
    <row r="1769" spans="1:37">
      <c r="B1769" t="s">
        <v>58</v>
      </c>
      <c r="C1769" t="s">
        <v>80</v>
      </c>
      <c r="D1769" t="s">
        <v>99</v>
      </c>
      <c r="E1769" t="s">
        <v>118</v>
      </c>
      <c r="F1769" t="s">
        <v>152</v>
      </c>
      <c r="G1769" t="s">
        <v>178</v>
      </c>
      <c r="H1769" t="s">
        <v>213</v>
      </c>
      <c r="I1769" t="s">
        <v>233</v>
      </c>
      <c r="J1769" t="s">
        <v>252</v>
      </c>
      <c r="K1769" t="s">
        <v>266</v>
      </c>
      <c r="L1769" t="s">
        <v>278</v>
      </c>
      <c r="M1769" t="s">
        <v>287</v>
      </c>
      <c r="N1769" t="s">
        <v>297</v>
      </c>
      <c r="O1769" t="s">
        <v>305</v>
      </c>
      <c r="P1769" t="s">
        <v>312</v>
      </c>
      <c r="Q1769" t="s">
        <v>319</v>
      </c>
      <c r="R1769">
        <f>&gt;10       ветра      1.5     21  20</f>
        <v>0</v>
      </c>
      <c r="AK1769" t="s">
        <v>357</v>
      </c>
    </row>
    <row r="1770" spans="1:37">
      <c r="A1770" t="s">
        <v>40</v>
      </c>
      <c r="B1770" t="s">
        <v>59</v>
      </c>
      <c r="C1770" t="s">
        <v>81</v>
      </c>
      <c r="D1770" t="s">
        <v>100</v>
      </c>
      <c r="E1770" t="s">
        <v>119</v>
      </c>
      <c r="F1770" t="s">
        <v>153</v>
      </c>
      <c r="G1770" t="s">
        <v>179</v>
      </c>
      <c r="H1770" t="s">
        <v>214</v>
      </c>
      <c r="I1770" t="s">
        <v>234</v>
      </c>
      <c r="AK1770" t="s">
        <v>357</v>
      </c>
    </row>
    <row r="1771" spans="1:37">
      <c r="A1771" t="s">
        <v>40</v>
      </c>
      <c r="B1771" t="s">
        <v>60</v>
      </c>
      <c r="C1771" t="s">
        <v>82</v>
      </c>
      <c r="D1771" t="s">
        <v>101</v>
      </c>
      <c r="E1771" t="s">
        <v>120</v>
      </c>
      <c r="F1771" t="s">
        <v>154</v>
      </c>
      <c r="G1771" t="s">
        <v>180</v>
      </c>
      <c r="H1771" t="s">
        <v>215</v>
      </c>
      <c r="I1771" t="s">
        <v>235</v>
      </c>
      <c r="J1771" t="s">
        <v>253</v>
      </c>
      <c r="K1771" t="s">
        <v>267</v>
      </c>
      <c r="L1771" t="s">
        <v>279</v>
      </c>
      <c r="M1771" t="s">
        <v>288</v>
      </c>
      <c r="N1771" t="s">
        <v>100</v>
      </c>
      <c r="O1771" t="s">
        <v>306</v>
      </c>
      <c r="P1771" t="s">
        <v>313</v>
      </c>
      <c r="Q1771" t="s">
        <v>320</v>
      </c>
      <c r="R1771" t="s">
        <v>325</v>
      </c>
      <c r="S1771" t="s">
        <v>332</v>
      </c>
      <c r="T1771" t="s">
        <v>119</v>
      </c>
      <c r="U1771" t="s">
        <v>234</v>
      </c>
      <c r="V1771" t="s">
        <v>343</v>
      </c>
      <c r="W1771" t="s">
        <v>348</v>
      </c>
      <c r="X1771" t="s">
        <v>352</v>
      </c>
      <c r="Y1771" t="s">
        <v>354</v>
      </c>
      <c r="AK1771" t="s">
        <v>357</v>
      </c>
    </row>
    <row r="1772" spans="1:37">
      <c r="A1772" t="s">
        <v>41</v>
      </c>
      <c r="B1772" t="s">
        <v>61</v>
      </c>
      <c r="C1772" t="s">
        <v>83</v>
      </c>
      <c r="D1772" t="s">
        <v>102</v>
      </c>
      <c r="E1772" t="s">
        <v>121</v>
      </c>
      <c r="F1772" t="s">
        <v>155</v>
      </c>
      <c r="G1772" t="s">
        <v>181</v>
      </c>
      <c r="H1772" t="s">
        <v>216</v>
      </c>
      <c r="I1772" t="s">
        <v>236</v>
      </c>
      <c r="AK1772" t="s">
        <v>357</v>
      </c>
    </row>
    <row r="1773" spans="1:37">
      <c r="A1773" t="s">
        <v>42</v>
      </c>
      <c r="B1773" t="s">
        <v>62</v>
      </c>
      <c r="C1773" t="s">
        <v>84</v>
      </c>
      <c r="D1773" t="s">
        <v>103</v>
      </c>
      <c r="E1773" t="s">
        <v>122</v>
      </c>
      <c r="F1773" t="s">
        <v>156</v>
      </c>
      <c r="G1773" t="s">
        <v>182</v>
      </c>
      <c r="H1773" t="s">
        <v>83</v>
      </c>
      <c r="I1773" t="s">
        <v>237</v>
      </c>
      <c r="J1773" t="s">
        <v>254</v>
      </c>
      <c r="K1773" t="s">
        <v>268</v>
      </c>
      <c r="L1773" t="s">
        <v>280</v>
      </c>
      <c r="M1773" t="s">
        <v>289</v>
      </c>
      <c r="N1773" t="s">
        <v>298</v>
      </c>
      <c r="O1773" t="s">
        <v>307</v>
      </c>
      <c r="P1773" t="s">
        <v>314</v>
      </c>
      <c r="Q1773" t="s">
        <v>216</v>
      </c>
      <c r="R1773" t="s">
        <v>326</v>
      </c>
      <c r="S1773" t="s">
        <v>333</v>
      </c>
      <c r="T1773" t="s">
        <v>335</v>
      </c>
      <c r="U1773" t="s">
        <v>340</v>
      </c>
      <c r="V1773" t="s">
        <v>344</v>
      </c>
      <c r="W1773" t="s">
        <v>349</v>
      </c>
      <c r="AK1773" t="s">
        <v>357</v>
      </c>
    </row>
    <row r="1774" spans="1:37">
      <c r="A1774" t="s">
        <v>43</v>
      </c>
      <c r="B1774" t="s">
        <v>63</v>
      </c>
      <c r="C1774" t="s">
        <v>85</v>
      </c>
      <c r="D1774" t="s">
        <v>104</v>
      </c>
      <c r="E1774" t="s">
        <v>123</v>
      </c>
      <c r="F1774" t="s">
        <v>157</v>
      </c>
      <c r="G1774" t="s">
        <v>183</v>
      </c>
      <c r="AK1774" t="s">
        <v>357</v>
      </c>
    </row>
    <row r="1775" spans="1:37">
      <c r="A1775" t="s">
        <v>44</v>
      </c>
      <c r="B1775" t="s">
        <v>64</v>
      </c>
      <c r="C1775" t="s">
        <v>86</v>
      </c>
      <c r="D1775" t="s">
        <v>105</v>
      </c>
      <c r="E1775" t="s">
        <v>124</v>
      </c>
      <c r="F1775" t="s">
        <v>158</v>
      </c>
      <c r="G1775" t="s">
        <v>184</v>
      </c>
      <c r="AK1775" t="s">
        <v>357</v>
      </c>
    </row>
    <row r="1776" spans="1:37">
      <c r="A1776" t="s">
        <v>45</v>
      </c>
      <c r="B1776" t="s">
        <v>65</v>
      </c>
      <c r="C1776" t="s">
        <v>87</v>
      </c>
      <c r="D1776" t="s">
        <v>106</v>
      </c>
      <c r="E1776" t="s">
        <v>125</v>
      </c>
      <c r="F1776" t="s">
        <v>159</v>
      </c>
      <c r="G1776" t="s">
        <v>185</v>
      </c>
      <c r="H1776" t="s">
        <v>159</v>
      </c>
      <c r="I1776" t="s">
        <v>185</v>
      </c>
      <c r="J1776" t="s">
        <v>255</v>
      </c>
      <c r="AK1776" t="s">
        <v>357</v>
      </c>
    </row>
    <row r="1777" spans="1:37">
      <c r="A1777" t="s">
        <v>46</v>
      </c>
      <c r="B1777" t="s">
        <v>66</v>
      </c>
      <c r="C1777" t="s">
        <v>88</v>
      </c>
      <c r="D1777" t="s">
        <v>76</v>
      </c>
      <c r="E1777" t="s">
        <v>126</v>
      </c>
      <c r="F1777" t="s">
        <v>160</v>
      </c>
      <c r="G1777" t="s">
        <v>186</v>
      </c>
      <c r="H1777" t="s">
        <v>217</v>
      </c>
      <c r="I1777" t="s">
        <v>238</v>
      </c>
      <c r="J1777" t="s">
        <v>256</v>
      </c>
      <c r="K1777" t="s">
        <v>265</v>
      </c>
      <c r="L1777" t="s">
        <v>281</v>
      </c>
      <c r="M1777" t="s">
        <v>290</v>
      </c>
      <c r="N1777" t="s">
        <v>299</v>
      </c>
      <c r="O1777" t="s">
        <v>308</v>
      </c>
      <c r="P1777" t="s">
        <v>228</v>
      </c>
      <c r="Q1777" t="s">
        <v>72</v>
      </c>
      <c r="R1777" t="s">
        <v>327</v>
      </c>
      <c r="S1777" t="s">
        <v>327</v>
      </c>
      <c r="T1777" t="s">
        <v>336</v>
      </c>
      <c r="U1777" t="s">
        <v>336</v>
      </c>
      <c r="V1777" t="s">
        <v>336</v>
      </c>
      <c r="W1777" t="s">
        <v>336</v>
      </c>
      <c r="X1777" t="s">
        <v>353</v>
      </c>
      <c r="AK1777" t="s">
        <v>357</v>
      </c>
    </row>
    <row r="1778" spans="1:37">
      <c r="A1778" t="s">
        <v>37</v>
      </c>
      <c r="B1778" t="s">
        <v>49</v>
      </c>
      <c r="C1778" t="s">
        <v>73</v>
      </c>
      <c r="D1778" t="s">
        <v>94</v>
      </c>
      <c r="E1778" t="s">
        <v>112</v>
      </c>
      <c r="F1778" t="s">
        <v>146</v>
      </c>
      <c r="G1778" t="s">
        <v>172</v>
      </c>
      <c r="H1778" t="s">
        <v>207</v>
      </c>
      <c r="I1778" t="s">
        <v>226</v>
      </c>
      <c r="J1778" t="s">
        <v>246</v>
      </c>
      <c r="K1778" t="s">
        <v>259</v>
      </c>
      <c r="AK1778" t="s">
        <v>357</v>
      </c>
    </row>
    <row r="1779" spans="1:37">
      <c r="A1779" t="s">
        <v>38</v>
      </c>
      <c r="B1779" t="s">
        <v>50</v>
      </c>
      <c r="C1779" t="s">
        <v>74</v>
      </c>
      <c r="D1779" t="s">
        <v>95</v>
      </c>
      <c r="E1779" t="s">
        <v>113</v>
      </c>
      <c r="F1779" t="s">
        <v>147</v>
      </c>
      <c r="G1779" t="s">
        <v>173</v>
      </c>
      <c r="H1779" t="s">
        <v>208</v>
      </c>
      <c r="I1779" t="s">
        <v>227</v>
      </c>
      <c r="J1779" t="s">
        <v>115</v>
      </c>
      <c r="K1779" t="s">
        <v>260</v>
      </c>
      <c r="L1779" t="s">
        <v>273</v>
      </c>
      <c r="M1779" t="s">
        <v>282</v>
      </c>
      <c r="N1779" t="s">
        <v>291</v>
      </c>
      <c r="AK1779" t="s">
        <v>357</v>
      </c>
    </row>
    <row r="1780" spans="1:37">
      <c r="B1780" t="s">
        <v>51</v>
      </c>
      <c r="C1780" t="s">
        <v>75</v>
      </c>
      <c r="D1780" t="s">
        <v>52</v>
      </c>
      <c r="E1780" t="s">
        <v>114</v>
      </c>
      <c r="F1780" t="s">
        <v>148</v>
      </c>
      <c r="G1780" t="s">
        <v>148</v>
      </c>
      <c r="H1780" t="s">
        <v>209</v>
      </c>
      <c r="I1780" t="s">
        <v>228</v>
      </c>
      <c r="J1780" t="s">
        <v>247</v>
      </c>
      <c r="K1780" t="s">
        <v>261</v>
      </c>
      <c r="L1780" t="s">
        <v>274</v>
      </c>
      <c r="M1780" t="s">
        <v>283</v>
      </c>
      <c r="N1780" t="s">
        <v>292</v>
      </c>
      <c r="O1780" t="s">
        <v>300</v>
      </c>
      <c r="AK1780" t="s">
        <v>357</v>
      </c>
    </row>
    <row r="1781" spans="1:37">
      <c r="B1781" t="s">
        <v>52</v>
      </c>
      <c r="C1781" t="s">
        <v>76</v>
      </c>
      <c r="D1781" t="s">
        <v>96</v>
      </c>
      <c r="E1781" t="s">
        <v>115</v>
      </c>
      <c r="F1781" t="s">
        <v>149</v>
      </c>
      <c r="G1781" t="s">
        <v>174</v>
      </c>
      <c r="H1781" t="s">
        <v>96</v>
      </c>
      <c r="I1781" t="s">
        <v>229</v>
      </c>
      <c r="J1781" t="s">
        <v>248</v>
      </c>
      <c r="K1781" t="s">
        <v>262</v>
      </c>
      <c r="L1781" t="s">
        <v>52</v>
      </c>
      <c r="M1781" t="s">
        <v>76</v>
      </c>
      <c r="N1781" t="s">
        <v>293</v>
      </c>
      <c r="O1781" t="s">
        <v>301</v>
      </c>
      <c r="P1781" t="s">
        <v>309</v>
      </c>
      <c r="Q1781" t="s">
        <v>315</v>
      </c>
      <c r="R1781" t="s">
        <v>228</v>
      </c>
      <c r="S1781" t="s">
        <v>328</v>
      </c>
      <c r="T1781" t="s">
        <v>149</v>
      </c>
      <c r="U1781" t="s">
        <v>337</v>
      </c>
      <c r="V1781" t="s">
        <v>341</v>
      </c>
      <c r="W1781" t="s">
        <v>345</v>
      </c>
      <c r="X1781" t="s">
        <v>350</v>
      </c>
      <c r="AK1781" t="s">
        <v>357</v>
      </c>
    </row>
    <row r="1782" spans="1:37">
      <c r="B1782" t="s">
        <v>53</v>
      </c>
      <c r="C1782" t="s">
        <v>77</v>
      </c>
      <c r="D1782" t="s">
        <v>97</v>
      </c>
      <c r="E1782" t="s">
        <v>116</v>
      </c>
      <c r="F1782" t="s">
        <v>150</v>
      </c>
      <c r="G1782" t="s">
        <v>175</v>
      </c>
      <c r="H1782" t="s">
        <v>210</v>
      </c>
      <c r="I1782" t="s">
        <v>230</v>
      </c>
      <c r="J1782" t="s">
        <v>249</v>
      </c>
      <c r="K1782" t="s">
        <v>263</v>
      </c>
      <c r="L1782" t="s">
        <v>275</v>
      </c>
      <c r="M1782" t="s">
        <v>284</v>
      </c>
      <c r="N1782" t="s">
        <v>294</v>
      </c>
      <c r="O1782" t="s">
        <v>302</v>
      </c>
      <c r="P1782" t="s">
        <v>310</v>
      </c>
      <c r="Q1782" t="s">
        <v>316</v>
      </c>
      <c r="R1782" t="s">
        <v>322</v>
      </c>
      <c r="S1782" t="s">
        <v>329</v>
      </c>
      <c r="AK1782" t="s">
        <v>357</v>
      </c>
    </row>
    <row r="1783" spans="1:37">
      <c r="A1783" t="s">
        <v>39</v>
      </c>
      <c r="B1783" t="s">
        <v>54</v>
      </c>
      <c r="C1783" t="s">
        <v>54</v>
      </c>
      <c r="D1783" t="s">
        <v>54</v>
      </c>
      <c r="E1783" t="s">
        <v>54</v>
      </c>
      <c r="F1783" t="s">
        <v>54</v>
      </c>
      <c r="G1783" t="s">
        <v>54</v>
      </c>
      <c r="H1783" t="s">
        <v>54</v>
      </c>
      <c r="I1783" t="s">
        <v>54</v>
      </c>
      <c r="J1783" t="s">
        <v>54</v>
      </c>
      <c r="K1783" t="s">
        <v>54</v>
      </c>
      <c r="L1783" t="s">
        <v>54</v>
      </c>
      <c r="M1783" t="s">
        <v>54</v>
      </c>
      <c r="N1783" t="s">
        <v>54</v>
      </c>
      <c r="O1783" t="s">
        <v>54</v>
      </c>
      <c r="P1783" t="s">
        <v>54</v>
      </c>
      <c r="Q1783" t="s">
        <v>54</v>
      </c>
      <c r="R1783" t="s">
        <v>323</v>
      </c>
      <c r="S1783" t="s">
        <v>330</v>
      </c>
      <c r="AK1783" t="s">
        <v>357</v>
      </c>
    </row>
    <row r="1784" spans="1:37">
      <c r="B1784" t="s">
        <v>55</v>
      </c>
      <c r="C1784" t="s">
        <v>78</v>
      </c>
      <c r="D1784" t="s">
        <v>55</v>
      </c>
      <c r="E1784" t="s">
        <v>78</v>
      </c>
      <c r="F1784" t="s">
        <v>55</v>
      </c>
      <c r="G1784" t="s">
        <v>78</v>
      </c>
      <c r="H1784" t="s">
        <v>55</v>
      </c>
      <c r="I1784" t="s">
        <v>78</v>
      </c>
      <c r="J1784" t="s">
        <v>55</v>
      </c>
      <c r="K1784" t="s">
        <v>78</v>
      </c>
      <c r="L1784" t="s">
        <v>55</v>
      </c>
      <c r="M1784" t="s">
        <v>78</v>
      </c>
      <c r="N1784" t="s">
        <v>55</v>
      </c>
      <c r="O1784" t="s">
        <v>78</v>
      </c>
      <c r="P1784" t="s">
        <v>55</v>
      </c>
      <c r="Q1784" t="s">
        <v>78</v>
      </c>
      <c r="R1784" t="s">
        <v>55</v>
      </c>
      <c r="S1784" t="s">
        <v>78</v>
      </c>
      <c r="T1784" t="s">
        <v>55</v>
      </c>
      <c r="U1784" t="s">
        <v>78</v>
      </c>
      <c r="V1784" t="s">
        <v>55</v>
      </c>
      <c r="W1784" t="s">
        <v>78</v>
      </c>
      <c r="X1784" t="s">
        <v>55</v>
      </c>
      <c r="Y1784" t="s">
        <v>78</v>
      </c>
      <c r="Z1784" t="s">
        <v>55</v>
      </c>
      <c r="AA1784" t="s">
        <v>78</v>
      </c>
      <c r="AB1784" t="s">
        <v>55</v>
      </c>
      <c r="AC1784" t="s">
        <v>78</v>
      </c>
      <c r="AD1784" t="s">
        <v>55</v>
      </c>
      <c r="AE1784" t="s">
        <v>78</v>
      </c>
      <c r="AF1784" t="s">
        <v>55</v>
      </c>
      <c r="AG1784" t="s">
        <v>78</v>
      </c>
      <c r="AH1784" t="s">
        <v>55</v>
      </c>
      <c r="AI1784" t="s">
        <v>78</v>
      </c>
      <c r="AK1784" t="s">
        <v>357</v>
      </c>
    </row>
    <row r="1785" spans="1:37">
      <c r="B1785" t="s">
        <v>56</v>
      </c>
      <c r="C1785" t="s">
        <v>56</v>
      </c>
      <c r="D1785" t="s">
        <v>56</v>
      </c>
      <c r="E1785" t="s">
        <v>56</v>
      </c>
      <c r="F1785" t="s">
        <v>56</v>
      </c>
      <c r="G1785" t="s">
        <v>176</v>
      </c>
      <c r="H1785" t="s">
        <v>211</v>
      </c>
      <c r="I1785" t="s">
        <v>231</v>
      </c>
      <c r="J1785" t="s">
        <v>250</v>
      </c>
      <c r="K1785" t="s">
        <v>264</v>
      </c>
      <c r="L1785" t="s">
        <v>276</v>
      </c>
      <c r="M1785" t="s">
        <v>285</v>
      </c>
      <c r="N1785" t="s">
        <v>295</v>
      </c>
      <c r="O1785" t="s">
        <v>303</v>
      </c>
      <c r="P1785" t="s">
        <v>56</v>
      </c>
      <c r="Q1785" t="s">
        <v>317</v>
      </c>
      <c r="R1785" t="s">
        <v>324</v>
      </c>
      <c r="S1785" t="s">
        <v>331</v>
      </c>
      <c r="T1785" t="s">
        <v>334</v>
      </c>
      <c r="U1785" t="s">
        <v>338</v>
      </c>
      <c r="V1785" t="s">
        <v>342</v>
      </c>
      <c r="W1785" t="s">
        <v>346</v>
      </c>
      <c r="X1785" t="s">
        <v>351</v>
      </c>
      <c r="AK1785" t="s">
        <v>357</v>
      </c>
    </row>
    <row r="1786" spans="1:37">
      <c r="B1786" t="s">
        <v>57</v>
      </c>
      <c r="C1786" t="s">
        <v>79</v>
      </c>
      <c r="D1786" t="s">
        <v>98</v>
      </c>
      <c r="E1786" t="s">
        <v>117</v>
      </c>
      <c r="F1786" t="s">
        <v>151</v>
      </c>
      <c r="G1786" t="s">
        <v>177</v>
      </c>
      <c r="H1786" t="s">
        <v>212</v>
      </c>
      <c r="I1786" t="s">
        <v>232</v>
      </c>
      <c r="J1786" t="s">
        <v>251</v>
      </c>
      <c r="K1786" t="s">
        <v>265</v>
      </c>
      <c r="L1786" t="s">
        <v>277</v>
      </c>
      <c r="M1786" t="s">
        <v>286</v>
      </c>
      <c r="N1786" t="s">
        <v>296</v>
      </c>
      <c r="O1786" t="s">
        <v>304</v>
      </c>
      <c r="P1786" t="s">
        <v>311</v>
      </c>
      <c r="Q1786" t="s">
        <v>318</v>
      </c>
      <c r="R1786" t="s">
        <v>185</v>
      </c>
      <c r="S1786" t="s">
        <v>159</v>
      </c>
      <c r="T1786" t="s">
        <v>185</v>
      </c>
      <c r="U1786" t="s">
        <v>339</v>
      </c>
      <c r="V1786" t="s">
        <v>72</v>
      </c>
      <c r="W1786" t="s">
        <v>347</v>
      </c>
      <c r="X1786" t="s">
        <v>72</v>
      </c>
      <c r="Y1786" t="s">
        <v>96</v>
      </c>
      <c r="AK1786" t="s">
        <v>357</v>
      </c>
    </row>
    <row r="1787" spans="1:37">
      <c r="B1787" t="s">
        <v>58</v>
      </c>
      <c r="C1787" t="s">
        <v>80</v>
      </c>
      <c r="D1787" t="s">
        <v>99</v>
      </c>
      <c r="E1787" t="s">
        <v>118</v>
      </c>
      <c r="F1787" t="s">
        <v>152</v>
      </c>
      <c r="G1787" t="s">
        <v>178</v>
      </c>
      <c r="H1787" t="s">
        <v>213</v>
      </c>
      <c r="I1787" t="s">
        <v>233</v>
      </c>
      <c r="J1787" t="s">
        <v>252</v>
      </c>
      <c r="K1787" t="s">
        <v>266</v>
      </c>
      <c r="L1787" t="s">
        <v>278</v>
      </c>
      <c r="M1787" t="s">
        <v>287</v>
      </c>
      <c r="N1787" t="s">
        <v>297</v>
      </c>
      <c r="O1787" t="s">
        <v>305</v>
      </c>
      <c r="P1787" t="s">
        <v>312</v>
      </c>
      <c r="Q1787" t="s">
        <v>319</v>
      </c>
      <c r="R1787">
        <f>&gt;10       ветра      3.3     18  17 20</f>
        <v>0</v>
      </c>
      <c r="AK1787" t="s">
        <v>357</v>
      </c>
    </row>
    <row r="1788" spans="1:37">
      <c r="A1788" t="s">
        <v>40</v>
      </c>
      <c r="B1788" t="s">
        <v>59</v>
      </c>
      <c r="C1788" t="s">
        <v>81</v>
      </c>
      <c r="D1788" t="s">
        <v>100</v>
      </c>
      <c r="E1788" t="s">
        <v>119</v>
      </c>
      <c r="F1788" t="s">
        <v>153</v>
      </c>
      <c r="G1788" t="s">
        <v>179</v>
      </c>
      <c r="H1788" t="s">
        <v>214</v>
      </c>
      <c r="I1788" t="s">
        <v>234</v>
      </c>
      <c r="AK1788" t="s">
        <v>357</v>
      </c>
    </row>
    <row r="1789" spans="1:37">
      <c r="A1789" t="s">
        <v>40</v>
      </c>
      <c r="B1789" t="s">
        <v>60</v>
      </c>
      <c r="C1789" t="s">
        <v>82</v>
      </c>
      <c r="D1789" t="s">
        <v>101</v>
      </c>
      <c r="E1789" t="s">
        <v>120</v>
      </c>
      <c r="F1789" t="s">
        <v>154</v>
      </c>
      <c r="G1789" t="s">
        <v>180</v>
      </c>
      <c r="H1789" t="s">
        <v>215</v>
      </c>
      <c r="I1789" t="s">
        <v>235</v>
      </c>
      <c r="J1789" t="s">
        <v>253</v>
      </c>
      <c r="K1789" t="s">
        <v>267</v>
      </c>
      <c r="L1789" t="s">
        <v>279</v>
      </c>
      <c r="M1789" t="s">
        <v>288</v>
      </c>
      <c r="N1789" t="s">
        <v>100</v>
      </c>
      <c r="O1789" t="s">
        <v>306</v>
      </c>
      <c r="P1789" t="s">
        <v>313</v>
      </c>
      <c r="Q1789" t="s">
        <v>320</v>
      </c>
      <c r="R1789" t="s">
        <v>325</v>
      </c>
      <c r="S1789" t="s">
        <v>332</v>
      </c>
      <c r="T1789" t="s">
        <v>119</v>
      </c>
      <c r="U1789" t="s">
        <v>234</v>
      </c>
      <c r="V1789" t="s">
        <v>343</v>
      </c>
      <c r="W1789" t="s">
        <v>348</v>
      </c>
      <c r="X1789" t="s">
        <v>352</v>
      </c>
      <c r="Y1789" t="s">
        <v>354</v>
      </c>
      <c r="AK1789" t="s">
        <v>357</v>
      </c>
    </row>
    <row r="1790" spans="1:37">
      <c r="A1790" t="s">
        <v>41</v>
      </c>
      <c r="B1790" t="s">
        <v>61</v>
      </c>
      <c r="C1790" t="s">
        <v>83</v>
      </c>
      <c r="D1790" t="s">
        <v>102</v>
      </c>
      <c r="E1790" t="s">
        <v>121</v>
      </c>
      <c r="F1790" t="s">
        <v>155</v>
      </c>
      <c r="G1790" t="s">
        <v>181</v>
      </c>
      <c r="H1790" t="s">
        <v>216</v>
      </c>
      <c r="I1790" t="s">
        <v>236</v>
      </c>
      <c r="AK1790" t="s">
        <v>357</v>
      </c>
    </row>
    <row r="1791" spans="1:37">
      <c r="A1791" t="s">
        <v>42</v>
      </c>
      <c r="B1791" t="s">
        <v>62</v>
      </c>
      <c r="C1791" t="s">
        <v>84</v>
      </c>
      <c r="D1791" t="s">
        <v>103</v>
      </c>
      <c r="E1791" t="s">
        <v>122</v>
      </c>
      <c r="F1791" t="s">
        <v>156</v>
      </c>
      <c r="G1791" t="s">
        <v>182</v>
      </c>
      <c r="H1791" t="s">
        <v>83</v>
      </c>
      <c r="I1791" t="s">
        <v>237</v>
      </c>
      <c r="J1791" t="s">
        <v>254</v>
      </c>
      <c r="K1791" t="s">
        <v>268</v>
      </c>
      <c r="L1791" t="s">
        <v>280</v>
      </c>
      <c r="M1791" t="s">
        <v>289</v>
      </c>
      <c r="N1791" t="s">
        <v>298</v>
      </c>
      <c r="O1791" t="s">
        <v>307</v>
      </c>
      <c r="P1791" t="s">
        <v>314</v>
      </c>
      <c r="Q1791" t="s">
        <v>216</v>
      </c>
      <c r="R1791" t="s">
        <v>326</v>
      </c>
      <c r="S1791" t="s">
        <v>333</v>
      </c>
      <c r="T1791" t="s">
        <v>335</v>
      </c>
      <c r="U1791" t="s">
        <v>340</v>
      </c>
      <c r="V1791" t="s">
        <v>344</v>
      </c>
      <c r="W1791" t="s">
        <v>349</v>
      </c>
      <c r="AK1791" t="s">
        <v>357</v>
      </c>
    </row>
    <row r="1792" spans="1:37">
      <c r="A1792" t="s">
        <v>43</v>
      </c>
      <c r="B1792" t="s">
        <v>63</v>
      </c>
      <c r="C1792" t="s">
        <v>85</v>
      </c>
      <c r="D1792" t="s">
        <v>104</v>
      </c>
      <c r="E1792" t="s">
        <v>123</v>
      </c>
      <c r="F1792" t="s">
        <v>157</v>
      </c>
      <c r="G1792" t="s">
        <v>183</v>
      </c>
      <c r="AK1792" t="s">
        <v>357</v>
      </c>
    </row>
    <row r="1793" spans="1:37">
      <c r="A1793" t="s">
        <v>44</v>
      </c>
      <c r="B1793" t="s">
        <v>64</v>
      </c>
      <c r="C1793" t="s">
        <v>86</v>
      </c>
      <c r="D1793" t="s">
        <v>105</v>
      </c>
      <c r="E1793" t="s">
        <v>124</v>
      </c>
      <c r="F1793" t="s">
        <v>158</v>
      </c>
      <c r="G1793" t="s">
        <v>184</v>
      </c>
      <c r="AK1793" t="s">
        <v>357</v>
      </c>
    </row>
    <row r="1794" spans="1:37">
      <c r="A1794" t="s">
        <v>45</v>
      </c>
      <c r="B1794" t="s">
        <v>65</v>
      </c>
      <c r="C1794" t="s">
        <v>87</v>
      </c>
      <c r="D1794" t="s">
        <v>106</v>
      </c>
      <c r="E1794" t="s">
        <v>125</v>
      </c>
      <c r="F1794" t="s">
        <v>159</v>
      </c>
      <c r="G1794" t="s">
        <v>185</v>
      </c>
      <c r="H1794" t="s">
        <v>159</v>
      </c>
      <c r="I1794" t="s">
        <v>185</v>
      </c>
      <c r="J1794" t="s">
        <v>255</v>
      </c>
      <c r="AK1794" t="s">
        <v>357</v>
      </c>
    </row>
    <row r="1795" spans="1:37">
      <c r="A1795" t="s">
        <v>46</v>
      </c>
      <c r="B1795" t="s">
        <v>66</v>
      </c>
      <c r="C1795" t="s">
        <v>88</v>
      </c>
      <c r="D1795" t="s">
        <v>76</v>
      </c>
      <c r="E1795" t="s">
        <v>126</v>
      </c>
      <c r="F1795" t="s">
        <v>160</v>
      </c>
      <c r="G1795" t="s">
        <v>186</v>
      </c>
      <c r="H1795" t="s">
        <v>217</v>
      </c>
      <c r="I1795" t="s">
        <v>238</v>
      </c>
      <c r="J1795" t="s">
        <v>256</v>
      </c>
      <c r="K1795" t="s">
        <v>265</v>
      </c>
      <c r="L1795" t="s">
        <v>281</v>
      </c>
      <c r="M1795" t="s">
        <v>290</v>
      </c>
      <c r="N1795" t="s">
        <v>299</v>
      </c>
      <c r="O1795" t="s">
        <v>308</v>
      </c>
      <c r="P1795" t="s">
        <v>228</v>
      </c>
      <c r="Q1795" t="s">
        <v>72</v>
      </c>
      <c r="R1795" t="s">
        <v>327</v>
      </c>
      <c r="S1795" t="s">
        <v>327</v>
      </c>
      <c r="T1795" t="s">
        <v>336</v>
      </c>
      <c r="U1795" t="s">
        <v>336</v>
      </c>
      <c r="V1795" t="s">
        <v>336</v>
      </c>
      <c r="W1795" t="s">
        <v>336</v>
      </c>
      <c r="X1795" t="s">
        <v>353</v>
      </c>
      <c r="AK1795" t="s">
        <v>357</v>
      </c>
    </row>
    <row r="1796" spans="1:37">
      <c r="B1796" t="s">
        <v>67</v>
      </c>
      <c r="C1796" t="s">
        <v>89</v>
      </c>
      <c r="D1796" t="s">
        <v>107</v>
      </c>
      <c r="AK1796" t="s">
        <v>357</v>
      </c>
    </row>
    <row r="1797" spans="1:37">
      <c r="B1797" t="s">
        <v>68</v>
      </c>
      <c r="C1797" t="s">
        <v>90</v>
      </c>
      <c r="D1797" t="s">
        <v>108</v>
      </c>
      <c r="AK1797" t="s">
        <v>357</v>
      </c>
    </row>
    <row r="1798" spans="1:37">
      <c r="A1798" t="s">
        <v>47</v>
      </c>
      <c r="B1798" t="s">
        <v>69</v>
      </c>
      <c r="C1798" t="s">
        <v>91</v>
      </c>
      <c r="D1798" t="s">
        <v>109</v>
      </c>
      <c r="E1798" t="s">
        <v>109</v>
      </c>
      <c r="F1798" t="s">
        <v>109</v>
      </c>
      <c r="G1798" t="s">
        <v>109</v>
      </c>
      <c r="H1798" t="s">
        <v>109</v>
      </c>
      <c r="I1798" t="s">
        <v>239</v>
      </c>
      <c r="AK1798" t="s">
        <v>357</v>
      </c>
    </row>
    <row r="1799" spans="1:37">
      <c r="B1799" t="s">
        <v>70</v>
      </c>
      <c r="C1799" t="s">
        <v>92</v>
      </c>
      <c r="D1799" t="s">
        <v>110</v>
      </c>
      <c r="E1799" t="s">
        <v>127</v>
      </c>
      <c r="F1799" t="s">
        <v>161</v>
      </c>
      <c r="G1799" t="s">
        <v>187</v>
      </c>
      <c r="H1799" t="s">
        <v>218</v>
      </c>
      <c r="AK1799" t="s">
        <v>357</v>
      </c>
    </row>
    <row r="1800" spans="1:37">
      <c r="B1800" t="s">
        <v>71</v>
      </c>
      <c r="C1800" t="s">
        <v>93</v>
      </c>
      <c r="D1800" t="s">
        <v>111</v>
      </c>
      <c r="E1800" t="s">
        <v>128</v>
      </c>
      <c r="F1800" t="s">
        <v>162</v>
      </c>
      <c r="G1800" t="s">
        <v>188</v>
      </c>
      <c r="H1800" t="s">
        <v>219</v>
      </c>
      <c r="I1800" t="s">
        <v>240</v>
      </c>
      <c r="J1800" t="s">
        <v>257</v>
      </c>
      <c r="K1800" t="s">
        <v>269</v>
      </c>
      <c r="L1800" t="s">
        <v>109</v>
      </c>
      <c r="M1800" t="s">
        <v>109</v>
      </c>
      <c r="N1800" t="s">
        <v>109</v>
      </c>
      <c r="O1800" t="s">
        <v>109</v>
      </c>
      <c r="P1800" t="s">
        <v>109</v>
      </c>
      <c r="Q1800" t="s">
        <v>321</v>
      </c>
      <c r="AK1800" t="s">
        <v>357</v>
      </c>
    </row>
    <row r="1801" spans="1:37">
      <c r="A1801" t="s">
        <v>48</v>
      </c>
      <c r="B1801" t="s">
        <v>71</v>
      </c>
      <c r="C1801" t="s">
        <v>93</v>
      </c>
      <c r="D1801" t="s">
        <v>111</v>
      </c>
      <c r="E1801" t="s">
        <v>128</v>
      </c>
      <c r="F1801" t="s">
        <v>163</v>
      </c>
      <c r="G1801" t="s">
        <v>189</v>
      </c>
      <c r="H1801" t="s">
        <v>220</v>
      </c>
      <c r="I1801" t="s">
        <v>241</v>
      </c>
      <c r="J1801" t="s">
        <v>258</v>
      </c>
      <c r="K1801" t="s">
        <v>270</v>
      </c>
      <c r="AK1801" t="s">
        <v>357</v>
      </c>
    </row>
    <row r="1802" spans="1:37">
      <c r="B1802" t="s">
        <v>72</v>
      </c>
      <c r="C1802" t="s">
        <v>72</v>
      </c>
      <c r="D1802" t="s">
        <v>72</v>
      </c>
      <c r="E1802" t="s">
        <v>134</v>
      </c>
      <c r="F1802" t="s">
        <v>165</v>
      </c>
      <c r="G1802" t="s">
        <v>197</v>
      </c>
      <c r="H1802" t="s">
        <v>191</v>
      </c>
      <c r="I1802" t="s">
        <v>199</v>
      </c>
      <c r="J1802" t="s">
        <v>192</v>
      </c>
      <c r="K1802" t="s">
        <v>271</v>
      </c>
      <c r="AK1802" t="s">
        <v>357</v>
      </c>
    </row>
    <row r="1803" spans="1:37">
      <c r="A1803" t="s">
        <v>37</v>
      </c>
      <c r="B1803" t="s">
        <v>49</v>
      </c>
      <c r="C1803" t="s">
        <v>73</v>
      </c>
      <c r="D1803" t="s">
        <v>94</v>
      </c>
      <c r="E1803" t="s">
        <v>112</v>
      </c>
      <c r="F1803" t="s">
        <v>146</v>
      </c>
      <c r="G1803" t="s">
        <v>172</v>
      </c>
      <c r="H1803" t="s">
        <v>207</v>
      </c>
      <c r="I1803" t="s">
        <v>226</v>
      </c>
      <c r="J1803" t="s">
        <v>246</v>
      </c>
      <c r="K1803" t="s">
        <v>259</v>
      </c>
      <c r="AK1803" t="s">
        <v>357</v>
      </c>
    </row>
    <row r="1804" spans="1:37">
      <c r="A1804" t="s">
        <v>38</v>
      </c>
      <c r="B1804" t="s">
        <v>50</v>
      </c>
      <c r="C1804" t="s">
        <v>74</v>
      </c>
      <c r="D1804" t="s">
        <v>95</v>
      </c>
      <c r="E1804" t="s">
        <v>113</v>
      </c>
      <c r="F1804" t="s">
        <v>147</v>
      </c>
      <c r="G1804" t="s">
        <v>173</v>
      </c>
      <c r="H1804" t="s">
        <v>208</v>
      </c>
      <c r="I1804" t="s">
        <v>227</v>
      </c>
      <c r="J1804" t="s">
        <v>115</v>
      </c>
      <c r="K1804" t="s">
        <v>260</v>
      </c>
      <c r="L1804" t="s">
        <v>273</v>
      </c>
      <c r="M1804" t="s">
        <v>282</v>
      </c>
      <c r="N1804" t="s">
        <v>291</v>
      </c>
      <c r="AK1804" t="s">
        <v>357</v>
      </c>
    </row>
    <row r="1805" spans="1:37">
      <c r="B1805" t="s">
        <v>51</v>
      </c>
      <c r="C1805" t="s">
        <v>75</v>
      </c>
      <c r="D1805" t="s">
        <v>52</v>
      </c>
      <c r="E1805" t="s">
        <v>114</v>
      </c>
      <c r="F1805" t="s">
        <v>148</v>
      </c>
      <c r="G1805" t="s">
        <v>148</v>
      </c>
      <c r="H1805" t="s">
        <v>209</v>
      </c>
      <c r="I1805" t="s">
        <v>228</v>
      </c>
      <c r="J1805" t="s">
        <v>247</v>
      </c>
      <c r="K1805" t="s">
        <v>261</v>
      </c>
      <c r="L1805" t="s">
        <v>274</v>
      </c>
      <c r="M1805" t="s">
        <v>283</v>
      </c>
      <c r="N1805" t="s">
        <v>292</v>
      </c>
      <c r="O1805" t="s">
        <v>300</v>
      </c>
      <c r="AK1805" t="s">
        <v>357</v>
      </c>
    </row>
    <row r="1806" spans="1:37">
      <c r="B1806" t="s">
        <v>52</v>
      </c>
      <c r="C1806" t="s">
        <v>76</v>
      </c>
      <c r="D1806" t="s">
        <v>96</v>
      </c>
      <c r="E1806" t="s">
        <v>115</v>
      </c>
      <c r="F1806" t="s">
        <v>149</v>
      </c>
      <c r="G1806" t="s">
        <v>174</v>
      </c>
      <c r="H1806" t="s">
        <v>96</v>
      </c>
      <c r="I1806" t="s">
        <v>229</v>
      </c>
      <c r="J1806" t="s">
        <v>248</v>
      </c>
      <c r="K1806" t="s">
        <v>262</v>
      </c>
      <c r="L1806" t="s">
        <v>52</v>
      </c>
      <c r="M1806" t="s">
        <v>76</v>
      </c>
      <c r="N1806" t="s">
        <v>293</v>
      </c>
      <c r="O1806" t="s">
        <v>301</v>
      </c>
      <c r="P1806" t="s">
        <v>309</v>
      </c>
      <c r="Q1806" t="s">
        <v>315</v>
      </c>
      <c r="R1806" t="s">
        <v>228</v>
      </c>
      <c r="S1806" t="s">
        <v>328</v>
      </c>
      <c r="T1806" t="s">
        <v>149</v>
      </c>
      <c r="U1806" t="s">
        <v>337</v>
      </c>
      <c r="V1806" t="s">
        <v>341</v>
      </c>
      <c r="W1806" t="s">
        <v>345</v>
      </c>
      <c r="X1806" t="s">
        <v>350</v>
      </c>
      <c r="AK1806" t="s">
        <v>357</v>
      </c>
    </row>
    <row r="1807" spans="1:37">
      <c r="B1807" t="s">
        <v>53</v>
      </c>
      <c r="C1807" t="s">
        <v>77</v>
      </c>
      <c r="D1807" t="s">
        <v>97</v>
      </c>
      <c r="E1807" t="s">
        <v>116</v>
      </c>
      <c r="F1807" t="s">
        <v>150</v>
      </c>
      <c r="G1807" t="s">
        <v>175</v>
      </c>
      <c r="H1807" t="s">
        <v>210</v>
      </c>
      <c r="I1807" t="s">
        <v>230</v>
      </c>
      <c r="J1807" t="s">
        <v>249</v>
      </c>
      <c r="K1807" t="s">
        <v>263</v>
      </c>
      <c r="L1807" t="s">
        <v>275</v>
      </c>
      <c r="M1807" t="s">
        <v>284</v>
      </c>
      <c r="N1807" t="s">
        <v>294</v>
      </c>
      <c r="O1807" t="s">
        <v>302</v>
      </c>
      <c r="P1807" t="s">
        <v>310</v>
      </c>
      <c r="Q1807" t="s">
        <v>316</v>
      </c>
      <c r="R1807" t="s">
        <v>322</v>
      </c>
      <c r="S1807" t="s">
        <v>329</v>
      </c>
      <c r="AK1807" t="s">
        <v>357</v>
      </c>
    </row>
    <row r="1808" spans="1:37">
      <c r="A1808" t="s">
        <v>39</v>
      </c>
      <c r="B1808" t="s">
        <v>54</v>
      </c>
      <c r="C1808" t="s">
        <v>54</v>
      </c>
      <c r="D1808" t="s">
        <v>54</v>
      </c>
      <c r="E1808" t="s">
        <v>54</v>
      </c>
      <c r="F1808" t="s">
        <v>54</v>
      </c>
      <c r="G1808" t="s">
        <v>54</v>
      </c>
      <c r="H1808" t="s">
        <v>54</v>
      </c>
      <c r="I1808" t="s">
        <v>54</v>
      </c>
      <c r="J1808" t="s">
        <v>54</v>
      </c>
      <c r="K1808" t="s">
        <v>54</v>
      </c>
      <c r="L1808" t="s">
        <v>54</v>
      </c>
      <c r="M1808" t="s">
        <v>54</v>
      </c>
      <c r="N1808" t="s">
        <v>54</v>
      </c>
      <c r="O1808" t="s">
        <v>54</v>
      </c>
      <c r="P1808" t="s">
        <v>54</v>
      </c>
      <c r="Q1808" t="s">
        <v>54</v>
      </c>
      <c r="R1808" t="s">
        <v>323</v>
      </c>
      <c r="S1808" t="s">
        <v>330</v>
      </c>
      <c r="AK1808" t="s">
        <v>357</v>
      </c>
    </row>
    <row r="1809" spans="1:37">
      <c r="B1809" t="s">
        <v>55</v>
      </c>
      <c r="C1809" t="s">
        <v>78</v>
      </c>
      <c r="D1809" t="s">
        <v>55</v>
      </c>
      <c r="E1809" t="s">
        <v>78</v>
      </c>
      <c r="F1809" t="s">
        <v>55</v>
      </c>
      <c r="G1809" t="s">
        <v>78</v>
      </c>
      <c r="H1809" t="s">
        <v>55</v>
      </c>
      <c r="I1809" t="s">
        <v>78</v>
      </c>
      <c r="J1809" t="s">
        <v>55</v>
      </c>
      <c r="K1809" t="s">
        <v>78</v>
      </c>
      <c r="L1809" t="s">
        <v>55</v>
      </c>
      <c r="M1809" t="s">
        <v>78</v>
      </c>
      <c r="N1809" t="s">
        <v>55</v>
      </c>
      <c r="O1809" t="s">
        <v>78</v>
      </c>
      <c r="P1809" t="s">
        <v>55</v>
      </c>
      <c r="Q1809" t="s">
        <v>78</v>
      </c>
      <c r="R1809" t="s">
        <v>55</v>
      </c>
      <c r="S1809" t="s">
        <v>78</v>
      </c>
      <c r="T1809" t="s">
        <v>55</v>
      </c>
      <c r="U1809" t="s">
        <v>78</v>
      </c>
      <c r="V1809" t="s">
        <v>55</v>
      </c>
      <c r="W1809" t="s">
        <v>78</v>
      </c>
      <c r="X1809" t="s">
        <v>55</v>
      </c>
      <c r="Y1809" t="s">
        <v>78</v>
      </c>
      <c r="Z1809" t="s">
        <v>55</v>
      </c>
      <c r="AA1809" t="s">
        <v>78</v>
      </c>
      <c r="AB1809" t="s">
        <v>55</v>
      </c>
      <c r="AC1809" t="s">
        <v>78</v>
      </c>
      <c r="AD1809" t="s">
        <v>55</v>
      </c>
      <c r="AE1809" t="s">
        <v>78</v>
      </c>
      <c r="AF1809" t="s">
        <v>55</v>
      </c>
      <c r="AG1809" t="s">
        <v>78</v>
      </c>
      <c r="AH1809" t="s">
        <v>55</v>
      </c>
      <c r="AI1809" t="s">
        <v>78</v>
      </c>
      <c r="AK1809" t="s">
        <v>357</v>
      </c>
    </row>
    <row r="1810" spans="1:37">
      <c r="B1810" t="s">
        <v>56</v>
      </c>
      <c r="C1810" t="s">
        <v>56</v>
      </c>
      <c r="D1810" t="s">
        <v>56</v>
      </c>
      <c r="E1810" t="s">
        <v>56</v>
      </c>
      <c r="F1810" t="s">
        <v>56</v>
      </c>
      <c r="G1810" t="s">
        <v>176</v>
      </c>
      <c r="H1810" t="s">
        <v>211</v>
      </c>
      <c r="I1810" t="s">
        <v>231</v>
      </c>
      <c r="J1810" t="s">
        <v>250</v>
      </c>
      <c r="K1810" t="s">
        <v>264</v>
      </c>
      <c r="L1810" t="s">
        <v>276</v>
      </c>
      <c r="M1810" t="s">
        <v>285</v>
      </c>
      <c r="N1810" t="s">
        <v>295</v>
      </c>
      <c r="O1810" t="s">
        <v>303</v>
      </c>
      <c r="P1810" t="s">
        <v>56</v>
      </c>
      <c r="Q1810" t="s">
        <v>317</v>
      </c>
      <c r="R1810" t="s">
        <v>324</v>
      </c>
      <c r="S1810" t="s">
        <v>331</v>
      </c>
      <c r="T1810" t="s">
        <v>334</v>
      </c>
      <c r="U1810" t="s">
        <v>338</v>
      </c>
      <c r="V1810" t="s">
        <v>342</v>
      </c>
      <c r="W1810" t="s">
        <v>346</v>
      </c>
      <c r="X1810" t="s">
        <v>351</v>
      </c>
      <c r="AK1810" t="s">
        <v>357</v>
      </c>
    </row>
    <row r="1811" spans="1:37">
      <c r="B1811" t="s">
        <v>57</v>
      </c>
      <c r="C1811" t="s">
        <v>79</v>
      </c>
      <c r="D1811" t="s">
        <v>98</v>
      </c>
      <c r="E1811" t="s">
        <v>117</v>
      </c>
      <c r="F1811" t="s">
        <v>151</v>
      </c>
      <c r="G1811" t="s">
        <v>177</v>
      </c>
      <c r="H1811" t="s">
        <v>212</v>
      </c>
      <c r="I1811" t="s">
        <v>232</v>
      </c>
      <c r="J1811" t="s">
        <v>251</v>
      </c>
      <c r="K1811" t="s">
        <v>265</v>
      </c>
      <c r="L1811" t="s">
        <v>277</v>
      </c>
      <c r="M1811" t="s">
        <v>286</v>
      </c>
      <c r="N1811" t="s">
        <v>296</v>
      </c>
      <c r="O1811" t="s">
        <v>304</v>
      </c>
      <c r="P1811" t="s">
        <v>311</v>
      </c>
      <c r="Q1811" t="s">
        <v>318</v>
      </c>
      <c r="R1811" t="s">
        <v>185</v>
      </c>
      <c r="S1811" t="s">
        <v>159</v>
      </c>
      <c r="T1811" t="s">
        <v>185</v>
      </c>
      <c r="U1811" t="s">
        <v>339</v>
      </c>
      <c r="V1811" t="s">
        <v>72</v>
      </c>
      <c r="W1811" t="s">
        <v>347</v>
      </c>
      <c r="X1811" t="s">
        <v>72</v>
      </c>
      <c r="Y1811" t="s">
        <v>96</v>
      </c>
      <c r="AK1811" t="s">
        <v>357</v>
      </c>
    </row>
    <row r="1812" spans="1:37">
      <c r="B1812" t="s">
        <v>58</v>
      </c>
      <c r="C1812" t="s">
        <v>80</v>
      </c>
      <c r="D1812" t="s">
        <v>99</v>
      </c>
      <c r="E1812" t="s">
        <v>118</v>
      </c>
      <c r="F1812" t="s">
        <v>152</v>
      </c>
      <c r="G1812" t="s">
        <v>178</v>
      </c>
      <c r="H1812" t="s">
        <v>213</v>
      </c>
      <c r="I1812" t="s">
        <v>233</v>
      </c>
      <c r="J1812" t="s">
        <v>252</v>
      </c>
      <c r="K1812" t="s">
        <v>266</v>
      </c>
      <c r="L1812" t="s">
        <v>278</v>
      </c>
      <c r="M1812" t="s">
        <v>287</v>
      </c>
      <c r="N1812" t="s">
        <v>297</v>
      </c>
      <c r="O1812" t="s">
        <v>305</v>
      </c>
      <c r="P1812" t="s">
        <v>312</v>
      </c>
      <c r="Q1812" t="s">
        <v>319</v>
      </c>
      <c r="R1812">
        <f>&gt;10       ветра      5.2     20  13</f>
        <v>0</v>
      </c>
      <c r="AK1812" t="s">
        <v>357</v>
      </c>
    </row>
    <row r="1813" spans="1:37">
      <c r="A1813" t="s">
        <v>40</v>
      </c>
      <c r="B1813" t="s">
        <v>59</v>
      </c>
      <c r="C1813" t="s">
        <v>81</v>
      </c>
      <c r="D1813" t="s">
        <v>100</v>
      </c>
      <c r="E1813" t="s">
        <v>119</v>
      </c>
      <c r="F1813" t="s">
        <v>153</v>
      </c>
      <c r="G1813" t="s">
        <v>179</v>
      </c>
      <c r="H1813" t="s">
        <v>214</v>
      </c>
      <c r="I1813" t="s">
        <v>234</v>
      </c>
      <c r="AK1813" t="s">
        <v>357</v>
      </c>
    </row>
    <row r="1814" spans="1:37">
      <c r="A1814" t="s">
        <v>40</v>
      </c>
      <c r="B1814" t="s">
        <v>60</v>
      </c>
      <c r="C1814" t="s">
        <v>82</v>
      </c>
      <c r="D1814" t="s">
        <v>101</v>
      </c>
      <c r="E1814" t="s">
        <v>120</v>
      </c>
      <c r="F1814" t="s">
        <v>154</v>
      </c>
      <c r="G1814" t="s">
        <v>180</v>
      </c>
      <c r="H1814" t="s">
        <v>215</v>
      </c>
      <c r="I1814" t="s">
        <v>235</v>
      </c>
      <c r="J1814" t="s">
        <v>253</v>
      </c>
      <c r="K1814" t="s">
        <v>267</v>
      </c>
      <c r="L1814" t="s">
        <v>279</v>
      </c>
      <c r="M1814" t="s">
        <v>288</v>
      </c>
      <c r="N1814" t="s">
        <v>100</v>
      </c>
      <c r="O1814" t="s">
        <v>306</v>
      </c>
      <c r="P1814" t="s">
        <v>313</v>
      </c>
      <c r="Q1814" t="s">
        <v>320</v>
      </c>
      <c r="R1814" t="s">
        <v>325</v>
      </c>
      <c r="S1814" t="s">
        <v>332</v>
      </c>
      <c r="T1814" t="s">
        <v>119</v>
      </c>
      <c r="U1814" t="s">
        <v>234</v>
      </c>
      <c r="V1814" t="s">
        <v>343</v>
      </c>
      <c r="W1814" t="s">
        <v>348</v>
      </c>
      <c r="X1814" t="s">
        <v>352</v>
      </c>
      <c r="Y1814" t="s">
        <v>354</v>
      </c>
      <c r="AK1814" t="s">
        <v>357</v>
      </c>
    </row>
    <row r="1815" spans="1:37">
      <c r="A1815" t="s">
        <v>41</v>
      </c>
      <c r="B1815" t="s">
        <v>61</v>
      </c>
      <c r="C1815" t="s">
        <v>83</v>
      </c>
      <c r="D1815" t="s">
        <v>102</v>
      </c>
      <c r="E1815" t="s">
        <v>121</v>
      </c>
      <c r="F1815" t="s">
        <v>155</v>
      </c>
      <c r="G1815" t="s">
        <v>181</v>
      </c>
      <c r="H1815" t="s">
        <v>216</v>
      </c>
      <c r="I1815" t="s">
        <v>236</v>
      </c>
      <c r="AK1815" t="s">
        <v>357</v>
      </c>
    </row>
    <row r="1816" spans="1:37">
      <c r="A1816" t="s">
        <v>42</v>
      </c>
      <c r="B1816" t="s">
        <v>62</v>
      </c>
      <c r="C1816" t="s">
        <v>84</v>
      </c>
      <c r="D1816" t="s">
        <v>103</v>
      </c>
      <c r="E1816" t="s">
        <v>122</v>
      </c>
      <c r="F1816" t="s">
        <v>156</v>
      </c>
      <c r="G1816" t="s">
        <v>182</v>
      </c>
      <c r="H1816" t="s">
        <v>83</v>
      </c>
      <c r="I1816" t="s">
        <v>237</v>
      </c>
      <c r="J1816" t="s">
        <v>254</v>
      </c>
      <c r="K1816" t="s">
        <v>268</v>
      </c>
      <c r="L1816" t="s">
        <v>280</v>
      </c>
      <c r="M1816" t="s">
        <v>289</v>
      </c>
      <c r="N1816" t="s">
        <v>298</v>
      </c>
      <c r="O1816" t="s">
        <v>307</v>
      </c>
      <c r="P1816" t="s">
        <v>314</v>
      </c>
      <c r="Q1816" t="s">
        <v>216</v>
      </c>
      <c r="R1816" t="s">
        <v>326</v>
      </c>
      <c r="S1816" t="s">
        <v>333</v>
      </c>
      <c r="T1816" t="s">
        <v>335</v>
      </c>
      <c r="U1816" t="s">
        <v>340</v>
      </c>
      <c r="V1816" t="s">
        <v>344</v>
      </c>
      <c r="W1816" t="s">
        <v>349</v>
      </c>
      <c r="AK1816" t="s">
        <v>357</v>
      </c>
    </row>
    <row r="1817" spans="1:37">
      <c r="A1817" t="s">
        <v>43</v>
      </c>
      <c r="B1817" t="s">
        <v>63</v>
      </c>
      <c r="C1817" t="s">
        <v>85</v>
      </c>
      <c r="D1817" t="s">
        <v>104</v>
      </c>
      <c r="E1817" t="s">
        <v>123</v>
      </c>
      <c r="F1817" t="s">
        <v>157</v>
      </c>
      <c r="G1817" t="s">
        <v>183</v>
      </c>
      <c r="AK1817" t="s">
        <v>357</v>
      </c>
    </row>
    <row r="1818" spans="1:37">
      <c r="A1818" t="s">
        <v>44</v>
      </c>
      <c r="B1818" t="s">
        <v>64</v>
      </c>
      <c r="C1818" t="s">
        <v>86</v>
      </c>
      <c r="D1818" t="s">
        <v>105</v>
      </c>
      <c r="E1818" t="s">
        <v>124</v>
      </c>
      <c r="F1818" t="s">
        <v>158</v>
      </c>
      <c r="G1818" t="s">
        <v>184</v>
      </c>
      <c r="AK1818" t="s">
        <v>357</v>
      </c>
    </row>
    <row r="1819" spans="1:37">
      <c r="A1819" t="s">
        <v>45</v>
      </c>
      <c r="B1819" t="s">
        <v>65</v>
      </c>
      <c r="C1819" t="s">
        <v>87</v>
      </c>
      <c r="D1819" t="s">
        <v>106</v>
      </c>
      <c r="E1819" t="s">
        <v>125</v>
      </c>
      <c r="F1819" t="s">
        <v>159</v>
      </c>
      <c r="G1819" t="s">
        <v>185</v>
      </c>
      <c r="H1819" t="s">
        <v>159</v>
      </c>
      <c r="I1819" t="s">
        <v>185</v>
      </c>
      <c r="J1819" t="s">
        <v>255</v>
      </c>
      <c r="AK1819" t="s">
        <v>357</v>
      </c>
    </row>
    <row r="1820" spans="1:37">
      <c r="A1820" t="s">
        <v>46</v>
      </c>
      <c r="B1820" t="s">
        <v>66</v>
      </c>
      <c r="C1820" t="s">
        <v>88</v>
      </c>
      <c r="D1820" t="s">
        <v>76</v>
      </c>
      <c r="E1820" t="s">
        <v>126</v>
      </c>
      <c r="F1820" t="s">
        <v>160</v>
      </c>
      <c r="G1820" t="s">
        <v>186</v>
      </c>
      <c r="H1820" t="s">
        <v>217</v>
      </c>
      <c r="I1820" t="s">
        <v>238</v>
      </c>
      <c r="J1820" t="s">
        <v>256</v>
      </c>
      <c r="K1820" t="s">
        <v>265</v>
      </c>
      <c r="L1820" t="s">
        <v>281</v>
      </c>
      <c r="M1820" t="s">
        <v>290</v>
      </c>
      <c r="N1820" t="s">
        <v>299</v>
      </c>
      <c r="O1820" t="s">
        <v>308</v>
      </c>
      <c r="P1820" t="s">
        <v>228</v>
      </c>
      <c r="Q1820" t="s">
        <v>72</v>
      </c>
      <c r="R1820" t="s">
        <v>327</v>
      </c>
      <c r="S1820" t="s">
        <v>327</v>
      </c>
      <c r="T1820" t="s">
        <v>336</v>
      </c>
      <c r="U1820" t="s">
        <v>336</v>
      </c>
      <c r="V1820" t="s">
        <v>336</v>
      </c>
      <c r="W1820" t="s">
        <v>336</v>
      </c>
      <c r="X1820" t="s">
        <v>353</v>
      </c>
      <c r="AK1820" t="s">
        <v>357</v>
      </c>
    </row>
    <row r="1821" spans="1:37">
      <c r="B1821" t="s">
        <v>67</v>
      </c>
      <c r="C1821" t="s">
        <v>89</v>
      </c>
      <c r="D1821" t="s">
        <v>107</v>
      </c>
      <c r="AK1821" t="s">
        <v>357</v>
      </c>
    </row>
    <row r="1822" spans="1:37">
      <c r="B1822" t="s">
        <v>68</v>
      </c>
      <c r="C1822" t="s">
        <v>90</v>
      </c>
      <c r="D1822" t="s">
        <v>108</v>
      </c>
      <c r="AK1822" t="s">
        <v>357</v>
      </c>
    </row>
    <row r="1823" spans="1:37">
      <c r="A1823" t="s">
        <v>47</v>
      </c>
      <c r="B1823" t="s">
        <v>69</v>
      </c>
      <c r="C1823" t="s">
        <v>91</v>
      </c>
      <c r="D1823" t="s">
        <v>109</v>
      </c>
      <c r="E1823" t="s">
        <v>109</v>
      </c>
      <c r="F1823" t="s">
        <v>109</v>
      </c>
      <c r="G1823" t="s">
        <v>109</v>
      </c>
      <c r="H1823" t="s">
        <v>109</v>
      </c>
      <c r="I1823" t="s">
        <v>239</v>
      </c>
      <c r="AK1823" t="s">
        <v>357</v>
      </c>
    </row>
    <row r="1824" spans="1:37">
      <c r="B1824" t="s">
        <v>70</v>
      </c>
      <c r="C1824" t="s">
        <v>92</v>
      </c>
      <c r="D1824" t="s">
        <v>110</v>
      </c>
      <c r="E1824" t="s">
        <v>127</v>
      </c>
      <c r="F1824" t="s">
        <v>161</v>
      </c>
      <c r="G1824" t="s">
        <v>187</v>
      </c>
      <c r="H1824" t="s">
        <v>218</v>
      </c>
      <c r="AK1824" t="s">
        <v>357</v>
      </c>
    </row>
    <row r="1825" spans="1:37">
      <c r="B1825" t="s">
        <v>71</v>
      </c>
      <c r="C1825" t="s">
        <v>93</v>
      </c>
      <c r="D1825" t="s">
        <v>111</v>
      </c>
      <c r="E1825" t="s">
        <v>128</v>
      </c>
      <c r="F1825" t="s">
        <v>162</v>
      </c>
      <c r="G1825" t="s">
        <v>188</v>
      </c>
      <c r="H1825" t="s">
        <v>219</v>
      </c>
      <c r="I1825" t="s">
        <v>240</v>
      </c>
      <c r="J1825" t="s">
        <v>257</v>
      </c>
      <c r="K1825" t="s">
        <v>269</v>
      </c>
      <c r="L1825" t="s">
        <v>109</v>
      </c>
      <c r="M1825" t="s">
        <v>109</v>
      </c>
      <c r="N1825" t="s">
        <v>109</v>
      </c>
      <c r="O1825" t="s">
        <v>109</v>
      </c>
      <c r="P1825" t="s">
        <v>109</v>
      </c>
      <c r="Q1825" t="s">
        <v>321</v>
      </c>
      <c r="AK1825" t="s">
        <v>357</v>
      </c>
    </row>
    <row r="1826" spans="1:37">
      <c r="A1826" t="s">
        <v>48</v>
      </c>
      <c r="B1826" t="s">
        <v>71</v>
      </c>
      <c r="C1826" t="s">
        <v>93</v>
      </c>
      <c r="D1826" t="s">
        <v>111</v>
      </c>
      <c r="E1826" t="s">
        <v>128</v>
      </c>
      <c r="F1826" t="s">
        <v>163</v>
      </c>
      <c r="G1826" t="s">
        <v>189</v>
      </c>
      <c r="H1826" t="s">
        <v>220</v>
      </c>
      <c r="I1826" t="s">
        <v>241</v>
      </c>
      <c r="J1826" t="s">
        <v>258</v>
      </c>
      <c r="K1826" t="s">
        <v>270</v>
      </c>
      <c r="AK1826" t="s">
        <v>357</v>
      </c>
    </row>
    <row r="1827" spans="1:37">
      <c r="B1827" t="s">
        <v>72</v>
      </c>
      <c r="C1827" t="s">
        <v>72</v>
      </c>
      <c r="D1827" t="s">
        <v>72</v>
      </c>
      <c r="E1827" t="s">
        <v>135</v>
      </c>
      <c r="F1827" t="s">
        <v>129</v>
      </c>
      <c r="G1827" t="s">
        <v>191</v>
      </c>
      <c r="H1827" t="s">
        <v>191</v>
      </c>
      <c r="I1827" t="s">
        <v>194</v>
      </c>
      <c r="J1827" t="s">
        <v>192</v>
      </c>
      <c r="K1827" t="s">
        <v>271</v>
      </c>
      <c r="AK1827" t="s">
        <v>357</v>
      </c>
    </row>
    <row r="1828" spans="1:37">
      <c r="A1828" t="s">
        <v>37</v>
      </c>
      <c r="B1828" t="s">
        <v>49</v>
      </c>
      <c r="C1828" t="s">
        <v>73</v>
      </c>
      <c r="D1828" t="s">
        <v>94</v>
      </c>
      <c r="E1828" t="s">
        <v>112</v>
      </c>
      <c r="F1828" t="s">
        <v>146</v>
      </c>
      <c r="G1828" t="s">
        <v>172</v>
      </c>
      <c r="H1828" t="s">
        <v>207</v>
      </c>
      <c r="I1828" t="s">
        <v>226</v>
      </c>
      <c r="J1828" t="s">
        <v>246</v>
      </c>
      <c r="K1828" t="s">
        <v>259</v>
      </c>
      <c r="AK1828" t="s">
        <v>357</v>
      </c>
    </row>
    <row r="1829" spans="1:37">
      <c r="A1829" t="s">
        <v>38</v>
      </c>
      <c r="B1829" t="s">
        <v>50</v>
      </c>
      <c r="C1829" t="s">
        <v>74</v>
      </c>
      <c r="D1829" t="s">
        <v>95</v>
      </c>
      <c r="E1829" t="s">
        <v>113</v>
      </c>
      <c r="F1829" t="s">
        <v>147</v>
      </c>
      <c r="G1829" t="s">
        <v>173</v>
      </c>
      <c r="H1829" t="s">
        <v>208</v>
      </c>
      <c r="I1829" t="s">
        <v>227</v>
      </c>
      <c r="J1829" t="s">
        <v>115</v>
      </c>
      <c r="K1829" t="s">
        <v>260</v>
      </c>
      <c r="L1829" t="s">
        <v>273</v>
      </c>
      <c r="M1829" t="s">
        <v>282</v>
      </c>
      <c r="N1829" t="s">
        <v>291</v>
      </c>
      <c r="AK1829" t="s">
        <v>357</v>
      </c>
    </row>
    <row r="1830" spans="1:37">
      <c r="B1830" t="s">
        <v>51</v>
      </c>
      <c r="C1830" t="s">
        <v>75</v>
      </c>
      <c r="D1830" t="s">
        <v>52</v>
      </c>
      <c r="E1830" t="s">
        <v>114</v>
      </c>
      <c r="F1830" t="s">
        <v>148</v>
      </c>
      <c r="G1830" t="s">
        <v>148</v>
      </c>
      <c r="H1830" t="s">
        <v>209</v>
      </c>
      <c r="I1830" t="s">
        <v>228</v>
      </c>
      <c r="J1830" t="s">
        <v>247</v>
      </c>
      <c r="K1830" t="s">
        <v>261</v>
      </c>
      <c r="L1830" t="s">
        <v>274</v>
      </c>
      <c r="M1830" t="s">
        <v>283</v>
      </c>
      <c r="N1830" t="s">
        <v>292</v>
      </c>
      <c r="O1830" t="s">
        <v>300</v>
      </c>
      <c r="AK1830" t="s">
        <v>357</v>
      </c>
    </row>
    <row r="1831" spans="1:37">
      <c r="B1831" t="s">
        <v>52</v>
      </c>
      <c r="C1831" t="s">
        <v>76</v>
      </c>
      <c r="D1831" t="s">
        <v>96</v>
      </c>
      <c r="E1831" t="s">
        <v>115</v>
      </c>
      <c r="F1831" t="s">
        <v>149</v>
      </c>
      <c r="G1831" t="s">
        <v>174</v>
      </c>
      <c r="H1831" t="s">
        <v>96</v>
      </c>
      <c r="I1831" t="s">
        <v>229</v>
      </c>
      <c r="J1831" t="s">
        <v>248</v>
      </c>
      <c r="K1831" t="s">
        <v>262</v>
      </c>
      <c r="L1831" t="s">
        <v>52</v>
      </c>
      <c r="M1831" t="s">
        <v>76</v>
      </c>
      <c r="N1831" t="s">
        <v>293</v>
      </c>
      <c r="O1831" t="s">
        <v>301</v>
      </c>
      <c r="P1831" t="s">
        <v>309</v>
      </c>
      <c r="Q1831" t="s">
        <v>315</v>
      </c>
      <c r="R1831" t="s">
        <v>228</v>
      </c>
      <c r="S1831" t="s">
        <v>328</v>
      </c>
      <c r="T1831" t="s">
        <v>149</v>
      </c>
      <c r="U1831" t="s">
        <v>337</v>
      </c>
      <c r="V1831" t="s">
        <v>341</v>
      </c>
      <c r="W1831" t="s">
        <v>345</v>
      </c>
      <c r="X1831" t="s">
        <v>350</v>
      </c>
      <c r="AK1831" t="s">
        <v>357</v>
      </c>
    </row>
    <row r="1832" spans="1:37">
      <c r="B1832" t="s">
        <v>53</v>
      </c>
      <c r="C1832" t="s">
        <v>77</v>
      </c>
      <c r="D1832" t="s">
        <v>97</v>
      </c>
      <c r="E1832" t="s">
        <v>116</v>
      </c>
      <c r="F1832" t="s">
        <v>150</v>
      </c>
      <c r="G1832" t="s">
        <v>175</v>
      </c>
      <c r="H1832" t="s">
        <v>210</v>
      </c>
      <c r="I1832" t="s">
        <v>230</v>
      </c>
      <c r="J1832" t="s">
        <v>249</v>
      </c>
      <c r="K1832" t="s">
        <v>263</v>
      </c>
      <c r="L1832" t="s">
        <v>275</v>
      </c>
      <c r="M1832" t="s">
        <v>284</v>
      </c>
      <c r="N1832" t="s">
        <v>294</v>
      </c>
      <c r="O1832" t="s">
        <v>302</v>
      </c>
      <c r="P1832" t="s">
        <v>310</v>
      </c>
      <c r="Q1832" t="s">
        <v>316</v>
      </c>
      <c r="R1832" t="s">
        <v>322</v>
      </c>
      <c r="S1832" t="s">
        <v>329</v>
      </c>
      <c r="AK1832" t="s">
        <v>357</v>
      </c>
    </row>
    <row r="1833" spans="1:37">
      <c r="A1833" t="s">
        <v>39</v>
      </c>
      <c r="B1833" t="s">
        <v>54</v>
      </c>
      <c r="C1833" t="s">
        <v>54</v>
      </c>
      <c r="D1833" t="s">
        <v>54</v>
      </c>
      <c r="E1833" t="s">
        <v>54</v>
      </c>
      <c r="F1833" t="s">
        <v>54</v>
      </c>
      <c r="G1833" t="s">
        <v>54</v>
      </c>
      <c r="H1833" t="s">
        <v>54</v>
      </c>
      <c r="I1833" t="s">
        <v>54</v>
      </c>
      <c r="J1833" t="s">
        <v>54</v>
      </c>
      <c r="K1833" t="s">
        <v>54</v>
      </c>
      <c r="L1833" t="s">
        <v>54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323</v>
      </c>
      <c r="S1833" t="s">
        <v>330</v>
      </c>
      <c r="AK1833" t="s">
        <v>357</v>
      </c>
    </row>
    <row r="1834" spans="1:37">
      <c r="B1834" t="s">
        <v>55</v>
      </c>
      <c r="C1834" t="s">
        <v>78</v>
      </c>
      <c r="D1834" t="s">
        <v>55</v>
      </c>
      <c r="E1834" t="s">
        <v>78</v>
      </c>
      <c r="F1834" t="s">
        <v>55</v>
      </c>
      <c r="G1834" t="s">
        <v>78</v>
      </c>
      <c r="H1834" t="s">
        <v>55</v>
      </c>
      <c r="I1834" t="s">
        <v>78</v>
      </c>
      <c r="J1834" t="s">
        <v>55</v>
      </c>
      <c r="K1834" t="s">
        <v>78</v>
      </c>
      <c r="L1834" t="s">
        <v>55</v>
      </c>
      <c r="M1834" t="s">
        <v>78</v>
      </c>
      <c r="N1834" t="s">
        <v>55</v>
      </c>
      <c r="O1834" t="s">
        <v>78</v>
      </c>
      <c r="P1834" t="s">
        <v>55</v>
      </c>
      <c r="Q1834" t="s">
        <v>78</v>
      </c>
      <c r="R1834" t="s">
        <v>55</v>
      </c>
      <c r="S1834" t="s">
        <v>78</v>
      </c>
      <c r="T1834" t="s">
        <v>55</v>
      </c>
      <c r="U1834" t="s">
        <v>78</v>
      </c>
      <c r="V1834" t="s">
        <v>55</v>
      </c>
      <c r="W1834" t="s">
        <v>78</v>
      </c>
      <c r="X1834" t="s">
        <v>55</v>
      </c>
      <c r="Y1834" t="s">
        <v>78</v>
      </c>
      <c r="Z1834" t="s">
        <v>55</v>
      </c>
      <c r="AA1834" t="s">
        <v>78</v>
      </c>
      <c r="AB1834" t="s">
        <v>55</v>
      </c>
      <c r="AC1834" t="s">
        <v>78</v>
      </c>
      <c r="AD1834" t="s">
        <v>55</v>
      </c>
      <c r="AE1834" t="s">
        <v>78</v>
      </c>
      <c r="AF1834" t="s">
        <v>55</v>
      </c>
      <c r="AG1834" t="s">
        <v>78</v>
      </c>
      <c r="AH1834" t="s">
        <v>55</v>
      </c>
      <c r="AI1834" t="s">
        <v>78</v>
      </c>
      <c r="AK1834" t="s">
        <v>357</v>
      </c>
    </row>
    <row r="1835" spans="1:37">
      <c r="B1835" t="s">
        <v>56</v>
      </c>
      <c r="C1835" t="s">
        <v>56</v>
      </c>
      <c r="D1835" t="s">
        <v>56</v>
      </c>
      <c r="E1835" t="s">
        <v>56</v>
      </c>
      <c r="F1835" t="s">
        <v>56</v>
      </c>
      <c r="G1835" t="s">
        <v>176</v>
      </c>
      <c r="H1835" t="s">
        <v>211</v>
      </c>
      <c r="I1835" t="s">
        <v>231</v>
      </c>
      <c r="J1835" t="s">
        <v>250</v>
      </c>
      <c r="K1835" t="s">
        <v>264</v>
      </c>
      <c r="L1835" t="s">
        <v>276</v>
      </c>
      <c r="M1835" t="s">
        <v>285</v>
      </c>
      <c r="N1835" t="s">
        <v>295</v>
      </c>
      <c r="O1835" t="s">
        <v>303</v>
      </c>
      <c r="P1835" t="s">
        <v>56</v>
      </c>
      <c r="Q1835" t="s">
        <v>317</v>
      </c>
      <c r="R1835" t="s">
        <v>324</v>
      </c>
      <c r="S1835" t="s">
        <v>331</v>
      </c>
      <c r="T1835" t="s">
        <v>334</v>
      </c>
      <c r="U1835" t="s">
        <v>338</v>
      </c>
      <c r="V1835" t="s">
        <v>342</v>
      </c>
      <c r="W1835" t="s">
        <v>346</v>
      </c>
      <c r="X1835" t="s">
        <v>351</v>
      </c>
      <c r="AK1835" t="s">
        <v>357</v>
      </c>
    </row>
    <row r="1836" spans="1:37">
      <c r="B1836" t="s">
        <v>57</v>
      </c>
      <c r="C1836" t="s">
        <v>79</v>
      </c>
      <c r="D1836" t="s">
        <v>98</v>
      </c>
      <c r="E1836" t="s">
        <v>117</v>
      </c>
      <c r="F1836" t="s">
        <v>151</v>
      </c>
      <c r="G1836" t="s">
        <v>177</v>
      </c>
      <c r="H1836" t="s">
        <v>212</v>
      </c>
      <c r="I1836" t="s">
        <v>232</v>
      </c>
      <c r="J1836" t="s">
        <v>251</v>
      </c>
      <c r="K1836" t="s">
        <v>265</v>
      </c>
      <c r="L1836" t="s">
        <v>277</v>
      </c>
      <c r="M1836" t="s">
        <v>286</v>
      </c>
      <c r="N1836" t="s">
        <v>296</v>
      </c>
      <c r="O1836" t="s">
        <v>304</v>
      </c>
      <c r="P1836" t="s">
        <v>311</v>
      </c>
      <c r="Q1836" t="s">
        <v>318</v>
      </c>
      <c r="R1836" t="s">
        <v>185</v>
      </c>
      <c r="S1836" t="s">
        <v>159</v>
      </c>
      <c r="T1836" t="s">
        <v>185</v>
      </c>
      <c r="U1836" t="s">
        <v>339</v>
      </c>
      <c r="V1836" t="s">
        <v>72</v>
      </c>
      <c r="W1836" t="s">
        <v>347</v>
      </c>
      <c r="X1836" t="s">
        <v>72</v>
      </c>
      <c r="Y1836" t="s">
        <v>96</v>
      </c>
      <c r="AK1836" t="s">
        <v>357</v>
      </c>
    </row>
    <row r="1837" spans="1:37">
      <c r="B1837" t="s">
        <v>58</v>
      </c>
      <c r="C1837" t="s">
        <v>80</v>
      </c>
      <c r="D1837" t="s">
        <v>99</v>
      </c>
      <c r="E1837" t="s">
        <v>118</v>
      </c>
      <c r="F1837" t="s">
        <v>152</v>
      </c>
      <c r="G1837" t="s">
        <v>178</v>
      </c>
      <c r="H1837" t="s">
        <v>213</v>
      </c>
      <c r="I1837" t="s">
        <v>233</v>
      </c>
      <c r="J1837" t="s">
        <v>252</v>
      </c>
      <c r="K1837" t="s">
        <v>266</v>
      </c>
      <c r="L1837" t="s">
        <v>278</v>
      </c>
      <c r="M1837" t="s">
        <v>287</v>
      </c>
      <c r="N1837" t="s">
        <v>297</v>
      </c>
      <c r="O1837" t="s">
        <v>305</v>
      </c>
      <c r="P1837" t="s">
        <v>312</v>
      </c>
      <c r="Q1837" t="s">
        <v>319</v>
      </c>
      <c r="R1837">
        <f>&gt;10       ветра      3.9     21  12</f>
        <v>0</v>
      </c>
      <c r="AK1837" t="s">
        <v>357</v>
      </c>
    </row>
    <row r="1838" spans="1:37">
      <c r="A1838" t="s">
        <v>40</v>
      </c>
      <c r="B1838" t="s">
        <v>59</v>
      </c>
      <c r="C1838" t="s">
        <v>81</v>
      </c>
      <c r="D1838" t="s">
        <v>100</v>
      </c>
      <c r="E1838" t="s">
        <v>119</v>
      </c>
      <c r="F1838" t="s">
        <v>153</v>
      </c>
      <c r="G1838" t="s">
        <v>179</v>
      </c>
      <c r="H1838" t="s">
        <v>214</v>
      </c>
      <c r="I1838" t="s">
        <v>234</v>
      </c>
      <c r="AK1838" t="s">
        <v>357</v>
      </c>
    </row>
    <row r="1839" spans="1:37">
      <c r="A1839" t="s">
        <v>40</v>
      </c>
      <c r="B1839" t="s">
        <v>60</v>
      </c>
      <c r="C1839" t="s">
        <v>82</v>
      </c>
      <c r="D1839" t="s">
        <v>101</v>
      </c>
      <c r="E1839" t="s">
        <v>120</v>
      </c>
      <c r="F1839" t="s">
        <v>154</v>
      </c>
      <c r="G1839" t="s">
        <v>180</v>
      </c>
      <c r="H1839" t="s">
        <v>215</v>
      </c>
      <c r="I1839" t="s">
        <v>235</v>
      </c>
      <c r="J1839" t="s">
        <v>253</v>
      </c>
      <c r="K1839" t="s">
        <v>267</v>
      </c>
      <c r="L1839" t="s">
        <v>279</v>
      </c>
      <c r="M1839" t="s">
        <v>288</v>
      </c>
      <c r="N1839" t="s">
        <v>100</v>
      </c>
      <c r="O1839" t="s">
        <v>306</v>
      </c>
      <c r="P1839" t="s">
        <v>313</v>
      </c>
      <c r="Q1839" t="s">
        <v>320</v>
      </c>
      <c r="R1839" t="s">
        <v>325</v>
      </c>
      <c r="S1839" t="s">
        <v>332</v>
      </c>
      <c r="T1839" t="s">
        <v>119</v>
      </c>
      <c r="U1839" t="s">
        <v>234</v>
      </c>
      <c r="V1839" t="s">
        <v>343</v>
      </c>
      <c r="W1839" t="s">
        <v>348</v>
      </c>
      <c r="X1839" t="s">
        <v>352</v>
      </c>
      <c r="Y1839" t="s">
        <v>354</v>
      </c>
      <c r="AK1839" t="s">
        <v>357</v>
      </c>
    </row>
    <row r="1840" spans="1:37">
      <c r="A1840" t="s">
        <v>41</v>
      </c>
      <c r="B1840" t="s">
        <v>61</v>
      </c>
      <c r="C1840" t="s">
        <v>83</v>
      </c>
      <c r="D1840" t="s">
        <v>102</v>
      </c>
      <c r="E1840" t="s">
        <v>121</v>
      </c>
      <c r="F1840" t="s">
        <v>155</v>
      </c>
      <c r="G1840" t="s">
        <v>181</v>
      </c>
      <c r="H1840" t="s">
        <v>216</v>
      </c>
      <c r="I1840" t="s">
        <v>236</v>
      </c>
      <c r="AK1840" t="s">
        <v>357</v>
      </c>
    </row>
    <row r="1841" spans="1:37">
      <c r="A1841" t="s">
        <v>42</v>
      </c>
      <c r="B1841" t="s">
        <v>62</v>
      </c>
      <c r="C1841" t="s">
        <v>84</v>
      </c>
      <c r="D1841" t="s">
        <v>103</v>
      </c>
      <c r="E1841" t="s">
        <v>122</v>
      </c>
      <c r="F1841" t="s">
        <v>156</v>
      </c>
      <c r="G1841" t="s">
        <v>182</v>
      </c>
      <c r="H1841" t="s">
        <v>83</v>
      </c>
      <c r="I1841" t="s">
        <v>237</v>
      </c>
      <c r="J1841" t="s">
        <v>254</v>
      </c>
      <c r="K1841" t="s">
        <v>268</v>
      </c>
      <c r="L1841" t="s">
        <v>280</v>
      </c>
      <c r="M1841" t="s">
        <v>289</v>
      </c>
      <c r="N1841" t="s">
        <v>298</v>
      </c>
      <c r="O1841" t="s">
        <v>307</v>
      </c>
      <c r="P1841" t="s">
        <v>314</v>
      </c>
      <c r="Q1841" t="s">
        <v>216</v>
      </c>
      <c r="R1841" t="s">
        <v>326</v>
      </c>
      <c r="S1841" t="s">
        <v>333</v>
      </c>
      <c r="T1841" t="s">
        <v>335</v>
      </c>
      <c r="U1841" t="s">
        <v>340</v>
      </c>
      <c r="V1841" t="s">
        <v>344</v>
      </c>
      <c r="W1841" t="s">
        <v>349</v>
      </c>
      <c r="AK1841" t="s">
        <v>357</v>
      </c>
    </row>
    <row r="1842" spans="1:37">
      <c r="A1842" t="s">
        <v>43</v>
      </c>
      <c r="B1842" t="s">
        <v>63</v>
      </c>
      <c r="C1842" t="s">
        <v>85</v>
      </c>
      <c r="D1842" t="s">
        <v>104</v>
      </c>
      <c r="E1842" t="s">
        <v>123</v>
      </c>
      <c r="F1842" t="s">
        <v>157</v>
      </c>
      <c r="G1842" t="s">
        <v>183</v>
      </c>
      <c r="AK1842" t="s">
        <v>357</v>
      </c>
    </row>
    <row r="1843" spans="1:37">
      <c r="A1843" t="s">
        <v>44</v>
      </c>
      <c r="B1843" t="s">
        <v>64</v>
      </c>
      <c r="C1843" t="s">
        <v>86</v>
      </c>
      <c r="D1843" t="s">
        <v>105</v>
      </c>
      <c r="E1843" t="s">
        <v>124</v>
      </c>
      <c r="F1843" t="s">
        <v>158</v>
      </c>
      <c r="G1843" t="s">
        <v>184</v>
      </c>
      <c r="AK1843" t="s">
        <v>357</v>
      </c>
    </row>
    <row r="1844" spans="1:37">
      <c r="A1844" t="s">
        <v>45</v>
      </c>
      <c r="B1844" t="s">
        <v>65</v>
      </c>
      <c r="C1844" t="s">
        <v>87</v>
      </c>
      <c r="D1844" t="s">
        <v>106</v>
      </c>
      <c r="E1844" t="s">
        <v>125</v>
      </c>
      <c r="F1844" t="s">
        <v>159</v>
      </c>
      <c r="G1844" t="s">
        <v>185</v>
      </c>
      <c r="H1844" t="s">
        <v>159</v>
      </c>
      <c r="I1844" t="s">
        <v>185</v>
      </c>
      <c r="J1844" t="s">
        <v>255</v>
      </c>
      <c r="AK1844" t="s">
        <v>357</v>
      </c>
    </row>
    <row r="1845" spans="1:37">
      <c r="A1845" t="s">
        <v>46</v>
      </c>
      <c r="B1845" t="s">
        <v>66</v>
      </c>
      <c r="C1845" t="s">
        <v>88</v>
      </c>
      <c r="D1845" t="s">
        <v>76</v>
      </c>
      <c r="E1845" t="s">
        <v>126</v>
      </c>
      <c r="F1845" t="s">
        <v>160</v>
      </c>
      <c r="G1845" t="s">
        <v>186</v>
      </c>
      <c r="H1845" t="s">
        <v>217</v>
      </c>
      <c r="I1845" t="s">
        <v>238</v>
      </c>
      <c r="J1845" t="s">
        <v>256</v>
      </c>
      <c r="K1845" t="s">
        <v>265</v>
      </c>
      <c r="L1845" t="s">
        <v>281</v>
      </c>
      <c r="M1845" t="s">
        <v>290</v>
      </c>
      <c r="N1845" t="s">
        <v>299</v>
      </c>
      <c r="O1845" t="s">
        <v>308</v>
      </c>
      <c r="P1845" t="s">
        <v>228</v>
      </c>
      <c r="Q1845" t="s">
        <v>72</v>
      </c>
      <c r="R1845" t="s">
        <v>327</v>
      </c>
      <c r="S1845" t="s">
        <v>327</v>
      </c>
      <c r="T1845" t="s">
        <v>336</v>
      </c>
      <c r="U1845" t="s">
        <v>336</v>
      </c>
      <c r="V1845" t="s">
        <v>336</v>
      </c>
      <c r="W1845" t="s">
        <v>336</v>
      </c>
      <c r="X1845" t="s">
        <v>353</v>
      </c>
      <c r="AK1845" t="s">
        <v>357</v>
      </c>
    </row>
    <row r="1846" spans="1:37">
      <c r="A1846" t="s">
        <v>37</v>
      </c>
      <c r="B1846" t="s">
        <v>49</v>
      </c>
      <c r="C1846" t="s">
        <v>73</v>
      </c>
      <c r="D1846" t="s">
        <v>94</v>
      </c>
      <c r="E1846" t="s">
        <v>112</v>
      </c>
      <c r="F1846" t="s">
        <v>146</v>
      </c>
      <c r="G1846" t="s">
        <v>172</v>
      </c>
      <c r="H1846" t="s">
        <v>207</v>
      </c>
      <c r="I1846" t="s">
        <v>226</v>
      </c>
      <c r="J1846" t="s">
        <v>246</v>
      </c>
      <c r="K1846" t="s">
        <v>259</v>
      </c>
      <c r="AK1846" t="s">
        <v>357</v>
      </c>
    </row>
    <row r="1847" spans="1:37">
      <c r="A1847" t="s">
        <v>38</v>
      </c>
      <c r="B1847" t="s">
        <v>50</v>
      </c>
      <c r="C1847" t="s">
        <v>74</v>
      </c>
      <c r="D1847" t="s">
        <v>95</v>
      </c>
      <c r="E1847" t="s">
        <v>113</v>
      </c>
      <c r="F1847" t="s">
        <v>147</v>
      </c>
      <c r="G1847" t="s">
        <v>173</v>
      </c>
      <c r="H1847" t="s">
        <v>208</v>
      </c>
      <c r="I1847" t="s">
        <v>227</v>
      </c>
      <c r="J1847" t="s">
        <v>115</v>
      </c>
      <c r="K1847" t="s">
        <v>260</v>
      </c>
      <c r="L1847" t="s">
        <v>273</v>
      </c>
      <c r="M1847" t="s">
        <v>282</v>
      </c>
      <c r="N1847" t="s">
        <v>291</v>
      </c>
      <c r="AK1847" t="s">
        <v>357</v>
      </c>
    </row>
    <row r="1848" spans="1:37">
      <c r="B1848" t="s">
        <v>51</v>
      </c>
      <c r="C1848" t="s">
        <v>75</v>
      </c>
      <c r="D1848" t="s">
        <v>52</v>
      </c>
      <c r="E1848" t="s">
        <v>114</v>
      </c>
      <c r="F1848" t="s">
        <v>148</v>
      </c>
      <c r="G1848" t="s">
        <v>148</v>
      </c>
      <c r="H1848" t="s">
        <v>209</v>
      </c>
      <c r="I1848" t="s">
        <v>228</v>
      </c>
      <c r="J1848" t="s">
        <v>247</v>
      </c>
      <c r="K1848" t="s">
        <v>261</v>
      </c>
      <c r="L1848" t="s">
        <v>274</v>
      </c>
      <c r="M1848" t="s">
        <v>283</v>
      </c>
      <c r="N1848" t="s">
        <v>292</v>
      </c>
      <c r="O1848" t="s">
        <v>300</v>
      </c>
      <c r="AK1848" t="s">
        <v>357</v>
      </c>
    </row>
    <row r="1849" spans="1:37">
      <c r="B1849" t="s">
        <v>52</v>
      </c>
      <c r="C1849" t="s">
        <v>76</v>
      </c>
      <c r="D1849" t="s">
        <v>96</v>
      </c>
      <c r="E1849" t="s">
        <v>115</v>
      </c>
      <c r="F1849" t="s">
        <v>149</v>
      </c>
      <c r="G1849" t="s">
        <v>174</v>
      </c>
      <c r="H1849" t="s">
        <v>96</v>
      </c>
      <c r="I1849" t="s">
        <v>229</v>
      </c>
      <c r="J1849" t="s">
        <v>248</v>
      </c>
      <c r="K1849" t="s">
        <v>262</v>
      </c>
      <c r="L1849" t="s">
        <v>52</v>
      </c>
      <c r="M1849" t="s">
        <v>76</v>
      </c>
      <c r="N1849" t="s">
        <v>293</v>
      </c>
      <c r="O1849" t="s">
        <v>301</v>
      </c>
      <c r="P1849" t="s">
        <v>309</v>
      </c>
      <c r="Q1849" t="s">
        <v>315</v>
      </c>
      <c r="R1849" t="s">
        <v>228</v>
      </c>
      <c r="S1849" t="s">
        <v>328</v>
      </c>
      <c r="T1849" t="s">
        <v>149</v>
      </c>
      <c r="U1849" t="s">
        <v>337</v>
      </c>
      <c r="V1849" t="s">
        <v>341</v>
      </c>
      <c r="W1849" t="s">
        <v>345</v>
      </c>
      <c r="X1849" t="s">
        <v>350</v>
      </c>
      <c r="AK1849" t="s">
        <v>357</v>
      </c>
    </row>
    <row r="1850" spans="1:37">
      <c r="B1850" t="s">
        <v>53</v>
      </c>
      <c r="C1850" t="s">
        <v>77</v>
      </c>
      <c r="D1850" t="s">
        <v>97</v>
      </c>
      <c r="E1850" t="s">
        <v>116</v>
      </c>
      <c r="F1850" t="s">
        <v>150</v>
      </c>
      <c r="G1850" t="s">
        <v>175</v>
      </c>
      <c r="H1850" t="s">
        <v>210</v>
      </c>
      <c r="I1850" t="s">
        <v>230</v>
      </c>
      <c r="J1850" t="s">
        <v>249</v>
      </c>
      <c r="K1850" t="s">
        <v>263</v>
      </c>
      <c r="L1850" t="s">
        <v>275</v>
      </c>
      <c r="M1850" t="s">
        <v>284</v>
      </c>
      <c r="N1850" t="s">
        <v>294</v>
      </c>
      <c r="O1850" t="s">
        <v>302</v>
      </c>
      <c r="P1850" t="s">
        <v>310</v>
      </c>
      <c r="Q1850" t="s">
        <v>316</v>
      </c>
      <c r="R1850" t="s">
        <v>322</v>
      </c>
      <c r="S1850" t="s">
        <v>329</v>
      </c>
      <c r="AK1850" t="s">
        <v>357</v>
      </c>
    </row>
    <row r="1851" spans="1:37">
      <c r="A1851" t="s">
        <v>39</v>
      </c>
      <c r="B1851" t="s">
        <v>54</v>
      </c>
      <c r="C1851" t="s">
        <v>54</v>
      </c>
      <c r="D1851" t="s">
        <v>54</v>
      </c>
      <c r="E1851" t="s">
        <v>54</v>
      </c>
      <c r="F1851" t="s">
        <v>54</v>
      </c>
      <c r="G1851" t="s">
        <v>54</v>
      </c>
      <c r="H1851" t="s">
        <v>54</v>
      </c>
      <c r="I1851" t="s">
        <v>54</v>
      </c>
      <c r="J1851" t="s">
        <v>54</v>
      </c>
      <c r="K1851" t="s">
        <v>54</v>
      </c>
      <c r="L1851" t="s">
        <v>54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323</v>
      </c>
      <c r="S1851" t="s">
        <v>330</v>
      </c>
      <c r="AK1851" t="s">
        <v>357</v>
      </c>
    </row>
    <row r="1852" spans="1:37">
      <c r="B1852" t="s">
        <v>55</v>
      </c>
      <c r="C1852" t="s">
        <v>78</v>
      </c>
      <c r="D1852" t="s">
        <v>55</v>
      </c>
      <c r="E1852" t="s">
        <v>78</v>
      </c>
      <c r="F1852" t="s">
        <v>55</v>
      </c>
      <c r="G1852" t="s">
        <v>78</v>
      </c>
      <c r="H1852" t="s">
        <v>55</v>
      </c>
      <c r="I1852" t="s">
        <v>78</v>
      </c>
      <c r="J1852" t="s">
        <v>55</v>
      </c>
      <c r="K1852" t="s">
        <v>78</v>
      </c>
      <c r="L1852" t="s">
        <v>55</v>
      </c>
      <c r="M1852" t="s">
        <v>78</v>
      </c>
      <c r="N1852" t="s">
        <v>55</v>
      </c>
      <c r="O1852" t="s">
        <v>78</v>
      </c>
      <c r="P1852" t="s">
        <v>55</v>
      </c>
      <c r="Q1852" t="s">
        <v>78</v>
      </c>
      <c r="R1852" t="s">
        <v>55</v>
      </c>
      <c r="S1852" t="s">
        <v>78</v>
      </c>
      <c r="T1852" t="s">
        <v>55</v>
      </c>
      <c r="U1852" t="s">
        <v>78</v>
      </c>
      <c r="V1852" t="s">
        <v>55</v>
      </c>
      <c r="W1852" t="s">
        <v>78</v>
      </c>
      <c r="X1852" t="s">
        <v>55</v>
      </c>
      <c r="Y1852" t="s">
        <v>78</v>
      </c>
      <c r="Z1852" t="s">
        <v>55</v>
      </c>
      <c r="AA1852" t="s">
        <v>78</v>
      </c>
      <c r="AB1852" t="s">
        <v>55</v>
      </c>
      <c r="AC1852" t="s">
        <v>78</v>
      </c>
      <c r="AD1852" t="s">
        <v>55</v>
      </c>
      <c r="AE1852" t="s">
        <v>78</v>
      </c>
      <c r="AF1852" t="s">
        <v>55</v>
      </c>
      <c r="AG1852" t="s">
        <v>78</v>
      </c>
      <c r="AH1852" t="s">
        <v>55</v>
      </c>
      <c r="AI1852" t="s">
        <v>78</v>
      </c>
      <c r="AK1852" t="s">
        <v>357</v>
      </c>
    </row>
    <row r="1853" spans="1:37">
      <c r="B1853" t="s">
        <v>56</v>
      </c>
      <c r="C1853" t="s">
        <v>56</v>
      </c>
      <c r="D1853" t="s">
        <v>56</v>
      </c>
      <c r="E1853" t="s">
        <v>56</v>
      </c>
      <c r="F1853" t="s">
        <v>56</v>
      </c>
      <c r="G1853" t="s">
        <v>176</v>
      </c>
      <c r="H1853" t="s">
        <v>211</v>
      </c>
      <c r="I1853" t="s">
        <v>231</v>
      </c>
      <c r="J1853" t="s">
        <v>250</v>
      </c>
      <c r="K1853" t="s">
        <v>264</v>
      </c>
      <c r="L1853" t="s">
        <v>276</v>
      </c>
      <c r="M1853" t="s">
        <v>285</v>
      </c>
      <c r="N1853" t="s">
        <v>295</v>
      </c>
      <c r="O1853" t="s">
        <v>303</v>
      </c>
      <c r="P1853" t="s">
        <v>56</v>
      </c>
      <c r="Q1853" t="s">
        <v>317</v>
      </c>
      <c r="R1853" t="s">
        <v>324</v>
      </c>
      <c r="S1853" t="s">
        <v>331</v>
      </c>
      <c r="T1853" t="s">
        <v>334</v>
      </c>
      <c r="U1853" t="s">
        <v>338</v>
      </c>
      <c r="V1853" t="s">
        <v>342</v>
      </c>
      <c r="W1853" t="s">
        <v>346</v>
      </c>
      <c r="X1853" t="s">
        <v>351</v>
      </c>
      <c r="AK1853" t="s">
        <v>357</v>
      </c>
    </row>
    <row r="1854" spans="1:37">
      <c r="B1854" t="s">
        <v>57</v>
      </c>
      <c r="C1854" t="s">
        <v>79</v>
      </c>
      <c r="D1854" t="s">
        <v>98</v>
      </c>
      <c r="E1854" t="s">
        <v>117</v>
      </c>
      <c r="F1854" t="s">
        <v>151</v>
      </c>
      <c r="G1854" t="s">
        <v>177</v>
      </c>
      <c r="H1854" t="s">
        <v>212</v>
      </c>
      <c r="I1854" t="s">
        <v>232</v>
      </c>
      <c r="J1854" t="s">
        <v>251</v>
      </c>
      <c r="K1854" t="s">
        <v>265</v>
      </c>
      <c r="L1854" t="s">
        <v>277</v>
      </c>
      <c r="M1854" t="s">
        <v>286</v>
      </c>
      <c r="N1854" t="s">
        <v>296</v>
      </c>
      <c r="O1854" t="s">
        <v>304</v>
      </c>
      <c r="P1854" t="s">
        <v>311</v>
      </c>
      <c r="Q1854" t="s">
        <v>318</v>
      </c>
      <c r="R1854" t="s">
        <v>185</v>
      </c>
      <c r="S1854" t="s">
        <v>159</v>
      </c>
      <c r="T1854" t="s">
        <v>185</v>
      </c>
      <c r="U1854" t="s">
        <v>339</v>
      </c>
      <c r="V1854" t="s">
        <v>72</v>
      </c>
      <c r="W1854" t="s">
        <v>347</v>
      </c>
      <c r="X1854" t="s">
        <v>72</v>
      </c>
      <c r="Y1854" t="s">
        <v>96</v>
      </c>
      <c r="AK1854" t="s">
        <v>357</v>
      </c>
    </row>
    <row r="1855" spans="1:37">
      <c r="B1855" t="s">
        <v>58</v>
      </c>
      <c r="C1855" t="s">
        <v>80</v>
      </c>
      <c r="D1855" t="s">
        <v>99</v>
      </c>
      <c r="E1855" t="s">
        <v>118</v>
      </c>
      <c r="F1855" t="s">
        <v>152</v>
      </c>
      <c r="G1855" t="s">
        <v>178</v>
      </c>
      <c r="H1855" t="s">
        <v>213</v>
      </c>
      <c r="I1855" t="s">
        <v>233</v>
      </c>
      <c r="J1855" t="s">
        <v>252</v>
      </c>
      <c r="K1855" t="s">
        <v>266</v>
      </c>
      <c r="L1855" t="s">
        <v>278</v>
      </c>
      <c r="M1855" t="s">
        <v>287</v>
      </c>
      <c r="N1855" t="s">
        <v>297</v>
      </c>
      <c r="O1855" t="s">
        <v>305</v>
      </c>
      <c r="P1855" t="s">
        <v>312</v>
      </c>
      <c r="Q1855" t="s">
        <v>319</v>
      </c>
      <c r="R1855">
        <f>&gt;10       ветра      1.1     14  29</f>
        <v>0</v>
      </c>
      <c r="AK1855" t="s">
        <v>357</v>
      </c>
    </row>
    <row r="1856" spans="1:37">
      <c r="A1856" t="s">
        <v>40</v>
      </c>
      <c r="B1856" t="s">
        <v>59</v>
      </c>
      <c r="C1856" t="s">
        <v>81</v>
      </c>
      <c r="D1856" t="s">
        <v>100</v>
      </c>
      <c r="E1856" t="s">
        <v>119</v>
      </c>
      <c r="F1856" t="s">
        <v>153</v>
      </c>
      <c r="G1856" t="s">
        <v>179</v>
      </c>
      <c r="H1856" t="s">
        <v>214</v>
      </c>
      <c r="I1856" t="s">
        <v>234</v>
      </c>
      <c r="AK1856" t="s">
        <v>357</v>
      </c>
    </row>
    <row r="1857" spans="1:37">
      <c r="A1857" t="s">
        <v>40</v>
      </c>
      <c r="B1857" t="s">
        <v>60</v>
      </c>
      <c r="C1857" t="s">
        <v>82</v>
      </c>
      <c r="D1857" t="s">
        <v>101</v>
      </c>
      <c r="E1857" t="s">
        <v>120</v>
      </c>
      <c r="F1857" t="s">
        <v>154</v>
      </c>
      <c r="G1857" t="s">
        <v>180</v>
      </c>
      <c r="H1857" t="s">
        <v>215</v>
      </c>
      <c r="I1857" t="s">
        <v>235</v>
      </c>
      <c r="J1857" t="s">
        <v>253</v>
      </c>
      <c r="K1857" t="s">
        <v>267</v>
      </c>
      <c r="L1857" t="s">
        <v>279</v>
      </c>
      <c r="M1857" t="s">
        <v>288</v>
      </c>
      <c r="N1857" t="s">
        <v>100</v>
      </c>
      <c r="O1857" t="s">
        <v>306</v>
      </c>
      <c r="P1857" t="s">
        <v>313</v>
      </c>
      <c r="Q1857" t="s">
        <v>320</v>
      </c>
      <c r="R1857" t="s">
        <v>325</v>
      </c>
      <c r="S1857" t="s">
        <v>332</v>
      </c>
      <c r="T1857" t="s">
        <v>119</v>
      </c>
      <c r="U1857" t="s">
        <v>234</v>
      </c>
      <c r="V1857" t="s">
        <v>343</v>
      </c>
      <c r="W1857" t="s">
        <v>348</v>
      </c>
      <c r="X1857" t="s">
        <v>352</v>
      </c>
      <c r="Y1857" t="s">
        <v>354</v>
      </c>
      <c r="AK1857" t="s">
        <v>357</v>
      </c>
    </row>
    <row r="1858" spans="1:37">
      <c r="A1858" t="s">
        <v>41</v>
      </c>
      <c r="B1858" t="s">
        <v>61</v>
      </c>
      <c r="C1858" t="s">
        <v>83</v>
      </c>
      <c r="D1858" t="s">
        <v>102</v>
      </c>
      <c r="E1858" t="s">
        <v>121</v>
      </c>
      <c r="F1858" t="s">
        <v>155</v>
      </c>
      <c r="G1858" t="s">
        <v>181</v>
      </c>
      <c r="H1858" t="s">
        <v>216</v>
      </c>
      <c r="I1858" t="s">
        <v>236</v>
      </c>
      <c r="AK1858" t="s">
        <v>357</v>
      </c>
    </row>
    <row r="1859" spans="1:37">
      <c r="A1859" t="s">
        <v>42</v>
      </c>
      <c r="B1859" t="s">
        <v>62</v>
      </c>
      <c r="C1859" t="s">
        <v>84</v>
      </c>
      <c r="D1859" t="s">
        <v>103</v>
      </c>
      <c r="E1859" t="s">
        <v>122</v>
      </c>
      <c r="F1859" t="s">
        <v>156</v>
      </c>
      <c r="G1859" t="s">
        <v>182</v>
      </c>
      <c r="H1859" t="s">
        <v>83</v>
      </c>
      <c r="I1859" t="s">
        <v>237</v>
      </c>
      <c r="J1859" t="s">
        <v>254</v>
      </c>
      <c r="K1859" t="s">
        <v>268</v>
      </c>
      <c r="L1859" t="s">
        <v>280</v>
      </c>
      <c r="M1859" t="s">
        <v>289</v>
      </c>
      <c r="N1859" t="s">
        <v>298</v>
      </c>
      <c r="O1859" t="s">
        <v>307</v>
      </c>
      <c r="P1859" t="s">
        <v>314</v>
      </c>
      <c r="Q1859" t="s">
        <v>216</v>
      </c>
      <c r="R1859" t="s">
        <v>326</v>
      </c>
      <c r="S1859" t="s">
        <v>333</v>
      </c>
      <c r="T1859" t="s">
        <v>335</v>
      </c>
      <c r="U1859" t="s">
        <v>340</v>
      </c>
      <c r="V1859" t="s">
        <v>344</v>
      </c>
      <c r="W1859" t="s">
        <v>349</v>
      </c>
      <c r="AK1859" t="s">
        <v>357</v>
      </c>
    </row>
    <row r="1860" spans="1:37">
      <c r="A1860" t="s">
        <v>43</v>
      </c>
      <c r="B1860" t="s">
        <v>63</v>
      </c>
      <c r="C1860" t="s">
        <v>85</v>
      </c>
      <c r="D1860" t="s">
        <v>104</v>
      </c>
      <c r="E1860" t="s">
        <v>123</v>
      </c>
      <c r="F1860" t="s">
        <v>157</v>
      </c>
      <c r="G1860" t="s">
        <v>183</v>
      </c>
      <c r="AK1860" t="s">
        <v>357</v>
      </c>
    </row>
    <row r="1861" spans="1:37">
      <c r="A1861" t="s">
        <v>44</v>
      </c>
      <c r="B1861" t="s">
        <v>64</v>
      </c>
      <c r="C1861" t="s">
        <v>86</v>
      </c>
      <c r="D1861" t="s">
        <v>105</v>
      </c>
      <c r="E1861" t="s">
        <v>124</v>
      </c>
      <c r="F1861" t="s">
        <v>158</v>
      </c>
      <c r="G1861" t="s">
        <v>184</v>
      </c>
      <c r="AK1861" t="s">
        <v>357</v>
      </c>
    </row>
    <row r="1862" spans="1:37">
      <c r="A1862" t="s">
        <v>45</v>
      </c>
      <c r="B1862" t="s">
        <v>65</v>
      </c>
      <c r="C1862" t="s">
        <v>87</v>
      </c>
      <c r="D1862" t="s">
        <v>106</v>
      </c>
      <c r="E1862" t="s">
        <v>125</v>
      </c>
      <c r="F1862" t="s">
        <v>159</v>
      </c>
      <c r="G1862" t="s">
        <v>185</v>
      </c>
      <c r="H1862" t="s">
        <v>159</v>
      </c>
      <c r="I1862" t="s">
        <v>185</v>
      </c>
      <c r="J1862" t="s">
        <v>255</v>
      </c>
      <c r="AK1862" t="s">
        <v>357</v>
      </c>
    </row>
    <row r="1863" spans="1:37">
      <c r="A1863" t="s">
        <v>46</v>
      </c>
      <c r="B1863" t="s">
        <v>66</v>
      </c>
      <c r="C1863" t="s">
        <v>88</v>
      </c>
      <c r="D1863" t="s">
        <v>76</v>
      </c>
      <c r="E1863" t="s">
        <v>126</v>
      </c>
      <c r="F1863" t="s">
        <v>160</v>
      </c>
      <c r="G1863" t="s">
        <v>186</v>
      </c>
      <c r="H1863" t="s">
        <v>217</v>
      </c>
      <c r="I1863" t="s">
        <v>238</v>
      </c>
      <c r="J1863" t="s">
        <v>256</v>
      </c>
      <c r="K1863" t="s">
        <v>265</v>
      </c>
      <c r="L1863" t="s">
        <v>281</v>
      </c>
      <c r="M1863" t="s">
        <v>290</v>
      </c>
      <c r="N1863" t="s">
        <v>299</v>
      </c>
      <c r="O1863" t="s">
        <v>308</v>
      </c>
      <c r="P1863" t="s">
        <v>228</v>
      </c>
      <c r="Q1863" t="s">
        <v>72</v>
      </c>
      <c r="R1863" t="s">
        <v>327</v>
      </c>
      <c r="S1863" t="s">
        <v>327</v>
      </c>
      <c r="T1863" t="s">
        <v>336</v>
      </c>
      <c r="U1863" t="s">
        <v>336</v>
      </c>
      <c r="V1863" t="s">
        <v>336</v>
      </c>
      <c r="W1863" t="s">
        <v>336</v>
      </c>
      <c r="X1863" t="s">
        <v>353</v>
      </c>
      <c r="AK1863" t="s">
        <v>357</v>
      </c>
    </row>
    <row r="1864" spans="1:37">
      <c r="A1864" t="s">
        <v>37</v>
      </c>
      <c r="B1864" t="s">
        <v>49</v>
      </c>
      <c r="C1864" t="s">
        <v>73</v>
      </c>
      <c r="D1864" t="s">
        <v>94</v>
      </c>
      <c r="E1864" t="s">
        <v>112</v>
      </c>
      <c r="F1864" t="s">
        <v>146</v>
      </c>
      <c r="G1864" t="s">
        <v>172</v>
      </c>
      <c r="H1864" t="s">
        <v>207</v>
      </c>
      <c r="I1864" t="s">
        <v>226</v>
      </c>
      <c r="J1864" t="s">
        <v>246</v>
      </c>
      <c r="K1864" t="s">
        <v>259</v>
      </c>
      <c r="AK1864" t="s">
        <v>357</v>
      </c>
    </row>
    <row r="1865" spans="1:37">
      <c r="A1865" t="s">
        <v>38</v>
      </c>
      <c r="B1865" t="s">
        <v>50</v>
      </c>
      <c r="C1865" t="s">
        <v>74</v>
      </c>
      <c r="D1865" t="s">
        <v>95</v>
      </c>
      <c r="E1865" t="s">
        <v>113</v>
      </c>
      <c r="F1865" t="s">
        <v>147</v>
      </c>
      <c r="G1865" t="s">
        <v>173</v>
      </c>
      <c r="H1865" t="s">
        <v>208</v>
      </c>
      <c r="I1865" t="s">
        <v>227</v>
      </c>
      <c r="J1865" t="s">
        <v>115</v>
      </c>
      <c r="K1865" t="s">
        <v>260</v>
      </c>
      <c r="L1865" t="s">
        <v>273</v>
      </c>
      <c r="M1865" t="s">
        <v>282</v>
      </c>
      <c r="N1865" t="s">
        <v>291</v>
      </c>
      <c r="AK1865" t="s">
        <v>357</v>
      </c>
    </row>
    <row r="1866" spans="1:37">
      <c r="B1866" t="s">
        <v>51</v>
      </c>
      <c r="C1866" t="s">
        <v>75</v>
      </c>
      <c r="D1866" t="s">
        <v>52</v>
      </c>
      <c r="E1866" t="s">
        <v>114</v>
      </c>
      <c r="F1866" t="s">
        <v>148</v>
      </c>
      <c r="G1866" t="s">
        <v>148</v>
      </c>
      <c r="H1866" t="s">
        <v>209</v>
      </c>
      <c r="I1866" t="s">
        <v>228</v>
      </c>
      <c r="J1866" t="s">
        <v>247</v>
      </c>
      <c r="K1866" t="s">
        <v>261</v>
      </c>
      <c r="L1866" t="s">
        <v>274</v>
      </c>
      <c r="M1866" t="s">
        <v>283</v>
      </c>
      <c r="N1866" t="s">
        <v>292</v>
      </c>
      <c r="O1866" t="s">
        <v>300</v>
      </c>
      <c r="AK1866" t="s">
        <v>357</v>
      </c>
    </row>
    <row r="1867" spans="1:37">
      <c r="B1867" t="s">
        <v>52</v>
      </c>
      <c r="C1867" t="s">
        <v>76</v>
      </c>
      <c r="D1867" t="s">
        <v>96</v>
      </c>
      <c r="E1867" t="s">
        <v>115</v>
      </c>
      <c r="F1867" t="s">
        <v>149</v>
      </c>
      <c r="G1867" t="s">
        <v>174</v>
      </c>
      <c r="H1867" t="s">
        <v>96</v>
      </c>
      <c r="I1867" t="s">
        <v>229</v>
      </c>
      <c r="J1867" t="s">
        <v>248</v>
      </c>
      <c r="K1867" t="s">
        <v>262</v>
      </c>
      <c r="L1867" t="s">
        <v>52</v>
      </c>
      <c r="M1867" t="s">
        <v>76</v>
      </c>
      <c r="N1867" t="s">
        <v>293</v>
      </c>
      <c r="O1867" t="s">
        <v>301</v>
      </c>
      <c r="P1867" t="s">
        <v>309</v>
      </c>
      <c r="Q1867" t="s">
        <v>315</v>
      </c>
      <c r="R1867" t="s">
        <v>228</v>
      </c>
      <c r="S1867" t="s">
        <v>328</v>
      </c>
      <c r="T1867" t="s">
        <v>149</v>
      </c>
      <c r="U1867" t="s">
        <v>337</v>
      </c>
      <c r="V1867" t="s">
        <v>341</v>
      </c>
      <c r="W1867" t="s">
        <v>345</v>
      </c>
      <c r="X1867" t="s">
        <v>350</v>
      </c>
      <c r="AK1867" t="s">
        <v>357</v>
      </c>
    </row>
    <row r="1868" spans="1:37">
      <c r="B1868" t="s">
        <v>53</v>
      </c>
      <c r="C1868" t="s">
        <v>77</v>
      </c>
      <c r="D1868" t="s">
        <v>97</v>
      </c>
      <c r="E1868" t="s">
        <v>116</v>
      </c>
      <c r="F1868" t="s">
        <v>150</v>
      </c>
      <c r="G1868" t="s">
        <v>175</v>
      </c>
      <c r="H1868" t="s">
        <v>210</v>
      </c>
      <c r="I1868" t="s">
        <v>230</v>
      </c>
      <c r="J1868" t="s">
        <v>249</v>
      </c>
      <c r="K1868" t="s">
        <v>263</v>
      </c>
      <c r="L1868" t="s">
        <v>275</v>
      </c>
      <c r="M1868" t="s">
        <v>284</v>
      </c>
      <c r="N1868" t="s">
        <v>294</v>
      </c>
      <c r="O1868" t="s">
        <v>302</v>
      </c>
      <c r="P1868" t="s">
        <v>310</v>
      </c>
      <c r="Q1868" t="s">
        <v>316</v>
      </c>
      <c r="R1868" t="s">
        <v>322</v>
      </c>
      <c r="S1868" t="s">
        <v>329</v>
      </c>
      <c r="AK1868" t="s">
        <v>357</v>
      </c>
    </row>
    <row r="1869" spans="1:37">
      <c r="A1869" t="s">
        <v>39</v>
      </c>
      <c r="B1869" t="s">
        <v>54</v>
      </c>
      <c r="C1869" t="s">
        <v>54</v>
      </c>
      <c r="D1869" t="s">
        <v>54</v>
      </c>
      <c r="E1869" t="s">
        <v>54</v>
      </c>
      <c r="F1869" t="s">
        <v>54</v>
      </c>
      <c r="G1869" t="s">
        <v>54</v>
      </c>
      <c r="H1869" t="s">
        <v>54</v>
      </c>
      <c r="I1869" t="s">
        <v>54</v>
      </c>
      <c r="J1869" t="s">
        <v>54</v>
      </c>
      <c r="K1869" t="s">
        <v>54</v>
      </c>
      <c r="L1869" t="s">
        <v>54</v>
      </c>
      <c r="M1869" t="s">
        <v>54</v>
      </c>
      <c r="N1869" t="s">
        <v>54</v>
      </c>
      <c r="O1869" t="s">
        <v>54</v>
      </c>
      <c r="P1869" t="s">
        <v>54</v>
      </c>
      <c r="Q1869" t="s">
        <v>54</v>
      </c>
      <c r="R1869" t="s">
        <v>323</v>
      </c>
      <c r="S1869" t="s">
        <v>330</v>
      </c>
      <c r="AK1869" t="s">
        <v>357</v>
      </c>
    </row>
    <row r="1870" spans="1:37">
      <c r="B1870" t="s">
        <v>55</v>
      </c>
      <c r="C1870" t="s">
        <v>78</v>
      </c>
      <c r="D1870" t="s">
        <v>55</v>
      </c>
      <c r="E1870" t="s">
        <v>78</v>
      </c>
      <c r="F1870" t="s">
        <v>55</v>
      </c>
      <c r="G1870" t="s">
        <v>78</v>
      </c>
      <c r="H1870" t="s">
        <v>55</v>
      </c>
      <c r="I1870" t="s">
        <v>78</v>
      </c>
      <c r="J1870" t="s">
        <v>55</v>
      </c>
      <c r="K1870" t="s">
        <v>78</v>
      </c>
      <c r="L1870" t="s">
        <v>55</v>
      </c>
      <c r="M1870" t="s">
        <v>78</v>
      </c>
      <c r="N1870" t="s">
        <v>55</v>
      </c>
      <c r="O1870" t="s">
        <v>78</v>
      </c>
      <c r="P1870" t="s">
        <v>55</v>
      </c>
      <c r="Q1870" t="s">
        <v>78</v>
      </c>
      <c r="R1870" t="s">
        <v>55</v>
      </c>
      <c r="S1870" t="s">
        <v>78</v>
      </c>
      <c r="T1870" t="s">
        <v>55</v>
      </c>
      <c r="U1870" t="s">
        <v>78</v>
      </c>
      <c r="V1870" t="s">
        <v>55</v>
      </c>
      <c r="W1870" t="s">
        <v>78</v>
      </c>
      <c r="X1870" t="s">
        <v>55</v>
      </c>
      <c r="Y1870" t="s">
        <v>78</v>
      </c>
      <c r="Z1870" t="s">
        <v>55</v>
      </c>
      <c r="AA1870" t="s">
        <v>78</v>
      </c>
      <c r="AB1870" t="s">
        <v>55</v>
      </c>
      <c r="AC1870" t="s">
        <v>78</v>
      </c>
      <c r="AD1870" t="s">
        <v>55</v>
      </c>
      <c r="AE1870" t="s">
        <v>78</v>
      </c>
      <c r="AF1870" t="s">
        <v>55</v>
      </c>
      <c r="AG1870" t="s">
        <v>78</v>
      </c>
      <c r="AH1870" t="s">
        <v>55</v>
      </c>
      <c r="AI1870" t="s">
        <v>78</v>
      </c>
      <c r="AK1870" t="s">
        <v>357</v>
      </c>
    </row>
    <row r="1871" spans="1:37">
      <c r="B1871" t="s">
        <v>56</v>
      </c>
      <c r="C1871" t="s">
        <v>56</v>
      </c>
      <c r="D1871" t="s">
        <v>56</v>
      </c>
      <c r="E1871" t="s">
        <v>56</v>
      </c>
      <c r="F1871" t="s">
        <v>56</v>
      </c>
      <c r="G1871" t="s">
        <v>176</v>
      </c>
      <c r="H1871" t="s">
        <v>211</v>
      </c>
      <c r="I1871" t="s">
        <v>231</v>
      </c>
      <c r="J1871" t="s">
        <v>250</v>
      </c>
      <c r="K1871" t="s">
        <v>264</v>
      </c>
      <c r="L1871" t="s">
        <v>276</v>
      </c>
      <c r="M1871" t="s">
        <v>285</v>
      </c>
      <c r="N1871" t="s">
        <v>295</v>
      </c>
      <c r="O1871" t="s">
        <v>303</v>
      </c>
      <c r="P1871" t="s">
        <v>56</v>
      </c>
      <c r="Q1871" t="s">
        <v>317</v>
      </c>
      <c r="R1871" t="s">
        <v>324</v>
      </c>
      <c r="S1871" t="s">
        <v>331</v>
      </c>
      <c r="T1871" t="s">
        <v>334</v>
      </c>
      <c r="U1871" t="s">
        <v>338</v>
      </c>
      <c r="V1871" t="s">
        <v>342</v>
      </c>
      <c r="W1871" t="s">
        <v>346</v>
      </c>
      <c r="X1871" t="s">
        <v>351</v>
      </c>
      <c r="AK1871" t="s">
        <v>357</v>
      </c>
    </row>
    <row r="1872" spans="1:37">
      <c r="B1872" t="s">
        <v>57</v>
      </c>
      <c r="C1872" t="s">
        <v>79</v>
      </c>
      <c r="D1872" t="s">
        <v>98</v>
      </c>
      <c r="E1872" t="s">
        <v>117</v>
      </c>
      <c r="F1872" t="s">
        <v>151</v>
      </c>
      <c r="G1872" t="s">
        <v>177</v>
      </c>
      <c r="H1872" t="s">
        <v>212</v>
      </c>
      <c r="I1872" t="s">
        <v>232</v>
      </c>
      <c r="J1872" t="s">
        <v>251</v>
      </c>
      <c r="K1872" t="s">
        <v>265</v>
      </c>
      <c r="L1872" t="s">
        <v>277</v>
      </c>
      <c r="M1872" t="s">
        <v>286</v>
      </c>
      <c r="N1872" t="s">
        <v>296</v>
      </c>
      <c r="O1872" t="s">
        <v>304</v>
      </c>
      <c r="P1872" t="s">
        <v>311</v>
      </c>
      <c r="Q1872" t="s">
        <v>318</v>
      </c>
      <c r="R1872" t="s">
        <v>185</v>
      </c>
      <c r="S1872" t="s">
        <v>159</v>
      </c>
      <c r="T1872" t="s">
        <v>185</v>
      </c>
      <c r="U1872" t="s">
        <v>339</v>
      </c>
      <c r="V1872" t="s">
        <v>72</v>
      </c>
      <c r="W1872" t="s">
        <v>347</v>
      </c>
      <c r="X1872" t="s">
        <v>72</v>
      </c>
      <c r="Y1872" t="s">
        <v>96</v>
      </c>
      <c r="AK1872" t="s">
        <v>357</v>
      </c>
    </row>
    <row r="1873" spans="1:37">
      <c r="B1873" t="s">
        <v>58</v>
      </c>
      <c r="C1873" t="s">
        <v>80</v>
      </c>
      <c r="D1873" t="s">
        <v>99</v>
      </c>
      <c r="E1873" t="s">
        <v>118</v>
      </c>
      <c r="F1873" t="s">
        <v>152</v>
      </c>
      <c r="G1873" t="s">
        <v>178</v>
      </c>
      <c r="H1873" t="s">
        <v>213</v>
      </c>
      <c r="I1873" t="s">
        <v>233</v>
      </c>
      <c r="J1873" t="s">
        <v>252</v>
      </c>
      <c r="K1873" t="s">
        <v>266</v>
      </c>
      <c r="L1873" t="s">
        <v>278</v>
      </c>
      <c r="M1873" t="s">
        <v>287</v>
      </c>
      <c r="N1873" t="s">
        <v>297</v>
      </c>
      <c r="O1873" t="s">
        <v>305</v>
      </c>
      <c r="P1873" t="s">
        <v>312</v>
      </c>
      <c r="Q1873" t="s">
        <v>319</v>
      </c>
      <c r="R1873">
        <f>&gt;10       ветра      2.8     18  13</f>
        <v>0</v>
      </c>
      <c r="AK1873" t="s">
        <v>357</v>
      </c>
    </row>
    <row r="1874" spans="1:37">
      <c r="A1874" t="s">
        <v>40</v>
      </c>
      <c r="B1874" t="s">
        <v>59</v>
      </c>
      <c r="C1874" t="s">
        <v>81</v>
      </c>
      <c r="D1874" t="s">
        <v>100</v>
      </c>
      <c r="E1874" t="s">
        <v>119</v>
      </c>
      <c r="F1874" t="s">
        <v>153</v>
      </c>
      <c r="G1874" t="s">
        <v>179</v>
      </c>
      <c r="H1874" t="s">
        <v>214</v>
      </c>
      <c r="I1874" t="s">
        <v>234</v>
      </c>
      <c r="AK1874" t="s">
        <v>357</v>
      </c>
    </row>
    <row r="1875" spans="1:37">
      <c r="A1875" t="s">
        <v>40</v>
      </c>
      <c r="B1875" t="s">
        <v>60</v>
      </c>
      <c r="C1875" t="s">
        <v>82</v>
      </c>
      <c r="D1875" t="s">
        <v>101</v>
      </c>
      <c r="E1875" t="s">
        <v>120</v>
      </c>
      <c r="F1875" t="s">
        <v>154</v>
      </c>
      <c r="G1875" t="s">
        <v>180</v>
      </c>
      <c r="H1875" t="s">
        <v>215</v>
      </c>
      <c r="I1875" t="s">
        <v>235</v>
      </c>
      <c r="J1875" t="s">
        <v>253</v>
      </c>
      <c r="K1875" t="s">
        <v>267</v>
      </c>
      <c r="L1875" t="s">
        <v>279</v>
      </c>
      <c r="M1875" t="s">
        <v>288</v>
      </c>
      <c r="N1875" t="s">
        <v>100</v>
      </c>
      <c r="O1875" t="s">
        <v>306</v>
      </c>
      <c r="P1875" t="s">
        <v>313</v>
      </c>
      <c r="Q1875" t="s">
        <v>320</v>
      </c>
      <c r="R1875" t="s">
        <v>325</v>
      </c>
      <c r="S1875" t="s">
        <v>332</v>
      </c>
      <c r="T1875" t="s">
        <v>119</v>
      </c>
      <c r="U1875" t="s">
        <v>234</v>
      </c>
      <c r="V1875" t="s">
        <v>343</v>
      </c>
      <c r="W1875" t="s">
        <v>348</v>
      </c>
      <c r="X1875" t="s">
        <v>352</v>
      </c>
      <c r="Y1875" t="s">
        <v>354</v>
      </c>
      <c r="AK1875" t="s">
        <v>357</v>
      </c>
    </row>
    <row r="1876" spans="1:37">
      <c r="A1876" t="s">
        <v>41</v>
      </c>
      <c r="B1876" t="s">
        <v>61</v>
      </c>
      <c r="C1876" t="s">
        <v>83</v>
      </c>
      <c r="D1876" t="s">
        <v>102</v>
      </c>
      <c r="E1876" t="s">
        <v>121</v>
      </c>
      <c r="F1876" t="s">
        <v>155</v>
      </c>
      <c r="G1876" t="s">
        <v>181</v>
      </c>
      <c r="H1876" t="s">
        <v>216</v>
      </c>
      <c r="I1876" t="s">
        <v>236</v>
      </c>
      <c r="AK1876" t="s">
        <v>357</v>
      </c>
    </row>
    <row r="1877" spans="1:37">
      <c r="A1877" t="s">
        <v>42</v>
      </c>
      <c r="B1877" t="s">
        <v>62</v>
      </c>
      <c r="C1877" t="s">
        <v>84</v>
      </c>
      <c r="D1877" t="s">
        <v>103</v>
      </c>
      <c r="E1877" t="s">
        <v>122</v>
      </c>
      <c r="F1877" t="s">
        <v>156</v>
      </c>
      <c r="G1877" t="s">
        <v>182</v>
      </c>
      <c r="H1877" t="s">
        <v>83</v>
      </c>
      <c r="I1877" t="s">
        <v>237</v>
      </c>
      <c r="J1877" t="s">
        <v>254</v>
      </c>
      <c r="K1877" t="s">
        <v>268</v>
      </c>
      <c r="L1877" t="s">
        <v>280</v>
      </c>
      <c r="M1877" t="s">
        <v>289</v>
      </c>
      <c r="N1877" t="s">
        <v>298</v>
      </c>
      <c r="O1877" t="s">
        <v>307</v>
      </c>
      <c r="P1877" t="s">
        <v>314</v>
      </c>
      <c r="Q1877" t="s">
        <v>216</v>
      </c>
      <c r="R1877" t="s">
        <v>326</v>
      </c>
      <c r="S1877" t="s">
        <v>333</v>
      </c>
      <c r="T1877" t="s">
        <v>335</v>
      </c>
      <c r="U1877" t="s">
        <v>340</v>
      </c>
      <c r="V1877" t="s">
        <v>344</v>
      </c>
      <c r="W1877" t="s">
        <v>349</v>
      </c>
      <c r="AK1877" t="s">
        <v>357</v>
      </c>
    </row>
    <row r="1878" spans="1:37">
      <c r="A1878" t="s">
        <v>43</v>
      </c>
      <c r="B1878" t="s">
        <v>63</v>
      </c>
      <c r="C1878" t="s">
        <v>85</v>
      </c>
      <c r="D1878" t="s">
        <v>104</v>
      </c>
      <c r="E1878" t="s">
        <v>123</v>
      </c>
      <c r="F1878" t="s">
        <v>157</v>
      </c>
      <c r="G1878" t="s">
        <v>183</v>
      </c>
      <c r="AK1878" t="s">
        <v>357</v>
      </c>
    </row>
    <row r="1879" spans="1:37">
      <c r="A1879" t="s">
        <v>44</v>
      </c>
      <c r="B1879" t="s">
        <v>64</v>
      </c>
      <c r="C1879" t="s">
        <v>86</v>
      </c>
      <c r="D1879" t="s">
        <v>105</v>
      </c>
      <c r="E1879" t="s">
        <v>124</v>
      </c>
      <c r="F1879" t="s">
        <v>158</v>
      </c>
      <c r="G1879" t="s">
        <v>184</v>
      </c>
      <c r="AK1879" t="s">
        <v>357</v>
      </c>
    </row>
    <row r="1880" spans="1:37">
      <c r="A1880" t="s">
        <v>45</v>
      </c>
      <c r="B1880" t="s">
        <v>65</v>
      </c>
      <c r="C1880" t="s">
        <v>87</v>
      </c>
      <c r="D1880" t="s">
        <v>106</v>
      </c>
      <c r="E1880" t="s">
        <v>125</v>
      </c>
      <c r="F1880" t="s">
        <v>159</v>
      </c>
      <c r="G1880" t="s">
        <v>185</v>
      </c>
      <c r="H1880" t="s">
        <v>159</v>
      </c>
      <c r="I1880" t="s">
        <v>185</v>
      </c>
      <c r="J1880" t="s">
        <v>255</v>
      </c>
      <c r="AK1880" t="s">
        <v>357</v>
      </c>
    </row>
    <row r="1881" spans="1:37">
      <c r="A1881" t="s">
        <v>46</v>
      </c>
      <c r="B1881" t="s">
        <v>66</v>
      </c>
      <c r="C1881" t="s">
        <v>88</v>
      </c>
      <c r="D1881" t="s">
        <v>76</v>
      </c>
      <c r="E1881" t="s">
        <v>126</v>
      </c>
      <c r="F1881" t="s">
        <v>160</v>
      </c>
      <c r="G1881" t="s">
        <v>186</v>
      </c>
      <c r="H1881" t="s">
        <v>217</v>
      </c>
      <c r="I1881" t="s">
        <v>238</v>
      </c>
      <c r="J1881" t="s">
        <v>256</v>
      </c>
      <c r="K1881" t="s">
        <v>265</v>
      </c>
      <c r="L1881" t="s">
        <v>281</v>
      </c>
      <c r="M1881" t="s">
        <v>290</v>
      </c>
      <c r="N1881" t="s">
        <v>299</v>
      </c>
      <c r="O1881" t="s">
        <v>308</v>
      </c>
      <c r="P1881" t="s">
        <v>228</v>
      </c>
      <c r="Q1881" t="s">
        <v>72</v>
      </c>
      <c r="R1881" t="s">
        <v>327</v>
      </c>
      <c r="S1881" t="s">
        <v>327</v>
      </c>
      <c r="T1881" t="s">
        <v>336</v>
      </c>
      <c r="U1881" t="s">
        <v>336</v>
      </c>
      <c r="V1881" t="s">
        <v>336</v>
      </c>
      <c r="W1881" t="s">
        <v>336</v>
      </c>
      <c r="X1881" t="s">
        <v>353</v>
      </c>
      <c r="AK1881" t="s">
        <v>357</v>
      </c>
    </row>
    <row r="1882" spans="1:37">
      <c r="B1882" t="s">
        <v>67</v>
      </c>
      <c r="C1882" t="s">
        <v>89</v>
      </c>
      <c r="D1882" t="s">
        <v>107</v>
      </c>
      <c r="AK1882" t="s">
        <v>357</v>
      </c>
    </row>
    <row r="1883" spans="1:37">
      <c r="B1883" t="s">
        <v>68</v>
      </c>
      <c r="C1883" t="s">
        <v>90</v>
      </c>
      <c r="D1883" t="s">
        <v>108</v>
      </c>
      <c r="AK1883" t="s">
        <v>357</v>
      </c>
    </row>
    <row r="1884" spans="1:37">
      <c r="A1884" t="s">
        <v>47</v>
      </c>
      <c r="B1884" t="s">
        <v>69</v>
      </c>
      <c r="C1884" t="s">
        <v>91</v>
      </c>
      <c r="D1884" t="s">
        <v>109</v>
      </c>
      <c r="E1884" t="s">
        <v>109</v>
      </c>
      <c r="F1884" t="s">
        <v>109</v>
      </c>
      <c r="G1884" t="s">
        <v>109</v>
      </c>
      <c r="H1884" t="s">
        <v>109</v>
      </c>
      <c r="I1884" t="s">
        <v>239</v>
      </c>
      <c r="AK1884" t="s">
        <v>357</v>
      </c>
    </row>
    <row r="1885" spans="1:37">
      <c r="B1885" t="s">
        <v>70</v>
      </c>
      <c r="C1885" t="s">
        <v>92</v>
      </c>
      <c r="D1885" t="s">
        <v>110</v>
      </c>
      <c r="E1885" t="s">
        <v>127</v>
      </c>
      <c r="F1885" t="s">
        <v>161</v>
      </c>
      <c r="G1885" t="s">
        <v>187</v>
      </c>
      <c r="H1885" t="s">
        <v>218</v>
      </c>
      <c r="AK1885" t="s">
        <v>357</v>
      </c>
    </row>
    <row r="1886" spans="1:37">
      <c r="B1886" t="s">
        <v>71</v>
      </c>
      <c r="C1886" t="s">
        <v>93</v>
      </c>
      <c r="D1886" t="s">
        <v>111</v>
      </c>
      <c r="E1886" t="s">
        <v>128</v>
      </c>
      <c r="F1886" t="s">
        <v>162</v>
      </c>
      <c r="G1886" t="s">
        <v>188</v>
      </c>
      <c r="H1886" t="s">
        <v>219</v>
      </c>
      <c r="I1886" t="s">
        <v>240</v>
      </c>
      <c r="J1886" t="s">
        <v>257</v>
      </c>
      <c r="K1886" t="s">
        <v>269</v>
      </c>
      <c r="L1886" t="s">
        <v>109</v>
      </c>
      <c r="M1886" t="s">
        <v>109</v>
      </c>
      <c r="N1886" t="s">
        <v>109</v>
      </c>
      <c r="O1886" t="s">
        <v>109</v>
      </c>
      <c r="P1886" t="s">
        <v>109</v>
      </c>
      <c r="Q1886" t="s">
        <v>321</v>
      </c>
      <c r="AK1886" t="s">
        <v>357</v>
      </c>
    </row>
    <row r="1887" spans="1:37">
      <c r="A1887" t="s">
        <v>48</v>
      </c>
      <c r="B1887" t="s">
        <v>71</v>
      </c>
      <c r="C1887" t="s">
        <v>93</v>
      </c>
      <c r="D1887" t="s">
        <v>111</v>
      </c>
      <c r="E1887" t="s">
        <v>128</v>
      </c>
      <c r="F1887" t="s">
        <v>163</v>
      </c>
      <c r="G1887" t="s">
        <v>189</v>
      </c>
      <c r="H1887" t="s">
        <v>220</v>
      </c>
      <c r="I1887" t="s">
        <v>241</v>
      </c>
      <c r="J1887" t="s">
        <v>258</v>
      </c>
      <c r="K1887" t="s">
        <v>270</v>
      </c>
      <c r="AK1887" t="s">
        <v>357</v>
      </c>
    </row>
    <row r="1888" spans="1:37">
      <c r="B1888" t="s">
        <v>72</v>
      </c>
      <c r="C1888" t="s">
        <v>72</v>
      </c>
      <c r="D1888" t="s">
        <v>72</v>
      </c>
      <c r="E1888" t="s">
        <v>134</v>
      </c>
      <c r="F1888" t="s">
        <v>166</v>
      </c>
      <c r="G1888" t="s">
        <v>198</v>
      </c>
      <c r="H1888" t="s">
        <v>192</v>
      </c>
      <c r="I1888" t="s">
        <v>192</v>
      </c>
      <c r="J1888" t="s">
        <v>192</v>
      </c>
      <c r="K1888" t="s">
        <v>271</v>
      </c>
      <c r="AK1888" t="s">
        <v>357</v>
      </c>
    </row>
    <row r="1889" spans="1:37">
      <c r="A1889" t="s">
        <v>37</v>
      </c>
      <c r="B1889" t="s">
        <v>49</v>
      </c>
      <c r="C1889" t="s">
        <v>73</v>
      </c>
      <c r="D1889" t="s">
        <v>94</v>
      </c>
      <c r="E1889" t="s">
        <v>112</v>
      </c>
      <c r="F1889" t="s">
        <v>146</v>
      </c>
      <c r="G1889" t="s">
        <v>172</v>
      </c>
      <c r="H1889" t="s">
        <v>207</v>
      </c>
      <c r="I1889" t="s">
        <v>226</v>
      </c>
      <c r="J1889" t="s">
        <v>246</v>
      </c>
      <c r="K1889" t="s">
        <v>259</v>
      </c>
      <c r="AK1889" t="s">
        <v>357</v>
      </c>
    </row>
    <row r="1890" spans="1:37">
      <c r="A1890" t="s">
        <v>38</v>
      </c>
      <c r="B1890" t="s">
        <v>50</v>
      </c>
      <c r="C1890" t="s">
        <v>74</v>
      </c>
      <c r="D1890" t="s">
        <v>95</v>
      </c>
      <c r="E1890" t="s">
        <v>113</v>
      </c>
      <c r="F1890" t="s">
        <v>147</v>
      </c>
      <c r="G1890" t="s">
        <v>173</v>
      </c>
      <c r="H1890" t="s">
        <v>208</v>
      </c>
      <c r="I1890" t="s">
        <v>227</v>
      </c>
      <c r="J1890" t="s">
        <v>115</v>
      </c>
      <c r="K1890" t="s">
        <v>260</v>
      </c>
      <c r="L1890" t="s">
        <v>273</v>
      </c>
      <c r="M1890" t="s">
        <v>282</v>
      </c>
      <c r="N1890" t="s">
        <v>291</v>
      </c>
      <c r="AK1890" t="s">
        <v>357</v>
      </c>
    </row>
    <row r="1891" spans="1:37">
      <c r="B1891" t="s">
        <v>51</v>
      </c>
      <c r="C1891" t="s">
        <v>75</v>
      </c>
      <c r="D1891" t="s">
        <v>52</v>
      </c>
      <c r="E1891" t="s">
        <v>114</v>
      </c>
      <c r="F1891" t="s">
        <v>148</v>
      </c>
      <c r="G1891" t="s">
        <v>148</v>
      </c>
      <c r="H1891" t="s">
        <v>209</v>
      </c>
      <c r="I1891" t="s">
        <v>228</v>
      </c>
      <c r="J1891" t="s">
        <v>247</v>
      </c>
      <c r="K1891" t="s">
        <v>261</v>
      </c>
      <c r="L1891" t="s">
        <v>274</v>
      </c>
      <c r="M1891" t="s">
        <v>283</v>
      </c>
      <c r="N1891" t="s">
        <v>292</v>
      </c>
      <c r="O1891" t="s">
        <v>300</v>
      </c>
      <c r="AK1891" t="s">
        <v>357</v>
      </c>
    </row>
    <row r="1892" spans="1:37">
      <c r="B1892" t="s">
        <v>52</v>
      </c>
      <c r="C1892" t="s">
        <v>76</v>
      </c>
      <c r="D1892" t="s">
        <v>96</v>
      </c>
      <c r="E1892" t="s">
        <v>115</v>
      </c>
      <c r="F1892" t="s">
        <v>149</v>
      </c>
      <c r="G1892" t="s">
        <v>174</v>
      </c>
      <c r="H1892" t="s">
        <v>96</v>
      </c>
      <c r="I1892" t="s">
        <v>229</v>
      </c>
      <c r="J1892" t="s">
        <v>248</v>
      </c>
      <c r="K1892" t="s">
        <v>262</v>
      </c>
      <c r="L1892" t="s">
        <v>52</v>
      </c>
      <c r="M1892" t="s">
        <v>76</v>
      </c>
      <c r="N1892" t="s">
        <v>293</v>
      </c>
      <c r="O1892" t="s">
        <v>301</v>
      </c>
      <c r="P1892" t="s">
        <v>309</v>
      </c>
      <c r="Q1892" t="s">
        <v>315</v>
      </c>
      <c r="R1892" t="s">
        <v>228</v>
      </c>
      <c r="S1892" t="s">
        <v>328</v>
      </c>
      <c r="T1892" t="s">
        <v>149</v>
      </c>
      <c r="U1892" t="s">
        <v>337</v>
      </c>
      <c r="V1892" t="s">
        <v>341</v>
      </c>
      <c r="W1892" t="s">
        <v>345</v>
      </c>
      <c r="X1892" t="s">
        <v>350</v>
      </c>
      <c r="AK1892" t="s">
        <v>357</v>
      </c>
    </row>
    <row r="1893" spans="1:37">
      <c r="B1893" t="s">
        <v>53</v>
      </c>
      <c r="C1893" t="s">
        <v>77</v>
      </c>
      <c r="D1893" t="s">
        <v>97</v>
      </c>
      <c r="E1893" t="s">
        <v>116</v>
      </c>
      <c r="F1893" t="s">
        <v>150</v>
      </c>
      <c r="G1893" t="s">
        <v>175</v>
      </c>
      <c r="H1893" t="s">
        <v>210</v>
      </c>
      <c r="I1893" t="s">
        <v>230</v>
      </c>
      <c r="J1893" t="s">
        <v>249</v>
      </c>
      <c r="K1893" t="s">
        <v>263</v>
      </c>
      <c r="L1893" t="s">
        <v>275</v>
      </c>
      <c r="M1893" t="s">
        <v>284</v>
      </c>
      <c r="N1893" t="s">
        <v>294</v>
      </c>
      <c r="O1893" t="s">
        <v>302</v>
      </c>
      <c r="P1893" t="s">
        <v>310</v>
      </c>
      <c r="Q1893" t="s">
        <v>316</v>
      </c>
      <c r="R1893" t="s">
        <v>322</v>
      </c>
      <c r="S1893" t="s">
        <v>329</v>
      </c>
      <c r="AK1893" t="s">
        <v>357</v>
      </c>
    </row>
    <row r="1894" spans="1:37">
      <c r="A1894" t="s">
        <v>39</v>
      </c>
      <c r="B1894" t="s">
        <v>54</v>
      </c>
      <c r="C1894" t="s">
        <v>54</v>
      </c>
      <c r="D1894" t="s">
        <v>54</v>
      </c>
      <c r="E1894" t="s">
        <v>54</v>
      </c>
      <c r="F1894" t="s">
        <v>54</v>
      </c>
      <c r="G1894" t="s">
        <v>54</v>
      </c>
      <c r="H1894" t="s">
        <v>54</v>
      </c>
      <c r="I1894" t="s">
        <v>54</v>
      </c>
      <c r="J1894" t="s">
        <v>54</v>
      </c>
      <c r="K1894" t="s">
        <v>54</v>
      </c>
      <c r="L1894" t="s">
        <v>54</v>
      </c>
      <c r="M1894" t="s">
        <v>54</v>
      </c>
      <c r="N1894" t="s">
        <v>54</v>
      </c>
      <c r="O1894" t="s">
        <v>54</v>
      </c>
      <c r="P1894" t="s">
        <v>54</v>
      </c>
      <c r="Q1894" t="s">
        <v>54</v>
      </c>
      <c r="R1894" t="s">
        <v>323</v>
      </c>
      <c r="S1894" t="s">
        <v>330</v>
      </c>
      <c r="AK1894" t="s">
        <v>357</v>
      </c>
    </row>
    <row r="1895" spans="1:37">
      <c r="B1895" t="s">
        <v>55</v>
      </c>
      <c r="C1895" t="s">
        <v>78</v>
      </c>
      <c r="D1895" t="s">
        <v>55</v>
      </c>
      <c r="E1895" t="s">
        <v>78</v>
      </c>
      <c r="F1895" t="s">
        <v>55</v>
      </c>
      <c r="G1895" t="s">
        <v>78</v>
      </c>
      <c r="H1895" t="s">
        <v>55</v>
      </c>
      <c r="I1895" t="s">
        <v>78</v>
      </c>
      <c r="J1895" t="s">
        <v>55</v>
      </c>
      <c r="K1895" t="s">
        <v>78</v>
      </c>
      <c r="L1895" t="s">
        <v>55</v>
      </c>
      <c r="M1895" t="s">
        <v>78</v>
      </c>
      <c r="N1895" t="s">
        <v>55</v>
      </c>
      <c r="O1895" t="s">
        <v>78</v>
      </c>
      <c r="P1895" t="s">
        <v>55</v>
      </c>
      <c r="Q1895" t="s">
        <v>78</v>
      </c>
      <c r="R1895" t="s">
        <v>55</v>
      </c>
      <c r="S1895" t="s">
        <v>78</v>
      </c>
      <c r="T1895" t="s">
        <v>55</v>
      </c>
      <c r="U1895" t="s">
        <v>78</v>
      </c>
      <c r="V1895" t="s">
        <v>55</v>
      </c>
      <c r="W1895" t="s">
        <v>78</v>
      </c>
      <c r="X1895" t="s">
        <v>55</v>
      </c>
      <c r="Y1895" t="s">
        <v>78</v>
      </c>
      <c r="Z1895" t="s">
        <v>55</v>
      </c>
      <c r="AA1895" t="s">
        <v>78</v>
      </c>
      <c r="AB1895" t="s">
        <v>55</v>
      </c>
      <c r="AC1895" t="s">
        <v>78</v>
      </c>
      <c r="AD1895" t="s">
        <v>55</v>
      </c>
      <c r="AE1895" t="s">
        <v>78</v>
      </c>
      <c r="AF1895" t="s">
        <v>55</v>
      </c>
      <c r="AG1895" t="s">
        <v>78</v>
      </c>
      <c r="AH1895" t="s">
        <v>55</v>
      </c>
      <c r="AI1895" t="s">
        <v>78</v>
      </c>
      <c r="AK1895" t="s">
        <v>357</v>
      </c>
    </row>
    <row r="1896" spans="1:37">
      <c r="B1896" t="s">
        <v>56</v>
      </c>
      <c r="C1896" t="s">
        <v>56</v>
      </c>
      <c r="D1896" t="s">
        <v>56</v>
      </c>
      <c r="E1896" t="s">
        <v>56</v>
      </c>
      <c r="F1896" t="s">
        <v>56</v>
      </c>
      <c r="G1896" t="s">
        <v>176</v>
      </c>
      <c r="H1896" t="s">
        <v>211</v>
      </c>
      <c r="I1896" t="s">
        <v>231</v>
      </c>
      <c r="J1896" t="s">
        <v>250</v>
      </c>
      <c r="K1896" t="s">
        <v>264</v>
      </c>
      <c r="L1896" t="s">
        <v>276</v>
      </c>
      <c r="M1896" t="s">
        <v>285</v>
      </c>
      <c r="N1896" t="s">
        <v>295</v>
      </c>
      <c r="O1896" t="s">
        <v>303</v>
      </c>
      <c r="P1896" t="s">
        <v>56</v>
      </c>
      <c r="Q1896" t="s">
        <v>317</v>
      </c>
      <c r="R1896" t="s">
        <v>324</v>
      </c>
      <c r="S1896" t="s">
        <v>331</v>
      </c>
      <c r="T1896" t="s">
        <v>334</v>
      </c>
      <c r="U1896" t="s">
        <v>338</v>
      </c>
      <c r="V1896" t="s">
        <v>342</v>
      </c>
      <c r="W1896" t="s">
        <v>346</v>
      </c>
      <c r="X1896" t="s">
        <v>351</v>
      </c>
      <c r="AK1896" t="s">
        <v>357</v>
      </c>
    </row>
    <row r="1897" spans="1:37">
      <c r="B1897" t="s">
        <v>57</v>
      </c>
      <c r="C1897" t="s">
        <v>79</v>
      </c>
      <c r="D1897" t="s">
        <v>98</v>
      </c>
      <c r="E1897" t="s">
        <v>117</v>
      </c>
      <c r="F1897" t="s">
        <v>151</v>
      </c>
      <c r="G1897" t="s">
        <v>177</v>
      </c>
      <c r="H1897" t="s">
        <v>212</v>
      </c>
      <c r="I1897" t="s">
        <v>232</v>
      </c>
      <c r="J1897" t="s">
        <v>251</v>
      </c>
      <c r="K1897" t="s">
        <v>265</v>
      </c>
      <c r="L1897" t="s">
        <v>277</v>
      </c>
      <c r="M1897" t="s">
        <v>286</v>
      </c>
      <c r="N1897" t="s">
        <v>296</v>
      </c>
      <c r="O1897" t="s">
        <v>304</v>
      </c>
      <c r="P1897" t="s">
        <v>311</v>
      </c>
      <c r="Q1897" t="s">
        <v>318</v>
      </c>
      <c r="R1897" t="s">
        <v>185</v>
      </c>
      <c r="S1897" t="s">
        <v>159</v>
      </c>
      <c r="T1897" t="s">
        <v>185</v>
      </c>
      <c r="U1897" t="s">
        <v>339</v>
      </c>
      <c r="V1897" t="s">
        <v>72</v>
      </c>
      <c r="W1897" t="s">
        <v>347</v>
      </c>
      <c r="X1897" t="s">
        <v>72</v>
      </c>
      <c r="Y1897" t="s">
        <v>96</v>
      </c>
      <c r="AK1897" t="s">
        <v>357</v>
      </c>
    </row>
    <row r="1898" spans="1:37">
      <c r="B1898" t="s">
        <v>58</v>
      </c>
      <c r="C1898" t="s">
        <v>80</v>
      </c>
      <c r="D1898" t="s">
        <v>99</v>
      </c>
      <c r="E1898" t="s">
        <v>118</v>
      </c>
      <c r="F1898" t="s">
        <v>152</v>
      </c>
      <c r="G1898" t="s">
        <v>178</v>
      </c>
      <c r="H1898" t="s">
        <v>213</v>
      </c>
      <c r="I1898" t="s">
        <v>233</v>
      </c>
      <c r="J1898" t="s">
        <v>252</v>
      </c>
      <c r="K1898" t="s">
        <v>266</v>
      </c>
      <c r="L1898" t="s">
        <v>278</v>
      </c>
      <c r="M1898" t="s">
        <v>287</v>
      </c>
      <c r="N1898" t="s">
        <v>297</v>
      </c>
      <c r="O1898" t="s">
        <v>305</v>
      </c>
      <c r="P1898" t="s">
        <v>312</v>
      </c>
      <c r="Q1898" t="s">
        <v>319</v>
      </c>
      <c r="R1898">
        <f>&gt;10       ветра      3.9     18  12 13</f>
        <v>0</v>
      </c>
      <c r="AK1898" t="s">
        <v>357</v>
      </c>
    </row>
    <row r="1899" spans="1:37">
      <c r="A1899" t="s">
        <v>40</v>
      </c>
      <c r="B1899" t="s">
        <v>59</v>
      </c>
      <c r="C1899" t="s">
        <v>81</v>
      </c>
      <c r="D1899" t="s">
        <v>100</v>
      </c>
      <c r="E1899" t="s">
        <v>119</v>
      </c>
      <c r="F1899" t="s">
        <v>153</v>
      </c>
      <c r="G1899" t="s">
        <v>179</v>
      </c>
      <c r="H1899" t="s">
        <v>214</v>
      </c>
      <c r="I1899" t="s">
        <v>234</v>
      </c>
      <c r="AK1899" t="s">
        <v>357</v>
      </c>
    </row>
    <row r="1900" spans="1:37">
      <c r="A1900" t="s">
        <v>40</v>
      </c>
      <c r="B1900" t="s">
        <v>60</v>
      </c>
      <c r="C1900" t="s">
        <v>82</v>
      </c>
      <c r="D1900" t="s">
        <v>101</v>
      </c>
      <c r="E1900" t="s">
        <v>120</v>
      </c>
      <c r="F1900" t="s">
        <v>154</v>
      </c>
      <c r="G1900" t="s">
        <v>180</v>
      </c>
      <c r="H1900" t="s">
        <v>215</v>
      </c>
      <c r="I1900" t="s">
        <v>235</v>
      </c>
      <c r="J1900" t="s">
        <v>253</v>
      </c>
      <c r="K1900" t="s">
        <v>267</v>
      </c>
      <c r="L1900" t="s">
        <v>279</v>
      </c>
      <c r="M1900" t="s">
        <v>288</v>
      </c>
      <c r="N1900" t="s">
        <v>100</v>
      </c>
      <c r="O1900" t="s">
        <v>306</v>
      </c>
      <c r="P1900" t="s">
        <v>313</v>
      </c>
      <c r="Q1900" t="s">
        <v>320</v>
      </c>
      <c r="R1900" t="s">
        <v>325</v>
      </c>
      <c r="S1900" t="s">
        <v>332</v>
      </c>
      <c r="T1900" t="s">
        <v>119</v>
      </c>
      <c r="U1900" t="s">
        <v>234</v>
      </c>
      <c r="V1900" t="s">
        <v>343</v>
      </c>
      <c r="W1900" t="s">
        <v>348</v>
      </c>
      <c r="X1900" t="s">
        <v>352</v>
      </c>
      <c r="Y1900" t="s">
        <v>354</v>
      </c>
      <c r="AK1900" t="s">
        <v>357</v>
      </c>
    </row>
    <row r="1901" spans="1:37">
      <c r="A1901" t="s">
        <v>41</v>
      </c>
      <c r="B1901" t="s">
        <v>61</v>
      </c>
      <c r="C1901" t="s">
        <v>83</v>
      </c>
      <c r="D1901" t="s">
        <v>102</v>
      </c>
      <c r="E1901" t="s">
        <v>121</v>
      </c>
      <c r="F1901" t="s">
        <v>155</v>
      </c>
      <c r="G1901" t="s">
        <v>181</v>
      </c>
      <c r="H1901" t="s">
        <v>216</v>
      </c>
      <c r="I1901" t="s">
        <v>236</v>
      </c>
      <c r="AK1901" t="s">
        <v>357</v>
      </c>
    </row>
    <row r="1902" spans="1:37">
      <c r="A1902" t="s">
        <v>42</v>
      </c>
      <c r="B1902" t="s">
        <v>62</v>
      </c>
      <c r="C1902" t="s">
        <v>84</v>
      </c>
      <c r="D1902" t="s">
        <v>103</v>
      </c>
      <c r="E1902" t="s">
        <v>122</v>
      </c>
      <c r="F1902" t="s">
        <v>156</v>
      </c>
      <c r="G1902" t="s">
        <v>182</v>
      </c>
      <c r="H1902" t="s">
        <v>83</v>
      </c>
      <c r="I1902" t="s">
        <v>237</v>
      </c>
      <c r="J1902" t="s">
        <v>254</v>
      </c>
      <c r="K1902" t="s">
        <v>268</v>
      </c>
      <c r="L1902" t="s">
        <v>280</v>
      </c>
      <c r="M1902" t="s">
        <v>289</v>
      </c>
      <c r="N1902" t="s">
        <v>298</v>
      </c>
      <c r="O1902" t="s">
        <v>307</v>
      </c>
      <c r="P1902" t="s">
        <v>314</v>
      </c>
      <c r="Q1902" t="s">
        <v>216</v>
      </c>
      <c r="R1902" t="s">
        <v>326</v>
      </c>
      <c r="S1902" t="s">
        <v>333</v>
      </c>
      <c r="T1902" t="s">
        <v>335</v>
      </c>
      <c r="U1902" t="s">
        <v>340</v>
      </c>
      <c r="V1902" t="s">
        <v>344</v>
      </c>
      <c r="W1902" t="s">
        <v>349</v>
      </c>
      <c r="AK1902" t="s">
        <v>357</v>
      </c>
    </row>
    <row r="1903" spans="1:37">
      <c r="A1903" t="s">
        <v>43</v>
      </c>
      <c r="B1903" t="s">
        <v>63</v>
      </c>
      <c r="C1903" t="s">
        <v>85</v>
      </c>
      <c r="D1903" t="s">
        <v>104</v>
      </c>
      <c r="E1903" t="s">
        <v>123</v>
      </c>
      <c r="F1903" t="s">
        <v>157</v>
      </c>
      <c r="G1903" t="s">
        <v>183</v>
      </c>
      <c r="AK1903" t="s">
        <v>357</v>
      </c>
    </row>
    <row r="1904" spans="1:37">
      <c r="A1904" t="s">
        <v>44</v>
      </c>
      <c r="B1904" t="s">
        <v>64</v>
      </c>
      <c r="C1904" t="s">
        <v>86</v>
      </c>
      <c r="D1904" t="s">
        <v>105</v>
      </c>
      <c r="E1904" t="s">
        <v>124</v>
      </c>
      <c r="F1904" t="s">
        <v>158</v>
      </c>
      <c r="G1904" t="s">
        <v>184</v>
      </c>
      <c r="AK1904" t="s">
        <v>357</v>
      </c>
    </row>
    <row r="1905" spans="1:37">
      <c r="A1905" t="s">
        <v>45</v>
      </c>
      <c r="B1905" t="s">
        <v>65</v>
      </c>
      <c r="C1905" t="s">
        <v>87</v>
      </c>
      <c r="D1905" t="s">
        <v>106</v>
      </c>
      <c r="E1905" t="s">
        <v>125</v>
      </c>
      <c r="F1905" t="s">
        <v>159</v>
      </c>
      <c r="G1905" t="s">
        <v>185</v>
      </c>
      <c r="H1905" t="s">
        <v>159</v>
      </c>
      <c r="I1905" t="s">
        <v>185</v>
      </c>
      <c r="J1905" t="s">
        <v>255</v>
      </c>
      <c r="AK1905" t="s">
        <v>357</v>
      </c>
    </row>
    <row r="1906" spans="1:37">
      <c r="A1906" t="s">
        <v>46</v>
      </c>
      <c r="B1906" t="s">
        <v>66</v>
      </c>
      <c r="C1906" t="s">
        <v>88</v>
      </c>
      <c r="D1906" t="s">
        <v>76</v>
      </c>
      <c r="E1906" t="s">
        <v>126</v>
      </c>
      <c r="F1906" t="s">
        <v>160</v>
      </c>
      <c r="G1906" t="s">
        <v>186</v>
      </c>
      <c r="H1906" t="s">
        <v>217</v>
      </c>
      <c r="I1906" t="s">
        <v>238</v>
      </c>
      <c r="J1906" t="s">
        <v>256</v>
      </c>
      <c r="K1906" t="s">
        <v>265</v>
      </c>
      <c r="L1906" t="s">
        <v>281</v>
      </c>
      <c r="M1906" t="s">
        <v>290</v>
      </c>
      <c r="N1906" t="s">
        <v>299</v>
      </c>
      <c r="O1906" t="s">
        <v>308</v>
      </c>
      <c r="P1906" t="s">
        <v>228</v>
      </c>
      <c r="Q1906" t="s">
        <v>72</v>
      </c>
      <c r="R1906" t="s">
        <v>327</v>
      </c>
      <c r="S1906" t="s">
        <v>327</v>
      </c>
      <c r="T1906" t="s">
        <v>336</v>
      </c>
      <c r="U1906" t="s">
        <v>336</v>
      </c>
      <c r="V1906" t="s">
        <v>336</v>
      </c>
      <c r="W1906" t="s">
        <v>336</v>
      </c>
      <c r="X1906" t="s">
        <v>353</v>
      </c>
      <c r="AK1906" t="s">
        <v>357</v>
      </c>
    </row>
    <row r="1907" spans="1:37">
      <c r="A1907" t="s">
        <v>37</v>
      </c>
      <c r="B1907" t="s">
        <v>49</v>
      </c>
      <c r="C1907" t="s">
        <v>73</v>
      </c>
      <c r="D1907" t="s">
        <v>94</v>
      </c>
      <c r="E1907" t="s">
        <v>112</v>
      </c>
      <c r="F1907" t="s">
        <v>146</v>
      </c>
      <c r="G1907" t="s">
        <v>172</v>
      </c>
      <c r="H1907" t="s">
        <v>207</v>
      </c>
      <c r="I1907" t="s">
        <v>226</v>
      </c>
      <c r="J1907" t="s">
        <v>246</v>
      </c>
      <c r="K1907" t="s">
        <v>259</v>
      </c>
      <c r="AK1907" t="s">
        <v>358</v>
      </c>
    </row>
    <row r="1908" spans="1:37">
      <c r="A1908" t="s">
        <v>38</v>
      </c>
      <c r="B1908" t="s">
        <v>50</v>
      </c>
      <c r="C1908" t="s">
        <v>74</v>
      </c>
      <c r="D1908" t="s">
        <v>95</v>
      </c>
      <c r="E1908" t="s">
        <v>113</v>
      </c>
      <c r="F1908" t="s">
        <v>147</v>
      </c>
      <c r="G1908" t="s">
        <v>173</v>
      </c>
      <c r="H1908" t="s">
        <v>208</v>
      </c>
      <c r="I1908" t="s">
        <v>227</v>
      </c>
      <c r="J1908" t="s">
        <v>115</v>
      </c>
      <c r="K1908" t="s">
        <v>260</v>
      </c>
      <c r="L1908" t="s">
        <v>273</v>
      </c>
      <c r="M1908" t="s">
        <v>282</v>
      </c>
      <c r="N1908" t="s">
        <v>291</v>
      </c>
      <c r="AK1908" t="s">
        <v>358</v>
      </c>
    </row>
    <row r="1909" spans="1:37">
      <c r="B1909" t="s">
        <v>51</v>
      </c>
      <c r="C1909" t="s">
        <v>75</v>
      </c>
      <c r="D1909" t="s">
        <v>52</v>
      </c>
      <c r="E1909" t="s">
        <v>114</v>
      </c>
      <c r="F1909" t="s">
        <v>148</v>
      </c>
      <c r="G1909" t="s">
        <v>148</v>
      </c>
      <c r="H1909" t="s">
        <v>209</v>
      </c>
      <c r="I1909" t="s">
        <v>228</v>
      </c>
      <c r="J1909" t="s">
        <v>247</v>
      </c>
      <c r="K1909" t="s">
        <v>261</v>
      </c>
      <c r="L1909" t="s">
        <v>274</v>
      </c>
      <c r="M1909" t="s">
        <v>283</v>
      </c>
      <c r="N1909" t="s">
        <v>292</v>
      </c>
      <c r="O1909" t="s">
        <v>300</v>
      </c>
      <c r="AK1909" t="s">
        <v>358</v>
      </c>
    </row>
    <row r="1910" spans="1:37">
      <c r="B1910" t="s">
        <v>52</v>
      </c>
      <c r="C1910" t="s">
        <v>76</v>
      </c>
      <c r="D1910" t="s">
        <v>96</v>
      </c>
      <c r="E1910" t="s">
        <v>115</v>
      </c>
      <c r="F1910" t="s">
        <v>149</v>
      </c>
      <c r="G1910" t="s">
        <v>174</v>
      </c>
      <c r="H1910" t="s">
        <v>96</v>
      </c>
      <c r="I1910" t="s">
        <v>229</v>
      </c>
      <c r="J1910" t="s">
        <v>248</v>
      </c>
      <c r="K1910" t="s">
        <v>262</v>
      </c>
      <c r="L1910" t="s">
        <v>52</v>
      </c>
      <c r="M1910" t="s">
        <v>76</v>
      </c>
      <c r="N1910" t="s">
        <v>293</v>
      </c>
      <c r="O1910" t="s">
        <v>301</v>
      </c>
      <c r="P1910" t="s">
        <v>309</v>
      </c>
      <c r="Q1910" t="s">
        <v>315</v>
      </c>
      <c r="R1910" t="s">
        <v>228</v>
      </c>
      <c r="S1910" t="s">
        <v>328</v>
      </c>
      <c r="T1910" t="s">
        <v>149</v>
      </c>
      <c r="U1910" t="s">
        <v>337</v>
      </c>
      <c r="V1910" t="s">
        <v>341</v>
      </c>
      <c r="W1910" t="s">
        <v>345</v>
      </c>
      <c r="X1910" t="s">
        <v>350</v>
      </c>
      <c r="AK1910" t="s">
        <v>358</v>
      </c>
    </row>
    <row r="1911" spans="1:37">
      <c r="B1911" t="s">
        <v>53</v>
      </c>
      <c r="C1911" t="s">
        <v>77</v>
      </c>
      <c r="D1911" t="s">
        <v>97</v>
      </c>
      <c r="E1911" t="s">
        <v>116</v>
      </c>
      <c r="F1911" t="s">
        <v>150</v>
      </c>
      <c r="G1911" t="s">
        <v>175</v>
      </c>
      <c r="H1911" t="s">
        <v>210</v>
      </c>
      <c r="I1911" t="s">
        <v>230</v>
      </c>
      <c r="J1911" t="s">
        <v>249</v>
      </c>
      <c r="K1911" t="s">
        <v>263</v>
      </c>
      <c r="L1911" t="s">
        <v>275</v>
      </c>
      <c r="M1911" t="s">
        <v>284</v>
      </c>
      <c r="N1911" t="s">
        <v>294</v>
      </c>
      <c r="O1911" t="s">
        <v>302</v>
      </c>
      <c r="P1911" t="s">
        <v>310</v>
      </c>
      <c r="Q1911" t="s">
        <v>316</v>
      </c>
      <c r="R1911" t="s">
        <v>322</v>
      </c>
      <c r="S1911" t="s">
        <v>329</v>
      </c>
      <c r="AK1911" t="s">
        <v>358</v>
      </c>
    </row>
    <row r="1912" spans="1:37">
      <c r="A1912" t="s">
        <v>39</v>
      </c>
      <c r="B1912" t="s">
        <v>54</v>
      </c>
      <c r="C1912" t="s">
        <v>54</v>
      </c>
      <c r="D1912" t="s">
        <v>54</v>
      </c>
      <c r="E1912" t="s">
        <v>54</v>
      </c>
      <c r="F1912" t="s">
        <v>54</v>
      </c>
      <c r="G1912" t="s">
        <v>54</v>
      </c>
      <c r="H1912" t="s">
        <v>54</v>
      </c>
      <c r="I1912" t="s">
        <v>54</v>
      </c>
      <c r="J1912" t="s">
        <v>54</v>
      </c>
      <c r="K1912" t="s">
        <v>54</v>
      </c>
      <c r="L1912" t="s">
        <v>54</v>
      </c>
      <c r="M1912" t="s">
        <v>54</v>
      </c>
      <c r="N1912" t="s">
        <v>54</v>
      </c>
      <c r="O1912" t="s">
        <v>54</v>
      </c>
      <c r="P1912" t="s">
        <v>54</v>
      </c>
      <c r="Q1912" t="s">
        <v>54</v>
      </c>
      <c r="R1912" t="s">
        <v>323</v>
      </c>
      <c r="S1912" t="s">
        <v>330</v>
      </c>
      <c r="AK1912" t="s">
        <v>358</v>
      </c>
    </row>
    <row r="1913" spans="1:37">
      <c r="B1913" t="s">
        <v>55</v>
      </c>
      <c r="C1913" t="s">
        <v>78</v>
      </c>
      <c r="D1913" t="s">
        <v>55</v>
      </c>
      <c r="E1913" t="s">
        <v>78</v>
      </c>
      <c r="F1913" t="s">
        <v>55</v>
      </c>
      <c r="G1913" t="s">
        <v>78</v>
      </c>
      <c r="H1913" t="s">
        <v>55</v>
      </c>
      <c r="I1913" t="s">
        <v>78</v>
      </c>
      <c r="J1913" t="s">
        <v>55</v>
      </c>
      <c r="K1913" t="s">
        <v>78</v>
      </c>
      <c r="L1913" t="s">
        <v>55</v>
      </c>
      <c r="M1913" t="s">
        <v>78</v>
      </c>
      <c r="N1913" t="s">
        <v>55</v>
      </c>
      <c r="O1913" t="s">
        <v>78</v>
      </c>
      <c r="P1913" t="s">
        <v>55</v>
      </c>
      <c r="Q1913" t="s">
        <v>78</v>
      </c>
      <c r="R1913" t="s">
        <v>55</v>
      </c>
      <c r="S1913" t="s">
        <v>78</v>
      </c>
      <c r="T1913" t="s">
        <v>55</v>
      </c>
      <c r="U1913" t="s">
        <v>78</v>
      </c>
      <c r="V1913" t="s">
        <v>55</v>
      </c>
      <c r="W1913" t="s">
        <v>78</v>
      </c>
      <c r="X1913" t="s">
        <v>55</v>
      </c>
      <c r="Y1913" t="s">
        <v>78</v>
      </c>
      <c r="Z1913" t="s">
        <v>55</v>
      </c>
      <c r="AA1913" t="s">
        <v>78</v>
      </c>
      <c r="AB1913" t="s">
        <v>55</v>
      </c>
      <c r="AC1913" t="s">
        <v>78</v>
      </c>
      <c r="AD1913" t="s">
        <v>55</v>
      </c>
      <c r="AE1913" t="s">
        <v>78</v>
      </c>
      <c r="AF1913" t="s">
        <v>55</v>
      </c>
      <c r="AG1913" t="s">
        <v>78</v>
      </c>
      <c r="AH1913" t="s">
        <v>55</v>
      </c>
      <c r="AI1913" t="s">
        <v>78</v>
      </c>
      <c r="AK1913" t="s">
        <v>358</v>
      </c>
    </row>
    <row r="1914" spans="1:37">
      <c r="B1914" t="s">
        <v>56</v>
      </c>
      <c r="C1914" t="s">
        <v>56</v>
      </c>
      <c r="D1914" t="s">
        <v>56</v>
      </c>
      <c r="E1914" t="s">
        <v>56</v>
      </c>
      <c r="F1914" t="s">
        <v>56</v>
      </c>
      <c r="G1914" t="s">
        <v>176</v>
      </c>
      <c r="H1914" t="s">
        <v>211</v>
      </c>
      <c r="I1914" t="s">
        <v>231</v>
      </c>
      <c r="J1914" t="s">
        <v>250</v>
      </c>
      <c r="K1914" t="s">
        <v>264</v>
      </c>
      <c r="L1914" t="s">
        <v>276</v>
      </c>
      <c r="M1914" t="s">
        <v>285</v>
      </c>
      <c r="N1914" t="s">
        <v>295</v>
      </c>
      <c r="O1914" t="s">
        <v>303</v>
      </c>
      <c r="P1914" t="s">
        <v>56</v>
      </c>
      <c r="Q1914" t="s">
        <v>317</v>
      </c>
      <c r="R1914" t="s">
        <v>324</v>
      </c>
      <c r="S1914" t="s">
        <v>331</v>
      </c>
      <c r="T1914" t="s">
        <v>334</v>
      </c>
      <c r="U1914" t="s">
        <v>338</v>
      </c>
      <c r="V1914" t="s">
        <v>342</v>
      </c>
      <c r="W1914" t="s">
        <v>346</v>
      </c>
      <c r="X1914" t="s">
        <v>351</v>
      </c>
      <c r="AK1914" t="s">
        <v>358</v>
      </c>
    </row>
    <row r="1915" spans="1:37">
      <c r="B1915" t="s">
        <v>57</v>
      </c>
      <c r="C1915" t="s">
        <v>79</v>
      </c>
      <c r="D1915" t="s">
        <v>98</v>
      </c>
      <c r="E1915" t="s">
        <v>117</v>
      </c>
      <c r="F1915" t="s">
        <v>151</v>
      </c>
      <c r="G1915" t="s">
        <v>177</v>
      </c>
      <c r="H1915" t="s">
        <v>212</v>
      </c>
      <c r="I1915" t="s">
        <v>232</v>
      </c>
      <c r="J1915" t="s">
        <v>251</v>
      </c>
      <c r="K1915" t="s">
        <v>265</v>
      </c>
      <c r="L1915" t="s">
        <v>277</v>
      </c>
      <c r="M1915" t="s">
        <v>286</v>
      </c>
      <c r="N1915" t="s">
        <v>296</v>
      </c>
      <c r="O1915" t="s">
        <v>304</v>
      </c>
      <c r="P1915" t="s">
        <v>311</v>
      </c>
      <c r="Q1915" t="s">
        <v>318</v>
      </c>
      <c r="R1915" t="s">
        <v>185</v>
      </c>
      <c r="S1915" t="s">
        <v>159</v>
      </c>
      <c r="T1915" t="s">
        <v>185</v>
      </c>
      <c r="U1915" t="s">
        <v>339</v>
      </c>
      <c r="V1915" t="s">
        <v>72</v>
      </c>
      <c r="W1915" t="s">
        <v>347</v>
      </c>
      <c r="X1915" t="s">
        <v>72</v>
      </c>
      <c r="Y1915" t="s">
        <v>96</v>
      </c>
      <c r="AK1915" t="s">
        <v>358</v>
      </c>
    </row>
    <row r="1916" spans="1:37">
      <c r="B1916" t="s">
        <v>58</v>
      </c>
      <c r="C1916" t="s">
        <v>80</v>
      </c>
      <c r="D1916" t="s">
        <v>99</v>
      </c>
      <c r="E1916" t="s">
        <v>118</v>
      </c>
      <c r="F1916" t="s">
        <v>152</v>
      </c>
      <c r="G1916" t="s">
        <v>178</v>
      </c>
      <c r="H1916" t="s">
        <v>213</v>
      </c>
      <c r="I1916" t="s">
        <v>233</v>
      </c>
      <c r="J1916" t="s">
        <v>252</v>
      </c>
      <c r="K1916" t="s">
        <v>266</v>
      </c>
      <c r="L1916" t="s">
        <v>278</v>
      </c>
      <c r="M1916" t="s">
        <v>287</v>
      </c>
      <c r="N1916" t="s">
        <v>297</v>
      </c>
      <c r="O1916" t="s">
        <v>305</v>
      </c>
      <c r="P1916" t="s">
        <v>312</v>
      </c>
      <c r="Q1916" t="s">
        <v>319</v>
      </c>
      <c r="R1916">
        <f>&gt;10       ветра      1.9     17  14</f>
        <v>0</v>
      </c>
      <c r="AK1916" t="s">
        <v>358</v>
      </c>
    </row>
    <row r="1917" spans="1:37">
      <c r="A1917" t="s">
        <v>40</v>
      </c>
      <c r="B1917" t="s">
        <v>59</v>
      </c>
      <c r="C1917" t="s">
        <v>81</v>
      </c>
      <c r="D1917" t="s">
        <v>100</v>
      </c>
      <c r="E1917" t="s">
        <v>119</v>
      </c>
      <c r="F1917" t="s">
        <v>153</v>
      </c>
      <c r="G1917" t="s">
        <v>179</v>
      </c>
      <c r="H1917" t="s">
        <v>214</v>
      </c>
      <c r="I1917" t="s">
        <v>234</v>
      </c>
      <c r="AK1917" t="s">
        <v>358</v>
      </c>
    </row>
    <row r="1918" spans="1:37">
      <c r="A1918" t="s">
        <v>40</v>
      </c>
      <c r="B1918" t="s">
        <v>60</v>
      </c>
      <c r="C1918" t="s">
        <v>82</v>
      </c>
      <c r="D1918" t="s">
        <v>101</v>
      </c>
      <c r="E1918" t="s">
        <v>120</v>
      </c>
      <c r="F1918" t="s">
        <v>154</v>
      </c>
      <c r="G1918" t="s">
        <v>180</v>
      </c>
      <c r="H1918" t="s">
        <v>215</v>
      </c>
      <c r="I1918" t="s">
        <v>235</v>
      </c>
      <c r="J1918" t="s">
        <v>253</v>
      </c>
      <c r="K1918" t="s">
        <v>267</v>
      </c>
      <c r="L1918" t="s">
        <v>279</v>
      </c>
      <c r="M1918" t="s">
        <v>288</v>
      </c>
      <c r="N1918" t="s">
        <v>100</v>
      </c>
      <c r="O1918" t="s">
        <v>306</v>
      </c>
      <c r="P1918" t="s">
        <v>313</v>
      </c>
      <c r="Q1918" t="s">
        <v>320</v>
      </c>
      <c r="R1918" t="s">
        <v>325</v>
      </c>
      <c r="S1918" t="s">
        <v>332</v>
      </c>
      <c r="T1918" t="s">
        <v>119</v>
      </c>
      <c r="U1918" t="s">
        <v>234</v>
      </c>
      <c r="V1918" t="s">
        <v>343</v>
      </c>
      <c r="W1918" t="s">
        <v>348</v>
      </c>
      <c r="X1918" t="s">
        <v>352</v>
      </c>
      <c r="Y1918" t="s">
        <v>354</v>
      </c>
      <c r="AK1918" t="s">
        <v>358</v>
      </c>
    </row>
    <row r="1919" spans="1:37">
      <c r="A1919" t="s">
        <v>41</v>
      </c>
      <c r="B1919" t="s">
        <v>61</v>
      </c>
      <c r="C1919" t="s">
        <v>83</v>
      </c>
      <c r="D1919" t="s">
        <v>102</v>
      </c>
      <c r="E1919" t="s">
        <v>121</v>
      </c>
      <c r="F1919" t="s">
        <v>155</v>
      </c>
      <c r="G1919" t="s">
        <v>181</v>
      </c>
      <c r="H1919" t="s">
        <v>216</v>
      </c>
      <c r="I1919" t="s">
        <v>236</v>
      </c>
      <c r="AK1919" t="s">
        <v>358</v>
      </c>
    </row>
    <row r="1920" spans="1:37">
      <c r="A1920" t="s">
        <v>42</v>
      </c>
      <c r="B1920" t="s">
        <v>62</v>
      </c>
      <c r="C1920" t="s">
        <v>84</v>
      </c>
      <c r="D1920" t="s">
        <v>103</v>
      </c>
      <c r="E1920" t="s">
        <v>122</v>
      </c>
      <c r="F1920" t="s">
        <v>156</v>
      </c>
      <c r="G1920" t="s">
        <v>182</v>
      </c>
      <c r="H1920" t="s">
        <v>83</v>
      </c>
      <c r="I1920" t="s">
        <v>237</v>
      </c>
      <c r="J1920" t="s">
        <v>254</v>
      </c>
      <c r="K1920" t="s">
        <v>268</v>
      </c>
      <c r="L1920" t="s">
        <v>280</v>
      </c>
      <c r="M1920" t="s">
        <v>289</v>
      </c>
      <c r="N1920" t="s">
        <v>298</v>
      </c>
      <c r="O1920" t="s">
        <v>307</v>
      </c>
      <c r="P1920" t="s">
        <v>314</v>
      </c>
      <c r="Q1920" t="s">
        <v>216</v>
      </c>
      <c r="R1920" t="s">
        <v>326</v>
      </c>
      <c r="S1920" t="s">
        <v>333</v>
      </c>
      <c r="T1920" t="s">
        <v>335</v>
      </c>
      <c r="U1920" t="s">
        <v>340</v>
      </c>
      <c r="V1920" t="s">
        <v>344</v>
      </c>
      <c r="W1920" t="s">
        <v>349</v>
      </c>
      <c r="AK1920" t="s">
        <v>358</v>
      </c>
    </row>
    <row r="1921" spans="1:37">
      <c r="A1921" t="s">
        <v>43</v>
      </c>
      <c r="B1921" t="s">
        <v>63</v>
      </c>
      <c r="C1921" t="s">
        <v>85</v>
      </c>
      <c r="D1921" t="s">
        <v>104</v>
      </c>
      <c r="E1921" t="s">
        <v>123</v>
      </c>
      <c r="F1921" t="s">
        <v>157</v>
      </c>
      <c r="G1921" t="s">
        <v>183</v>
      </c>
      <c r="AK1921" t="s">
        <v>358</v>
      </c>
    </row>
    <row r="1922" spans="1:37">
      <c r="A1922" t="s">
        <v>44</v>
      </c>
      <c r="B1922" t="s">
        <v>64</v>
      </c>
      <c r="C1922" t="s">
        <v>86</v>
      </c>
      <c r="D1922" t="s">
        <v>105</v>
      </c>
      <c r="E1922" t="s">
        <v>124</v>
      </c>
      <c r="F1922" t="s">
        <v>158</v>
      </c>
      <c r="G1922" t="s">
        <v>184</v>
      </c>
      <c r="AK1922" t="s">
        <v>358</v>
      </c>
    </row>
    <row r="1923" spans="1:37">
      <c r="A1923" t="s">
        <v>45</v>
      </c>
      <c r="B1923" t="s">
        <v>65</v>
      </c>
      <c r="C1923" t="s">
        <v>87</v>
      </c>
      <c r="D1923" t="s">
        <v>106</v>
      </c>
      <c r="E1923" t="s">
        <v>125</v>
      </c>
      <c r="F1923" t="s">
        <v>159</v>
      </c>
      <c r="G1923" t="s">
        <v>185</v>
      </c>
      <c r="H1923" t="s">
        <v>159</v>
      </c>
      <c r="I1923" t="s">
        <v>185</v>
      </c>
      <c r="J1923" t="s">
        <v>255</v>
      </c>
      <c r="AK1923" t="s">
        <v>358</v>
      </c>
    </row>
    <row r="1924" spans="1:37">
      <c r="A1924" t="s">
        <v>46</v>
      </c>
      <c r="B1924" t="s">
        <v>66</v>
      </c>
      <c r="C1924" t="s">
        <v>88</v>
      </c>
      <c r="D1924" t="s">
        <v>76</v>
      </c>
      <c r="E1924" t="s">
        <v>126</v>
      </c>
      <c r="F1924" t="s">
        <v>160</v>
      </c>
      <c r="G1924" t="s">
        <v>186</v>
      </c>
      <c r="H1924" t="s">
        <v>217</v>
      </c>
      <c r="I1924" t="s">
        <v>238</v>
      </c>
      <c r="J1924" t="s">
        <v>256</v>
      </c>
      <c r="K1924" t="s">
        <v>265</v>
      </c>
      <c r="L1924" t="s">
        <v>281</v>
      </c>
      <c r="M1924" t="s">
        <v>290</v>
      </c>
      <c r="N1924" t="s">
        <v>299</v>
      </c>
      <c r="O1924" t="s">
        <v>308</v>
      </c>
      <c r="P1924" t="s">
        <v>228</v>
      </c>
      <c r="Q1924" t="s">
        <v>72</v>
      </c>
      <c r="R1924" t="s">
        <v>327</v>
      </c>
      <c r="S1924" t="s">
        <v>327</v>
      </c>
      <c r="T1924" t="s">
        <v>336</v>
      </c>
      <c r="U1924" t="s">
        <v>336</v>
      </c>
      <c r="V1924" t="s">
        <v>336</v>
      </c>
      <c r="W1924" t="s">
        <v>336</v>
      </c>
      <c r="X1924" t="s">
        <v>353</v>
      </c>
      <c r="AK1924" t="s">
        <v>358</v>
      </c>
    </row>
    <row r="1925" spans="1:37">
      <c r="A1925" t="s">
        <v>37</v>
      </c>
      <c r="B1925" t="s">
        <v>49</v>
      </c>
      <c r="C1925" t="s">
        <v>73</v>
      </c>
      <c r="D1925" t="s">
        <v>94</v>
      </c>
      <c r="E1925" t="s">
        <v>112</v>
      </c>
      <c r="F1925" t="s">
        <v>146</v>
      </c>
      <c r="G1925" t="s">
        <v>172</v>
      </c>
      <c r="H1925" t="s">
        <v>207</v>
      </c>
      <c r="I1925" t="s">
        <v>226</v>
      </c>
      <c r="J1925" t="s">
        <v>246</v>
      </c>
      <c r="K1925" t="s">
        <v>259</v>
      </c>
      <c r="AK1925" t="s">
        <v>358</v>
      </c>
    </row>
    <row r="1926" spans="1:37">
      <c r="A1926" t="s">
        <v>38</v>
      </c>
      <c r="B1926" t="s">
        <v>50</v>
      </c>
      <c r="C1926" t="s">
        <v>74</v>
      </c>
      <c r="D1926" t="s">
        <v>95</v>
      </c>
      <c r="E1926" t="s">
        <v>113</v>
      </c>
      <c r="F1926" t="s">
        <v>147</v>
      </c>
      <c r="G1926" t="s">
        <v>173</v>
      </c>
      <c r="H1926" t="s">
        <v>208</v>
      </c>
      <c r="I1926" t="s">
        <v>227</v>
      </c>
      <c r="J1926" t="s">
        <v>115</v>
      </c>
      <c r="K1926" t="s">
        <v>260</v>
      </c>
      <c r="L1926" t="s">
        <v>273</v>
      </c>
      <c r="M1926" t="s">
        <v>282</v>
      </c>
      <c r="N1926" t="s">
        <v>291</v>
      </c>
      <c r="AK1926" t="s">
        <v>358</v>
      </c>
    </row>
    <row r="1927" spans="1:37">
      <c r="B1927" t="s">
        <v>51</v>
      </c>
      <c r="C1927" t="s">
        <v>75</v>
      </c>
      <c r="D1927" t="s">
        <v>52</v>
      </c>
      <c r="E1927" t="s">
        <v>114</v>
      </c>
      <c r="F1927" t="s">
        <v>148</v>
      </c>
      <c r="G1927" t="s">
        <v>148</v>
      </c>
      <c r="H1927" t="s">
        <v>209</v>
      </c>
      <c r="I1927" t="s">
        <v>228</v>
      </c>
      <c r="J1927" t="s">
        <v>247</v>
      </c>
      <c r="K1927" t="s">
        <v>261</v>
      </c>
      <c r="L1927" t="s">
        <v>274</v>
      </c>
      <c r="M1927" t="s">
        <v>283</v>
      </c>
      <c r="N1927" t="s">
        <v>292</v>
      </c>
      <c r="O1927" t="s">
        <v>300</v>
      </c>
      <c r="AK1927" t="s">
        <v>358</v>
      </c>
    </row>
    <row r="1928" spans="1:37">
      <c r="B1928" t="s">
        <v>52</v>
      </c>
      <c r="C1928" t="s">
        <v>76</v>
      </c>
      <c r="D1928" t="s">
        <v>96</v>
      </c>
      <c r="E1928" t="s">
        <v>115</v>
      </c>
      <c r="F1928" t="s">
        <v>149</v>
      </c>
      <c r="G1928" t="s">
        <v>174</v>
      </c>
      <c r="H1928" t="s">
        <v>96</v>
      </c>
      <c r="I1928" t="s">
        <v>229</v>
      </c>
      <c r="J1928" t="s">
        <v>248</v>
      </c>
      <c r="K1928" t="s">
        <v>262</v>
      </c>
      <c r="L1928" t="s">
        <v>52</v>
      </c>
      <c r="M1928" t="s">
        <v>76</v>
      </c>
      <c r="N1928" t="s">
        <v>293</v>
      </c>
      <c r="O1928" t="s">
        <v>301</v>
      </c>
      <c r="P1928" t="s">
        <v>309</v>
      </c>
      <c r="Q1928" t="s">
        <v>315</v>
      </c>
      <c r="R1928" t="s">
        <v>228</v>
      </c>
      <c r="S1928" t="s">
        <v>328</v>
      </c>
      <c r="T1928" t="s">
        <v>149</v>
      </c>
      <c r="U1928" t="s">
        <v>337</v>
      </c>
      <c r="V1928" t="s">
        <v>341</v>
      </c>
      <c r="W1928" t="s">
        <v>345</v>
      </c>
      <c r="X1928" t="s">
        <v>350</v>
      </c>
      <c r="AK1928" t="s">
        <v>358</v>
      </c>
    </row>
    <row r="1929" spans="1:37">
      <c r="B1929" t="s">
        <v>53</v>
      </c>
      <c r="C1929" t="s">
        <v>77</v>
      </c>
      <c r="D1929" t="s">
        <v>97</v>
      </c>
      <c r="E1929" t="s">
        <v>116</v>
      </c>
      <c r="F1929" t="s">
        <v>150</v>
      </c>
      <c r="G1929" t="s">
        <v>175</v>
      </c>
      <c r="H1929" t="s">
        <v>210</v>
      </c>
      <c r="I1929" t="s">
        <v>230</v>
      </c>
      <c r="J1929" t="s">
        <v>249</v>
      </c>
      <c r="K1929" t="s">
        <v>263</v>
      </c>
      <c r="L1929" t="s">
        <v>275</v>
      </c>
      <c r="M1929" t="s">
        <v>284</v>
      </c>
      <c r="N1929" t="s">
        <v>294</v>
      </c>
      <c r="O1929" t="s">
        <v>302</v>
      </c>
      <c r="P1929" t="s">
        <v>310</v>
      </c>
      <c r="Q1929" t="s">
        <v>316</v>
      </c>
      <c r="R1929" t="s">
        <v>322</v>
      </c>
      <c r="S1929" t="s">
        <v>329</v>
      </c>
      <c r="AK1929" t="s">
        <v>358</v>
      </c>
    </row>
    <row r="1930" spans="1:37">
      <c r="A1930" t="s">
        <v>39</v>
      </c>
      <c r="B1930" t="s">
        <v>54</v>
      </c>
      <c r="C1930" t="s">
        <v>54</v>
      </c>
      <c r="D1930" t="s">
        <v>54</v>
      </c>
      <c r="E1930" t="s">
        <v>54</v>
      </c>
      <c r="F1930" t="s">
        <v>54</v>
      </c>
      <c r="G1930" t="s">
        <v>54</v>
      </c>
      <c r="H1930" t="s">
        <v>54</v>
      </c>
      <c r="I1930" t="s">
        <v>54</v>
      </c>
      <c r="J1930" t="s">
        <v>54</v>
      </c>
      <c r="K1930" t="s">
        <v>54</v>
      </c>
      <c r="L1930" t="s">
        <v>54</v>
      </c>
      <c r="M1930" t="s">
        <v>54</v>
      </c>
      <c r="N1930" t="s">
        <v>54</v>
      </c>
      <c r="O1930" t="s">
        <v>54</v>
      </c>
      <c r="P1930" t="s">
        <v>54</v>
      </c>
      <c r="Q1930" t="s">
        <v>54</v>
      </c>
      <c r="R1930" t="s">
        <v>323</v>
      </c>
      <c r="S1930" t="s">
        <v>330</v>
      </c>
      <c r="AK1930" t="s">
        <v>358</v>
      </c>
    </row>
    <row r="1931" spans="1:37">
      <c r="B1931" t="s">
        <v>55</v>
      </c>
      <c r="C1931" t="s">
        <v>78</v>
      </c>
      <c r="D1931" t="s">
        <v>55</v>
      </c>
      <c r="E1931" t="s">
        <v>78</v>
      </c>
      <c r="F1931" t="s">
        <v>55</v>
      </c>
      <c r="G1931" t="s">
        <v>78</v>
      </c>
      <c r="H1931" t="s">
        <v>55</v>
      </c>
      <c r="I1931" t="s">
        <v>78</v>
      </c>
      <c r="J1931" t="s">
        <v>55</v>
      </c>
      <c r="K1931" t="s">
        <v>78</v>
      </c>
      <c r="L1931" t="s">
        <v>55</v>
      </c>
      <c r="M1931" t="s">
        <v>78</v>
      </c>
      <c r="N1931" t="s">
        <v>55</v>
      </c>
      <c r="O1931" t="s">
        <v>78</v>
      </c>
      <c r="P1931" t="s">
        <v>55</v>
      </c>
      <c r="Q1931" t="s">
        <v>78</v>
      </c>
      <c r="R1931" t="s">
        <v>55</v>
      </c>
      <c r="S1931" t="s">
        <v>78</v>
      </c>
      <c r="T1931" t="s">
        <v>55</v>
      </c>
      <c r="U1931" t="s">
        <v>78</v>
      </c>
      <c r="V1931" t="s">
        <v>55</v>
      </c>
      <c r="W1931" t="s">
        <v>78</v>
      </c>
      <c r="X1931" t="s">
        <v>55</v>
      </c>
      <c r="Y1931" t="s">
        <v>78</v>
      </c>
      <c r="Z1931" t="s">
        <v>55</v>
      </c>
      <c r="AA1931" t="s">
        <v>78</v>
      </c>
      <c r="AB1931" t="s">
        <v>55</v>
      </c>
      <c r="AC1931" t="s">
        <v>78</v>
      </c>
      <c r="AD1931" t="s">
        <v>55</v>
      </c>
      <c r="AE1931" t="s">
        <v>78</v>
      </c>
      <c r="AF1931" t="s">
        <v>55</v>
      </c>
      <c r="AG1931" t="s">
        <v>78</v>
      </c>
      <c r="AH1931" t="s">
        <v>55</v>
      </c>
      <c r="AI1931" t="s">
        <v>78</v>
      </c>
      <c r="AK1931" t="s">
        <v>358</v>
      </c>
    </row>
    <row r="1932" spans="1:37">
      <c r="B1932" t="s">
        <v>56</v>
      </c>
      <c r="C1932" t="s">
        <v>56</v>
      </c>
      <c r="D1932" t="s">
        <v>56</v>
      </c>
      <c r="E1932" t="s">
        <v>56</v>
      </c>
      <c r="F1932" t="s">
        <v>56</v>
      </c>
      <c r="G1932" t="s">
        <v>176</v>
      </c>
      <c r="H1932" t="s">
        <v>211</v>
      </c>
      <c r="I1932" t="s">
        <v>231</v>
      </c>
      <c r="J1932" t="s">
        <v>250</v>
      </c>
      <c r="K1932" t="s">
        <v>264</v>
      </c>
      <c r="L1932" t="s">
        <v>276</v>
      </c>
      <c r="M1932" t="s">
        <v>285</v>
      </c>
      <c r="N1932" t="s">
        <v>295</v>
      </c>
      <c r="O1932" t="s">
        <v>303</v>
      </c>
      <c r="P1932" t="s">
        <v>56</v>
      </c>
      <c r="Q1932" t="s">
        <v>317</v>
      </c>
      <c r="R1932" t="s">
        <v>324</v>
      </c>
      <c r="S1932" t="s">
        <v>331</v>
      </c>
      <c r="T1932" t="s">
        <v>334</v>
      </c>
      <c r="U1932" t="s">
        <v>338</v>
      </c>
      <c r="V1932" t="s">
        <v>342</v>
      </c>
      <c r="W1932" t="s">
        <v>346</v>
      </c>
      <c r="X1932" t="s">
        <v>351</v>
      </c>
      <c r="AK1932" t="s">
        <v>358</v>
      </c>
    </row>
    <row r="1933" spans="1:37">
      <c r="B1933" t="s">
        <v>57</v>
      </c>
      <c r="C1933" t="s">
        <v>79</v>
      </c>
      <c r="D1933" t="s">
        <v>98</v>
      </c>
      <c r="E1933" t="s">
        <v>117</v>
      </c>
      <c r="F1933" t="s">
        <v>151</v>
      </c>
      <c r="G1933" t="s">
        <v>177</v>
      </c>
      <c r="H1933" t="s">
        <v>212</v>
      </c>
      <c r="I1933" t="s">
        <v>232</v>
      </c>
      <c r="J1933" t="s">
        <v>251</v>
      </c>
      <c r="K1933" t="s">
        <v>265</v>
      </c>
      <c r="L1933" t="s">
        <v>277</v>
      </c>
      <c r="M1933" t="s">
        <v>286</v>
      </c>
      <c r="N1933" t="s">
        <v>296</v>
      </c>
      <c r="O1933" t="s">
        <v>304</v>
      </c>
      <c r="P1933" t="s">
        <v>311</v>
      </c>
      <c r="Q1933" t="s">
        <v>318</v>
      </c>
      <c r="R1933" t="s">
        <v>185</v>
      </c>
      <c r="S1933" t="s">
        <v>159</v>
      </c>
      <c r="T1933" t="s">
        <v>185</v>
      </c>
      <c r="U1933" t="s">
        <v>339</v>
      </c>
      <c r="V1933" t="s">
        <v>72</v>
      </c>
      <c r="W1933" t="s">
        <v>347</v>
      </c>
      <c r="X1933" t="s">
        <v>72</v>
      </c>
      <c r="Y1933" t="s">
        <v>96</v>
      </c>
      <c r="AK1933" t="s">
        <v>358</v>
      </c>
    </row>
    <row r="1934" spans="1:37">
      <c r="B1934" t="s">
        <v>58</v>
      </c>
      <c r="C1934" t="s">
        <v>80</v>
      </c>
      <c r="D1934" t="s">
        <v>99</v>
      </c>
      <c r="E1934" t="s">
        <v>118</v>
      </c>
      <c r="F1934" t="s">
        <v>152</v>
      </c>
      <c r="G1934" t="s">
        <v>178</v>
      </c>
      <c r="H1934" t="s">
        <v>213</v>
      </c>
      <c r="I1934" t="s">
        <v>233</v>
      </c>
      <c r="J1934" t="s">
        <v>252</v>
      </c>
      <c r="K1934" t="s">
        <v>266</v>
      </c>
      <c r="L1934" t="s">
        <v>278</v>
      </c>
      <c r="M1934" t="s">
        <v>287</v>
      </c>
      <c r="N1934" t="s">
        <v>297</v>
      </c>
      <c r="O1934" t="s">
        <v>305</v>
      </c>
      <c r="P1934" t="s">
        <v>312</v>
      </c>
      <c r="Q1934" t="s">
        <v>319</v>
      </c>
      <c r="R1934">
        <f>&gt;10       ветра      3.7     18  14 26</f>
        <v>0</v>
      </c>
      <c r="AK1934" t="s">
        <v>358</v>
      </c>
    </row>
    <row r="1935" spans="1:37">
      <c r="A1935" t="s">
        <v>40</v>
      </c>
      <c r="B1935" t="s">
        <v>59</v>
      </c>
      <c r="C1935" t="s">
        <v>81</v>
      </c>
      <c r="D1935" t="s">
        <v>100</v>
      </c>
      <c r="E1935" t="s">
        <v>119</v>
      </c>
      <c r="F1935" t="s">
        <v>153</v>
      </c>
      <c r="G1935" t="s">
        <v>179</v>
      </c>
      <c r="H1935" t="s">
        <v>214</v>
      </c>
      <c r="I1935" t="s">
        <v>234</v>
      </c>
      <c r="AK1935" t="s">
        <v>358</v>
      </c>
    </row>
    <row r="1936" spans="1:37">
      <c r="A1936" t="s">
        <v>40</v>
      </c>
      <c r="B1936" t="s">
        <v>60</v>
      </c>
      <c r="C1936" t="s">
        <v>82</v>
      </c>
      <c r="D1936" t="s">
        <v>101</v>
      </c>
      <c r="E1936" t="s">
        <v>120</v>
      </c>
      <c r="F1936" t="s">
        <v>154</v>
      </c>
      <c r="G1936" t="s">
        <v>180</v>
      </c>
      <c r="H1936" t="s">
        <v>215</v>
      </c>
      <c r="I1936" t="s">
        <v>235</v>
      </c>
      <c r="J1936" t="s">
        <v>253</v>
      </c>
      <c r="K1936" t="s">
        <v>267</v>
      </c>
      <c r="L1936" t="s">
        <v>279</v>
      </c>
      <c r="M1936" t="s">
        <v>288</v>
      </c>
      <c r="N1936" t="s">
        <v>100</v>
      </c>
      <c r="O1936" t="s">
        <v>306</v>
      </c>
      <c r="P1936" t="s">
        <v>313</v>
      </c>
      <c r="Q1936" t="s">
        <v>320</v>
      </c>
      <c r="R1936" t="s">
        <v>325</v>
      </c>
      <c r="S1936" t="s">
        <v>332</v>
      </c>
      <c r="T1936" t="s">
        <v>119</v>
      </c>
      <c r="U1936" t="s">
        <v>234</v>
      </c>
      <c r="V1936" t="s">
        <v>343</v>
      </c>
      <c r="W1936" t="s">
        <v>348</v>
      </c>
      <c r="X1936" t="s">
        <v>352</v>
      </c>
      <c r="Y1936" t="s">
        <v>354</v>
      </c>
      <c r="AK1936" t="s">
        <v>358</v>
      </c>
    </row>
    <row r="1937" spans="1:37">
      <c r="A1937" t="s">
        <v>41</v>
      </c>
      <c r="B1937" t="s">
        <v>61</v>
      </c>
      <c r="C1937" t="s">
        <v>83</v>
      </c>
      <c r="D1937" t="s">
        <v>102</v>
      </c>
      <c r="E1937" t="s">
        <v>121</v>
      </c>
      <c r="F1937" t="s">
        <v>155</v>
      </c>
      <c r="G1937" t="s">
        <v>181</v>
      </c>
      <c r="H1937" t="s">
        <v>216</v>
      </c>
      <c r="I1937" t="s">
        <v>236</v>
      </c>
      <c r="AK1937" t="s">
        <v>358</v>
      </c>
    </row>
    <row r="1938" spans="1:37">
      <c r="A1938" t="s">
        <v>42</v>
      </c>
      <c r="B1938" t="s">
        <v>62</v>
      </c>
      <c r="C1938" t="s">
        <v>84</v>
      </c>
      <c r="D1938" t="s">
        <v>103</v>
      </c>
      <c r="E1938" t="s">
        <v>122</v>
      </c>
      <c r="F1938" t="s">
        <v>156</v>
      </c>
      <c r="G1938" t="s">
        <v>182</v>
      </c>
      <c r="H1938" t="s">
        <v>83</v>
      </c>
      <c r="I1938" t="s">
        <v>237</v>
      </c>
      <c r="J1938" t="s">
        <v>254</v>
      </c>
      <c r="K1938" t="s">
        <v>268</v>
      </c>
      <c r="L1938" t="s">
        <v>280</v>
      </c>
      <c r="M1938" t="s">
        <v>289</v>
      </c>
      <c r="N1938" t="s">
        <v>298</v>
      </c>
      <c r="O1938" t="s">
        <v>307</v>
      </c>
      <c r="P1938" t="s">
        <v>314</v>
      </c>
      <c r="Q1938" t="s">
        <v>216</v>
      </c>
      <c r="R1938" t="s">
        <v>326</v>
      </c>
      <c r="S1938" t="s">
        <v>333</v>
      </c>
      <c r="T1938" t="s">
        <v>335</v>
      </c>
      <c r="U1938" t="s">
        <v>340</v>
      </c>
      <c r="V1938" t="s">
        <v>344</v>
      </c>
      <c r="W1938" t="s">
        <v>349</v>
      </c>
      <c r="AK1938" t="s">
        <v>358</v>
      </c>
    </row>
    <row r="1939" spans="1:37">
      <c r="A1939" t="s">
        <v>43</v>
      </c>
      <c r="B1939" t="s">
        <v>63</v>
      </c>
      <c r="C1939" t="s">
        <v>85</v>
      </c>
      <c r="D1939" t="s">
        <v>104</v>
      </c>
      <c r="E1939" t="s">
        <v>123</v>
      </c>
      <c r="F1939" t="s">
        <v>157</v>
      </c>
      <c r="G1939" t="s">
        <v>183</v>
      </c>
      <c r="AK1939" t="s">
        <v>358</v>
      </c>
    </row>
    <row r="1940" spans="1:37">
      <c r="A1940" t="s">
        <v>44</v>
      </c>
      <c r="B1940" t="s">
        <v>64</v>
      </c>
      <c r="C1940" t="s">
        <v>86</v>
      </c>
      <c r="D1940" t="s">
        <v>105</v>
      </c>
      <c r="E1940" t="s">
        <v>124</v>
      </c>
      <c r="F1940" t="s">
        <v>158</v>
      </c>
      <c r="G1940" t="s">
        <v>184</v>
      </c>
      <c r="AK1940" t="s">
        <v>358</v>
      </c>
    </row>
    <row r="1941" spans="1:37">
      <c r="A1941" t="s">
        <v>45</v>
      </c>
      <c r="B1941" t="s">
        <v>65</v>
      </c>
      <c r="C1941" t="s">
        <v>87</v>
      </c>
      <c r="D1941" t="s">
        <v>106</v>
      </c>
      <c r="E1941" t="s">
        <v>125</v>
      </c>
      <c r="F1941" t="s">
        <v>159</v>
      </c>
      <c r="G1941" t="s">
        <v>185</v>
      </c>
      <c r="H1941" t="s">
        <v>159</v>
      </c>
      <c r="I1941" t="s">
        <v>185</v>
      </c>
      <c r="J1941" t="s">
        <v>255</v>
      </c>
      <c r="AK1941" t="s">
        <v>358</v>
      </c>
    </row>
    <row r="1942" spans="1:37">
      <c r="A1942" t="s">
        <v>46</v>
      </c>
      <c r="B1942" t="s">
        <v>66</v>
      </c>
      <c r="C1942" t="s">
        <v>88</v>
      </c>
      <c r="D1942" t="s">
        <v>76</v>
      </c>
      <c r="E1942" t="s">
        <v>126</v>
      </c>
      <c r="F1942" t="s">
        <v>160</v>
      </c>
      <c r="G1942" t="s">
        <v>186</v>
      </c>
      <c r="H1942" t="s">
        <v>217</v>
      </c>
      <c r="I1942" t="s">
        <v>238</v>
      </c>
      <c r="J1942" t="s">
        <v>256</v>
      </c>
      <c r="K1942" t="s">
        <v>265</v>
      </c>
      <c r="L1942" t="s">
        <v>281</v>
      </c>
      <c r="M1942" t="s">
        <v>290</v>
      </c>
      <c r="N1942" t="s">
        <v>299</v>
      </c>
      <c r="O1942" t="s">
        <v>308</v>
      </c>
      <c r="P1942" t="s">
        <v>228</v>
      </c>
      <c r="Q1942" t="s">
        <v>72</v>
      </c>
      <c r="R1942" t="s">
        <v>327</v>
      </c>
      <c r="S1942" t="s">
        <v>327</v>
      </c>
      <c r="T1942" t="s">
        <v>336</v>
      </c>
      <c r="U1942" t="s">
        <v>336</v>
      </c>
      <c r="V1942" t="s">
        <v>336</v>
      </c>
      <c r="W1942" t="s">
        <v>336</v>
      </c>
      <c r="X1942" t="s">
        <v>353</v>
      </c>
      <c r="AK1942" t="s">
        <v>358</v>
      </c>
    </row>
    <row r="1943" spans="1:37">
      <c r="B1943" t="s">
        <v>67</v>
      </c>
      <c r="C1943" t="s">
        <v>89</v>
      </c>
      <c r="D1943" t="s">
        <v>107</v>
      </c>
      <c r="AK1943" t="s">
        <v>358</v>
      </c>
    </row>
    <row r="1944" spans="1:37">
      <c r="B1944" t="s">
        <v>68</v>
      </c>
      <c r="C1944" t="s">
        <v>90</v>
      </c>
      <c r="D1944" t="s">
        <v>108</v>
      </c>
      <c r="AK1944" t="s">
        <v>358</v>
      </c>
    </row>
    <row r="1945" spans="1:37">
      <c r="A1945" t="s">
        <v>47</v>
      </c>
      <c r="B1945" t="s">
        <v>69</v>
      </c>
      <c r="C1945" t="s">
        <v>91</v>
      </c>
      <c r="D1945" t="s">
        <v>109</v>
      </c>
      <c r="E1945" t="s">
        <v>109</v>
      </c>
      <c r="F1945" t="s">
        <v>109</v>
      </c>
      <c r="G1945" t="s">
        <v>109</v>
      </c>
      <c r="H1945" t="s">
        <v>109</v>
      </c>
      <c r="I1945" t="s">
        <v>239</v>
      </c>
      <c r="AK1945" t="s">
        <v>358</v>
      </c>
    </row>
    <row r="1946" spans="1:37">
      <c r="B1946" t="s">
        <v>70</v>
      </c>
      <c r="C1946" t="s">
        <v>92</v>
      </c>
      <c r="D1946" t="s">
        <v>110</v>
      </c>
      <c r="E1946" t="s">
        <v>127</v>
      </c>
      <c r="F1946" t="s">
        <v>161</v>
      </c>
      <c r="G1946" t="s">
        <v>187</v>
      </c>
      <c r="H1946" t="s">
        <v>218</v>
      </c>
      <c r="AK1946" t="s">
        <v>358</v>
      </c>
    </row>
    <row r="1947" spans="1:37">
      <c r="B1947" t="s">
        <v>71</v>
      </c>
      <c r="C1947" t="s">
        <v>93</v>
      </c>
      <c r="D1947" t="s">
        <v>111</v>
      </c>
      <c r="E1947" t="s">
        <v>128</v>
      </c>
      <c r="F1947" t="s">
        <v>162</v>
      </c>
      <c r="G1947" t="s">
        <v>188</v>
      </c>
      <c r="H1947" t="s">
        <v>219</v>
      </c>
      <c r="I1947" t="s">
        <v>240</v>
      </c>
      <c r="J1947" t="s">
        <v>257</v>
      </c>
      <c r="K1947" t="s">
        <v>269</v>
      </c>
      <c r="L1947" t="s">
        <v>109</v>
      </c>
      <c r="M1947" t="s">
        <v>109</v>
      </c>
      <c r="N1947" t="s">
        <v>109</v>
      </c>
      <c r="O1947" t="s">
        <v>109</v>
      </c>
      <c r="P1947" t="s">
        <v>109</v>
      </c>
      <c r="Q1947" t="s">
        <v>321</v>
      </c>
      <c r="AK1947" t="s">
        <v>358</v>
      </c>
    </row>
    <row r="1948" spans="1:37">
      <c r="A1948" t="s">
        <v>48</v>
      </c>
      <c r="B1948" t="s">
        <v>71</v>
      </c>
      <c r="C1948" t="s">
        <v>93</v>
      </c>
      <c r="D1948" t="s">
        <v>111</v>
      </c>
      <c r="E1948" t="s">
        <v>128</v>
      </c>
      <c r="F1948" t="s">
        <v>163</v>
      </c>
      <c r="G1948" t="s">
        <v>189</v>
      </c>
      <c r="H1948" t="s">
        <v>220</v>
      </c>
      <c r="I1948" t="s">
        <v>241</v>
      </c>
      <c r="J1948" t="s">
        <v>258</v>
      </c>
      <c r="K1948" t="s">
        <v>270</v>
      </c>
      <c r="AK1948" t="s">
        <v>358</v>
      </c>
    </row>
    <row r="1949" spans="1:37">
      <c r="B1949" t="s">
        <v>72</v>
      </c>
      <c r="C1949" t="s">
        <v>72</v>
      </c>
      <c r="D1949" t="s">
        <v>72</v>
      </c>
      <c r="E1949" t="s">
        <v>136</v>
      </c>
      <c r="F1949" t="s">
        <v>136</v>
      </c>
      <c r="G1949" t="s">
        <v>199</v>
      </c>
      <c r="H1949" t="s">
        <v>221</v>
      </c>
      <c r="I1949" t="s">
        <v>192</v>
      </c>
      <c r="J1949" t="s">
        <v>192</v>
      </c>
      <c r="K1949" t="s">
        <v>271</v>
      </c>
      <c r="AK1949" t="s">
        <v>358</v>
      </c>
    </row>
    <row r="1950" spans="1:37">
      <c r="A1950" t="s">
        <v>37</v>
      </c>
      <c r="B1950" t="s">
        <v>49</v>
      </c>
      <c r="C1950" t="s">
        <v>73</v>
      </c>
      <c r="D1950" t="s">
        <v>94</v>
      </c>
      <c r="E1950" t="s">
        <v>112</v>
      </c>
      <c r="F1950" t="s">
        <v>146</v>
      </c>
      <c r="G1950" t="s">
        <v>172</v>
      </c>
      <c r="H1950" t="s">
        <v>207</v>
      </c>
      <c r="I1950" t="s">
        <v>226</v>
      </c>
      <c r="J1950" t="s">
        <v>246</v>
      </c>
      <c r="K1950" t="s">
        <v>259</v>
      </c>
      <c r="AK1950" t="s">
        <v>358</v>
      </c>
    </row>
    <row r="1951" spans="1:37">
      <c r="A1951" t="s">
        <v>38</v>
      </c>
      <c r="B1951" t="s">
        <v>50</v>
      </c>
      <c r="C1951" t="s">
        <v>74</v>
      </c>
      <c r="D1951" t="s">
        <v>95</v>
      </c>
      <c r="E1951" t="s">
        <v>113</v>
      </c>
      <c r="F1951" t="s">
        <v>147</v>
      </c>
      <c r="G1951" t="s">
        <v>173</v>
      </c>
      <c r="H1951" t="s">
        <v>208</v>
      </c>
      <c r="I1951" t="s">
        <v>227</v>
      </c>
      <c r="J1951" t="s">
        <v>115</v>
      </c>
      <c r="K1951" t="s">
        <v>260</v>
      </c>
      <c r="L1951" t="s">
        <v>273</v>
      </c>
      <c r="M1951" t="s">
        <v>282</v>
      </c>
      <c r="N1951" t="s">
        <v>291</v>
      </c>
      <c r="AK1951" t="s">
        <v>358</v>
      </c>
    </row>
    <row r="1952" spans="1:37">
      <c r="B1952" t="s">
        <v>51</v>
      </c>
      <c r="C1952" t="s">
        <v>75</v>
      </c>
      <c r="D1952" t="s">
        <v>52</v>
      </c>
      <c r="E1952" t="s">
        <v>114</v>
      </c>
      <c r="F1952" t="s">
        <v>148</v>
      </c>
      <c r="G1952" t="s">
        <v>148</v>
      </c>
      <c r="H1952" t="s">
        <v>209</v>
      </c>
      <c r="I1952" t="s">
        <v>228</v>
      </c>
      <c r="J1952" t="s">
        <v>247</v>
      </c>
      <c r="K1952" t="s">
        <v>261</v>
      </c>
      <c r="L1952" t="s">
        <v>274</v>
      </c>
      <c r="M1952" t="s">
        <v>283</v>
      </c>
      <c r="N1952" t="s">
        <v>292</v>
      </c>
      <c r="O1952" t="s">
        <v>300</v>
      </c>
      <c r="AK1952" t="s">
        <v>358</v>
      </c>
    </row>
    <row r="1953" spans="1:37">
      <c r="B1953" t="s">
        <v>52</v>
      </c>
      <c r="C1953" t="s">
        <v>76</v>
      </c>
      <c r="D1953" t="s">
        <v>96</v>
      </c>
      <c r="E1953" t="s">
        <v>115</v>
      </c>
      <c r="F1953" t="s">
        <v>149</v>
      </c>
      <c r="G1953" t="s">
        <v>174</v>
      </c>
      <c r="H1953" t="s">
        <v>96</v>
      </c>
      <c r="I1953" t="s">
        <v>229</v>
      </c>
      <c r="J1953" t="s">
        <v>248</v>
      </c>
      <c r="K1953" t="s">
        <v>262</v>
      </c>
      <c r="L1953" t="s">
        <v>52</v>
      </c>
      <c r="M1953" t="s">
        <v>76</v>
      </c>
      <c r="N1953" t="s">
        <v>293</v>
      </c>
      <c r="O1953" t="s">
        <v>301</v>
      </c>
      <c r="P1953" t="s">
        <v>309</v>
      </c>
      <c r="Q1953" t="s">
        <v>315</v>
      </c>
      <c r="R1953" t="s">
        <v>228</v>
      </c>
      <c r="S1953" t="s">
        <v>328</v>
      </c>
      <c r="T1953" t="s">
        <v>149</v>
      </c>
      <c r="U1953" t="s">
        <v>337</v>
      </c>
      <c r="V1953" t="s">
        <v>341</v>
      </c>
      <c r="W1953" t="s">
        <v>345</v>
      </c>
      <c r="X1953" t="s">
        <v>350</v>
      </c>
      <c r="AK1953" t="s">
        <v>358</v>
      </c>
    </row>
    <row r="1954" spans="1:37">
      <c r="B1954" t="s">
        <v>53</v>
      </c>
      <c r="C1954" t="s">
        <v>77</v>
      </c>
      <c r="D1954" t="s">
        <v>97</v>
      </c>
      <c r="E1954" t="s">
        <v>116</v>
      </c>
      <c r="F1954" t="s">
        <v>150</v>
      </c>
      <c r="G1954" t="s">
        <v>175</v>
      </c>
      <c r="H1954" t="s">
        <v>210</v>
      </c>
      <c r="I1954" t="s">
        <v>230</v>
      </c>
      <c r="J1954" t="s">
        <v>249</v>
      </c>
      <c r="K1954" t="s">
        <v>263</v>
      </c>
      <c r="L1954" t="s">
        <v>275</v>
      </c>
      <c r="M1954" t="s">
        <v>284</v>
      </c>
      <c r="N1954" t="s">
        <v>294</v>
      </c>
      <c r="O1954" t="s">
        <v>302</v>
      </c>
      <c r="P1954" t="s">
        <v>310</v>
      </c>
      <c r="Q1954" t="s">
        <v>316</v>
      </c>
      <c r="R1954" t="s">
        <v>322</v>
      </c>
      <c r="S1954" t="s">
        <v>329</v>
      </c>
      <c r="AK1954" t="s">
        <v>358</v>
      </c>
    </row>
    <row r="1955" spans="1:37">
      <c r="A1955" t="s">
        <v>39</v>
      </c>
      <c r="B1955" t="s">
        <v>54</v>
      </c>
      <c r="C1955" t="s">
        <v>54</v>
      </c>
      <c r="D1955" t="s">
        <v>54</v>
      </c>
      <c r="E1955" t="s">
        <v>54</v>
      </c>
      <c r="F1955" t="s">
        <v>54</v>
      </c>
      <c r="G1955" t="s">
        <v>54</v>
      </c>
      <c r="H1955" t="s">
        <v>54</v>
      </c>
      <c r="I1955" t="s">
        <v>54</v>
      </c>
      <c r="J1955" t="s">
        <v>54</v>
      </c>
      <c r="K1955" t="s">
        <v>54</v>
      </c>
      <c r="L1955" t="s">
        <v>54</v>
      </c>
      <c r="M1955" t="s">
        <v>54</v>
      </c>
      <c r="N1955" t="s">
        <v>54</v>
      </c>
      <c r="O1955" t="s">
        <v>54</v>
      </c>
      <c r="P1955" t="s">
        <v>54</v>
      </c>
      <c r="Q1955" t="s">
        <v>54</v>
      </c>
      <c r="R1955" t="s">
        <v>323</v>
      </c>
      <c r="S1955" t="s">
        <v>330</v>
      </c>
      <c r="AK1955" t="s">
        <v>358</v>
      </c>
    </row>
    <row r="1956" spans="1:37">
      <c r="B1956" t="s">
        <v>55</v>
      </c>
      <c r="C1956" t="s">
        <v>78</v>
      </c>
      <c r="D1956" t="s">
        <v>55</v>
      </c>
      <c r="E1956" t="s">
        <v>78</v>
      </c>
      <c r="F1956" t="s">
        <v>55</v>
      </c>
      <c r="G1956" t="s">
        <v>78</v>
      </c>
      <c r="H1956" t="s">
        <v>55</v>
      </c>
      <c r="I1956" t="s">
        <v>78</v>
      </c>
      <c r="J1956" t="s">
        <v>55</v>
      </c>
      <c r="K1956" t="s">
        <v>78</v>
      </c>
      <c r="L1956" t="s">
        <v>55</v>
      </c>
      <c r="M1956" t="s">
        <v>78</v>
      </c>
      <c r="N1956" t="s">
        <v>55</v>
      </c>
      <c r="O1956" t="s">
        <v>78</v>
      </c>
      <c r="P1956" t="s">
        <v>55</v>
      </c>
      <c r="Q1956" t="s">
        <v>78</v>
      </c>
      <c r="R1956" t="s">
        <v>55</v>
      </c>
      <c r="S1956" t="s">
        <v>78</v>
      </c>
      <c r="T1956" t="s">
        <v>55</v>
      </c>
      <c r="U1956" t="s">
        <v>78</v>
      </c>
      <c r="V1956" t="s">
        <v>55</v>
      </c>
      <c r="W1956" t="s">
        <v>78</v>
      </c>
      <c r="X1956" t="s">
        <v>55</v>
      </c>
      <c r="Y1956" t="s">
        <v>78</v>
      </c>
      <c r="Z1956" t="s">
        <v>55</v>
      </c>
      <c r="AA1956" t="s">
        <v>78</v>
      </c>
      <c r="AB1956" t="s">
        <v>55</v>
      </c>
      <c r="AC1956" t="s">
        <v>78</v>
      </c>
      <c r="AD1956" t="s">
        <v>55</v>
      </c>
      <c r="AE1956" t="s">
        <v>78</v>
      </c>
      <c r="AF1956" t="s">
        <v>55</v>
      </c>
      <c r="AG1956" t="s">
        <v>78</v>
      </c>
      <c r="AH1956" t="s">
        <v>55</v>
      </c>
      <c r="AI1956" t="s">
        <v>78</v>
      </c>
      <c r="AK1956" t="s">
        <v>358</v>
      </c>
    </row>
    <row r="1957" spans="1:37">
      <c r="B1957" t="s">
        <v>56</v>
      </c>
      <c r="C1957" t="s">
        <v>56</v>
      </c>
      <c r="D1957" t="s">
        <v>56</v>
      </c>
      <c r="E1957" t="s">
        <v>56</v>
      </c>
      <c r="F1957" t="s">
        <v>56</v>
      </c>
      <c r="G1957" t="s">
        <v>176</v>
      </c>
      <c r="H1957" t="s">
        <v>211</v>
      </c>
      <c r="I1957" t="s">
        <v>231</v>
      </c>
      <c r="J1957" t="s">
        <v>250</v>
      </c>
      <c r="K1957" t="s">
        <v>264</v>
      </c>
      <c r="L1957" t="s">
        <v>276</v>
      </c>
      <c r="M1957" t="s">
        <v>285</v>
      </c>
      <c r="N1957" t="s">
        <v>295</v>
      </c>
      <c r="O1957" t="s">
        <v>303</v>
      </c>
      <c r="P1957" t="s">
        <v>56</v>
      </c>
      <c r="Q1957" t="s">
        <v>317</v>
      </c>
      <c r="R1957" t="s">
        <v>324</v>
      </c>
      <c r="S1957" t="s">
        <v>331</v>
      </c>
      <c r="T1957" t="s">
        <v>334</v>
      </c>
      <c r="U1957" t="s">
        <v>338</v>
      </c>
      <c r="V1957" t="s">
        <v>342</v>
      </c>
      <c r="W1957" t="s">
        <v>346</v>
      </c>
      <c r="X1957" t="s">
        <v>351</v>
      </c>
      <c r="AK1957" t="s">
        <v>358</v>
      </c>
    </row>
    <row r="1958" spans="1:37">
      <c r="B1958" t="s">
        <v>57</v>
      </c>
      <c r="C1958" t="s">
        <v>79</v>
      </c>
      <c r="D1958" t="s">
        <v>98</v>
      </c>
      <c r="E1958" t="s">
        <v>117</v>
      </c>
      <c r="F1958" t="s">
        <v>151</v>
      </c>
      <c r="G1958" t="s">
        <v>177</v>
      </c>
      <c r="H1958" t="s">
        <v>212</v>
      </c>
      <c r="I1958" t="s">
        <v>232</v>
      </c>
      <c r="J1958" t="s">
        <v>251</v>
      </c>
      <c r="K1958" t="s">
        <v>265</v>
      </c>
      <c r="L1958" t="s">
        <v>277</v>
      </c>
      <c r="M1958" t="s">
        <v>286</v>
      </c>
      <c r="N1958" t="s">
        <v>296</v>
      </c>
      <c r="O1958" t="s">
        <v>304</v>
      </c>
      <c r="P1958" t="s">
        <v>311</v>
      </c>
      <c r="Q1958" t="s">
        <v>318</v>
      </c>
      <c r="R1958" t="s">
        <v>185</v>
      </c>
      <c r="S1958" t="s">
        <v>159</v>
      </c>
      <c r="T1958" t="s">
        <v>185</v>
      </c>
      <c r="U1958" t="s">
        <v>339</v>
      </c>
      <c r="V1958" t="s">
        <v>72</v>
      </c>
      <c r="W1958" t="s">
        <v>347</v>
      </c>
      <c r="X1958" t="s">
        <v>72</v>
      </c>
      <c r="Y1958" t="s">
        <v>96</v>
      </c>
      <c r="AK1958" t="s">
        <v>358</v>
      </c>
    </row>
    <row r="1959" spans="1:37">
      <c r="B1959" t="s">
        <v>58</v>
      </c>
      <c r="C1959" t="s">
        <v>80</v>
      </c>
      <c r="D1959" t="s">
        <v>99</v>
      </c>
      <c r="E1959" t="s">
        <v>118</v>
      </c>
      <c r="F1959" t="s">
        <v>152</v>
      </c>
      <c r="G1959" t="s">
        <v>178</v>
      </c>
      <c r="H1959" t="s">
        <v>213</v>
      </c>
      <c r="I1959" t="s">
        <v>233</v>
      </c>
      <c r="J1959" t="s">
        <v>252</v>
      </c>
      <c r="K1959" t="s">
        <v>266</v>
      </c>
      <c r="L1959" t="s">
        <v>278</v>
      </c>
      <c r="M1959" t="s">
        <v>287</v>
      </c>
      <c r="N1959" t="s">
        <v>297</v>
      </c>
      <c r="O1959" t="s">
        <v>305</v>
      </c>
      <c r="P1959" t="s">
        <v>312</v>
      </c>
      <c r="Q1959" t="s">
        <v>319</v>
      </c>
      <c r="R1959">
        <f>&gt;10       ветра      2.5     22  14 25</f>
        <v>0</v>
      </c>
      <c r="AK1959" t="s">
        <v>358</v>
      </c>
    </row>
    <row r="1960" spans="1:37">
      <c r="A1960" t="s">
        <v>40</v>
      </c>
      <c r="B1960" t="s">
        <v>59</v>
      </c>
      <c r="C1960" t="s">
        <v>81</v>
      </c>
      <c r="D1960" t="s">
        <v>100</v>
      </c>
      <c r="E1960" t="s">
        <v>119</v>
      </c>
      <c r="F1960" t="s">
        <v>153</v>
      </c>
      <c r="G1960" t="s">
        <v>179</v>
      </c>
      <c r="H1960" t="s">
        <v>214</v>
      </c>
      <c r="I1960" t="s">
        <v>234</v>
      </c>
      <c r="AK1960" t="s">
        <v>358</v>
      </c>
    </row>
    <row r="1961" spans="1:37">
      <c r="A1961" t="s">
        <v>40</v>
      </c>
      <c r="B1961" t="s">
        <v>60</v>
      </c>
      <c r="C1961" t="s">
        <v>82</v>
      </c>
      <c r="D1961" t="s">
        <v>101</v>
      </c>
      <c r="E1961" t="s">
        <v>120</v>
      </c>
      <c r="F1961" t="s">
        <v>154</v>
      </c>
      <c r="G1961" t="s">
        <v>180</v>
      </c>
      <c r="H1961" t="s">
        <v>215</v>
      </c>
      <c r="I1961" t="s">
        <v>235</v>
      </c>
      <c r="J1961" t="s">
        <v>253</v>
      </c>
      <c r="K1961" t="s">
        <v>267</v>
      </c>
      <c r="L1961" t="s">
        <v>279</v>
      </c>
      <c r="M1961" t="s">
        <v>288</v>
      </c>
      <c r="N1961" t="s">
        <v>100</v>
      </c>
      <c r="O1961" t="s">
        <v>306</v>
      </c>
      <c r="P1961" t="s">
        <v>313</v>
      </c>
      <c r="Q1961" t="s">
        <v>320</v>
      </c>
      <c r="R1961" t="s">
        <v>325</v>
      </c>
      <c r="S1961" t="s">
        <v>332</v>
      </c>
      <c r="T1961" t="s">
        <v>119</v>
      </c>
      <c r="U1961" t="s">
        <v>234</v>
      </c>
      <c r="V1961" t="s">
        <v>343</v>
      </c>
      <c r="W1961" t="s">
        <v>348</v>
      </c>
      <c r="X1961" t="s">
        <v>352</v>
      </c>
      <c r="Y1961" t="s">
        <v>354</v>
      </c>
      <c r="AK1961" t="s">
        <v>358</v>
      </c>
    </row>
    <row r="1962" spans="1:37">
      <c r="A1962" t="s">
        <v>41</v>
      </c>
      <c r="B1962" t="s">
        <v>61</v>
      </c>
      <c r="C1962" t="s">
        <v>83</v>
      </c>
      <c r="D1962" t="s">
        <v>102</v>
      </c>
      <c r="E1962" t="s">
        <v>121</v>
      </c>
      <c r="F1962" t="s">
        <v>155</v>
      </c>
      <c r="G1962" t="s">
        <v>181</v>
      </c>
      <c r="H1962" t="s">
        <v>216</v>
      </c>
      <c r="I1962" t="s">
        <v>236</v>
      </c>
      <c r="AK1962" t="s">
        <v>358</v>
      </c>
    </row>
    <row r="1963" spans="1:37">
      <c r="A1963" t="s">
        <v>42</v>
      </c>
      <c r="B1963" t="s">
        <v>62</v>
      </c>
      <c r="C1963" t="s">
        <v>84</v>
      </c>
      <c r="D1963" t="s">
        <v>103</v>
      </c>
      <c r="E1963" t="s">
        <v>122</v>
      </c>
      <c r="F1963" t="s">
        <v>156</v>
      </c>
      <c r="G1963" t="s">
        <v>182</v>
      </c>
      <c r="H1963" t="s">
        <v>83</v>
      </c>
      <c r="I1963" t="s">
        <v>237</v>
      </c>
      <c r="J1963" t="s">
        <v>254</v>
      </c>
      <c r="K1963" t="s">
        <v>268</v>
      </c>
      <c r="L1963" t="s">
        <v>280</v>
      </c>
      <c r="M1963" t="s">
        <v>289</v>
      </c>
      <c r="N1963" t="s">
        <v>298</v>
      </c>
      <c r="O1963" t="s">
        <v>307</v>
      </c>
      <c r="P1963" t="s">
        <v>314</v>
      </c>
      <c r="Q1963" t="s">
        <v>216</v>
      </c>
      <c r="R1963" t="s">
        <v>326</v>
      </c>
      <c r="S1963" t="s">
        <v>333</v>
      </c>
      <c r="T1963" t="s">
        <v>335</v>
      </c>
      <c r="U1963" t="s">
        <v>340</v>
      </c>
      <c r="V1963" t="s">
        <v>344</v>
      </c>
      <c r="W1963" t="s">
        <v>349</v>
      </c>
      <c r="AK1963" t="s">
        <v>358</v>
      </c>
    </row>
    <row r="1964" spans="1:37">
      <c r="A1964" t="s">
        <v>43</v>
      </c>
      <c r="B1964" t="s">
        <v>63</v>
      </c>
      <c r="C1964" t="s">
        <v>85</v>
      </c>
      <c r="D1964" t="s">
        <v>104</v>
      </c>
      <c r="E1964" t="s">
        <v>123</v>
      </c>
      <c r="F1964" t="s">
        <v>157</v>
      </c>
      <c r="G1964" t="s">
        <v>183</v>
      </c>
      <c r="AK1964" t="s">
        <v>358</v>
      </c>
    </row>
    <row r="1965" spans="1:37">
      <c r="A1965" t="s">
        <v>44</v>
      </c>
      <c r="B1965" t="s">
        <v>64</v>
      </c>
      <c r="C1965" t="s">
        <v>86</v>
      </c>
      <c r="D1965" t="s">
        <v>105</v>
      </c>
      <c r="E1965" t="s">
        <v>124</v>
      </c>
      <c r="F1965" t="s">
        <v>158</v>
      </c>
      <c r="G1965" t="s">
        <v>184</v>
      </c>
      <c r="AK1965" t="s">
        <v>358</v>
      </c>
    </row>
    <row r="1966" spans="1:37">
      <c r="A1966" t="s">
        <v>45</v>
      </c>
      <c r="B1966" t="s">
        <v>65</v>
      </c>
      <c r="C1966" t="s">
        <v>87</v>
      </c>
      <c r="D1966" t="s">
        <v>106</v>
      </c>
      <c r="E1966" t="s">
        <v>125</v>
      </c>
      <c r="F1966" t="s">
        <v>159</v>
      </c>
      <c r="G1966" t="s">
        <v>185</v>
      </c>
      <c r="H1966" t="s">
        <v>159</v>
      </c>
      <c r="I1966" t="s">
        <v>185</v>
      </c>
      <c r="J1966" t="s">
        <v>255</v>
      </c>
      <c r="AK1966" t="s">
        <v>358</v>
      </c>
    </row>
    <row r="1967" spans="1:37">
      <c r="A1967" t="s">
        <v>46</v>
      </c>
      <c r="B1967" t="s">
        <v>66</v>
      </c>
      <c r="C1967" t="s">
        <v>88</v>
      </c>
      <c r="D1967" t="s">
        <v>76</v>
      </c>
      <c r="E1967" t="s">
        <v>126</v>
      </c>
      <c r="F1967" t="s">
        <v>160</v>
      </c>
      <c r="G1967" t="s">
        <v>186</v>
      </c>
      <c r="H1967" t="s">
        <v>217</v>
      </c>
      <c r="I1967" t="s">
        <v>238</v>
      </c>
      <c r="J1967" t="s">
        <v>256</v>
      </c>
      <c r="K1967" t="s">
        <v>265</v>
      </c>
      <c r="L1967" t="s">
        <v>281</v>
      </c>
      <c r="M1967" t="s">
        <v>290</v>
      </c>
      <c r="N1967" t="s">
        <v>299</v>
      </c>
      <c r="O1967" t="s">
        <v>308</v>
      </c>
      <c r="P1967" t="s">
        <v>228</v>
      </c>
      <c r="Q1967" t="s">
        <v>72</v>
      </c>
      <c r="R1967" t="s">
        <v>327</v>
      </c>
      <c r="S1967" t="s">
        <v>327</v>
      </c>
      <c r="T1967" t="s">
        <v>336</v>
      </c>
      <c r="U1967" t="s">
        <v>336</v>
      </c>
      <c r="V1967" t="s">
        <v>336</v>
      </c>
      <c r="W1967" t="s">
        <v>336</v>
      </c>
      <c r="X1967" t="s">
        <v>353</v>
      </c>
      <c r="AK1967" t="s">
        <v>358</v>
      </c>
    </row>
    <row r="1968" spans="1:37">
      <c r="A1968" t="s">
        <v>37</v>
      </c>
      <c r="B1968" t="s">
        <v>49</v>
      </c>
      <c r="C1968" t="s">
        <v>73</v>
      </c>
      <c r="D1968" t="s">
        <v>94</v>
      </c>
      <c r="E1968" t="s">
        <v>112</v>
      </c>
      <c r="F1968" t="s">
        <v>146</v>
      </c>
      <c r="G1968" t="s">
        <v>172</v>
      </c>
      <c r="H1968" t="s">
        <v>207</v>
      </c>
      <c r="I1968" t="s">
        <v>226</v>
      </c>
      <c r="J1968" t="s">
        <v>246</v>
      </c>
      <c r="K1968" t="s">
        <v>259</v>
      </c>
      <c r="AK1968" t="s">
        <v>358</v>
      </c>
    </row>
    <row r="1969" spans="1:37">
      <c r="A1969" t="s">
        <v>38</v>
      </c>
      <c r="B1969" t="s">
        <v>50</v>
      </c>
      <c r="C1969" t="s">
        <v>74</v>
      </c>
      <c r="D1969" t="s">
        <v>95</v>
      </c>
      <c r="E1969" t="s">
        <v>113</v>
      </c>
      <c r="F1969" t="s">
        <v>147</v>
      </c>
      <c r="G1969" t="s">
        <v>173</v>
      </c>
      <c r="H1969" t="s">
        <v>208</v>
      </c>
      <c r="I1969" t="s">
        <v>227</v>
      </c>
      <c r="J1969" t="s">
        <v>115</v>
      </c>
      <c r="K1969" t="s">
        <v>260</v>
      </c>
      <c r="L1969" t="s">
        <v>273</v>
      </c>
      <c r="M1969" t="s">
        <v>282</v>
      </c>
      <c r="N1969" t="s">
        <v>291</v>
      </c>
      <c r="AK1969" t="s">
        <v>358</v>
      </c>
    </row>
    <row r="1970" spans="1:37">
      <c r="B1970" t="s">
        <v>51</v>
      </c>
      <c r="C1970" t="s">
        <v>75</v>
      </c>
      <c r="D1970" t="s">
        <v>52</v>
      </c>
      <c r="E1970" t="s">
        <v>114</v>
      </c>
      <c r="F1970" t="s">
        <v>148</v>
      </c>
      <c r="G1970" t="s">
        <v>148</v>
      </c>
      <c r="H1970" t="s">
        <v>209</v>
      </c>
      <c r="I1970" t="s">
        <v>228</v>
      </c>
      <c r="J1970" t="s">
        <v>247</v>
      </c>
      <c r="K1970" t="s">
        <v>261</v>
      </c>
      <c r="L1970" t="s">
        <v>274</v>
      </c>
      <c r="M1970" t="s">
        <v>283</v>
      </c>
      <c r="N1970" t="s">
        <v>292</v>
      </c>
      <c r="O1970" t="s">
        <v>300</v>
      </c>
      <c r="AK1970" t="s">
        <v>358</v>
      </c>
    </row>
    <row r="1971" spans="1:37">
      <c r="B1971" t="s">
        <v>52</v>
      </c>
      <c r="C1971" t="s">
        <v>76</v>
      </c>
      <c r="D1971" t="s">
        <v>96</v>
      </c>
      <c r="E1971" t="s">
        <v>115</v>
      </c>
      <c r="F1971" t="s">
        <v>149</v>
      </c>
      <c r="G1971" t="s">
        <v>174</v>
      </c>
      <c r="H1971" t="s">
        <v>96</v>
      </c>
      <c r="I1971" t="s">
        <v>229</v>
      </c>
      <c r="J1971" t="s">
        <v>248</v>
      </c>
      <c r="K1971" t="s">
        <v>262</v>
      </c>
      <c r="L1971" t="s">
        <v>52</v>
      </c>
      <c r="M1971" t="s">
        <v>76</v>
      </c>
      <c r="N1971" t="s">
        <v>293</v>
      </c>
      <c r="O1971" t="s">
        <v>301</v>
      </c>
      <c r="P1971" t="s">
        <v>309</v>
      </c>
      <c r="Q1971" t="s">
        <v>315</v>
      </c>
      <c r="R1971" t="s">
        <v>228</v>
      </c>
      <c r="S1971" t="s">
        <v>328</v>
      </c>
      <c r="T1971" t="s">
        <v>149</v>
      </c>
      <c r="U1971" t="s">
        <v>337</v>
      </c>
      <c r="V1971" t="s">
        <v>341</v>
      </c>
      <c r="W1971" t="s">
        <v>345</v>
      </c>
      <c r="X1971" t="s">
        <v>350</v>
      </c>
      <c r="AK1971" t="s">
        <v>358</v>
      </c>
    </row>
    <row r="1972" spans="1:37">
      <c r="B1972" t="s">
        <v>53</v>
      </c>
      <c r="C1972" t="s">
        <v>77</v>
      </c>
      <c r="D1972" t="s">
        <v>97</v>
      </c>
      <c r="E1972" t="s">
        <v>116</v>
      </c>
      <c r="F1972" t="s">
        <v>150</v>
      </c>
      <c r="G1972" t="s">
        <v>175</v>
      </c>
      <c r="H1972" t="s">
        <v>210</v>
      </c>
      <c r="I1972" t="s">
        <v>230</v>
      </c>
      <c r="J1972" t="s">
        <v>249</v>
      </c>
      <c r="K1972" t="s">
        <v>263</v>
      </c>
      <c r="L1972" t="s">
        <v>275</v>
      </c>
      <c r="M1972" t="s">
        <v>284</v>
      </c>
      <c r="N1972" t="s">
        <v>294</v>
      </c>
      <c r="O1972" t="s">
        <v>302</v>
      </c>
      <c r="P1972" t="s">
        <v>310</v>
      </c>
      <c r="Q1972" t="s">
        <v>316</v>
      </c>
      <c r="R1972" t="s">
        <v>322</v>
      </c>
      <c r="S1972" t="s">
        <v>329</v>
      </c>
      <c r="AK1972" t="s">
        <v>358</v>
      </c>
    </row>
    <row r="1973" spans="1:37">
      <c r="A1973" t="s">
        <v>39</v>
      </c>
      <c r="B1973" t="s">
        <v>54</v>
      </c>
      <c r="C1973" t="s">
        <v>54</v>
      </c>
      <c r="D1973" t="s">
        <v>54</v>
      </c>
      <c r="E1973" t="s">
        <v>54</v>
      </c>
      <c r="F1973" t="s">
        <v>54</v>
      </c>
      <c r="G1973" t="s">
        <v>54</v>
      </c>
      <c r="H1973" t="s">
        <v>54</v>
      </c>
      <c r="I1973" t="s">
        <v>54</v>
      </c>
      <c r="J1973" t="s">
        <v>54</v>
      </c>
      <c r="K1973" t="s">
        <v>54</v>
      </c>
      <c r="L1973" t="s">
        <v>54</v>
      </c>
      <c r="M1973" t="s">
        <v>54</v>
      </c>
      <c r="N1973" t="s">
        <v>54</v>
      </c>
      <c r="O1973" t="s">
        <v>54</v>
      </c>
      <c r="P1973" t="s">
        <v>54</v>
      </c>
      <c r="Q1973" t="s">
        <v>54</v>
      </c>
      <c r="R1973" t="s">
        <v>323</v>
      </c>
      <c r="S1973" t="s">
        <v>330</v>
      </c>
      <c r="AK1973" t="s">
        <v>358</v>
      </c>
    </row>
    <row r="1974" spans="1:37">
      <c r="B1974" t="s">
        <v>55</v>
      </c>
      <c r="C1974" t="s">
        <v>78</v>
      </c>
      <c r="D1974" t="s">
        <v>55</v>
      </c>
      <c r="E1974" t="s">
        <v>78</v>
      </c>
      <c r="F1974" t="s">
        <v>55</v>
      </c>
      <c r="G1974" t="s">
        <v>78</v>
      </c>
      <c r="H1974" t="s">
        <v>55</v>
      </c>
      <c r="I1974" t="s">
        <v>78</v>
      </c>
      <c r="J1974" t="s">
        <v>55</v>
      </c>
      <c r="K1974" t="s">
        <v>78</v>
      </c>
      <c r="L1974" t="s">
        <v>55</v>
      </c>
      <c r="M1974" t="s">
        <v>78</v>
      </c>
      <c r="N1974" t="s">
        <v>55</v>
      </c>
      <c r="O1974" t="s">
        <v>78</v>
      </c>
      <c r="P1974" t="s">
        <v>55</v>
      </c>
      <c r="Q1974" t="s">
        <v>78</v>
      </c>
      <c r="R1974" t="s">
        <v>55</v>
      </c>
      <c r="S1974" t="s">
        <v>78</v>
      </c>
      <c r="T1974" t="s">
        <v>55</v>
      </c>
      <c r="U1974" t="s">
        <v>78</v>
      </c>
      <c r="V1974" t="s">
        <v>55</v>
      </c>
      <c r="W1974" t="s">
        <v>78</v>
      </c>
      <c r="X1974" t="s">
        <v>55</v>
      </c>
      <c r="Y1974" t="s">
        <v>78</v>
      </c>
      <c r="Z1974" t="s">
        <v>55</v>
      </c>
      <c r="AA1974" t="s">
        <v>78</v>
      </c>
      <c r="AB1974" t="s">
        <v>55</v>
      </c>
      <c r="AC1974" t="s">
        <v>78</v>
      </c>
      <c r="AD1974" t="s">
        <v>55</v>
      </c>
      <c r="AE1974" t="s">
        <v>78</v>
      </c>
      <c r="AF1974" t="s">
        <v>55</v>
      </c>
      <c r="AG1974" t="s">
        <v>78</v>
      </c>
      <c r="AH1974" t="s">
        <v>55</v>
      </c>
      <c r="AI1974" t="s">
        <v>78</v>
      </c>
      <c r="AK1974" t="s">
        <v>358</v>
      </c>
    </row>
    <row r="1975" spans="1:37">
      <c r="B1975" t="s">
        <v>56</v>
      </c>
      <c r="C1975" t="s">
        <v>56</v>
      </c>
      <c r="D1975" t="s">
        <v>56</v>
      </c>
      <c r="E1975" t="s">
        <v>56</v>
      </c>
      <c r="F1975" t="s">
        <v>56</v>
      </c>
      <c r="G1975" t="s">
        <v>176</v>
      </c>
      <c r="H1975" t="s">
        <v>211</v>
      </c>
      <c r="I1975" t="s">
        <v>231</v>
      </c>
      <c r="J1975" t="s">
        <v>250</v>
      </c>
      <c r="K1975" t="s">
        <v>264</v>
      </c>
      <c r="L1975" t="s">
        <v>276</v>
      </c>
      <c r="M1975" t="s">
        <v>285</v>
      </c>
      <c r="N1975" t="s">
        <v>295</v>
      </c>
      <c r="O1975" t="s">
        <v>303</v>
      </c>
      <c r="P1975" t="s">
        <v>56</v>
      </c>
      <c r="Q1975" t="s">
        <v>317</v>
      </c>
      <c r="R1975" t="s">
        <v>324</v>
      </c>
      <c r="S1975" t="s">
        <v>331</v>
      </c>
      <c r="T1975" t="s">
        <v>334</v>
      </c>
      <c r="U1975" t="s">
        <v>338</v>
      </c>
      <c r="V1975" t="s">
        <v>342</v>
      </c>
      <c r="W1975" t="s">
        <v>346</v>
      </c>
      <c r="X1975" t="s">
        <v>351</v>
      </c>
      <c r="AK1975" t="s">
        <v>358</v>
      </c>
    </row>
    <row r="1976" spans="1:37">
      <c r="B1976" t="s">
        <v>57</v>
      </c>
      <c r="C1976" t="s">
        <v>79</v>
      </c>
      <c r="D1976" t="s">
        <v>98</v>
      </c>
      <c r="E1976" t="s">
        <v>117</v>
      </c>
      <c r="F1976" t="s">
        <v>151</v>
      </c>
      <c r="G1976" t="s">
        <v>177</v>
      </c>
      <c r="H1976" t="s">
        <v>212</v>
      </c>
      <c r="I1976" t="s">
        <v>232</v>
      </c>
      <c r="J1976" t="s">
        <v>251</v>
      </c>
      <c r="K1976" t="s">
        <v>265</v>
      </c>
      <c r="L1976" t="s">
        <v>277</v>
      </c>
      <c r="M1976" t="s">
        <v>286</v>
      </c>
      <c r="N1976" t="s">
        <v>296</v>
      </c>
      <c r="O1976" t="s">
        <v>304</v>
      </c>
      <c r="P1976" t="s">
        <v>311</v>
      </c>
      <c r="Q1976" t="s">
        <v>318</v>
      </c>
      <c r="R1976" t="s">
        <v>185</v>
      </c>
      <c r="S1976" t="s">
        <v>159</v>
      </c>
      <c r="T1976" t="s">
        <v>185</v>
      </c>
      <c r="U1976" t="s">
        <v>339</v>
      </c>
      <c r="V1976" t="s">
        <v>72</v>
      </c>
      <c r="W1976" t="s">
        <v>347</v>
      </c>
      <c r="X1976" t="s">
        <v>72</v>
      </c>
      <c r="Y1976" t="s">
        <v>96</v>
      </c>
      <c r="AK1976" t="s">
        <v>358</v>
      </c>
    </row>
    <row r="1977" spans="1:37">
      <c r="B1977" t="s">
        <v>58</v>
      </c>
      <c r="C1977" t="s">
        <v>80</v>
      </c>
      <c r="D1977" t="s">
        <v>99</v>
      </c>
      <c r="E1977" t="s">
        <v>118</v>
      </c>
      <c r="F1977" t="s">
        <v>152</v>
      </c>
      <c r="G1977" t="s">
        <v>178</v>
      </c>
      <c r="H1977" t="s">
        <v>213</v>
      </c>
      <c r="I1977" t="s">
        <v>233</v>
      </c>
      <c r="J1977" t="s">
        <v>252</v>
      </c>
      <c r="K1977" t="s">
        <v>266</v>
      </c>
      <c r="L1977" t="s">
        <v>278</v>
      </c>
      <c r="M1977" t="s">
        <v>287</v>
      </c>
      <c r="N1977" t="s">
        <v>297</v>
      </c>
      <c r="O1977" t="s">
        <v>305</v>
      </c>
      <c r="P1977" t="s">
        <v>312</v>
      </c>
      <c r="Q1977" t="s">
        <v>319</v>
      </c>
      <c r="R1977">
        <f>&gt;10       ветра      2.9     22  25</f>
        <v>0</v>
      </c>
      <c r="AK1977" t="s">
        <v>358</v>
      </c>
    </row>
    <row r="1978" spans="1:37">
      <c r="A1978" t="s">
        <v>40</v>
      </c>
      <c r="B1978" t="s">
        <v>59</v>
      </c>
      <c r="C1978" t="s">
        <v>81</v>
      </c>
      <c r="D1978" t="s">
        <v>100</v>
      </c>
      <c r="E1978" t="s">
        <v>119</v>
      </c>
      <c r="F1978" t="s">
        <v>153</v>
      </c>
      <c r="G1978" t="s">
        <v>179</v>
      </c>
      <c r="H1978" t="s">
        <v>214</v>
      </c>
      <c r="I1978" t="s">
        <v>234</v>
      </c>
      <c r="AK1978" t="s">
        <v>358</v>
      </c>
    </row>
    <row r="1979" spans="1:37">
      <c r="A1979" t="s">
        <v>40</v>
      </c>
      <c r="B1979" t="s">
        <v>60</v>
      </c>
      <c r="C1979" t="s">
        <v>82</v>
      </c>
      <c r="D1979" t="s">
        <v>101</v>
      </c>
      <c r="E1979" t="s">
        <v>120</v>
      </c>
      <c r="F1979" t="s">
        <v>154</v>
      </c>
      <c r="G1979" t="s">
        <v>180</v>
      </c>
      <c r="H1979" t="s">
        <v>215</v>
      </c>
      <c r="I1979" t="s">
        <v>235</v>
      </c>
      <c r="J1979" t="s">
        <v>253</v>
      </c>
      <c r="K1979" t="s">
        <v>267</v>
      </c>
      <c r="L1979" t="s">
        <v>279</v>
      </c>
      <c r="M1979" t="s">
        <v>288</v>
      </c>
      <c r="N1979" t="s">
        <v>100</v>
      </c>
      <c r="O1979" t="s">
        <v>306</v>
      </c>
      <c r="P1979" t="s">
        <v>313</v>
      </c>
      <c r="Q1979" t="s">
        <v>320</v>
      </c>
      <c r="R1979" t="s">
        <v>325</v>
      </c>
      <c r="S1979" t="s">
        <v>332</v>
      </c>
      <c r="T1979" t="s">
        <v>119</v>
      </c>
      <c r="U1979" t="s">
        <v>234</v>
      </c>
      <c r="V1979" t="s">
        <v>343</v>
      </c>
      <c r="W1979" t="s">
        <v>348</v>
      </c>
      <c r="X1979" t="s">
        <v>352</v>
      </c>
      <c r="Y1979" t="s">
        <v>354</v>
      </c>
      <c r="AK1979" t="s">
        <v>358</v>
      </c>
    </row>
    <row r="1980" spans="1:37">
      <c r="A1980" t="s">
        <v>41</v>
      </c>
      <c r="B1980" t="s">
        <v>61</v>
      </c>
      <c r="C1980" t="s">
        <v>83</v>
      </c>
      <c r="D1980" t="s">
        <v>102</v>
      </c>
      <c r="E1980" t="s">
        <v>121</v>
      </c>
      <c r="F1980" t="s">
        <v>155</v>
      </c>
      <c r="G1980" t="s">
        <v>181</v>
      </c>
      <c r="H1980" t="s">
        <v>216</v>
      </c>
      <c r="I1980" t="s">
        <v>236</v>
      </c>
      <c r="AK1980" t="s">
        <v>358</v>
      </c>
    </row>
    <row r="1981" spans="1:37">
      <c r="A1981" t="s">
        <v>42</v>
      </c>
      <c r="B1981" t="s">
        <v>62</v>
      </c>
      <c r="C1981" t="s">
        <v>84</v>
      </c>
      <c r="D1981" t="s">
        <v>103</v>
      </c>
      <c r="E1981" t="s">
        <v>122</v>
      </c>
      <c r="F1981" t="s">
        <v>156</v>
      </c>
      <c r="G1981" t="s">
        <v>182</v>
      </c>
      <c r="H1981" t="s">
        <v>83</v>
      </c>
      <c r="I1981" t="s">
        <v>237</v>
      </c>
      <c r="J1981" t="s">
        <v>254</v>
      </c>
      <c r="K1981" t="s">
        <v>268</v>
      </c>
      <c r="L1981" t="s">
        <v>280</v>
      </c>
      <c r="M1981" t="s">
        <v>289</v>
      </c>
      <c r="N1981" t="s">
        <v>298</v>
      </c>
      <c r="O1981" t="s">
        <v>307</v>
      </c>
      <c r="P1981" t="s">
        <v>314</v>
      </c>
      <c r="Q1981" t="s">
        <v>216</v>
      </c>
      <c r="R1981" t="s">
        <v>326</v>
      </c>
      <c r="S1981" t="s">
        <v>333</v>
      </c>
      <c r="T1981" t="s">
        <v>335</v>
      </c>
      <c r="U1981" t="s">
        <v>340</v>
      </c>
      <c r="V1981" t="s">
        <v>344</v>
      </c>
      <c r="W1981" t="s">
        <v>349</v>
      </c>
      <c r="AK1981" t="s">
        <v>358</v>
      </c>
    </row>
    <row r="1982" spans="1:37">
      <c r="A1982" t="s">
        <v>43</v>
      </c>
      <c r="B1982" t="s">
        <v>63</v>
      </c>
      <c r="C1982" t="s">
        <v>85</v>
      </c>
      <c r="D1982" t="s">
        <v>104</v>
      </c>
      <c r="E1982" t="s">
        <v>123</v>
      </c>
      <c r="F1982" t="s">
        <v>157</v>
      </c>
      <c r="G1982" t="s">
        <v>183</v>
      </c>
      <c r="AK1982" t="s">
        <v>358</v>
      </c>
    </row>
    <row r="1983" spans="1:37">
      <c r="A1983" t="s">
        <v>44</v>
      </c>
      <c r="B1983" t="s">
        <v>64</v>
      </c>
      <c r="C1983" t="s">
        <v>86</v>
      </c>
      <c r="D1983" t="s">
        <v>105</v>
      </c>
      <c r="E1983" t="s">
        <v>124</v>
      </c>
      <c r="F1983" t="s">
        <v>158</v>
      </c>
      <c r="G1983" t="s">
        <v>184</v>
      </c>
      <c r="AK1983" t="s">
        <v>358</v>
      </c>
    </row>
    <row r="1984" spans="1:37">
      <c r="A1984" t="s">
        <v>45</v>
      </c>
      <c r="B1984" t="s">
        <v>65</v>
      </c>
      <c r="C1984" t="s">
        <v>87</v>
      </c>
      <c r="D1984" t="s">
        <v>106</v>
      </c>
      <c r="E1984" t="s">
        <v>125</v>
      </c>
      <c r="F1984" t="s">
        <v>159</v>
      </c>
      <c r="G1984" t="s">
        <v>185</v>
      </c>
      <c r="H1984" t="s">
        <v>159</v>
      </c>
      <c r="I1984" t="s">
        <v>185</v>
      </c>
      <c r="J1984" t="s">
        <v>255</v>
      </c>
      <c r="AK1984" t="s">
        <v>358</v>
      </c>
    </row>
    <row r="1985" spans="1:37">
      <c r="A1985" t="s">
        <v>46</v>
      </c>
      <c r="B1985" t="s">
        <v>66</v>
      </c>
      <c r="C1985" t="s">
        <v>88</v>
      </c>
      <c r="D1985" t="s">
        <v>76</v>
      </c>
      <c r="E1985" t="s">
        <v>126</v>
      </c>
      <c r="F1985" t="s">
        <v>160</v>
      </c>
      <c r="G1985" t="s">
        <v>186</v>
      </c>
      <c r="H1985" t="s">
        <v>217</v>
      </c>
      <c r="I1985" t="s">
        <v>238</v>
      </c>
      <c r="J1985" t="s">
        <v>256</v>
      </c>
      <c r="K1985" t="s">
        <v>265</v>
      </c>
      <c r="L1985" t="s">
        <v>281</v>
      </c>
      <c r="M1985" t="s">
        <v>290</v>
      </c>
      <c r="N1985" t="s">
        <v>299</v>
      </c>
      <c r="O1985" t="s">
        <v>308</v>
      </c>
      <c r="P1985" t="s">
        <v>228</v>
      </c>
      <c r="Q1985" t="s">
        <v>72</v>
      </c>
      <c r="R1985" t="s">
        <v>327</v>
      </c>
      <c r="S1985" t="s">
        <v>327</v>
      </c>
      <c r="T1985" t="s">
        <v>336</v>
      </c>
      <c r="U1985" t="s">
        <v>336</v>
      </c>
      <c r="V1985" t="s">
        <v>336</v>
      </c>
      <c r="W1985" t="s">
        <v>336</v>
      </c>
      <c r="X1985" t="s">
        <v>353</v>
      </c>
      <c r="AK1985" t="s">
        <v>358</v>
      </c>
    </row>
    <row r="1986" spans="1:37">
      <c r="B1986" t="s">
        <v>67</v>
      </c>
      <c r="C1986" t="s">
        <v>89</v>
      </c>
      <c r="D1986" t="s">
        <v>107</v>
      </c>
      <c r="AK1986" t="s">
        <v>358</v>
      </c>
    </row>
    <row r="1987" spans="1:37">
      <c r="B1987" t="s">
        <v>68</v>
      </c>
      <c r="C1987" t="s">
        <v>90</v>
      </c>
      <c r="D1987" t="s">
        <v>108</v>
      </c>
      <c r="AK1987" t="s">
        <v>358</v>
      </c>
    </row>
    <row r="1988" spans="1:37">
      <c r="A1988" t="s">
        <v>47</v>
      </c>
      <c r="B1988" t="s">
        <v>69</v>
      </c>
      <c r="C1988" t="s">
        <v>91</v>
      </c>
      <c r="D1988" t="s">
        <v>109</v>
      </c>
      <c r="E1988" t="s">
        <v>109</v>
      </c>
      <c r="F1988" t="s">
        <v>109</v>
      </c>
      <c r="G1988" t="s">
        <v>109</v>
      </c>
      <c r="H1988" t="s">
        <v>109</v>
      </c>
      <c r="I1988" t="s">
        <v>239</v>
      </c>
      <c r="AK1988" t="s">
        <v>358</v>
      </c>
    </row>
    <row r="1989" spans="1:37">
      <c r="B1989" t="s">
        <v>70</v>
      </c>
      <c r="C1989" t="s">
        <v>92</v>
      </c>
      <c r="D1989" t="s">
        <v>110</v>
      </c>
      <c r="E1989" t="s">
        <v>127</v>
      </c>
      <c r="F1989" t="s">
        <v>161</v>
      </c>
      <c r="G1989" t="s">
        <v>187</v>
      </c>
      <c r="H1989" t="s">
        <v>218</v>
      </c>
      <c r="AK1989" t="s">
        <v>358</v>
      </c>
    </row>
    <row r="1990" spans="1:37">
      <c r="B1990" t="s">
        <v>71</v>
      </c>
      <c r="C1990" t="s">
        <v>93</v>
      </c>
      <c r="D1990" t="s">
        <v>111</v>
      </c>
      <c r="E1990" t="s">
        <v>128</v>
      </c>
      <c r="F1990" t="s">
        <v>162</v>
      </c>
      <c r="G1990" t="s">
        <v>188</v>
      </c>
      <c r="H1990" t="s">
        <v>219</v>
      </c>
      <c r="I1990" t="s">
        <v>240</v>
      </c>
      <c r="J1990" t="s">
        <v>257</v>
      </c>
      <c r="K1990" t="s">
        <v>269</v>
      </c>
      <c r="L1990" t="s">
        <v>109</v>
      </c>
      <c r="M1990" t="s">
        <v>109</v>
      </c>
      <c r="N1990" t="s">
        <v>109</v>
      </c>
      <c r="O1990" t="s">
        <v>109</v>
      </c>
      <c r="P1990" t="s">
        <v>109</v>
      </c>
      <c r="Q1990" t="s">
        <v>321</v>
      </c>
      <c r="AK1990" t="s">
        <v>358</v>
      </c>
    </row>
    <row r="1991" spans="1:37">
      <c r="A1991" t="s">
        <v>48</v>
      </c>
      <c r="B1991" t="s">
        <v>71</v>
      </c>
      <c r="C1991" t="s">
        <v>93</v>
      </c>
      <c r="D1991" t="s">
        <v>111</v>
      </c>
      <c r="E1991" t="s">
        <v>128</v>
      </c>
      <c r="F1991" t="s">
        <v>163</v>
      </c>
      <c r="G1991" t="s">
        <v>189</v>
      </c>
      <c r="H1991" t="s">
        <v>220</v>
      </c>
      <c r="I1991" t="s">
        <v>241</v>
      </c>
      <c r="J1991" t="s">
        <v>258</v>
      </c>
      <c r="K1991" t="s">
        <v>270</v>
      </c>
      <c r="AK1991" t="s">
        <v>358</v>
      </c>
    </row>
    <row r="1992" spans="1:37">
      <c r="B1992" t="s">
        <v>72</v>
      </c>
      <c r="C1992" t="s">
        <v>72</v>
      </c>
      <c r="D1992" t="s">
        <v>72</v>
      </c>
      <c r="E1992" t="s">
        <v>137</v>
      </c>
      <c r="F1992" t="s">
        <v>139</v>
      </c>
      <c r="G1992" t="s">
        <v>200</v>
      </c>
      <c r="H1992" t="s">
        <v>205</v>
      </c>
      <c r="I1992" t="s">
        <v>192</v>
      </c>
      <c r="J1992" t="s">
        <v>192</v>
      </c>
      <c r="K1992" t="s">
        <v>271</v>
      </c>
      <c r="AK1992" t="s">
        <v>358</v>
      </c>
    </row>
    <row r="1993" spans="1:37">
      <c r="A1993" t="s">
        <v>37</v>
      </c>
      <c r="B1993" t="s">
        <v>49</v>
      </c>
      <c r="C1993" t="s">
        <v>73</v>
      </c>
      <c r="D1993" t="s">
        <v>94</v>
      </c>
      <c r="E1993" t="s">
        <v>112</v>
      </c>
      <c r="F1993" t="s">
        <v>146</v>
      </c>
      <c r="G1993" t="s">
        <v>172</v>
      </c>
      <c r="H1993" t="s">
        <v>207</v>
      </c>
      <c r="I1993" t="s">
        <v>226</v>
      </c>
      <c r="J1993" t="s">
        <v>246</v>
      </c>
      <c r="K1993" t="s">
        <v>259</v>
      </c>
      <c r="AK1993" t="s">
        <v>358</v>
      </c>
    </row>
    <row r="1994" spans="1:37">
      <c r="A1994" t="s">
        <v>38</v>
      </c>
      <c r="B1994" t="s">
        <v>50</v>
      </c>
      <c r="C1994" t="s">
        <v>74</v>
      </c>
      <c r="D1994" t="s">
        <v>95</v>
      </c>
      <c r="E1994" t="s">
        <v>113</v>
      </c>
      <c r="F1994" t="s">
        <v>147</v>
      </c>
      <c r="G1994" t="s">
        <v>173</v>
      </c>
      <c r="H1994" t="s">
        <v>208</v>
      </c>
      <c r="I1994" t="s">
        <v>227</v>
      </c>
      <c r="J1994" t="s">
        <v>115</v>
      </c>
      <c r="K1994" t="s">
        <v>260</v>
      </c>
      <c r="L1994" t="s">
        <v>273</v>
      </c>
      <c r="M1994" t="s">
        <v>282</v>
      </c>
      <c r="N1994" t="s">
        <v>291</v>
      </c>
      <c r="AK1994" t="s">
        <v>358</v>
      </c>
    </row>
    <row r="1995" spans="1:37">
      <c r="B1995" t="s">
        <v>51</v>
      </c>
      <c r="C1995" t="s">
        <v>75</v>
      </c>
      <c r="D1995" t="s">
        <v>52</v>
      </c>
      <c r="E1995" t="s">
        <v>114</v>
      </c>
      <c r="F1995" t="s">
        <v>148</v>
      </c>
      <c r="G1995" t="s">
        <v>148</v>
      </c>
      <c r="H1995" t="s">
        <v>209</v>
      </c>
      <c r="I1995" t="s">
        <v>228</v>
      </c>
      <c r="J1995" t="s">
        <v>247</v>
      </c>
      <c r="K1995" t="s">
        <v>261</v>
      </c>
      <c r="L1995" t="s">
        <v>274</v>
      </c>
      <c r="M1995" t="s">
        <v>283</v>
      </c>
      <c r="N1995" t="s">
        <v>292</v>
      </c>
      <c r="O1995" t="s">
        <v>300</v>
      </c>
      <c r="AK1995" t="s">
        <v>358</v>
      </c>
    </row>
    <row r="1996" spans="1:37">
      <c r="B1996" t="s">
        <v>52</v>
      </c>
      <c r="C1996" t="s">
        <v>76</v>
      </c>
      <c r="D1996" t="s">
        <v>96</v>
      </c>
      <c r="E1996" t="s">
        <v>115</v>
      </c>
      <c r="F1996" t="s">
        <v>149</v>
      </c>
      <c r="G1996" t="s">
        <v>174</v>
      </c>
      <c r="H1996" t="s">
        <v>96</v>
      </c>
      <c r="I1996" t="s">
        <v>229</v>
      </c>
      <c r="J1996" t="s">
        <v>248</v>
      </c>
      <c r="K1996" t="s">
        <v>262</v>
      </c>
      <c r="L1996" t="s">
        <v>52</v>
      </c>
      <c r="M1996" t="s">
        <v>76</v>
      </c>
      <c r="N1996" t="s">
        <v>293</v>
      </c>
      <c r="O1996" t="s">
        <v>301</v>
      </c>
      <c r="P1996" t="s">
        <v>309</v>
      </c>
      <c r="Q1996" t="s">
        <v>315</v>
      </c>
      <c r="R1996" t="s">
        <v>228</v>
      </c>
      <c r="S1996" t="s">
        <v>328</v>
      </c>
      <c r="T1996" t="s">
        <v>149</v>
      </c>
      <c r="U1996" t="s">
        <v>337</v>
      </c>
      <c r="V1996" t="s">
        <v>341</v>
      </c>
      <c r="W1996" t="s">
        <v>345</v>
      </c>
      <c r="X1996" t="s">
        <v>350</v>
      </c>
      <c r="AK1996" t="s">
        <v>358</v>
      </c>
    </row>
    <row r="1997" spans="1:37">
      <c r="B1997" t="s">
        <v>53</v>
      </c>
      <c r="C1997" t="s">
        <v>77</v>
      </c>
      <c r="D1997" t="s">
        <v>97</v>
      </c>
      <c r="E1997" t="s">
        <v>116</v>
      </c>
      <c r="F1997" t="s">
        <v>150</v>
      </c>
      <c r="G1997" t="s">
        <v>175</v>
      </c>
      <c r="H1997" t="s">
        <v>210</v>
      </c>
      <c r="I1997" t="s">
        <v>230</v>
      </c>
      <c r="J1997" t="s">
        <v>249</v>
      </c>
      <c r="K1997" t="s">
        <v>263</v>
      </c>
      <c r="L1997" t="s">
        <v>275</v>
      </c>
      <c r="M1997" t="s">
        <v>284</v>
      </c>
      <c r="N1997" t="s">
        <v>294</v>
      </c>
      <c r="O1997" t="s">
        <v>302</v>
      </c>
      <c r="P1997" t="s">
        <v>310</v>
      </c>
      <c r="Q1997" t="s">
        <v>316</v>
      </c>
      <c r="R1997" t="s">
        <v>322</v>
      </c>
      <c r="S1997" t="s">
        <v>329</v>
      </c>
      <c r="AK1997" t="s">
        <v>358</v>
      </c>
    </row>
    <row r="1998" spans="1:37">
      <c r="A1998" t="s">
        <v>39</v>
      </c>
      <c r="B1998" t="s">
        <v>54</v>
      </c>
      <c r="C1998" t="s">
        <v>54</v>
      </c>
      <c r="D1998" t="s">
        <v>54</v>
      </c>
      <c r="E1998" t="s">
        <v>54</v>
      </c>
      <c r="F1998" t="s">
        <v>54</v>
      </c>
      <c r="G1998" t="s">
        <v>54</v>
      </c>
      <c r="H1998" t="s">
        <v>54</v>
      </c>
      <c r="I1998" t="s">
        <v>54</v>
      </c>
      <c r="J1998" t="s">
        <v>54</v>
      </c>
      <c r="K1998" t="s">
        <v>54</v>
      </c>
      <c r="L1998" t="s">
        <v>54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323</v>
      </c>
      <c r="S1998" t="s">
        <v>330</v>
      </c>
      <c r="AK1998" t="s">
        <v>358</v>
      </c>
    </row>
    <row r="1999" spans="1:37">
      <c r="B1999" t="s">
        <v>55</v>
      </c>
      <c r="C1999" t="s">
        <v>78</v>
      </c>
      <c r="D1999" t="s">
        <v>55</v>
      </c>
      <c r="E1999" t="s">
        <v>78</v>
      </c>
      <c r="F1999" t="s">
        <v>55</v>
      </c>
      <c r="G1999" t="s">
        <v>78</v>
      </c>
      <c r="H1999" t="s">
        <v>55</v>
      </c>
      <c r="I1999" t="s">
        <v>78</v>
      </c>
      <c r="J1999" t="s">
        <v>55</v>
      </c>
      <c r="K1999" t="s">
        <v>78</v>
      </c>
      <c r="L1999" t="s">
        <v>55</v>
      </c>
      <c r="M1999" t="s">
        <v>78</v>
      </c>
      <c r="N1999" t="s">
        <v>55</v>
      </c>
      <c r="O1999" t="s">
        <v>78</v>
      </c>
      <c r="P1999" t="s">
        <v>55</v>
      </c>
      <c r="Q1999" t="s">
        <v>78</v>
      </c>
      <c r="R1999" t="s">
        <v>55</v>
      </c>
      <c r="S1999" t="s">
        <v>78</v>
      </c>
      <c r="T1999" t="s">
        <v>55</v>
      </c>
      <c r="U1999" t="s">
        <v>78</v>
      </c>
      <c r="V1999" t="s">
        <v>55</v>
      </c>
      <c r="W1999" t="s">
        <v>78</v>
      </c>
      <c r="X1999" t="s">
        <v>55</v>
      </c>
      <c r="Y1999" t="s">
        <v>78</v>
      </c>
      <c r="Z1999" t="s">
        <v>55</v>
      </c>
      <c r="AA1999" t="s">
        <v>78</v>
      </c>
      <c r="AB1999" t="s">
        <v>55</v>
      </c>
      <c r="AC1999" t="s">
        <v>78</v>
      </c>
      <c r="AD1999" t="s">
        <v>55</v>
      </c>
      <c r="AE1999" t="s">
        <v>78</v>
      </c>
      <c r="AF1999" t="s">
        <v>55</v>
      </c>
      <c r="AG1999" t="s">
        <v>78</v>
      </c>
      <c r="AH1999" t="s">
        <v>55</v>
      </c>
      <c r="AI1999" t="s">
        <v>78</v>
      </c>
      <c r="AK1999" t="s">
        <v>358</v>
      </c>
    </row>
    <row r="2000" spans="1:37">
      <c r="B2000" t="s">
        <v>56</v>
      </c>
      <c r="C2000" t="s">
        <v>56</v>
      </c>
      <c r="D2000" t="s">
        <v>56</v>
      </c>
      <c r="E2000" t="s">
        <v>56</v>
      </c>
      <c r="F2000" t="s">
        <v>56</v>
      </c>
      <c r="G2000" t="s">
        <v>176</v>
      </c>
      <c r="H2000" t="s">
        <v>211</v>
      </c>
      <c r="I2000" t="s">
        <v>231</v>
      </c>
      <c r="J2000" t="s">
        <v>250</v>
      </c>
      <c r="K2000" t="s">
        <v>264</v>
      </c>
      <c r="L2000" t="s">
        <v>276</v>
      </c>
      <c r="M2000" t="s">
        <v>285</v>
      </c>
      <c r="N2000" t="s">
        <v>295</v>
      </c>
      <c r="O2000" t="s">
        <v>303</v>
      </c>
      <c r="P2000" t="s">
        <v>56</v>
      </c>
      <c r="Q2000" t="s">
        <v>317</v>
      </c>
      <c r="R2000" t="s">
        <v>324</v>
      </c>
      <c r="S2000" t="s">
        <v>331</v>
      </c>
      <c r="T2000" t="s">
        <v>334</v>
      </c>
      <c r="U2000" t="s">
        <v>338</v>
      </c>
      <c r="V2000" t="s">
        <v>342</v>
      </c>
      <c r="W2000" t="s">
        <v>346</v>
      </c>
      <c r="X2000" t="s">
        <v>351</v>
      </c>
      <c r="AK2000" t="s">
        <v>358</v>
      </c>
    </row>
    <row r="2001" spans="1:37">
      <c r="B2001" t="s">
        <v>57</v>
      </c>
      <c r="C2001" t="s">
        <v>79</v>
      </c>
      <c r="D2001" t="s">
        <v>98</v>
      </c>
      <c r="E2001" t="s">
        <v>117</v>
      </c>
      <c r="F2001" t="s">
        <v>151</v>
      </c>
      <c r="G2001" t="s">
        <v>177</v>
      </c>
      <c r="H2001" t="s">
        <v>212</v>
      </c>
      <c r="I2001" t="s">
        <v>232</v>
      </c>
      <c r="J2001" t="s">
        <v>251</v>
      </c>
      <c r="K2001" t="s">
        <v>265</v>
      </c>
      <c r="L2001" t="s">
        <v>277</v>
      </c>
      <c r="M2001" t="s">
        <v>286</v>
      </c>
      <c r="N2001" t="s">
        <v>296</v>
      </c>
      <c r="O2001" t="s">
        <v>304</v>
      </c>
      <c r="P2001" t="s">
        <v>311</v>
      </c>
      <c r="Q2001" t="s">
        <v>318</v>
      </c>
      <c r="R2001" t="s">
        <v>185</v>
      </c>
      <c r="S2001" t="s">
        <v>159</v>
      </c>
      <c r="T2001" t="s">
        <v>185</v>
      </c>
      <c r="U2001" t="s">
        <v>339</v>
      </c>
      <c r="V2001" t="s">
        <v>72</v>
      </c>
      <c r="W2001" t="s">
        <v>347</v>
      </c>
      <c r="X2001" t="s">
        <v>72</v>
      </c>
      <c r="Y2001" t="s">
        <v>96</v>
      </c>
      <c r="AK2001" t="s">
        <v>358</v>
      </c>
    </row>
    <row r="2002" spans="1:37">
      <c r="B2002" t="s">
        <v>58</v>
      </c>
      <c r="C2002" t="s">
        <v>80</v>
      </c>
      <c r="D2002" t="s">
        <v>99</v>
      </c>
      <c r="E2002" t="s">
        <v>118</v>
      </c>
      <c r="F2002" t="s">
        <v>152</v>
      </c>
      <c r="G2002" t="s">
        <v>178</v>
      </c>
      <c r="H2002" t="s">
        <v>213</v>
      </c>
      <c r="I2002" t="s">
        <v>233</v>
      </c>
      <c r="J2002" t="s">
        <v>252</v>
      </c>
      <c r="K2002" t="s">
        <v>266</v>
      </c>
      <c r="L2002" t="s">
        <v>278</v>
      </c>
      <c r="M2002" t="s">
        <v>287</v>
      </c>
      <c r="N2002" t="s">
        <v>297</v>
      </c>
      <c r="O2002" t="s">
        <v>305</v>
      </c>
      <c r="P2002" t="s">
        <v>312</v>
      </c>
      <c r="Q2002" t="s">
        <v>319</v>
      </c>
      <c r="R2002">
        <f>&gt;10       ветра      3.3     18  14 28</f>
        <v>0</v>
      </c>
      <c r="AK2002" t="s">
        <v>358</v>
      </c>
    </row>
    <row r="2003" spans="1:37">
      <c r="A2003" t="s">
        <v>40</v>
      </c>
      <c r="B2003" t="s">
        <v>59</v>
      </c>
      <c r="C2003" t="s">
        <v>81</v>
      </c>
      <c r="D2003" t="s">
        <v>100</v>
      </c>
      <c r="E2003" t="s">
        <v>119</v>
      </c>
      <c r="F2003" t="s">
        <v>153</v>
      </c>
      <c r="G2003" t="s">
        <v>179</v>
      </c>
      <c r="H2003" t="s">
        <v>214</v>
      </c>
      <c r="I2003" t="s">
        <v>234</v>
      </c>
      <c r="AK2003" t="s">
        <v>358</v>
      </c>
    </row>
    <row r="2004" spans="1:37">
      <c r="A2004" t="s">
        <v>40</v>
      </c>
      <c r="B2004" t="s">
        <v>60</v>
      </c>
      <c r="C2004" t="s">
        <v>82</v>
      </c>
      <c r="D2004" t="s">
        <v>101</v>
      </c>
      <c r="E2004" t="s">
        <v>120</v>
      </c>
      <c r="F2004" t="s">
        <v>154</v>
      </c>
      <c r="G2004" t="s">
        <v>180</v>
      </c>
      <c r="H2004" t="s">
        <v>215</v>
      </c>
      <c r="I2004" t="s">
        <v>235</v>
      </c>
      <c r="J2004" t="s">
        <v>253</v>
      </c>
      <c r="K2004" t="s">
        <v>267</v>
      </c>
      <c r="L2004" t="s">
        <v>279</v>
      </c>
      <c r="M2004" t="s">
        <v>288</v>
      </c>
      <c r="N2004" t="s">
        <v>100</v>
      </c>
      <c r="O2004" t="s">
        <v>306</v>
      </c>
      <c r="P2004" t="s">
        <v>313</v>
      </c>
      <c r="Q2004" t="s">
        <v>320</v>
      </c>
      <c r="R2004" t="s">
        <v>325</v>
      </c>
      <c r="S2004" t="s">
        <v>332</v>
      </c>
      <c r="T2004" t="s">
        <v>119</v>
      </c>
      <c r="U2004" t="s">
        <v>234</v>
      </c>
      <c r="V2004" t="s">
        <v>343</v>
      </c>
      <c r="W2004" t="s">
        <v>348</v>
      </c>
      <c r="X2004" t="s">
        <v>352</v>
      </c>
      <c r="Y2004" t="s">
        <v>354</v>
      </c>
      <c r="AK2004" t="s">
        <v>358</v>
      </c>
    </row>
    <row r="2005" spans="1:37">
      <c r="A2005" t="s">
        <v>41</v>
      </c>
      <c r="B2005" t="s">
        <v>61</v>
      </c>
      <c r="C2005" t="s">
        <v>83</v>
      </c>
      <c r="D2005" t="s">
        <v>102</v>
      </c>
      <c r="E2005" t="s">
        <v>121</v>
      </c>
      <c r="F2005" t="s">
        <v>155</v>
      </c>
      <c r="G2005" t="s">
        <v>181</v>
      </c>
      <c r="H2005" t="s">
        <v>216</v>
      </c>
      <c r="I2005" t="s">
        <v>236</v>
      </c>
      <c r="AK2005" t="s">
        <v>358</v>
      </c>
    </row>
    <row r="2006" spans="1:37">
      <c r="A2006" t="s">
        <v>42</v>
      </c>
      <c r="B2006" t="s">
        <v>62</v>
      </c>
      <c r="C2006" t="s">
        <v>84</v>
      </c>
      <c r="D2006" t="s">
        <v>103</v>
      </c>
      <c r="E2006" t="s">
        <v>122</v>
      </c>
      <c r="F2006" t="s">
        <v>156</v>
      </c>
      <c r="G2006" t="s">
        <v>182</v>
      </c>
      <c r="H2006" t="s">
        <v>83</v>
      </c>
      <c r="I2006" t="s">
        <v>237</v>
      </c>
      <c r="J2006" t="s">
        <v>254</v>
      </c>
      <c r="K2006" t="s">
        <v>268</v>
      </c>
      <c r="L2006" t="s">
        <v>280</v>
      </c>
      <c r="M2006" t="s">
        <v>289</v>
      </c>
      <c r="N2006" t="s">
        <v>298</v>
      </c>
      <c r="O2006" t="s">
        <v>307</v>
      </c>
      <c r="P2006" t="s">
        <v>314</v>
      </c>
      <c r="Q2006" t="s">
        <v>216</v>
      </c>
      <c r="R2006" t="s">
        <v>326</v>
      </c>
      <c r="S2006" t="s">
        <v>333</v>
      </c>
      <c r="T2006" t="s">
        <v>335</v>
      </c>
      <c r="U2006" t="s">
        <v>340</v>
      </c>
      <c r="V2006" t="s">
        <v>344</v>
      </c>
      <c r="W2006" t="s">
        <v>349</v>
      </c>
      <c r="AK2006" t="s">
        <v>358</v>
      </c>
    </row>
    <row r="2007" spans="1:37">
      <c r="A2007" t="s">
        <v>43</v>
      </c>
      <c r="B2007" t="s">
        <v>63</v>
      </c>
      <c r="C2007" t="s">
        <v>85</v>
      </c>
      <c r="D2007" t="s">
        <v>104</v>
      </c>
      <c r="E2007" t="s">
        <v>123</v>
      </c>
      <c r="F2007" t="s">
        <v>157</v>
      </c>
      <c r="G2007" t="s">
        <v>183</v>
      </c>
      <c r="AK2007" t="s">
        <v>358</v>
      </c>
    </row>
    <row r="2008" spans="1:37">
      <c r="A2008" t="s">
        <v>44</v>
      </c>
      <c r="B2008" t="s">
        <v>64</v>
      </c>
      <c r="C2008" t="s">
        <v>86</v>
      </c>
      <c r="D2008" t="s">
        <v>105</v>
      </c>
      <c r="E2008" t="s">
        <v>124</v>
      </c>
      <c r="F2008" t="s">
        <v>158</v>
      </c>
      <c r="G2008" t="s">
        <v>184</v>
      </c>
      <c r="AK2008" t="s">
        <v>358</v>
      </c>
    </row>
    <row r="2009" spans="1:37">
      <c r="A2009" t="s">
        <v>45</v>
      </c>
      <c r="B2009" t="s">
        <v>65</v>
      </c>
      <c r="C2009" t="s">
        <v>87</v>
      </c>
      <c r="D2009" t="s">
        <v>106</v>
      </c>
      <c r="E2009" t="s">
        <v>125</v>
      </c>
      <c r="F2009" t="s">
        <v>159</v>
      </c>
      <c r="G2009" t="s">
        <v>185</v>
      </c>
      <c r="H2009" t="s">
        <v>159</v>
      </c>
      <c r="I2009" t="s">
        <v>185</v>
      </c>
      <c r="J2009" t="s">
        <v>255</v>
      </c>
      <c r="AK2009" t="s">
        <v>358</v>
      </c>
    </row>
    <row r="2010" spans="1:37">
      <c r="A2010" t="s">
        <v>46</v>
      </c>
      <c r="B2010" t="s">
        <v>66</v>
      </c>
      <c r="C2010" t="s">
        <v>88</v>
      </c>
      <c r="D2010" t="s">
        <v>76</v>
      </c>
      <c r="E2010" t="s">
        <v>126</v>
      </c>
      <c r="F2010" t="s">
        <v>160</v>
      </c>
      <c r="G2010" t="s">
        <v>186</v>
      </c>
      <c r="H2010" t="s">
        <v>217</v>
      </c>
      <c r="I2010" t="s">
        <v>238</v>
      </c>
      <c r="J2010" t="s">
        <v>256</v>
      </c>
      <c r="K2010" t="s">
        <v>265</v>
      </c>
      <c r="L2010" t="s">
        <v>281</v>
      </c>
      <c r="M2010" t="s">
        <v>290</v>
      </c>
      <c r="N2010" t="s">
        <v>299</v>
      </c>
      <c r="O2010" t="s">
        <v>308</v>
      </c>
      <c r="P2010" t="s">
        <v>228</v>
      </c>
      <c r="Q2010" t="s">
        <v>72</v>
      </c>
      <c r="R2010" t="s">
        <v>327</v>
      </c>
      <c r="S2010" t="s">
        <v>327</v>
      </c>
      <c r="T2010" t="s">
        <v>336</v>
      </c>
      <c r="U2010" t="s">
        <v>336</v>
      </c>
      <c r="V2010" t="s">
        <v>336</v>
      </c>
      <c r="W2010" t="s">
        <v>336</v>
      </c>
      <c r="X2010" t="s">
        <v>353</v>
      </c>
      <c r="AK2010" t="s">
        <v>358</v>
      </c>
    </row>
    <row r="2011" spans="1:37">
      <c r="A2011" t="s">
        <v>37</v>
      </c>
      <c r="B2011" t="s">
        <v>49</v>
      </c>
      <c r="C2011" t="s">
        <v>73</v>
      </c>
      <c r="D2011" t="s">
        <v>94</v>
      </c>
      <c r="E2011" t="s">
        <v>112</v>
      </c>
      <c r="F2011" t="s">
        <v>146</v>
      </c>
      <c r="G2011" t="s">
        <v>172</v>
      </c>
      <c r="H2011" t="s">
        <v>207</v>
      </c>
      <c r="I2011" t="s">
        <v>226</v>
      </c>
      <c r="J2011" t="s">
        <v>246</v>
      </c>
      <c r="K2011" t="s">
        <v>259</v>
      </c>
      <c r="AK2011" t="s">
        <v>358</v>
      </c>
    </row>
    <row r="2012" spans="1:37">
      <c r="A2012" t="s">
        <v>38</v>
      </c>
      <c r="B2012" t="s">
        <v>50</v>
      </c>
      <c r="C2012" t="s">
        <v>74</v>
      </c>
      <c r="D2012" t="s">
        <v>95</v>
      </c>
      <c r="E2012" t="s">
        <v>113</v>
      </c>
      <c r="F2012" t="s">
        <v>147</v>
      </c>
      <c r="G2012" t="s">
        <v>173</v>
      </c>
      <c r="H2012" t="s">
        <v>208</v>
      </c>
      <c r="I2012" t="s">
        <v>227</v>
      </c>
      <c r="J2012" t="s">
        <v>115</v>
      </c>
      <c r="K2012" t="s">
        <v>260</v>
      </c>
      <c r="L2012" t="s">
        <v>273</v>
      </c>
      <c r="M2012" t="s">
        <v>282</v>
      </c>
      <c r="N2012" t="s">
        <v>291</v>
      </c>
      <c r="AK2012" t="s">
        <v>358</v>
      </c>
    </row>
    <row r="2013" spans="1:37">
      <c r="B2013" t="s">
        <v>51</v>
      </c>
      <c r="C2013" t="s">
        <v>75</v>
      </c>
      <c r="D2013" t="s">
        <v>52</v>
      </c>
      <c r="E2013" t="s">
        <v>114</v>
      </c>
      <c r="F2013" t="s">
        <v>148</v>
      </c>
      <c r="G2013" t="s">
        <v>148</v>
      </c>
      <c r="H2013" t="s">
        <v>209</v>
      </c>
      <c r="I2013" t="s">
        <v>228</v>
      </c>
      <c r="J2013" t="s">
        <v>247</v>
      </c>
      <c r="K2013" t="s">
        <v>261</v>
      </c>
      <c r="L2013" t="s">
        <v>274</v>
      </c>
      <c r="M2013" t="s">
        <v>283</v>
      </c>
      <c r="N2013" t="s">
        <v>292</v>
      </c>
      <c r="O2013" t="s">
        <v>300</v>
      </c>
      <c r="AK2013" t="s">
        <v>358</v>
      </c>
    </row>
    <row r="2014" spans="1:37">
      <c r="B2014" t="s">
        <v>52</v>
      </c>
      <c r="C2014" t="s">
        <v>76</v>
      </c>
      <c r="D2014" t="s">
        <v>96</v>
      </c>
      <c r="E2014" t="s">
        <v>115</v>
      </c>
      <c r="F2014" t="s">
        <v>149</v>
      </c>
      <c r="G2014" t="s">
        <v>174</v>
      </c>
      <c r="H2014" t="s">
        <v>96</v>
      </c>
      <c r="I2014" t="s">
        <v>229</v>
      </c>
      <c r="J2014" t="s">
        <v>248</v>
      </c>
      <c r="K2014" t="s">
        <v>262</v>
      </c>
      <c r="L2014" t="s">
        <v>52</v>
      </c>
      <c r="M2014" t="s">
        <v>76</v>
      </c>
      <c r="N2014" t="s">
        <v>293</v>
      </c>
      <c r="O2014" t="s">
        <v>301</v>
      </c>
      <c r="P2014" t="s">
        <v>309</v>
      </c>
      <c r="Q2014" t="s">
        <v>315</v>
      </c>
      <c r="R2014" t="s">
        <v>228</v>
      </c>
      <c r="S2014" t="s">
        <v>328</v>
      </c>
      <c r="T2014" t="s">
        <v>149</v>
      </c>
      <c r="U2014" t="s">
        <v>337</v>
      </c>
      <c r="V2014" t="s">
        <v>341</v>
      </c>
      <c r="W2014" t="s">
        <v>345</v>
      </c>
      <c r="X2014" t="s">
        <v>350</v>
      </c>
      <c r="AK2014" t="s">
        <v>358</v>
      </c>
    </row>
    <row r="2015" spans="1:37">
      <c r="B2015" t="s">
        <v>53</v>
      </c>
      <c r="C2015" t="s">
        <v>77</v>
      </c>
      <c r="D2015" t="s">
        <v>97</v>
      </c>
      <c r="E2015" t="s">
        <v>116</v>
      </c>
      <c r="F2015" t="s">
        <v>150</v>
      </c>
      <c r="G2015" t="s">
        <v>175</v>
      </c>
      <c r="H2015" t="s">
        <v>210</v>
      </c>
      <c r="I2015" t="s">
        <v>230</v>
      </c>
      <c r="J2015" t="s">
        <v>249</v>
      </c>
      <c r="K2015" t="s">
        <v>263</v>
      </c>
      <c r="L2015" t="s">
        <v>275</v>
      </c>
      <c r="M2015" t="s">
        <v>284</v>
      </c>
      <c r="N2015" t="s">
        <v>294</v>
      </c>
      <c r="O2015" t="s">
        <v>302</v>
      </c>
      <c r="P2015" t="s">
        <v>310</v>
      </c>
      <c r="Q2015" t="s">
        <v>316</v>
      </c>
      <c r="R2015" t="s">
        <v>322</v>
      </c>
      <c r="S2015" t="s">
        <v>329</v>
      </c>
      <c r="AK2015" t="s">
        <v>358</v>
      </c>
    </row>
    <row r="2016" spans="1:37">
      <c r="A2016" t="s">
        <v>39</v>
      </c>
      <c r="B2016" t="s">
        <v>54</v>
      </c>
      <c r="C2016" t="s">
        <v>54</v>
      </c>
      <c r="D2016" t="s">
        <v>54</v>
      </c>
      <c r="E2016" t="s">
        <v>54</v>
      </c>
      <c r="F2016" t="s">
        <v>54</v>
      </c>
      <c r="G2016" t="s">
        <v>54</v>
      </c>
      <c r="H2016" t="s">
        <v>54</v>
      </c>
      <c r="I2016" t="s">
        <v>54</v>
      </c>
      <c r="J2016" t="s">
        <v>54</v>
      </c>
      <c r="K2016" t="s">
        <v>54</v>
      </c>
      <c r="L2016" t="s">
        <v>54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323</v>
      </c>
      <c r="S2016" t="s">
        <v>330</v>
      </c>
      <c r="AK2016" t="s">
        <v>358</v>
      </c>
    </row>
    <row r="2017" spans="1:37">
      <c r="B2017" t="s">
        <v>55</v>
      </c>
      <c r="C2017" t="s">
        <v>78</v>
      </c>
      <c r="D2017" t="s">
        <v>55</v>
      </c>
      <c r="E2017" t="s">
        <v>78</v>
      </c>
      <c r="F2017" t="s">
        <v>55</v>
      </c>
      <c r="G2017" t="s">
        <v>78</v>
      </c>
      <c r="H2017" t="s">
        <v>55</v>
      </c>
      <c r="I2017" t="s">
        <v>78</v>
      </c>
      <c r="J2017" t="s">
        <v>55</v>
      </c>
      <c r="K2017" t="s">
        <v>78</v>
      </c>
      <c r="L2017" t="s">
        <v>55</v>
      </c>
      <c r="M2017" t="s">
        <v>78</v>
      </c>
      <c r="N2017" t="s">
        <v>55</v>
      </c>
      <c r="O2017" t="s">
        <v>78</v>
      </c>
      <c r="P2017" t="s">
        <v>55</v>
      </c>
      <c r="Q2017" t="s">
        <v>78</v>
      </c>
      <c r="R2017" t="s">
        <v>55</v>
      </c>
      <c r="S2017" t="s">
        <v>78</v>
      </c>
      <c r="T2017" t="s">
        <v>55</v>
      </c>
      <c r="U2017" t="s">
        <v>78</v>
      </c>
      <c r="V2017" t="s">
        <v>55</v>
      </c>
      <c r="W2017" t="s">
        <v>78</v>
      </c>
      <c r="X2017" t="s">
        <v>55</v>
      </c>
      <c r="Y2017" t="s">
        <v>78</v>
      </c>
      <c r="Z2017" t="s">
        <v>55</v>
      </c>
      <c r="AA2017" t="s">
        <v>78</v>
      </c>
      <c r="AB2017" t="s">
        <v>55</v>
      </c>
      <c r="AC2017" t="s">
        <v>78</v>
      </c>
      <c r="AD2017" t="s">
        <v>55</v>
      </c>
      <c r="AE2017" t="s">
        <v>78</v>
      </c>
      <c r="AF2017" t="s">
        <v>55</v>
      </c>
      <c r="AG2017" t="s">
        <v>78</v>
      </c>
      <c r="AH2017" t="s">
        <v>55</v>
      </c>
      <c r="AI2017" t="s">
        <v>78</v>
      </c>
      <c r="AK2017" t="s">
        <v>358</v>
      </c>
    </row>
    <row r="2018" spans="1:37">
      <c r="B2018" t="s">
        <v>56</v>
      </c>
      <c r="C2018" t="s">
        <v>56</v>
      </c>
      <c r="D2018" t="s">
        <v>56</v>
      </c>
      <c r="E2018" t="s">
        <v>56</v>
      </c>
      <c r="F2018" t="s">
        <v>56</v>
      </c>
      <c r="G2018" t="s">
        <v>176</v>
      </c>
      <c r="H2018" t="s">
        <v>211</v>
      </c>
      <c r="I2018" t="s">
        <v>231</v>
      </c>
      <c r="J2018" t="s">
        <v>250</v>
      </c>
      <c r="K2018" t="s">
        <v>264</v>
      </c>
      <c r="L2018" t="s">
        <v>276</v>
      </c>
      <c r="M2018" t="s">
        <v>285</v>
      </c>
      <c r="N2018" t="s">
        <v>295</v>
      </c>
      <c r="O2018" t="s">
        <v>303</v>
      </c>
      <c r="P2018" t="s">
        <v>56</v>
      </c>
      <c r="Q2018" t="s">
        <v>317</v>
      </c>
      <c r="R2018" t="s">
        <v>324</v>
      </c>
      <c r="S2018" t="s">
        <v>331</v>
      </c>
      <c r="T2018" t="s">
        <v>334</v>
      </c>
      <c r="U2018" t="s">
        <v>338</v>
      </c>
      <c r="V2018" t="s">
        <v>342</v>
      </c>
      <c r="W2018" t="s">
        <v>346</v>
      </c>
      <c r="X2018" t="s">
        <v>351</v>
      </c>
      <c r="AK2018" t="s">
        <v>358</v>
      </c>
    </row>
    <row r="2019" spans="1:37">
      <c r="B2019" t="s">
        <v>57</v>
      </c>
      <c r="C2019" t="s">
        <v>79</v>
      </c>
      <c r="D2019" t="s">
        <v>98</v>
      </c>
      <c r="E2019" t="s">
        <v>117</v>
      </c>
      <c r="F2019" t="s">
        <v>151</v>
      </c>
      <c r="G2019" t="s">
        <v>177</v>
      </c>
      <c r="H2019" t="s">
        <v>212</v>
      </c>
      <c r="I2019" t="s">
        <v>232</v>
      </c>
      <c r="J2019" t="s">
        <v>251</v>
      </c>
      <c r="K2019" t="s">
        <v>265</v>
      </c>
      <c r="L2019" t="s">
        <v>277</v>
      </c>
      <c r="M2019" t="s">
        <v>286</v>
      </c>
      <c r="N2019" t="s">
        <v>296</v>
      </c>
      <c r="O2019" t="s">
        <v>304</v>
      </c>
      <c r="P2019" t="s">
        <v>311</v>
      </c>
      <c r="Q2019" t="s">
        <v>318</v>
      </c>
      <c r="R2019" t="s">
        <v>185</v>
      </c>
      <c r="S2019" t="s">
        <v>159</v>
      </c>
      <c r="T2019" t="s">
        <v>185</v>
      </c>
      <c r="U2019" t="s">
        <v>339</v>
      </c>
      <c r="V2019" t="s">
        <v>72</v>
      </c>
      <c r="W2019" t="s">
        <v>347</v>
      </c>
      <c r="X2019" t="s">
        <v>72</v>
      </c>
      <c r="Y2019" t="s">
        <v>96</v>
      </c>
      <c r="AK2019" t="s">
        <v>358</v>
      </c>
    </row>
    <row r="2020" spans="1:37">
      <c r="B2020" t="s">
        <v>58</v>
      </c>
      <c r="C2020" t="s">
        <v>80</v>
      </c>
      <c r="D2020" t="s">
        <v>99</v>
      </c>
      <c r="E2020" t="s">
        <v>118</v>
      </c>
      <c r="F2020" t="s">
        <v>152</v>
      </c>
      <c r="G2020" t="s">
        <v>178</v>
      </c>
      <c r="H2020" t="s">
        <v>213</v>
      </c>
      <c r="I2020" t="s">
        <v>233</v>
      </c>
      <c r="J2020" t="s">
        <v>252</v>
      </c>
      <c r="K2020" t="s">
        <v>266</v>
      </c>
      <c r="L2020" t="s">
        <v>278</v>
      </c>
      <c r="M2020" t="s">
        <v>287</v>
      </c>
      <c r="N2020" t="s">
        <v>297</v>
      </c>
      <c r="O2020" t="s">
        <v>305</v>
      </c>
      <c r="P2020" t="s">
        <v>312</v>
      </c>
      <c r="Q2020" t="s">
        <v>319</v>
      </c>
      <c r="R2020">
        <f>&gt;10       ветра      2.9     20  25</f>
        <v>0</v>
      </c>
      <c r="AK2020" t="s">
        <v>358</v>
      </c>
    </row>
    <row r="2021" spans="1:37">
      <c r="A2021" t="s">
        <v>40</v>
      </c>
      <c r="B2021" t="s">
        <v>59</v>
      </c>
      <c r="C2021" t="s">
        <v>81</v>
      </c>
      <c r="D2021" t="s">
        <v>100</v>
      </c>
      <c r="E2021" t="s">
        <v>119</v>
      </c>
      <c r="F2021" t="s">
        <v>153</v>
      </c>
      <c r="G2021" t="s">
        <v>179</v>
      </c>
      <c r="H2021" t="s">
        <v>214</v>
      </c>
      <c r="I2021" t="s">
        <v>234</v>
      </c>
      <c r="AK2021" t="s">
        <v>358</v>
      </c>
    </row>
    <row r="2022" spans="1:37">
      <c r="A2022" t="s">
        <v>40</v>
      </c>
      <c r="B2022" t="s">
        <v>60</v>
      </c>
      <c r="C2022" t="s">
        <v>82</v>
      </c>
      <c r="D2022" t="s">
        <v>101</v>
      </c>
      <c r="E2022" t="s">
        <v>120</v>
      </c>
      <c r="F2022" t="s">
        <v>154</v>
      </c>
      <c r="G2022" t="s">
        <v>180</v>
      </c>
      <c r="H2022" t="s">
        <v>215</v>
      </c>
      <c r="I2022" t="s">
        <v>235</v>
      </c>
      <c r="J2022" t="s">
        <v>253</v>
      </c>
      <c r="K2022" t="s">
        <v>267</v>
      </c>
      <c r="L2022" t="s">
        <v>279</v>
      </c>
      <c r="M2022" t="s">
        <v>288</v>
      </c>
      <c r="N2022" t="s">
        <v>100</v>
      </c>
      <c r="O2022" t="s">
        <v>306</v>
      </c>
      <c r="P2022" t="s">
        <v>313</v>
      </c>
      <c r="Q2022" t="s">
        <v>320</v>
      </c>
      <c r="R2022" t="s">
        <v>325</v>
      </c>
      <c r="S2022" t="s">
        <v>332</v>
      </c>
      <c r="T2022" t="s">
        <v>119</v>
      </c>
      <c r="U2022" t="s">
        <v>234</v>
      </c>
      <c r="V2022" t="s">
        <v>343</v>
      </c>
      <c r="W2022" t="s">
        <v>348</v>
      </c>
      <c r="X2022" t="s">
        <v>352</v>
      </c>
      <c r="Y2022" t="s">
        <v>354</v>
      </c>
      <c r="AK2022" t="s">
        <v>358</v>
      </c>
    </row>
    <row r="2023" spans="1:37">
      <c r="A2023" t="s">
        <v>41</v>
      </c>
      <c r="B2023" t="s">
        <v>61</v>
      </c>
      <c r="C2023" t="s">
        <v>83</v>
      </c>
      <c r="D2023" t="s">
        <v>102</v>
      </c>
      <c r="E2023" t="s">
        <v>121</v>
      </c>
      <c r="F2023" t="s">
        <v>155</v>
      </c>
      <c r="G2023" t="s">
        <v>181</v>
      </c>
      <c r="H2023" t="s">
        <v>216</v>
      </c>
      <c r="I2023" t="s">
        <v>236</v>
      </c>
      <c r="AK2023" t="s">
        <v>358</v>
      </c>
    </row>
    <row r="2024" spans="1:37">
      <c r="A2024" t="s">
        <v>42</v>
      </c>
      <c r="B2024" t="s">
        <v>62</v>
      </c>
      <c r="C2024" t="s">
        <v>84</v>
      </c>
      <c r="D2024" t="s">
        <v>103</v>
      </c>
      <c r="E2024" t="s">
        <v>122</v>
      </c>
      <c r="F2024" t="s">
        <v>156</v>
      </c>
      <c r="G2024" t="s">
        <v>182</v>
      </c>
      <c r="H2024" t="s">
        <v>83</v>
      </c>
      <c r="I2024" t="s">
        <v>237</v>
      </c>
      <c r="J2024" t="s">
        <v>254</v>
      </c>
      <c r="K2024" t="s">
        <v>268</v>
      </c>
      <c r="L2024" t="s">
        <v>280</v>
      </c>
      <c r="M2024" t="s">
        <v>289</v>
      </c>
      <c r="N2024" t="s">
        <v>298</v>
      </c>
      <c r="O2024" t="s">
        <v>307</v>
      </c>
      <c r="P2024" t="s">
        <v>314</v>
      </c>
      <c r="Q2024" t="s">
        <v>216</v>
      </c>
      <c r="R2024" t="s">
        <v>326</v>
      </c>
      <c r="S2024" t="s">
        <v>333</v>
      </c>
      <c r="T2024" t="s">
        <v>335</v>
      </c>
      <c r="U2024" t="s">
        <v>340</v>
      </c>
      <c r="V2024" t="s">
        <v>344</v>
      </c>
      <c r="W2024" t="s">
        <v>349</v>
      </c>
      <c r="AK2024" t="s">
        <v>358</v>
      </c>
    </row>
    <row r="2025" spans="1:37">
      <c r="A2025" t="s">
        <v>43</v>
      </c>
      <c r="B2025" t="s">
        <v>63</v>
      </c>
      <c r="C2025" t="s">
        <v>85</v>
      </c>
      <c r="D2025" t="s">
        <v>104</v>
      </c>
      <c r="E2025" t="s">
        <v>123</v>
      </c>
      <c r="F2025" t="s">
        <v>157</v>
      </c>
      <c r="G2025" t="s">
        <v>183</v>
      </c>
      <c r="AK2025" t="s">
        <v>358</v>
      </c>
    </row>
    <row r="2026" spans="1:37">
      <c r="A2026" t="s">
        <v>44</v>
      </c>
      <c r="B2026" t="s">
        <v>64</v>
      </c>
      <c r="C2026" t="s">
        <v>86</v>
      </c>
      <c r="D2026" t="s">
        <v>105</v>
      </c>
      <c r="E2026" t="s">
        <v>124</v>
      </c>
      <c r="F2026" t="s">
        <v>158</v>
      </c>
      <c r="G2026" t="s">
        <v>184</v>
      </c>
      <c r="AK2026" t="s">
        <v>358</v>
      </c>
    </row>
    <row r="2027" spans="1:37">
      <c r="A2027" t="s">
        <v>45</v>
      </c>
      <c r="B2027" t="s">
        <v>65</v>
      </c>
      <c r="C2027" t="s">
        <v>87</v>
      </c>
      <c r="D2027" t="s">
        <v>106</v>
      </c>
      <c r="E2027" t="s">
        <v>125</v>
      </c>
      <c r="F2027" t="s">
        <v>159</v>
      </c>
      <c r="G2027" t="s">
        <v>185</v>
      </c>
      <c r="H2027" t="s">
        <v>159</v>
      </c>
      <c r="I2027" t="s">
        <v>185</v>
      </c>
      <c r="J2027" t="s">
        <v>255</v>
      </c>
      <c r="AK2027" t="s">
        <v>358</v>
      </c>
    </row>
    <row r="2028" spans="1:37">
      <c r="A2028" t="s">
        <v>46</v>
      </c>
      <c r="B2028" t="s">
        <v>66</v>
      </c>
      <c r="C2028" t="s">
        <v>88</v>
      </c>
      <c r="D2028" t="s">
        <v>76</v>
      </c>
      <c r="E2028" t="s">
        <v>126</v>
      </c>
      <c r="F2028" t="s">
        <v>160</v>
      </c>
      <c r="G2028" t="s">
        <v>186</v>
      </c>
      <c r="H2028" t="s">
        <v>217</v>
      </c>
      <c r="I2028" t="s">
        <v>238</v>
      </c>
      <c r="J2028" t="s">
        <v>256</v>
      </c>
      <c r="K2028" t="s">
        <v>265</v>
      </c>
      <c r="L2028" t="s">
        <v>281</v>
      </c>
      <c r="M2028" t="s">
        <v>290</v>
      </c>
      <c r="N2028" t="s">
        <v>299</v>
      </c>
      <c r="O2028" t="s">
        <v>308</v>
      </c>
      <c r="P2028" t="s">
        <v>228</v>
      </c>
      <c r="Q2028" t="s">
        <v>72</v>
      </c>
      <c r="R2028" t="s">
        <v>327</v>
      </c>
      <c r="S2028" t="s">
        <v>327</v>
      </c>
      <c r="T2028" t="s">
        <v>336</v>
      </c>
      <c r="U2028" t="s">
        <v>336</v>
      </c>
      <c r="V2028" t="s">
        <v>336</v>
      </c>
      <c r="W2028" t="s">
        <v>336</v>
      </c>
      <c r="X2028" t="s">
        <v>353</v>
      </c>
      <c r="AK2028" t="s">
        <v>358</v>
      </c>
    </row>
    <row r="2029" spans="1:37">
      <c r="A2029" t="s">
        <v>37</v>
      </c>
      <c r="B2029" t="s">
        <v>49</v>
      </c>
      <c r="C2029" t="s">
        <v>73</v>
      </c>
      <c r="D2029" t="s">
        <v>94</v>
      </c>
      <c r="E2029" t="s">
        <v>112</v>
      </c>
      <c r="F2029" t="s">
        <v>146</v>
      </c>
      <c r="G2029" t="s">
        <v>172</v>
      </c>
      <c r="H2029" t="s">
        <v>207</v>
      </c>
      <c r="I2029" t="s">
        <v>226</v>
      </c>
      <c r="J2029" t="s">
        <v>246</v>
      </c>
      <c r="K2029" t="s">
        <v>259</v>
      </c>
      <c r="AK2029" t="s">
        <v>358</v>
      </c>
    </row>
    <row r="2030" spans="1:37">
      <c r="A2030" t="s">
        <v>38</v>
      </c>
      <c r="B2030" t="s">
        <v>50</v>
      </c>
      <c r="C2030" t="s">
        <v>74</v>
      </c>
      <c r="D2030" t="s">
        <v>95</v>
      </c>
      <c r="E2030" t="s">
        <v>113</v>
      </c>
      <c r="F2030" t="s">
        <v>147</v>
      </c>
      <c r="G2030" t="s">
        <v>173</v>
      </c>
      <c r="H2030" t="s">
        <v>208</v>
      </c>
      <c r="I2030" t="s">
        <v>227</v>
      </c>
      <c r="J2030" t="s">
        <v>115</v>
      </c>
      <c r="K2030" t="s">
        <v>260</v>
      </c>
      <c r="L2030" t="s">
        <v>273</v>
      </c>
      <c r="M2030" t="s">
        <v>282</v>
      </c>
      <c r="N2030" t="s">
        <v>291</v>
      </c>
      <c r="AK2030" t="s">
        <v>358</v>
      </c>
    </row>
    <row r="2031" spans="1:37">
      <c r="B2031" t="s">
        <v>51</v>
      </c>
      <c r="C2031" t="s">
        <v>75</v>
      </c>
      <c r="D2031" t="s">
        <v>52</v>
      </c>
      <c r="E2031" t="s">
        <v>114</v>
      </c>
      <c r="F2031" t="s">
        <v>148</v>
      </c>
      <c r="G2031" t="s">
        <v>148</v>
      </c>
      <c r="H2031" t="s">
        <v>209</v>
      </c>
      <c r="I2031" t="s">
        <v>228</v>
      </c>
      <c r="J2031" t="s">
        <v>247</v>
      </c>
      <c r="K2031" t="s">
        <v>261</v>
      </c>
      <c r="L2031" t="s">
        <v>274</v>
      </c>
      <c r="M2031" t="s">
        <v>283</v>
      </c>
      <c r="N2031" t="s">
        <v>292</v>
      </c>
      <c r="O2031" t="s">
        <v>300</v>
      </c>
      <c r="AK2031" t="s">
        <v>358</v>
      </c>
    </row>
    <row r="2032" spans="1:37">
      <c r="B2032" t="s">
        <v>52</v>
      </c>
      <c r="C2032" t="s">
        <v>76</v>
      </c>
      <c r="D2032" t="s">
        <v>96</v>
      </c>
      <c r="E2032" t="s">
        <v>115</v>
      </c>
      <c r="F2032" t="s">
        <v>149</v>
      </c>
      <c r="G2032" t="s">
        <v>174</v>
      </c>
      <c r="H2032" t="s">
        <v>96</v>
      </c>
      <c r="I2032" t="s">
        <v>229</v>
      </c>
      <c r="J2032" t="s">
        <v>248</v>
      </c>
      <c r="K2032" t="s">
        <v>262</v>
      </c>
      <c r="L2032" t="s">
        <v>52</v>
      </c>
      <c r="M2032" t="s">
        <v>76</v>
      </c>
      <c r="N2032" t="s">
        <v>293</v>
      </c>
      <c r="O2032" t="s">
        <v>301</v>
      </c>
      <c r="P2032" t="s">
        <v>309</v>
      </c>
      <c r="Q2032" t="s">
        <v>315</v>
      </c>
      <c r="R2032" t="s">
        <v>228</v>
      </c>
      <c r="S2032" t="s">
        <v>328</v>
      </c>
      <c r="T2032" t="s">
        <v>149</v>
      </c>
      <c r="U2032" t="s">
        <v>337</v>
      </c>
      <c r="V2032" t="s">
        <v>341</v>
      </c>
      <c r="W2032" t="s">
        <v>345</v>
      </c>
      <c r="X2032" t="s">
        <v>350</v>
      </c>
      <c r="AK2032" t="s">
        <v>358</v>
      </c>
    </row>
    <row r="2033" spans="1:37">
      <c r="B2033" t="s">
        <v>53</v>
      </c>
      <c r="C2033" t="s">
        <v>77</v>
      </c>
      <c r="D2033" t="s">
        <v>97</v>
      </c>
      <c r="E2033" t="s">
        <v>116</v>
      </c>
      <c r="F2033" t="s">
        <v>150</v>
      </c>
      <c r="G2033" t="s">
        <v>175</v>
      </c>
      <c r="H2033" t="s">
        <v>210</v>
      </c>
      <c r="I2033" t="s">
        <v>230</v>
      </c>
      <c r="J2033" t="s">
        <v>249</v>
      </c>
      <c r="K2033" t="s">
        <v>263</v>
      </c>
      <c r="L2033" t="s">
        <v>275</v>
      </c>
      <c r="M2033" t="s">
        <v>284</v>
      </c>
      <c r="N2033" t="s">
        <v>294</v>
      </c>
      <c r="O2033" t="s">
        <v>302</v>
      </c>
      <c r="P2033" t="s">
        <v>310</v>
      </c>
      <c r="Q2033" t="s">
        <v>316</v>
      </c>
      <c r="R2033" t="s">
        <v>322</v>
      </c>
      <c r="S2033" t="s">
        <v>329</v>
      </c>
      <c r="AK2033" t="s">
        <v>358</v>
      </c>
    </row>
    <row r="2034" spans="1:37">
      <c r="A2034" t="s">
        <v>39</v>
      </c>
      <c r="B2034" t="s">
        <v>54</v>
      </c>
      <c r="C2034" t="s">
        <v>54</v>
      </c>
      <c r="D2034" t="s">
        <v>54</v>
      </c>
      <c r="E2034" t="s">
        <v>54</v>
      </c>
      <c r="F2034" t="s">
        <v>54</v>
      </c>
      <c r="G2034" t="s">
        <v>54</v>
      </c>
      <c r="H2034" t="s">
        <v>54</v>
      </c>
      <c r="I2034" t="s">
        <v>54</v>
      </c>
      <c r="J2034" t="s">
        <v>54</v>
      </c>
      <c r="K2034" t="s">
        <v>54</v>
      </c>
      <c r="L2034" t="s">
        <v>54</v>
      </c>
      <c r="M2034" t="s">
        <v>54</v>
      </c>
      <c r="N2034" t="s">
        <v>54</v>
      </c>
      <c r="O2034" t="s">
        <v>54</v>
      </c>
      <c r="P2034" t="s">
        <v>54</v>
      </c>
      <c r="Q2034" t="s">
        <v>54</v>
      </c>
      <c r="R2034" t="s">
        <v>323</v>
      </c>
      <c r="S2034" t="s">
        <v>330</v>
      </c>
      <c r="AK2034" t="s">
        <v>358</v>
      </c>
    </row>
    <row r="2035" spans="1:37">
      <c r="B2035" t="s">
        <v>55</v>
      </c>
      <c r="C2035" t="s">
        <v>78</v>
      </c>
      <c r="D2035" t="s">
        <v>55</v>
      </c>
      <c r="E2035" t="s">
        <v>78</v>
      </c>
      <c r="F2035" t="s">
        <v>55</v>
      </c>
      <c r="G2035" t="s">
        <v>78</v>
      </c>
      <c r="H2035" t="s">
        <v>55</v>
      </c>
      <c r="I2035" t="s">
        <v>78</v>
      </c>
      <c r="J2035" t="s">
        <v>55</v>
      </c>
      <c r="K2035" t="s">
        <v>78</v>
      </c>
      <c r="L2035" t="s">
        <v>55</v>
      </c>
      <c r="M2035" t="s">
        <v>78</v>
      </c>
      <c r="N2035" t="s">
        <v>55</v>
      </c>
      <c r="O2035" t="s">
        <v>78</v>
      </c>
      <c r="P2035" t="s">
        <v>55</v>
      </c>
      <c r="Q2035" t="s">
        <v>78</v>
      </c>
      <c r="R2035" t="s">
        <v>55</v>
      </c>
      <c r="S2035" t="s">
        <v>78</v>
      </c>
      <c r="T2035" t="s">
        <v>55</v>
      </c>
      <c r="U2035" t="s">
        <v>78</v>
      </c>
      <c r="V2035" t="s">
        <v>55</v>
      </c>
      <c r="W2035" t="s">
        <v>78</v>
      </c>
      <c r="X2035" t="s">
        <v>55</v>
      </c>
      <c r="Y2035" t="s">
        <v>78</v>
      </c>
      <c r="Z2035" t="s">
        <v>55</v>
      </c>
      <c r="AA2035" t="s">
        <v>78</v>
      </c>
      <c r="AB2035" t="s">
        <v>55</v>
      </c>
      <c r="AC2035" t="s">
        <v>78</v>
      </c>
      <c r="AD2035" t="s">
        <v>55</v>
      </c>
      <c r="AE2035" t="s">
        <v>78</v>
      </c>
      <c r="AF2035" t="s">
        <v>55</v>
      </c>
      <c r="AG2035" t="s">
        <v>78</v>
      </c>
      <c r="AH2035" t="s">
        <v>55</v>
      </c>
      <c r="AI2035" t="s">
        <v>78</v>
      </c>
      <c r="AK2035" t="s">
        <v>358</v>
      </c>
    </row>
    <row r="2036" spans="1:37">
      <c r="B2036" t="s">
        <v>56</v>
      </c>
      <c r="C2036" t="s">
        <v>56</v>
      </c>
      <c r="D2036" t="s">
        <v>56</v>
      </c>
      <c r="E2036" t="s">
        <v>56</v>
      </c>
      <c r="F2036" t="s">
        <v>56</v>
      </c>
      <c r="G2036" t="s">
        <v>176</v>
      </c>
      <c r="H2036" t="s">
        <v>211</v>
      </c>
      <c r="I2036" t="s">
        <v>231</v>
      </c>
      <c r="J2036" t="s">
        <v>250</v>
      </c>
      <c r="K2036" t="s">
        <v>264</v>
      </c>
      <c r="L2036" t="s">
        <v>276</v>
      </c>
      <c r="M2036" t="s">
        <v>285</v>
      </c>
      <c r="N2036" t="s">
        <v>295</v>
      </c>
      <c r="O2036" t="s">
        <v>303</v>
      </c>
      <c r="P2036" t="s">
        <v>56</v>
      </c>
      <c r="Q2036" t="s">
        <v>317</v>
      </c>
      <c r="R2036" t="s">
        <v>324</v>
      </c>
      <c r="S2036" t="s">
        <v>331</v>
      </c>
      <c r="T2036" t="s">
        <v>334</v>
      </c>
      <c r="U2036" t="s">
        <v>338</v>
      </c>
      <c r="V2036" t="s">
        <v>342</v>
      </c>
      <c r="W2036" t="s">
        <v>346</v>
      </c>
      <c r="X2036" t="s">
        <v>351</v>
      </c>
      <c r="AK2036" t="s">
        <v>358</v>
      </c>
    </row>
    <row r="2037" spans="1:37">
      <c r="B2037" t="s">
        <v>57</v>
      </c>
      <c r="C2037" t="s">
        <v>79</v>
      </c>
      <c r="D2037" t="s">
        <v>98</v>
      </c>
      <c r="E2037" t="s">
        <v>117</v>
      </c>
      <c r="F2037" t="s">
        <v>151</v>
      </c>
      <c r="G2037" t="s">
        <v>177</v>
      </c>
      <c r="H2037" t="s">
        <v>212</v>
      </c>
      <c r="I2037" t="s">
        <v>232</v>
      </c>
      <c r="J2037" t="s">
        <v>251</v>
      </c>
      <c r="K2037" t="s">
        <v>265</v>
      </c>
      <c r="L2037" t="s">
        <v>277</v>
      </c>
      <c r="M2037" t="s">
        <v>286</v>
      </c>
      <c r="N2037" t="s">
        <v>296</v>
      </c>
      <c r="O2037" t="s">
        <v>304</v>
      </c>
      <c r="P2037" t="s">
        <v>311</v>
      </c>
      <c r="Q2037" t="s">
        <v>318</v>
      </c>
      <c r="R2037" t="s">
        <v>185</v>
      </c>
      <c r="S2037" t="s">
        <v>159</v>
      </c>
      <c r="T2037" t="s">
        <v>185</v>
      </c>
      <c r="U2037" t="s">
        <v>339</v>
      </c>
      <c r="V2037" t="s">
        <v>72</v>
      </c>
      <c r="W2037" t="s">
        <v>347</v>
      </c>
      <c r="X2037" t="s">
        <v>72</v>
      </c>
      <c r="Y2037" t="s">
        <v>96</v>
      </c>
      <c r="AK2037" t="s">
        <v>358</v>
      </c>
    </row>
    <row r="2038" spans="1:37">
      <c r="B2038" t="s">
        <v>58</v>
      </c>
      <c r="C2038" t="s">
        <v>80</v>
      </c>
      <c r="D2038" t="s">
        <v>99</v>
      </c>
      <c r="E2038" t="s">
        <v>118</v>
      </c>
      <c r="F2038" t="s">
        <v>152</v>
      </c>
      <c r="G2038" t="s">
        <v>178</v>
      </c>
      <c r="H2038" t="s">
        <v>213</v>
      </c>
      <c r="I2038" t="s">
        <v>233</v>
      </c>
      <c r="J2038" t="s">
        <v>252</v>
      </c>
      <c r="K2038" t="s">
        <v>266</v>
      </c>
      <c r="L2038" t="s">
        <v>278</v>
      </c>
      <c r="M2038" t="s">
        <v>287</v>
      </c>
      <c r="N2038" t="s">
        <v>297</v>
      </c>
      <c r="O2038" t="s">
        <v>305</v>
      </c>
      <c r="P2038" t="s">
        <v>312</v>
      </c>
      <c r="Q2038" t="s">
        <v>319</v>
      </c>
      <c r="R2038">
        <f>&gt;10       ветра      2.6     14  14 30</f>
        <v>0</v>
      </c>
      <c r="AK2038" t="s">
        <v>358</v>
      </c>
    </row>
    <row r="2039" spans="1:37">
      <c r="A2039" t="s">
        <v>40</v>
      </c>
      <c r="B2039" t="s">
        <v>59</v>
      </c>
      <c r="C2039" t="s">
        <v>81</v>
      </c>
      <c r="D2039" t="s">
        <v>100</v>
      </c>
      <c r="E2039" t="s">
        <v>119</v>
      </c>
      <c r="F2039" t="s">
        <v>153</v>
      </c>
      <c r="G2039" t="s">
        <v>179</v>
      </c>
      <c r="H2039" t="s">
        <v>214</v>
      </c>
      <c r="I2039" t="s">
        <v>234</v>
      </c>
      <c r="AK2039" t="s">
        <v>358</v>
      </c>
    </row>
    <row r="2040" spans="1:37">
      <c r="A2040" t="s">
        <v>40</v>
      </c>
      <c r="B2040" t="s">
        <v>60</v>
      </c>
      <c r="C2040" t="s">
        <v>82</v>
      </c>
      <c r="D2040" t="s">
        <v>101</v>
      </c>
      <c r="E2040" t="s">
        <v>120</v>
      </c>
      <c r="F2040" t="s">
        <v>154</v>
      </c>
      <c r="G2040" t="s">
        <v>180</v>
      </c>
      <c r="H2040" t="s">
        <v>215</v>
      </c>
      <c r="I2040" t="s">
        <v>235</v>
      </c>
      <c r="J2040" t="s">
        <v>253</v>
      </c>
      <c r="K2040" t="s">
        <v>267</v>
      </c>
      <c r="L2040" t="s">
        <v>279</v>
      </c>
      <c r="M2040" t="s">
        <v>288</v>
      </c>
      <c r="N2040" t="s">
        <v>100</v>
      </c>
      <c r="O2040" t="s">
        <v>306</v>
      </c>
      <c r="P2040" t="s">
        <v>313</v>
      </c>
      <c r="Q2040" t="s">
        <v>320</v>
      </c>
      <c r="R2040" t="s">
        <v>325</v>
      </c>
      <c r="S2040" t="s">
        <v>332</v>
      </c>
      <c r="T2040" t="s">
        <v>119</v>
      </c>
      <c r="U2040" t="s">
        <v>234</v>
      </c>
      <c r="V2040" t="s">
        <v>343</v>
      </c>
      <c r="W2040" t="s">
        <v>348</v>
      </c>
      <c r="X2040" t="s">
        <v>352</v>
      </c>
      <c r="Y2040" t="s">
        <v>354</v>
      </c>
      <c r="AK2040" t="s">
        <v>358</v>
      </c>
    </row>
    <row r="2041" spans="1:37">
      <c r="A2041" t="s">
        <v>41</v>
      </c>
      <c r="B2041" t="s">
        <v>61</v>
      </c>
      <c r="C2041" t="s">
        <v>83</v>
      </c>
      <c r="D2041" t="s">
        <v>102</v>
      </c>
      <c r="E2041" t="s">
        <v>121</v>
      </c>
      <c r="F2041" t="s">
        <v>155</v>
      </c>
      <c r="G2041" t="s">
        <v>181</v>
      </c>
      <c r="H2041" t="s">
        <v>216</v>
      </c>
      <c r="I2041" t="s">
        <v>236</v>
      </c>
      <c r="AK2041" t="s">
        <v>358</v>
      </c>
    </row>
    <row r="2042" spans="1:37">
      <c r="A2042" t="s">
        <v>42</v>
      </c>
      <c r="B2042" t="s">
        <v>62</v>
      </c>
      <c r="C2042" t="s">
        <v>84</v>
      </c>
      <c r="D2042" t="s">
        <v>103</v>
      </c>
      <c r="E2042" t="s">
        <v>122</v>
      </c>
      <c r="F2042" t="s">
        <v>156</v>
      </c>
      <c r="G2042" t="s">
        <v>182</v>
      </c>
      <c r="H2042" t="s">
        <v>83</v>
      </c>
      <c r="I2042" t="s">
        <v>237</v>
      </c>
      <c r="J2042" t="s">
        <v>254</v>
      </c>
      <c r="K2042" t="s">
        <v>268</v>
      </c>
      <c r="L2042" t="s">
        <v>280</v>
      </c>
      <c r="M2042" t="s">
        <v>289</v>
      </c>
      <c r="N2042" t="s">
        <v>298</v>
      </c>
      <c r="O2042" t="s">
        <v>307</v>
      </c>
      <c r="P2042" t="s">
        <v>314</v>
      </c>
      <c r="Q2042" t="s">
        <v>216</v>
      </c>
      <c r="R2042" t="s">
        <v>326</v>
      </c>
      <c r="S2042" t="s">
        <v>333</v>
      </c>
      <c r="T2042" t="s">
        <v>335</v>
      </c>
      <c r="U2042" t="s">
        <v>340</v>
      </c>
      <c r="V2042" t="s">
        <v>344</v>
      </c>
      <c r="W2042" t="s">
        <v>349</v>
      </c>
      <c r="AK2042" t="s">
        <v>358</v>
      </c>
    </row>
    <row r="2043" spans="1:37">
      <c r="A2043" t="s">
        <v>43</v>
      </c>
      <c r="B2043" t="s">
        <v>63</v>
      </c>
      <c r="C2043" t="s">
        <v>85</v>
      </c>
      <c r="D2043" t="s">
        <v>104</v>
      </c>
      <c r="E2043" t="s">
        <v>123</v>
      </c>
      <c r="F2043" t="s">
        <v>157</v>
      </c>
      <c r="G2043" t="s">
        <v>183</v>
      </c>
      <c r="AK2043" t="s">
        <v>358</v>
      </c>
    </row>
    <row r="2044" spans="1:37">
      <c r="A2044" t="s">
        <v>44</v>
      </c>
      <c r="B2044" t="s">
        <v>64</v>
      </c>
      <c r="C2044" t="s">
        <v>86</v>
      </c>
      <c r="D2044" t="s">
        <v>105</v>
      </c>
      <c r="E2044" t="s">
        <v>124</v>
      </c>
      <c r="F2044" t="s">
        <v>158</v>
      </c>
      <c r="G2044" t="s">
        <v>184</v>
      </c>
      <c r="AK2044" t="s">
        <v>358</v>
      </c>
    </row>
    <row r="2045" spans="1:37">
      <c r="A2045" t="s">
        <v>45</v>
      </c>
      <c r="B2045" t="s">
        <v>65</v>
      </c>
      <c r="C2045" t="s">
        <v>87</v>
      </c>
      <c r="D2045" t="s">
        <v>106</v>
      </c>
      <c r="E2045" t="s">
        <v>125</v>
      </c>
      <c r="F2045" t="s">
        <v>159</v>
      </c>
      <c r="G2045" t="s">
        <v>185</v>
      </c>
      <c r="H2045" t="s">
        <v>159</v>
      </c>
      <c r="I2045" t="s">
        <v>185</v>
      </c>
      <c r="J2045" t="s">
        <v>255</v>
      </c>
      <c r="AK2045" t="s">
        <v>358</v>
      </c>
    </row>
    <row r="2046" spans="1:37">
      <c r="A2046" t="s">
        <v>46</v>
      </c>
      <c r="B2046" t="s">
        <v>66</v>
      </c>
      <c r="C2046" t="s">
        <v>88</v>
      </c>
      <c r="D2046" t="s">
        <v>76</v>
      </c>
      <c r="E2046" t="s">
        <v>126</v>
      </c>
      <c r="F2046" t="s">
        <v>160</v>
      </c>
      <c r="G2046" t="s">
        <v>186</v>
      </c>
      <c r="H2046" t="s">
        <v>217</v>
      </c>
      <c r="I2046" t="s">
        <v>238</v>
      </c>
      <c r="J2046" t="s">
        <v>256</v>
      </c>
      <c r="K2046" t="s">
        <v>265</v>
      </c>
      <c r="L2046" t="s">
        <v>281</v>
      </c>
      <c r="M2046" t="s">
        <v>290</v>
      </c>
      <c r="N2046" t="s">
        <v>299</v>
      </c>
      <c r="O2046" t="s">
        <v>308</v>
      </c>
      <c r="P2046" t="s">
        <v>228</v>
      </c>
      <c r="Q2046" t="s">
        <v>72</v>
      </c>
      <c r="R2046" t="s">
        <v>327</v>
      </c>
      <c r="S2046" t="s">
        <v>327</v>
      </c>
      <c r="T2046" t="s">
        <v>336</v>
      </c>
      <c r="U2046" t="s">
        <v>336</v>
      </c>
      <c r="V2046" t="s">
        <v>336</v>
      </c>
      <c r="W2046" t="s">
        <v>336</v>
      </c>
      <c r="X2046" t="s">
        <v>353</v>
      </c>
      <c r="AK2046" t="s">
        <v>358</v>
      </c>
    </row>
    <row r="2047" spans="1:37">
      <c r="B2047" t="s">
        <v>67</v>
      </c>
      <c r="C2047" t="s">
        <v>89</v>
      </c>
      <c r="D2047" t="s">
        <v>107</v>
      </c>
      <c r="AK2047" t="s">
        <v>358</v>
      </c>
    </row>
    <row r="2048" spans="1:37">
      <c r="B2048" t="s">
        <v>68</v>
      </c>
      <c r="C2048" t="s">
        <v>90</v>
      </c>
      <c r="D2048" t="s">
        <v>108</v>
      </c>
      <c r="AK2048" t="s">
        <v>358</v>
      </c>
    </row>
    <row r="2049" spans="1:37">
      <c r="A2049" t="s">
        <v>47</v>
      </c>
      <c r="B2049" t="s">
        <v>69</v>
      </c>
      <c r="C2049" t="s">
        <v>91</v>
      </c>
      <c r="D2049" t="s">
        <v>109</v>
      </c>
      <c r="E2049" t="s">
        <v>109</v>
      </c>
      <c r="F2049" t="s">
        <v>109</v>
      </c>
      <c r="G2049" t="s">
        <v>109</v>
      </c>
      <c r="H2049" t="s">
        <v>109</v>
      </c>
      <c r="I2049" t="s">
        <v>239</v>
      </c>
      <c r="AK2049" t="s">
        <v>358</v>
      </c>
    </row>
    <row r="2050" spans="1:37">
      <c r="B2050" t="s">
        <v>70</v>
      </c>
      <c r="C2050" t="s">
        <v>92</v>
      </c>
      <c r="D2050" t="s">
        <v>110</v>
      </c>
      <c r="E2050" t="s">
        <v>127</v>
      </c>
      <c r="F2050" t="s">
        <v>161</v>
      </c>
      <c r="G2050" t="s">
        <v>187</v>
      </c>
      <c r="H2050" t="s">
        <v>218</v>
      </c>
      <c r="AK2050" t="s">
        <v>358</v>
      </c>
    </row>
    <row r="2051" spans="1:37">
      <c r="B2051" t="s">
        <v>71</v>
      </c>
      <c r="C2051" t="s">
        <v>93</v>
      </c>
      <c r="D2051" t="s">
        <v>111</v>
      </c>
      <c r="E2051" t="s">
        <v>128</v>
      </c>
      <c r="F2051" t="s">
        <v>162</v>
      </c>
      <c r="G2051" t="s">
        <v>188</v>
      </c>
      <c r="H2051" t="s">
        <v>219</v>
      </c>
      <c r="I2051" t="s">
        <v>240</v>
      </c>
      <c r="J2051" t="s">
        <v>257</v>
      </c>
      <c r="K2051" t="s">
        <v>269</v>
      </c>
      <c r="L2051" t="s">
        <v>109</v>
      </c>
      <c r="M2051" t="s">
        <v>109</v>
      </c>
      <c r="N2051" t="s">
        <v>109</v>
      </c>
      <c r="O2051" t="s">
        <v>109</v>
      </c>
      <c r="P2051" t="s">
        <v>109</v>
      </c>
      <c r="Q2051" t="s">
        <v>321</v>
      </c>
      <c r="AK2051" t="s">
        <v>358</v>
      </c>
    </row>
    <row r="2052" spans="1:37">
      <c r="A2052" t="s">
        <v>48</v>
      </c>
      <c r="B2052" t="s">
        <v>71</v>
      </c>
      <c r="C2052" t="s">
        <v>93</v>
      </c>
      <c r="D2052" t="s">
        <v>111</v>
      </c>
      <c r="E2052" t="s">
        <v>128</v>
      </c>
      <c r="F2052" t="s">
        <v>163</v>
      </c>
      <c r="G2052" t="s">
        <v>189</v>
      </c>
      <c r="H2052" t="s">
        <v>220</v>
      </c>
      <c r="I2052" t="s">
        <v>241</v>
      </c>
      <c r="J2052" t="s">
        <v>258</v>
      </c>
      <c r="K2052" t="s">
        <v>270</v>
      </c>
      <c r="AK2052" t="s">
        <v>358</v>
      </c>
    </row>
    <row r="2053" spans="1:37">
      <c r="B2053" t="s">
        <v>72</v>
      </c>
      <c r="C2053" t="s">
        <v>72</v>
      </c>
      <c r="D2053" t="s">
        <v>72</v>
      </c>
      <c r="E2053" t="s">
        <v>138</v>
      </c>
      <c r="F2053" t="s">
        <v>142</v>
      </c>
      <c r="G2053" t="s">
        <v>192</v>
      </c>
      <c r="H2053" t="s">
        <v>192</v>
      </c>
      <c r="I2053" t="s">
        <v>192</v>
      </c>
      <c r="J2053" t="s">
        <v>192</v>
      </c>
      <c r="K2053" t="s">
        <v>271</v>
      </c>
      <c r="AK2053" t="s">
        <v>358</v>
      </c>
    </row>
    <row r="2054" spans="1:37">
      <c r="A2054" t="s">
        <v>37</v>
      </c>
      <c r="B2054" t="s">
        <v>49</v>
      </c>
      <c r="C2054" t="s">
        <v>73</v>
      </c>
      <c r="D2054" t="s">
        <v>94</v>
      </c>
      <c r="E2054" t="s">
        <v>112</v>
      </c>
      <c r="F2054" t="s">
        <v>146</v>
      </c>
      <c r="G2054" t="s">
        <v>172</v>
      </c>
      <c r="H2054" t="s">
        <v>207</v>
      </c>
      <c r="I2054" t="s">
        <v>226</v>
      </c>
      <c r="J2054" t="s">
        <v>246</v>
      </c>
      <c r="K2054" t="s">
        <v>259</v>
      </c>
      <c r="AK2054" t="s">
        <v>358</v>
      </c>
    </row>
    <row r="2055" spans="1:37">
      <c r="A2055" t="s">
        <v>38</v>
      </c>
      <c r="B2055" t="s">
        <v>50</v>
      </c>
      <c r="C2055" t="s">
        <v>74</v>
      </c>
      <c r="D2055" t="s">
        <v>95</v>
      </c>
      <c r="E2055" t="s">
        <v>113</v>
      </c>
      <c r="F2055" t="s">
        <v>147</v>
      </c>
      <c r="G2055" t="s">
        <v>173</v>
      </c>
      <c r="H2055" t="s">
        <v>208</v>
      </c>
      <c r="I2055" t="s">
        <v>227</v>
      </c>
      <c r="J2055" t="s">
        <v>115</v>
      </c>
      <c r="K2055" t="s">
        <v>260</v>
      </c>
      <c r="L2055" t="s">
        <v>273</v>
      </c>
      <c r="M2055" t="s">
        <v>282</v>
      </c>
      <c r="N2055" t="s">
        <v>291</v>
      </c>
      <c r="AK2055" t="s">
        <v>358</v>
      </c>
    </row>
    <row r="2056" spans="1:37">
      <c r="B2056" t="s">
        <v>51</v>
      </c>
      <c r="C2056" t="s">
        <v>75</v>
      </c>
      <c r="D2056" t="s">
        <v>52</v>
      </c>
      <c r="E2056" t="s">
        <v>114</v>
      </c>
      <c r="F2056" t="s">
        <v>148</v>
      </c>
      <c r="G2056" t="s">
        <v>148</v>
      </c>
      <c r="H2056" t="s">
        <v>209</v>
      </c>
      <c r="I2056" t="s">
        <v>228</v>
      </c>
      <c r="J2056" t="s">
        <v>247</v>
      </c>
      <c r="K2056" t="s">
        <v>261</v>
      </c>
      <c r="L2056" t="s">
        <v>274</v>
      </c>
      <c r="M2056" t="s">
        <v>283</v>
      </c>
      <c r="N2056" t="s">
        <v>292</v>
      </c>
      <c r="O2056" t="s">
        <v>300</v>
      </c>
      <c r="AK2056" t="s">
        <v>358</v>
      </c>
    </row>
    <row r="2057" spans="1:37">
      <c r="B2057" t="s">
        <v>52</v>
      </c>
      <c r="C2057" t="s">
        <v>76</v>
      </c>
      <c r="D2057" t="s">
        <v>96</v>
      </c>
      <c r="E2057" t="s">
        <v>115</v>
      </c>
      <c r="F2057" t="s">
        <v>149</v>
      </c>
      <c r="G2057" t="s">
        <v>174</v>
      </c>
      <c r="H2057" t="s">
        <v>96</v>
      </c>
      <c r="I2057" t="s">
        <v>229</v>
      </c>
      <c r="J2057" t="s">
        <v>248</v>
      </c>
      <c r="K2057" t="s">
        <v>262</v>
      </c>
      <c r="L2057" t="s">
        <v>52</v>
      </c>
      <c r="M2057" t="s">
        <v>76</v>
      </c>
      <c r="N2057" t="s">
        <v>293</v>
      </c>
      <c r="O2057" t="s">
        <v>301</v>
      </c>
      <c r="P2057" t="s">
        <v>309</v>
      </c>
      <c r="Q2057" t="s">
        <v>315</v>
      </c>
      <c r="R2057" t="s">
        <v>228</v>
      </c>
      <c r="S2057" t="s">
        <v>328</v>
      </c>
      <c r="T2057" t="s">
        <v>149</v>
      </c>
      <c r="U2057" t="s">
        <v>337</v>
      </c>
      <c r="V2057" t="s">
        <v>341</v>
      </c>
      <c r="W2057" t="s">
        <v>345</v>
      </c>
      <c r="X2057" t="s">
        <v>350</v>
      </c>
      <c r="AK2057" t="s">
        <v>358</v>
      </c>
    </row>
    <row r="2058" spans="1:37">
      <c r="B2058" t="s">
        <v>53</v>
      </c>
      <c r="C2058" t="s">
        <v>77</v>
      </c>
      <c r="D2058" t="s">
        <v>97</v>
      </c>
      <c r="E2058" t="s">
        <v>116</v>
      </c>
      <c r="F2058" t="s">
        <v>150</v>
      </c>
      <c r="G2058" t="s">
        <v>175</v>
      </c>
      <c r="H2058" t="s">
        <v>210</v>
      </c>
      <c r="I2058" t="s">
        <v>230</v>
      </c>
      <c r="J2058" t="s">
        <v>249</v>
      </c>
      <c r="K2058" t="s">
        <v>263</v>
      </c>
      <c r="L2058" t="s">
        <v>275</v>
      </c>
      <c r="M2058" t="s">
        <v>284</v>
      </c>
      <c r="N2058" t="s">
        <v>294</v>
      </c>
      <c r="O2058" t="s">
        <v>302</v>
      </c>
      <c r="P2058" t="s">
        <v>310</v>
      </c>
      <c r="Q2058" t="s">
        <v>316</v>
      </c>
      <c r="R2058" t="s">
        <v>322</v>
      </c>
      <c r="S2058" t="s">
        <v>329</v>
      </c>
      <c r="AK2058" t="s">
        <v>358</v>
      </c>
    </row>
    <row r="2059" spans="1:37">
      <c r="A2059" t="s">
        <v>39</v>
      </c>
      <c r="B2059" t="s">
        <v>54</v>
      </c>
      <c r="C2059" t="s">
        <v>54</v>
      </c>
      <c r="D2059" t="s">
        <v>54</v>
      </c>
      <c r="E2059" t="s">
        <v>54</v>
      </c>
      <c r="F2059" t="s">
        <v>54</v>
      </c>
      <c r="G2059" t="s">
        <v>54</v>
      </c>
      <c r="H2059" t="s">
        <v>54</v>
      </c>
      <c r="I2059" t="s">
        <v>54</v>
      </c>
      <c r="J2059" t="s">
        <v>54</v>
      </c>
      <c r="K2059" t="s">
        <v>54</v>
      </c>
      <c r="L2059" t="s">
        <v>54</v>
      </c>
      <c r="M2059" t="s">
        <v>54</v>
      </c>
      <c r="N2059" t="s">
        <v>54</v>
      </c>
      <c r="O2059" t="s">
        <v>54</v>
      </c>
      <c r="P2059" t="s">
        <v>54</v>
      </c>
      <c r="Q2059" t="s">
        <v>54</v>
      </c>
      <c r="R2059" t="s">
        <v>323</v>
      </c>
      <c r="S2059" t="s">
        <v>330</v>
      </c>
      <c r="AK2059" t="s">
        <v>358</v>
      </c>
    </row>
    <row r="2060" spans="1:37">
      <c r="B2060" t="s">
        <v>55</v>
      </c>
      <c r="C2060" t="s">
        <v>78</v>
      </c>
      <c r="D2060" t="s">
        <v>55</v>
      </c>
      <c r="E2060" t="s">
        <v>78</v>
      </c>
      <c r="F2060" t="s">
        <v>55</v>
      </c>
      <c r="G2060" t="s">
        <v>78</v>
      </c>
      <c r="H2060" t="s">
        <v>55</v>
      </c>
      <c r="I2060" t="s">
        <v>78</v>
      </c>
      <c r="J2060" t="s">
        <v>55</v>
      </c>
      <c r="K2060" t="s">
        <v>78</v>
      </c>
      <c r="L2060" t="s">
        <v>55</v>
      </c>
      <c r="M2060" t="s">
        <v>78</v>
      </c>
      <c r="N2060" t="s">
        <v>55</v>
      </c>
      <c r="O2060" t="s">
        <v>78</v>
      </c>
      <c r="P2060" t="s">
        <v>55</v>
      </c>
      <c r="Q2060" t="s">
        <v>78</v>
      </c>
      <c r="R2060" t="s">
        <v>55</v>
      </c>
      <c r="S2060" t="s">
        <v>78</v>
      </c>
      <c r="T2060" t="s">
        <v>55</v>
      </c>
      <c r="U2060" t="s">
        <v>78</v>
      </c>
      <c r="V2060" t="s">
        <v>55</v>
      </c>
      <c r="W2060" t="s">
        <v>78</v>
      </c>
      <c r="X2060" t="s">
        <v>55</v>
      </c>
      <c r="Y2060" t="s">
        <v>78</v>
      </c>
      <c r="Z2060" t="s">
        <v>55</v>
      </c>
      <c r="AA2060" t="s">
        <v>78</v>
      </c>
      <c r="AB2060" t="s">
        <v>55</v>
      </c>
      <c r="AC2060" t="s">
        <v>78</v>
      </c>
      <c r="AD2060" t="s">
        <v>55</v>
      </c>
      <c r="AE2060" t="s">
        <v>78</v>
      </c>
      <c r="AF2060" t="s">
        <v>55</v>
      </c>
      <c r="AG2060" t="s">
        <v>78</v>
      </c>
      <c r="AH2060" t="s">
        <v>55</v>
      </c>
      <c r="AI2060" t="s">
        <v>78</v>
      </c>
      <c r="AK2060" t="s">
        <v>358</v>
      </c>
    </row>
    <row r="2061" spans="1:37">
      <c r="B2061" t="s">
        <v>56</v>
      </c>
      <c r="C2061" t="s">
        <v>56</v>
      </c>
      <c r="D2061" t="s">
        <v>56</v>
      </c>
      <c r="E2061" t="s">
        <v>56</v>
      </c>
      <c r="F2061" t="s">
        <v>56</v>
      </c>
      <c r="G2061" t="s">
        <v>176</v>
      </c>
      <c r="H2061" t="s">
        <v>211</v>
      </c>
      <c r="I2061" t="s">
        <v>231</v>
      </c>
      <c r="J2061" t="s">
        <v>250</v>
      </c>
      <c r="K2061" t="s">
        <v>264</v>
      </c>
      <c r="L2061" t="s">
        <v>276</v>
      </c>
      <c r="M2061" t="s">
        <v>285</v>
      </c>
      <c r="N2061" t="s">
        <v>295</v>
      </c>
      <c r="O2061" t="s">
        <v>303</v>
      </c>
      <c r="P2061" t="s">
        <v>56</v>
      </c>
      <c r="Q2061" t="s">
        <v>317</v>
      </c>
      <c r="R2061" t="s">
        <v>324</v>
      </c>
      <c r="S2061" t="s">
        <v>331</v>
      </c>
      <c r="T2061" t="s">
        <v>334</v>
      </c>
      <c r="U2061" t="s">
        <v>338</v>
      </c>
      <c r="V2061" t="s">
        <v>342</v>
      </c>
      <c r="W2061" t="s">
        <v>346</v>
      </c>
      <c r="X2061" t="s">
        <v>351</v>
      </c>
      <c r="AK2061" t="s">
        <v>358</v>
      </c>
    </row>
    <row r="2062" spans="1:37">
      <c r="B2062" t="s">
        <v>57</v>
      </c>
      <c r="C2062" t="s">
        <v>79</v>
      </c>
      <c r="D2062" t="s">
        <v>98</v>
      </c>
      <c r="E2062" t="s">
        <v>117</v>
      </c>
      <c r="F2062" t="s">
        <v>151</v>
      </c>
      <c r="G2062" t="s">
        <v>177</v>
      </c>
      <c r="H2062" t="s">
        <v>212</v>
      </c>
      <c r="I2062" t="s">
        <v>232</v>
      </c>
      <c r="J2062" t="s">
        <v>251</v>
      </c>
      <c r="K2062" t="s">
        <v>265</v>
      </c>
      <c r="L2062" t="s">
        <v>277</v>
      </c>
      <c r="M2062" t="s">
        <v>286</v>
      </c>
      <c r="N2062" t="s">
        <v>296</v>
      </c>
      <c r="O2062" t="s">
        <v>304</v>
      </c>
      <c r="P2062" t="s">
        <v>311</v>
      </c>
      <c r="Q2062" t="s">
        <v>318</v>
      </c>
      <c r="R2062" t="s">
        <v>185</v>
      </c>
      <c r="S2062" t="s">
        <v>159</v>
      </c>
      <c r="T2062" t="s">
        <v>185</v>
      </c>
      <c r="U2062" t="s">
        <v>339</v>
      </c>
      <c r="V2062" t="s">
        <v>72</v>
      </c>
      <c r="W2062" t="s">
        <v>347</v>
      </c>
      <c r="X2062" t="s">
        <v>72</v>
      </c>
      <c r="Y2062" t="s">
        <v>96</v>
      </c>
      <c r="AK2062" t="s">
        <v>358</v>
      </c>
    </row>
    <row r="2063" spans="1:37">
      <c r="B2063" t="s">
        <v>58</v>
      </c>
      <c r="C2063" t="s">
        <v>80</v>
      </c>
      <c r="D2063" t="s">
        <v>99</v>
      </c>
      <c r="E2063" t="s">
        <v>118</v>
      </c>
      <c r="F2063" t="s">
        <v>152</v>
      </c>
      <c r="G2063" t="s">
        <v>178</v>
      </c>
      <c r="H2063" t="s">
        <v>213</v>
      </c>
      <c r="I2063" t="s">
        <v>233</v>
      </c>
      <c r="J2063" t="s">
        <v>252</v>
      </c>
      <c r="K2063" t="s">
        <v>266</v>
      </c>
      <c r="L2063" t="s">
        <v>278</v>
      </c>
      <c r="M2063" t="s">
        <v>287</v>
      </c>
      <c r="N2063" t="s">
        <v>297</v>
      </c>
      <c r="O2063" t="s">
        <v>305</v>
      </c>
      <c r="P2063" t="s">
        <v>312</v>
      </c>
      <c r="Q2063" t="s">
        <v>319</v>
      </c>
      <c r="R2063">
        <f>&gt;10       ветра      4.2     20  26</f>
        <v>0</v>
      </c>
      <c r="AK2063" t="s">
        <v>358</v>
      </c>
    </row>
    <row r="2064" spans="1:37">
      <c r="A2064" t="s">
        <v>40</v>
      </c>
      <c r="B2064" t="s">
        <v>59</v>
      </c>
      <c r="C2064" t="s">
        <v>81</v>
      </c>
      <c r="D2064" t="s">
        <v>100</v>
      </c>
      <c r="E2064" t="s">
        <v>119</v>
      </c>
      <c r="F2064" t="s">
        <v>153</v>
      </c>
      <c r="G2064" t="s">
        <v>179</v>
      </c>
      <c r="H2064" t="s">
        <v>214</v>
      </c>
      <c r="I2064" t="s">
        <v>234</v>
      </c>
      <c r="AK2064" t="s">
        <v>358</v>
      </c>
    </row>
    <row r="2065" spans="1:37">
      <c r="A2065" t="s">
        <v>40</v>
      </c>
      <c r="B2065" t="s">
        <v>60</v>
      </c>
      <c r="C2065" t="s">
        <v>82</v>
      </c>
      <c r="D2065" t="s">
        <v>101</v>
      </c>
      <c r="E2065" t="s">
        <v>120</v>
      </c>
      <c r="F2065" t="s">
        <v>154</v>
      </c>
      <c r="G2065" t="s">
        <v>180</v>
      </c>
      <c r="H2065" t="s">
        <v>215</v>
      </c>
      <c r="I2065" t="s">
        <v>235</v>
      </c>
      <c r="J2065" t="s">
        <v>253</v>
      </c>
      <c r="K2065" t="s">
        <v>267</v>
      </c>
      <c r="L2065" t="s">
        <v>279</v>
      </c>
      <c r="M2065" t="s">
        <v>288</v>
      </c>
      <c r="N2065" t="s">
        <v>100</v>
      </c>
      <c r="O2065" t="s">
        <v>306</v>
      </c>
      <c r="P2065" t="s">
        <v>313</v>
      </c>
      <c r="Q2065" t="s">
        <v>320</v>
      </c>
      <c r="R2065" t="s">
        <v>325</v>
      </c>
      <c r="S2065" t="s">
        <v>332</v>
      </c>
      <c r="T2065" t="s">
        <v>119</v>
      </c>
      <c r="U2065" t="s">
        <v>234</v>
      </c>
      <c r="V2065" t="s">
        <v>343</v>
      </c>
      <c r="W2065" t="s">
        <v>348</v>
      </c>
      <c r="X2065" t="s">
        <v>352</v>
      </c>
      <c r="Y2065" t="s">
        <v>354</v>
      </c>
      <c r="AK2065" t="s">
        <v>358</v>
      </c>
    </row>
    <row r="2066" spans="1:37">
      <c r="A2066" t="s">
        <v>41</v>
      </c>
      <c r="B2066" t="s">
        <v>61</v>
      </c>
      <c r="C2066" t="s">
        <v>83</v>
      </c>
      <c r="D2066" t="s">
        <v>102</v>
      </c>
      <c r="E2066" t="s">
        <v>121</v>
      </c>
      <c r="F2066" t="s">
        <v>155</v>
      </c>
      <c r="G2066" t="s">
        <v>181</v>
      </c>
      <c r="H2066" t="s">
        <v>216</v>
      </c>
      <c r="I2066" t="s">
        <v>236</v>
      </c>
      <c r="AK2066" t="s">
        <v>358</v>
      </c>
    </row>
    <row r="2067" spans="1:37">
      <c r="A2067" t="s">
        <v>42</v>
      </c>
      <c r="B2067" t="s">
        <v>62</v>
      </c>
      <c r="C2067" t="s">
        <v>84</v>
      </c>
      <c r="D2067" t="s">
        <v>103</v>
      </c>
      <c r="E2067" t="s">
        <v>122</v>
      </c>
      <c r="F2067" t="s">
        <v>156</v>
      </c>
      <c r="G2067" t="s">
        <v>182</v>
      </c>
      <c r="H2067" t="s">
        <v>83</v>
      </c>
      <c r="I2067" t="s">
        <v>237</v>
      </c>
      <c r="J2067" t="s">
        <v>254</v>
      </c>
      <c r="K2067" t="s">
        <v>268</v>
      </c>
      <c r="L2067" t="s">
        <v>280</v>
      </c>
      <c r="M2067" t="s">
        <v>289</v>
      </c>
      <c r="N2067" t="s">
        <v>298</v>
      </c>
      <c r="O2067" t="s">
        <v>307</v>
      </c>
      <c r="P2067" t="s">
        <v>314</v>
      </c>
      <c r="Q2067" t="s">
        <v>216</v>
      </c>
      <c r="R2067" t="s">
        <v>326</v>
      </c>
      <c r="S2067" t="s">
        <v>333</v>
      </c>
      <c r="T2067" t="s">
        <v>335</v>
      </c>
      <c r="U2067" t="s">
        <v>340</v>
      </c>
      <c r="V2067" t="s">
        <v>344</v>
      </c>
      <c r="W2067" t="s">
        <v>349</v>
      </c>
      <c r="AK2067" t="s">
        <v>358</v>
      </c>
    </row>
    <row r="2068" spans="1:37">
      <c r="A2068" t="s">
        <v>43</v>
      </c>
      <c r="B2068" t="s">
        <v>63</v>
      </c>
      <c r="C2068" t="s">
        <v>85</v>
      </c>
      <c r="D2068" t="s">
        <v>104</v>
      </c>
      <c r="E2068" t="s">
        <v>123</v>
      </c>
      <c r="F2068" t="s">
        <v>157</v>
      </c>
      <c r="G2068" t="s">
        <v>183</v>
      </c>
      <c r="AK2068" t="s">
        <v>358</v>
      </c>
    </row>
    <row r="2069" spans="1:37">
      <c r="A2069" t="s">
        <v>44</v>
      </c>
      <c r="B2069" t="s">
        <v>64</v>
      </c>
      <c r="C2069" t="s">
        <v>86</v>
      </c>
      <c r="D2069" t="s">
        <v>105</v>
      </c>
      <c r="E2069" t="s">
        <v>124</v>
      </c>
      <c r="F2069" t="s">
        <v>158</v>
      </c>
      <c r="G2069" t="s">
        <v>184</v>
      </c>
      <c r="AK2069" t="s">
        <v>358</v>
      </c>
    </row>
    <row r="2070" spans="1:37">
      <c r="A2070" t="s">
        <v>45</v>
      </c>
      <c r="B2070" t="s">
        <v>65</v>
      </c>
      <c r="C2070" t="s">
        <v>87</v>
      </c>
      <c r="D2070" t="s">
        <v>106</v>
      </c>
      <c r="E2070" t="s">
        <v>125</v>
      </c>
      <c r="F2070" t="s">
        <v>159</v>
      </c>
      <c r="G2070" t="s">
        <v>185</v>
      </c>
      <c r="H2070" t="s">
        <v>159</v>
      </c>
      <c r="I2070" t="s">
        <v>185</v>
      </c>
      <c r="J2070" t="s">
        <v>255</v>
      </c>
      <c r="AK2070" t="s">
        <v>358</v>
      </c>
    </row>
    <row r="2071" spans="1:37">
      <c r="A2071" t="s">
        <v>46</v>
      </c>
      <c r="B2071" t="s">
        <v>66</v>
      </c>
      <c r="C2071" t="s">
        <v>88</v>
      </c>
      <c r="D2071" t="s">
        <v>76</v>
      </c>
      <c r="E2071" t="s">
        <v>126</v>
      </c>
      <c r="F2071" t="s">
        <v>160</v>
      </c>
      <c r="G2071" t="s">
        <v>186</v>
      </c>
      <c r="H2071" t="s">
        <v>217</v>
      </c>
      <c r="I2071" t="s">
        <v>238</v>
      </c>
      <c r="J2071" t="s">
        <v>256</v>
      </c>
      <c r="K2071" t="s">
        <v>265</v>
      </c>
      <c r="L2071" t="s">
        <v>281</v>
      </c>
      <c r="M2071" t="s">
        <v>290</v>
      </c>
      <c r="N2071" t="s">
        <v>299</v>
      </c>
      <c r="O2071" t="s">
        <v>308</v>
      </c>
      <c r="P2071" t="s">
        <v>228</v>
      </c>
      <c r="Q2071" t="s">
        <v>72</v>
      </c>
      <c r="R2071" t="s">
        <v>327</v>
      </c>
      <c r="S2071" t="s">
        <v>327</v>
      </c>
      <c r="T2071" t="s">
        <v>336</v>
      </c>
      <c r="U2071" t="s">
        <v>336</v>
      </c>
      <c r="V2071" t="s">
        <v>336</v>
      </c>
      <c r="W2071" t="s">
        <v>336</v>
      </c>
      <c r="X2071" t="s">
        <v>353</v>
      </c>
      <c r="AK2071" t="s">
        <v>358</v>
      </c>
    </row>
    <row r="2072" spans="1:37">
      <c r="B2072" t="s">
        <v>67</v>
      </c>
      <c r="C2072" t="s">
        <v>89</v>
      </c>
      <c r="D2072" t="s">
        <v>107</v>
      </c>
      <c r="AK2072" t="s">
        <v>358</v>
      </c>
    </row>
    <row r="2073" spans="1:37">
      <c r="B2073" t="s">
        <v>68</v>
      </c>
      <c r="C2073" t="s">
        <v>90</v>
      </c>
      <c r="D2073" t="s">
        <v>108</v>
      </c>
      <c r="AK2073" t="s">
        <v>358</v>
      </c>
    </row>
    <row r="2074" spans="1:37">
      <c r="A2074" t="s">
        <v>47</v>
      </c>
      <c r="B2074" t="s">
        <v>69</v>
      </c>
      <c r="C2074" t="s">
        <v>91</v>
      </c>
      <c r="D2074" t="s">
        <v>109</v>
      </c>
      <c r="E2074" t="s">
        <v>109</v>
      </c>
      <c r="F2074" t="s">
        <v>109</v>
      </c>
      <c r="G2074" t="s">
        <v>109</v>
      </c>
      <c r="H2074" t="s">
        <v>109</v>
      </c>
      <c r="I2074" t="s">
        <v>239</v>
      </c>
      <c r="AK2074" t="s">
        <v>358</v>
      </c>
    </row>
    <row r="2075" spans="1:37">
      <c r="B2075" t="s">
        <v>70</v>
      </c>
      <c r="C2075" t="s">
        <v>92</v>
      </c>
      <c r="D2075" t="s">
        <v>110</v>
      </c>
      <c r="E2075" t="s">
        <v>127</v>
      </c>
      <c r="F2075" t="s">
        <v>161</v>
      </c>
      <c r="G2075" t="s">
        <v>187</v>
      </c>
      <c r="H2075" t="s">
        <v>218</v>
      </c>
      <c r="AK2075" t="s">
        <v>358</v>
      </c>
    </row>
    <row r="2076" spans="1:37">
      <c r="B2076" t="s">
        <v>71</v>
      </c>
      <c r="C2076" t="s">
        <v>93</v>
      </c>
      <c r="D2076" t="s">
        <v>111</v>
      </c>
      <c r="E2076" t="s">
        <v>128</v>
      </c>
      <c r="F2076" t="s">
        <v>162</v>
      </c>
      <c r="G2076" t="s">
        <v>188</v>
      </c>
      <c r="H2076" t="s">
        <v>219</v>
      </c>
      <c r="I2076" t="s">
        <v>240</v>
      </c>
      <c r="J2076" t="s">
        <v>257</v>
      </c>
      <c r="K2076" t="s">
        <v>269</v>
      </c>
      <c r="L2076" t="s">
        <v>109</v>
      </c>
      <c r="M2076" t="s">
        <v>109</v>
      </c>
      <c r="N2076" t="s">
        <v>109</v>
      </c>
      <c r="O2076" t="s">
        <v>109</v>
      </c>
      <c r="P2076" t="s">
        <v>109</v>
      </c>
      <c r="Q2076" t="s">
        <v>321</v>
      </c>
      <c r="AK2076" t="s">
        <v>358</v>
      </c>
    </row>
    <row r="2077" spans="1:37">
      <c r="A2077" t="s">
        <v>48</v>
      </c>
      <c r="B2077" t="s">
        <v>71</v>
      </c>
      <c r="C2077" t="s">
        <v>93</v>
      </c>
      <c r="D2077" t="s">
        <v>111</v>
      </c>
      <c r="E2077" t="s">
        <v>128</v>
      </c>
      <c r="F2077" t="s">
        <v>163</v>
      </c>
      <c r="G2077" t="s">
        <v>189</v>
      </c>
      <c r="H2077" t="s">
        <v>220</v>
      </c>
      <c r="I2077" t="s">
        <v>241</v>
      </c>
      <c r="J2077" t="s">
        <v>258</v>
      </c>
      <c r="K2077" t="s">
        <v>270</v>
      </c>
      <c r="AK2077" t="s">
        <v>358</v>
      </c>
    </row>
    <row r="2078" spans="1:37">
      <c r="B2078" t="s">
        <v>72</v>
      </c>
      <c r="C2078" t="s">
        <v>72</v>
      </c>
      <c r="D2078" t="s">
        <v>72</v>
      </c>
      <c r="E2078" t="s">
        <v>72</v>
      </c>
      <c r="F2078" t="s">
        <v>72</v>
      </c>
      <c r="G2078" t="s">
        <v>72</v>
      </c>
      <c r="H2078" t="s">
        <v>72</v>
      </c>
      <c r="I2078" t="s">
        <v>72</v>
      </c>
      <c r="J2078" t="s">
        <v>72</v>
      </c>
      <c r="K2078" t="s">
        <v>272</v>
      </c>
      <c r="AK2078" t="s">
        <v>358</v>
      </c>
    </row>
    <row r="2079" spans="1:37">
      <c r="A2079" t="s">
        <v>37</v>
      </c>
      <c r="B2079" t="s">
        <v>49</v>
      </c>
      <c r="C2079" t="s">
        <v>73</v>
      </c>
      <c r="D2079" t="s">
        <v>94</v>
      </c>
      <c r="E2079" t="s">
        <v>112</v>
      </c>
      <c r="F2079" t="s">
        <v>146</v>
      </c>
      <c r="G2079" t="s">
        <v>172</v>
      </c>
      <c r="H2079" t="s">
        <v>207</v>
      </c>
      <c r="I2079" t="s">
        <v>226</v>
      </c>
      <c r="J2079" t="s">
        <v>246</v>
      </c>
      <c r="K2079" t="s">
        <v>259</v>
      </c>
      <c r="AK2079" t="s">
        <v>358</v>
      </c>
    </row>
    <row r="2080" spans="1:37">
      <c r="A2080" t="s">
        <v>38</v>
      </c>
      <c r="B2080" t="s">
        <v>50</v>
      </c>
      <c r="C2080" t="s">
        <v>74</v>
      </c>
      <c r="D2080" t="s">
        <v>95</v>
      </c>
      <c r="E2080" t="s">
        <v>113</v>
      </c>
      <c r="F2080" t="s">
        <v>147</v>
      </c>
      <c r="G2080" t="s">
        <v>173</v>
      </c>
      <c r="H2080" t="s">
        <v>208</v>
      </c>
      <c r="I2080" t="s">
        <v>227</v>
      </c>
      <c r="J2080" t="s">
        <v>115</v>
      </c>
      <c r="K2080" t="s">
        <v>260</v>
      </c>
      <c r="L2080" t="s">
        <v>273</v>
      </c>
      <c r="M2080" t="s">
        <v>282</v>
      </c>
      <c r="N2080" t="s">
        <v>291</v>
      </c>
      <c r="AK2080" t="s">
        <v>358</v>
      </c>
    </row>
    <row r="2081" spans="1:37">
      <c r="B2081" t="s">
        <v>51</v>
      </c>
      <c r="C2081" t="s">
        <v>75</v>
      </c>
      <c r="D2081" t="s">
        <v>52</v>
      </c>
      <c r="E2081" t="s">
        <v>114</v>
      </c>
      <c r="F2081" t="s">
        <v>148</v>
      </c>
      <c r="G2081" t="s">
        <v>148</v>
      </c>
      <c r="H2081" t="s">
        <v>209</v>
      </c>
      <c r="I2081" t="s">
        <v>228</v>
      </c>
      <c r="J2081" t="s">
        <v>247</v>
      </c>
      <c r="K2081" t="s">
        <v>261</v>
      </c>
      <c r="L2081" t="s">
        <v>274</v>
      </c>
      <c r="M2081" t="s">
        <v>283</v>
      </c>
      <c r="N2081" t="s">
        <v>292</v>
      </c>
      <c r="O2081" t="s">
        <v>300</v>
      </c>
      <c r="AK2081" t="s">
        <v>358</v>
      </c>
    </row>
    <row r="2082" spans="1:37">
      <c r="B2082" t="s">
        <v>52</v>
      </c>
      <c r="C2082" t="s">
        <v>76</v>
      </c>
      <c r="D2082" t="s">
        <v>96</v>
      </c>
      <c r="E2082" t="s">
        <v>115</v>
      </c>
      <c r="F2082" t="s">
        <v>149</v>
      </c>
      <c r="G2082" t="s">
        <v>174</v>
      </c>
      <c r="H2082" t="s">
        <v>96</v>
      </c>
      <c r="I2082" t="s">
        <v>229</v>
      </c>
      <c r="J2082" t="s">
        <v>248</v>
      </c>
      <c r="K2082" t="s">
        <v>262</v>
      </c>
      <c r="L2082" t="s">
        <v>52</v>
      </c>
      <c r="M2082" t="s">
        <v>76</v>
      </c>
      <c r="N2082" t="s">
        <v>293</v>
      </c>
      <c r="O2082" t="s">
        <v>301</v>
      </c>
      <c r="P2082" t="s">
        <v>309</v>
      </c>
      <c r="Q2082" t="s">
        <v>315</v>
      </c>
      <c r="R2082" t="s">
        <v>228</v>
      </c>
      <c r="S2082" t="s">
        <v>328</v>
      </c>
      <c r="T2082" t="s">
        <v>149</v>
      </c>
      <c r="U2082" t="s">
        <v>337</v>
      </c>
      <c r="V2082" t="s">
        <v>341</v>
      </c>
      <c r="W2082" t="s">
        <v>345</v>
      </c>
      <c r="X2082" t="s">
        <v>350</v>
      </c>
      <c r="AK2082" t="s">
        <v>358</v>
      </c>
    </row>
    <row r="2083" spans="1:37">
      <c r="B2083" t="s">
        <v>53</v>
      </c>
      <c r="C2083" t="s">
        <v>77</v>
      </c>
      <c r="D2083" t="s">
        <v>97</v>
      </c>
      <c r="E2083" t="s">
        <v>116</v>
      </c>
      <c r="F2083" t="s">
        <v>150</v>
      </c>
      <c r="G2083" t="s">
        <v>175</v>
      </c>
      <c r="H2083" t="s">
        <v>210</v>
      </c>
      <c r="I2083" t="s">
        <v>230</v>
      </c>
      <c r="J2083" t="s">
        <v>249</v>
      </c>
      <c r="K2083" t="s">
        <v>263</v>
      </c>
      <c r="L2083" t="s">
        <v>275</v>
      </c>
      <c r="M2083" t="s">
        <v>284</v>
      </c>
      <c r="N2083" t="s">
        <v>294</v>
      </c>
      <c r="O2083" t="s">
        <v>302</v>
      </c>
      <c r="P2083" t="s">
        <v>310</v>
      </c>
      <c r="Q2083" t="s">
        <v>316</v>
      </c>
      <c r="R2083" t="s">
        <v>322</v>
      </c>
      <c r="S2083" t="s">
        <v>329</v>
      </c>
      <c r="AK2083" t="s">
        <v>358</v>
      </c>
    </row>
    <row r="2084" spans="1:37">
      <c r="A2084" t="s">
        <v>39</v>
      </c>
      <c r="B2084" t="s">
        <v>54</v>
      </c>
      <c r="C2084" t="s">
        <v>54</v>
      </c>
      <c r="D2084" t="s">
        <v>54</v>
      </c>
      <c r="E2084" t="s">
        <v>54</v>
      </c>
      <c r="F2084" t="s">
        <v>54</v>
      </c>
      <c r="G2084" t="s">
        <v>54</v>
      </c>
      <c r="H2084" t="s">
        <v>54</v>
      </c>
      <c r="I2084" t="s">
        <v>54</v>
      </c>
      <c r="J2084" t="s">
        <v>54</v>
      </c>
      <c r="K2084" t="s">
        <v>54</v>
      </c>
      <c r="L2084" t="s">
        <v>54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323</v>
      </c>
      <c r="S2084" t="s">
        <v>330</v>
      </c>
      <c r="AK2084" t="s">
        <v>358</v>
      </c>
    </row>
    <row r="2085" spans="1:37">
      <c r="B2085" t="s">
        <v>55</v>
      </c>
      <c r="C2085" t="s">
        <v>78</v>
      </c>
      <c r="D2085" t="s">
        <v>55</v>
      </c>
      <c r="E2085" t="s">
        <v>78</v>
      </c>
      <c r="F2085" t="s">
        <v>55</v>
      </c>
      <c r="G2085" t="s">
        <v>78</v>
      </c>
      <c r="H2085" t="s">
        <v>55</v>
      </c>
      <c r="I2085" t="s">
        <v>78</v>
      </c>
      <c r="J2085" t="s">
        <v>55</v>
      </c>
      <c r="K2085" t="s">
        <v>78</v>
      </c>
      <c r="L2085" t="s">
        <v>55</v>
      </c>
      <c r="M2085" t="s">
        <v>78</v>
      </c>
      <c r="N2085" t="s">
        <v>55</v>
      </c>
      <c r="O2085" t="s">
        <v>78</v>
      </c>
      <c r="P2085" t="s">
        <v>55</v>
      </c>
      <c r="Q2085" t="s">
        <v>78</v>
      </c>
      <c r="R2085" t="s">
        <v>55</v>
      </c>
      <c r="S2085" t="s">
        <v>78</v>
      </c>
      <c r="T2085" t="s">
        <v>55</v>
      </c>
      <c r="U2085" t="s">
        <v>78</v>
      </c>
      <c r="V2085" t="s">
        <v>55</v>
      </c>
      <c r="W2085" t="s">
        <v>78</v>
      </c>
      <c r="X2085" t="s">
        <v>55</v>
      </c>
      <c r="Y2085" t="s">
        <v>78</v>
      </c>
      <c r="Z2085" t="s">
        <v>55</v>
      </c>
      <c r="AA2085" t="s">
        <v>78</v>
      </c>
      <c r="AB2085" t="s">
        <v>55</v>
      </c>
      <c r="AC2085" t="s">
        <v>78</v>
      </c>
      <c r="AD2085" t="s">
        <v>55</v>
      </c>
      <c r="AE2085" t="s">
        <v>78</v>
      </c>
      <c r="AF2085" t="s">
        <v>55</v>
      </c>
      <c r="AG2085" t="s">
        <v>78</v>
      </c>
      <c r="AH2085" t="s">
        <v>55</v>
      </c>
      <c r="AI2085" t="s">
        <v>78</v>
      </c>
      <c r="AK2085" t="s">
        <v>358</v>
      </c>
    </row>
    <row r="2086" spans="1:37">
      <c r="B2086" t="s">
        <v>56</v>
      </c>
      <c r="C2086" t="s">
        <v>56</v>
      </c>
      <c r="D2086" t="s">
        <v>56</v>
      </c>
      <c r="E2086" t="s">
        <v>56</v>
      </c>
      <c r="F2086" t="s">
        <v>56</v>
      </c>
      <c r="G2086" t="s">
        <v>176</v>
      </c>
      <c r="H2086" t="s">
        <v>211</v>
      </c>
      <c r="I2086" t="s">
        <v>231</v>
      </c>
      <c r="J2086" t="s">
        <v>250</v>
      </c>
      <c r="K2086" t="s">
        <v>264</v>
      </c>
      <c r="L2086" t="s">
        <v>276</v>
      </c>
      <c r="M2086" t="s">
        <v>285</v>
      </c>
      <c r="N2086" t="s">
        <v>295</v>
      </c>
      <c r="O2086" t="s">
        <v>303</v>
      </c>
      <c r="P2086" t="s">
        <v>56</v>
      </c>
      <c r="Q2086" t="s">
        <v>317</v>
      </c>
      <c r="R2086" t="s">
        <v>324</v>
      </c>
      <c r="S2086" t="s">
        <v>331</v>
      </c>
      <c r="T2086" t="s">
        <v>334</v>
      </c>
      <c r="U2086" t="s">
        <v>338</v>
      </c>
      <c r="V2086" t="s">
        <v>342</v>
      </c>
      <c r="W2086" t="s">
        <v>346</v>
      </c>
      <c r="X2086" t="s">
        <v>351</v>
      </c>
      <c r="AK2086" t="s">
        <v>358</v>
      </c>
    </row>
    <row r="2087" spans="1:37">
      <c r="B2087" t="s">
        <v>57</v>
      </c>
      <c r="C2087" t="s">
        <v>79</v>
      </c>
      <c r="D2087" t="s">
        <v>98</v>
      </c>
      <c r="E2087" t="s">
        <v>117</v>
      </c>
      <c r="F2087" t="s">
        <v>151</v>
      </c>
      <c r="G2087" t="s">
        <v>177</v>
      </c>
      <c r="H2087" t="s">
        <v>212</v>
      </c>
      <c r="I2087" t="s">
        <v>232</v>
      </c>
      <c r="J2087" t="s">
        <v>251</v>
      </c>
      <c r="K2087" t="s">
        <v>265</v>
      </c>
      <c r="L2087" t="s">
        <v>277</v>
      </c>
      <c r="M2087" t="s">
        <v>286</v>
      </c>
      <c r="N2087" t="s">
        <v>296</v>
      </c>
      <c r="O2087" t="s">
        <v>304</v>
      </c>
      <c r="P2087" t="s">
        <v>311</v>
      </c>
      <c r="Q2087" t="s">
        <v>318</v>
      </c>
      <c r="R2087" t="s">
        <v>185</v>
      </c>
      <c r="S2087" t="s">
        <v>159</v>
      </c>
      <c r="T2087" t="s">
        <v>185</v>
      </c>
      <c r="U2087" t="s">
        <v>339</v>
      </c>
      <c r="V2087" t="s">
        <v>72</v>
      </c>
      <c r="W2087" t="s">
        <v>347</v>
      </c>
      <c r="X2087" t="s">
        <v>72</v>
      </c>
      <c r="Y2087" t="s">
        <v>96</v>
      </c>
      <c r="AK2087" t="s">
        <v>358</v>
      </c>
    </row>
    <row r="2088" spans="1:37">
      <c r="B2088" t="s">
        <v>58</v>
      </c>
      <c r="C2088" t="s">
        <v>80</v>
      </c>
      <c r="D2088" t="s">
        <v>99</v>
      </c>
      <c r="E2088" t="s">
        <v>118</v>
      </c>
      <c r="F2088" t="s">
        <v>152</v>
      </c>
      <c r="G2088" t="s">
        <v>178</v>
      </c>
      <c r="H2088" t="s">
        <v>213</v>
      </c>
      <c r="I2088" t="s">
        <v>233</v>
      </c>
      <c r="J2088" t="s">
        <v>252</v>
      </c>
      <c r="K2088" t="s">
        <v>266</v>
      </c>
      <c r="L2088" t="s">
        <v>278</v>
      </c>
      <c r="M2088" t="s">
        <v>287</v>
      </c>
      <c r="N2088" t="s">
        <v>297</v>
      </c>
      <c r="O2088" t="s">
        <v>305</v>
      </c>
      <c r="P2088" t="s">
        <v>312</v>
      </c>
      <c r="Q2088" t="s">
        <v>319</v>
      </c>
      <c r="R2088">
        <f>&gt;10       ветра      4.1     21  14</f>
        <v>0</v>
      </c>
      <c r="AK2088" t="s">
        <v>358</v>
      </c>
    </row>
    <row r="2089" spans="1:37">
      <c r="A2089" t="s">
        <v>40</v>
      </c>
      <c r="B2089" t="s">
        <v>59</v>
      </c>
      <c r="C2089" t="s">
        <v>81</v>
      </c>
      <c r="D2089" t="s">
        <v>100</v>
      </c>
      <c r="E2089" t="s">
        <v>119</v>
      </c>
      <c r="F2089" t="s">
        <v>153</v>
      </c>
      <c r="G2089" t="s">
        <v>179</v>
      </c>
      <c r="H2089" t="s">
        <v>214</v>
      </c>
      <c r="I2089" t="s">
        <v>234</v>
      </c>
      <c r="AK2089" t="s">
        <v>358</v>
      </c>
    </row>
    <row r="2090" spans="1:37">
      <c r="A2090" t="s">
        <v>40</v>
      </c>
      <c r="B2090" t="s">
        <v>60</v>
      </c>
      <c r="C2090" t="s">
        <v>82</v>
      </c>
      <c r="D2090" t="s">
        <v>101</v>
      </c>
      <c r="E2090" t="s">
        <v>120</v>
      </c>
      <c r="F2090" t="s">
        <v>154</v>
      </c>
      <c r="G2090" t="s">
        <v>180</v>
      </c>
      <c r="H2090" t="s">
        <v>215</v>
      </c>
      <c r="I2090" t="s">
        <v>235</v>
      </c>
      <c r="J2090" t="s">
        <v>253</v>
      </c>
      <c r="K2090" t="s">
        <v>267</v>
      </c>
      <c r="L2090" t="s">
        <v>279</v>
      </c>
      <c r="M2090" t="s">
        <v>288</v>
      </c>
      <c r="N2090" t="s">
        <v>100</v>
      </c>
      <c r="O2090" t="s">
        <v>306</v>
      </c>
      <c r="P2090" t="s">
        <v>313</v>
      </c>
      <c r="Q2090" t="s">
        <v>320</v>
      </c>
      <c r="R2090" t="s">
        <v>325</v>
      </c>
      <c r="S2090" t="s">
        <v>332</v>
      </c>
      <c r="T2090" t="s">
        <v>119</v>
      </c>
      <c r="U2090" t="s">
        <v>234</v>
      </c>
      <c r="V2090" t="s">
        <v>343</v>
      </c>
      <c r="W2090" t="s">
        <v>348</v>
      </c>
      <c r="X2090" t="s">
        <v>352</v>
      </c>
      <c r="Y2090" t="s">
        <v>354</v>
      </c>
      <c r="AK2090" t="s">
        <v>358</v>
      </c>
    </row>
    <row r="2091" spans="1:37">
      <c r="A2091" t="s">
        <v>41</v>
      </c>
      <c r="B2091" t="s">
        <v>61</v>
      </c>
      <c r="C2091" t="s">
        <v>83</v>
      </c>
      <c r="D2091" t="s">
        <v>102</v>
      </c>
      <c r="E2091" t="s">
        <v>121</v>
      </c>
      <c r="F2091" t="s">
        <v>155</v>
      </c>
      <c r="G2091" t="s">
        <v>181</v>
      </c>
      <c r="H2091" t="s">
        <v>216</v>
      </c>
      <c r="I2091" t="s">
        <v>236</v>
      </c>
      <c r="AK2091" t="s">
        <v>358</v>
      </c>
    </row>
    <row r="2092" spans="1:37">
      <c r="A2092" t="s">
        <v>42</v>
      </c>
      <c r="B2092" t="s">
        <v>62</v>
      </c>
      <c r="C2092" t="s">
        <v>84</v>
      </c>
      <c r="D2092" t="s">
        <v>103</v>
      </c>
      <c r="E2092" t="s">
        <v>122</v>
      </c>
      <c r="F2092" t="s">
        <v>156</v>
      </c>
      <c r="G2092" t="s">
        <v>182</v>
      </c>
      <c r="H2092" t="s">
        <v>83</v>
      </c>
      <c r="I2092" t="s">
        <v>237</v>
      </c>
      <c r="J2092" t="s">
        <v>254</v>
      </c>
      <c r="K2092" t="s">
        <v>268</v>
      </c>
      <c r="L2092" t="s">
        <v>280</v>
      </c>
      <c r="M2092" t="s">
        <v>289</v>
      </c>
      <c r="N2092" t="s">
        <v>298</v>
      </c>
      <c r="O2092" t="s">
        <v>307</v>
      </c>
      <c r="P2092" t="s">
        <v>314</v>
      </c>
      <c r="Q2092" t="s">
        <v>216</v>
      </c>
      <c r="R2092" t="s">
        <v>326</v>
      </c>
      <c r="S2092" t="s">
        <v>333</v>
      </c>
      <c r="T2092" t="s">
        <v>335</v>
      </c>
      <c r="U2092" t="s">
        <v>340</v>
      </c>
      <c r="V2092" t="s">
        <v>344</v>
      </c>
      <c r="W2092" t="s">
        <v>349</v>
      </c>
      <c r="AK2092" t="s">
        <v>358</v>
      </c>
    </row>
    <row r="2093" spans="1:37">
      <c r="A2093" t="s">
        <v>43</v>
      </c>
      <c r="B2093" t="s">
        <v>63</v>
      </c>
      <c r="C2093" t="s">
        <v>85</v>
      </c>
      <c r="D2093" t="s">
        <v>104</v>
      </c>
      <c r="E2093" t="s">
        <v>123</v>
      </c>
      <c r="F2093" t="s">
        <v>157</v>
      </c>
      <c r="G2093" t="s">
        <v>183</v>
      </c>
      <c r="AK2093" t="s">
        <v>358</v>
      </c>
    </row>
    <row r="2094" spans="1:37">
      <c r="A2094" t="s">
        <v>44</v>
      </c>
      <c r="B2094" t="s">
        <v>64</v>
      </c>
      <c r="C2094" t="s">
        <v>86</v>
      </c>
      <c r="D2094" t="s">
        <v>105</v>
      </c>
      <c r="E2094" t="s">
        <v>124</v>
      </c>
      <c r="F2094" t="s">
        <v>158</v>
      </c>
      <c r="G2094" t="s">
        <v>184</v>
      </c>
      <c r="AK2094" t="s">
        <v>358</v>
      </c>
    </row>
    <row r="2095" spans="1:37">
      <c r="A2095" t="s">
        <v>45</v>
      </c>
      <c r="B2095" t="s">
        <v>65</v>
      </c>
      <c r="C2095" t="s">
        <v>87</v>
      </c>
      <c r="D2095" t="s">
        <v>106</v>
      </c>
      <c r="E2095" t="s">
        <v>125</v>
      </c>
      <c r="F2095" t="s">
        <v>159</v>
      </c>
      <c r="G2095" t="s">
        <v>185</v>
      </c>
      <c r="H2095" t="s">
        <v>159</v>
      </c>
      <c r="I2095" t="s">
        <v>185</v>
      </c>
      <c r="J2095" t="s">
        <v>255</v>
      </c>
      <c r="AK2095" t="s">
        <v>358</v>
      </c>
    </row>
    <row r="2096" spans="1:37">
      <c r="A2096" t="s">
        <v>46</v>
      </c>
      <c r="B2096" t="s">
        <v>66</v>
      </c>
      <c r="C2096" t="s">
        <v>88</v>
      </c>
      <c r="D2096" t="s">
        <v>76</v>
      </c>
      <c r="E2096" t="s">
        <v>126</v>
      </c>
      <c r="F2096" t="s">
        <v>160</v>
      </c>
      <c r="G2096" t="s">
        <v>186</v>
      </c>
      <c r="H2096" t="s">
        <v>217</v>
      </c>
      <c r="I2096" t="s">
        <v>238</v>
      </c>
      <c r="J2096" t="s">
        <v>256</v>
      </c>
      <c r="K2096" t="s">
        <v>265</v>
      </c>
      <c r="L2096" t="s">
        <v>281</v>
      </c>
      <c r="M2096" t="s">
        <v>290</v>
      </c>
      <c r="N2096" t="s">
        <v>299</v>
      </c>
      <c r="O2096" t="s">
        <v>308</v>
      </c>
      <c r="P2096" t="s">
        <v>228</v>
      </c>
      <c r="Q2096" t="s">
        <v>72</v>
      </c>
      <c r="R2096" t="s">
        <v>327</v>
      </c>
      <c r="S2096" t="s">
        <v>327</v>
      </c>
      <c r="T2096" t="s">
        <v>336</v>
      </c>
      <c r="U2096" t="s">
        <v>336</v>
      </c>
      <c r="V2096" t="s">
        <v>336</v>
      </c>
      <c r="W2096" t="s">
        <v>336</v>
      </c>
      <c r="X2096" t="s">
        <v>353</v>
      </c>
      <c r="AK2096" t="s">
        <v>358</v>
      </c>
    </row>
    <row r="2097" spans="1:37">
      <c r="A2097" t="s">
        <v>37</v>
      </c>
      <c r="B2097" t="s">
        <v>49</v>
      </c>
      <c r="C2097" t="s">
        <v>73</v>
      </c>
      <c r="D2097" t="s">
        <v>94</v>
      </c>
      <c r="E2097" t="s">
        <v>112</v>
      </c>
      <c r="F2097" t="s">
        <v>146</v>
      </c>
      <c r="G2097" t="s">
        <v>172</v>
      </c>
      <c r="H2097" t="s">
        <v>207</v>
      </c>
      <c r="I2097" t="s">
        <v>226</v>
      </c>
      <c r="J2097" t="s">
        <v>246</v>
      </c>
      <c r="K2097" t="s">
        <v>259</v>
      </c>
      <c r="AK2097" t="s">
        <v>358</v>
      </c>
    </row>
    <row r="2098" spans="1:37">
      <c r="A2098" t="s">
        <v>38</v>
      </c>
      <c r="B2098" t="s">
        <v>50</v>
      </c>
      <c r="C2098" t="s">
        <v>74</v>
      </c>
      <c r="D2098" t="s">
        <v>95</v>
      </c>
      <c r="E2098" t="s">
        <v>113</v>
      </c>
      <c r="F2098" t="s">
        <v>147</v>
      </c>
      <c r="G2098" t="s">
        <v>173</v>
      </c>
      <c r="H2098" t="s">
        <v>208</v>
      </c>
      <c r="I2098" t="s">
        <v>227</v>
      </c>
      <c r="J2098" t="s">
        <v>115</v>
      </c>
      <c r="K2098" t="s">
        <v>260</v>
      </c>
      <c r="L2098" t="s">
        <v>273</v>
      </c>
      <c r="M2098" t="s">
        <v>282</v>
      </c>
      <c r="N2098" t="s">
        <v>291</v>
      </c>
      <c r="AK2098" t="s">
        <v>358</v>
      </c>
    </row>
    <row r="2099" spans="1:37">
      <c r="B2099" t="s">
        <v>51</v>
      </c>
      <c r="C2099" t="s">
        <v>75</v>
      </c>
      <c r="D2099" t="s">
        <v>52</v>
      </c>
      <c r="E2099" t="s">
        <v>114</v>
      </c>
      <c r="F2099" t="s">
        <v>148</v>
      </c>
      <c r="G2099" t="s">
        <v>148</v>
      </c>
      <c r="H2099" t="s">
        <v>209</v>
      </c>
      <c r="I2099" t="s">
        <v>228</v>
      </c>
      <c r="J2099" t="s">
        <v>247</v>
      </c>
      <c r="K2099" t="s">
        <v>261</v>
      </c>
      <c r="L2099" t="s">
        <v>274</v>
      </c>
      <c r="M2099" t="s">
        <v>283</v>
      </c>
      <c r="N2099" t="s">
        <v>292</v>
      </c>
      <c r="O2099" t="s">
        <v>300</v>
      </c>
      <c r="AK2099" t="s">
        <v>358</v>
      </c>
    </row>
    <row r="2100" spans="1:37">
      <c r="B2100" t="s">
        <v>52</v>
      </c>
      <c r="C2100" t="s">
        <v>76</v>
      </c>
      <c r="D2100" t="s">
        <v>96</v>
      </c>
      <c r="E2100" t="s">
        <v>115</v>
      </c>
      <c r="F2100" t="s">
        <v>149</v>
      </c>
      <c r="G2100" t="s">
        <v>174</v>
      </c>
      <c r="H2100" t="s">
        <v>96</v>
      </c>
      <c r="I2100" t="s">
        <v>229</v>
      </c>
      <c r="J2100" t="s">
        <v>248</v>
      </c>
      <c r="K2100" t="s">
        <v>262</v>
      </c>
      <c r="L2100" t="s">
        <v>52</v>
      </c>
      <c r="M2100" t="s">
        <v>76</v>
      </c>
      <c r="N2100" t="s">
        <v>293</v>
      </c>
      <c r="O2100" t="s">
        <v>301</v>
      </c>
      <c r="P2100" t="s">
        <v>309</v>
      </c>
      <c r="Q2100" t="s">
        <v>315</v>
      </c>
      <c r="R2100" t="s">
        <v>228</v>
      </c>
      <c r="S2100" t="s">
        <v>328</v>
      </c>
      <c r="T2100" t="s">
        <v>149</v>
      </c>
      <c r="U2100" t="s">
        <v>337</v>
      </c>
      <c r="V2100" t="s">
        <v>341</v>
      </c>
      <c r="W2100" t="s">
        <v>345</v>
      </c>
      <c r="X2100" t="s">
        <v>350</v>
      </c>
      <c r="AK2100" t="s">
        <v>358</v>
      </c>
    </row>
    <row r="2101" spans="1:37">
      <c r="B2101" t="s">
        <v>53</v>
      </c>
      <c r="C2101" t="s">
        <v>77</v>
      </c>
      <c r="D2101" t="s">
        <v>97</v>
      </c>
      <c r="E2101" t="s">
        <v>116</v>
      </c>
      <c r="F2101" t="s">
        <v>150</v>
      </c>
      <c r="G2101" t="s">
        <v>175</v>
      </c>
      <c r="H2101" t="s">
        <v>210</v>
      </c>
      <c r="I2101" t="s">
        <v>230</v>
      </c>
      <c r="J2101" t="s">
        <v>249</v>
      </c>
      <c r="K2101" t="s">
        <v>263</v>
      </c>
      <c r="L2101" t="s">
        <v>275</v>
      </c>
      <c r="M2101" t="s">
        <v>284</v>
      </c>
      <c r="N2101" t="s">
        <v>294</v>
      </c>
      <c r="O2101" t="s">
        <v>302</v>
      </c>
      <c r="P2101" t="s">
        <v>310</v>
      </c>
      <c r="Q2101" t="s">
        <v>316</v>
      </c>
      <c r="R2101" t="s">
        <v>322</v>
      </c>
      <c r="S2101" t="s">
        <v>329</v>
      </c>
      <c r="AK2101" t="s">
        <v>358</v>
      </c>
    </row>
    <row r="2102" spans="1:37">
      <c r="A2102" t="s">
        <v>39</v>
      </c>
      <c r="B2102" t="s">
        <v>54</v>
      </c>
      <c r="C2102" t="s">
        <v>54</v>
      </c>
      <c r="D2102" t="s">
        <v>54</v>
      </c>
      <c r="E2102" t="s">
        <v>54</v>
      </c>
      <c r="F2102" t="s">
        <v>54</v>
      </c>
      <c r="G2102" t="s">
        <v>54</v>
      </c>
      <c r="H2102" t="s">
        <v>54</v>
      </c>
      <c r="I2102" t="s">
        <v>54</v>
      </c>
      <c r="J2102" t="s">
        <v>54</v>
      </c>
      <c r="K2102" t="s">
        <v>54</v>
      </c>
      <c r="L2102" t="s">
        <v>54</v>
      </c>
      <c r="M2102" t="s">
        <v>54</v>
      </c>
      <c r="N2102" t="s">
        <v>54</v>
      </c>
      <c r="O2102" t="s">
        <v>54</v>
      </c>
      <c r="P2102" t="s">
        <v>54</v>
      </c>
      <c r="Q2102" t="s">
        <v>54</v>
      </c>
      <c r="R2102" t="s">
        <v>323</v>
      </c>
      <c r="S2102" t="s">
        <v>330</v>
      </c>
      <c r="AK2102" t="s">
        <v>358</v>
      </c>
    </row>
    <row r="2103" spans="1:37">
      <c r="B2103" t="s">
        <v>55</v>
      </c>
      <c r="C2103" t="s">
        <v>78</v>
      </c>
      <c r="D2103" t="s">
        <v>55</v>
      </c>
      <c r="E2103" t="s">
        <v>78</v>
      </c>
      <c r="F2103" t="s">
        <v>55</v>
      </c>
      <c r="G2103" t="s">
        <v>78</v>
      </c>
      <c r="H2103" t="s">
        <v>55</v>
      </c>
      <c r="I2103" t="s">
        <v>78</v>
      </c>
      <c r="J2103" t="s">
        <v>55</v>
      </c>
      <c r="K2103" t="s">
        <v>78</v>
      </c>
      <c r="L2103" t="s">
        <v>55</v>
      </c>
      <c r="M2103" t="s">
        <v>78</v>
      </c>
      <c r="N2103" t="s">
        <v>55</v>
      </c>
      <c r="O2103" t="s">
        <v>78</v>
      </c>
      <c r="P2103" t="s">
        <v>55</v>
      </c>
      <c r="Q2103" t="s">
        <v>78</v>
      </c>
      <c r="R2103" t="s">
        <v>55</v>
      </c>
      <c r="S2103" t="s">
        <v>78</v>
      </c>
      <c r="T2103" t="s">
        <v>55</v>
      </c>
      <c r="U2103" t="s">
        <v>78</v>
      </c>
      <c r="V2103" t="s">
        <v>55</v>
      </c>
      <c r="W2103" t="s">
        <v>78</v>
      </c>
      <c r="X2103" t="s">
        <v>55</v>
      </c>
      <c r="Y2103" t="s">
        <v>78</v>
      </c>
      <c r="Z2103" t="s">
        <v>55</v>
      </c>
      <c r="AA2103" t="s">
        <v>78</v>
      </c>
      <c r="AB2103" t="s">
        <v>55</v>
      </c>
      <c r="AC2103" t="s">
        <v>78</v>
      </c>
      <c r="AD2103" t="s">
        <v>55</v>
      </c>
      <c r="AE2103" t="s">
        <v>78</v>
      </c>
      <c r="AF2103" t="s">
        <v>55</v>
      </c>
      <c r="AG2103" t="s">
        <v>78</v>
      </c>
      <c r="AH2103" t="s">
        <v>55</v>
      </c>
      <c r="AI2103" t="s">
        <v>78</v>
      </c>
      <c r="AK2103" t="s">
        <v>358</v>
      </c>
    </row>
    <row r="2104" spans="1:37">
      <c r="B2104" t="s">
        <v>56</v>
      </c>
      <c r="C2104" t="s">
        <v>56</v>
      </c>
      <c r="D2104" t="s">
        <v>56</v>
      </c>
      <c r="E2104" t="s">
        <v>56</v>
      </c>
      <c r="F2104" t="s">
        <v>56</v>
      </c>
      <c r="G2104" t="s">
        <v>176</v>
      </c>
      <c r="H2104" t="s">
        <v>211</v>
      </c>
      <c r="I2104" t="s">
        <v>231</v>
      </c>
      <c r="J2104" t="s">
        <v>250</v>
      </c>
      <c r="K2104" t="s">
        <v>264</v>
      </c>
      <c r="L2104" t="s">
        <v>276</v>
      </c>
      <c r="M2104" t="s">
        <v>285</v>
      </c>
      <c r="N2104" t="s">
        <v>295</v>
      </c>
      <c r="O2104" t="s">
        <v>303</v>
      </c>
      <c r="P2104" t="s">
        <v>56</v>
      </c>
      <c r="Q2104" t="s">
        <v>317</v>
      </c>
      <c r="R2104" t="s">
        <v>324</v>
      </c>
      <c r="S2104" t="s">
        <v>331</v>
      </c>
      <c r="T2104" t="s">
        <v>334</v>
      </c>
      <c r="U2104" t="s">
        <v>338</v>
      </c>
      <c r="V2104" t="s">
        <v>342</v>
      </c>
      <c r="W2104" t="s">
        <v>346</v>
      </c>
      <c r="X2104" t="s">
        <v>351</v>
      </c>
      <c r="AK2104" t="s">
        <v>358</v>
      </c>
    </row>
    <row r="2105" spans="1:37">
      <c r="B2105" t="s">
        <v>57</v>
      </c>
      <c r="C2105" t="s">
        <v>79</v>
      </c>
      <c r="D2105" t="s">
        <v>98</v>
      </c>
      <c r="E2105" t="s">
        <v>117</v>
      </c>
      <c r="F2105" t="s">
        <v>151</v>
      </c>
      <c r="G2105" t="s">
        <v>177</v>
      </c>
      <c r="H2105" t="s">
        <v>212</v>
      </c>
      <c r="I2105" t="s">
        <v>232</v>
      </c>
      <c r="J2105" t="s">
        <v>251</v>
      </c>
      <c r="K2105" t="s">
        <v>265</v>
      </c>
      <c r="L2105" t="s">
        <v>277</v>
      </c>
      <c r="M2105" t="s">
        <v>286</v>
      </c>
      <c r="N2105" t="s">
        <v>296</v>
      </c>
      <c r="O2105" t="s">
        <v>304</v>
      </c>
      <c r="P2105" t="s">
        <v>311</v>
      </c>
      <c r="Q2105" t="s">
        <v>318</v>
      </c>
      <c r="R2105" t="s">
        <v>185</v>
      </c>
      <c r="S2105" t="s">
        <v>159</v>
      </c>
      <c r="T2105" t="s">
        <v>185</v>
      </c>
      <c r="U2105" t="s">
        <v>339</v>
      </c>
      <c r="V2105" t="s">
        <v>72</v>
      </c>
      <c r="W2105" t="s">
        <v>347</v>
      </c>
      <c r="X2105" t="s">
        <v>72</v>
      </c>
      <c r="Y2105" t="s">
        <v>96</v>
      </c>
      <c r="AK2105" t="s">
        <v>358</v>
      </c>
    </row>
    <row r="2106" spans="1:37">
      <c r="B2106" t="s">
        <v>58</v>
      </c>
      <c r="C2106" t="s">
        <v>80</v>
      </c>
      <c r="D2106" t="s">
        <v>99</v>
      </c>
      <c r="E2106" t="s">
        <v>118</v>
      </c>
      <c r="F2106" t="s">
        <v>152</v>
      </c>
      <c r="G2106" t="s">
        <v>178</v>
      </c>
      <c r="H2106" t="s">
        <v>213</v>
      </c>
      <c r="I2106" t="s">
        <v>233</v>
      </c>
      <c r="J2106" t="s">
        <v>252</v>
      </c>
      <c r="K2106" t="s">
        <v>266</v>
      </c>
      <c r="L2106" t="s">
        <v>278</v>
      </c>
      <c r="M2106" t="s">
        <v>287</v>
      </c>
      <c r="N2106" t="s">
        <v>297</v>
      </c>
      <c r="O2106" t="s">
        <v>305</v>
      </c>
      <c r="P2106" t="s">
        <v>312</v>
      </c>
      <c r="Q2106" t="s">
        <v>319</v>
      </c>
      <c r="R2106">
        <f>&gt;10       ветра      4.0     19  14 26</f>
        <v>0</v>
      </c>
      <c r="AK2106" t="s">
        <v>358</v>
      </c>
    </row>
    <row r="2107" spans="1:37">
      <c r="A2107" t="s">
        <v>40</v>
      </c>
      <c r="B2107" t="s">
        <v>59</v>
      </c>
      <c r="C2107" t="s">
        <v>81</v>
      </c>
      <c r="D2107" t="s">
        <v>100</v>
      </c>
      <c r="E2107" t="s">
        <v>119</v>
      </c>
      <c r="F2107" t="s">
        <v>153</v>
      </c>
      <c r="G2107" t="s">
        <v>179</v>
      </c>
      <c r="H2107" t="s">
        <v>214</v>
      </c>
      <c r="I2107" t="s">
        <v>234</v>
      </c>
      <c r="AK2107" t="s">
        <v>358</v>
      </c>
    </row>
    <row r="2108" spans="1:37">
      <c r="A2108" t="s">
        <v>40</v>
      </c>
      <c r="B2108" t="s">
        <v>60</v>
      </c>
      <c r="C2108" t="s">
        <v>82</v>
      </c>
      <c r="D2108" t="s">
        <v>101</v>
      </c>
      <c r="E2108" t="s">
        <v>120</v>
      </c>
      <c r="F2108" t="s">
        <v>154</v>
      </c>
      <c r="G2108" t="s">
        <v>180</v>
      </c>
      <c r="H2108" t="s">
        <v>215</v>
      </c>
      <c r="I2108" t="s">
        <v>235</v>
      </c>
      <c r="J2108" t="s">
        <v>253</v>
      </c>
      <c r="K2108" t="s">
        <v>267</v>
      </c>
      <c r="L2108" t="s">
        <v>279</v>
      </c>
      <c r="M2108" t="s">
        <v>288</v>
      </c>
      <c r="N2108" t="s">
        <v>100</v>
      </c>
      <c r="O2108" t="s">
        <v>306</v>
      </c>
      <c r="P2108" t="s">
        <v>313</v>
      </c>
      <c r="Q2108" t="s">
        <v>320</v>
      </c>
      <c r="R2108" t="s">
        <v>325</v>
      </c>
      <c r="S2108" t="s">
        <v>332</v>
      </c>
      <c r="T2108" t="s">
        <v>119</v>
      </c>
      <c r="U2108" t="s">
        <v>234</v>
      </c>
      <c r="V2108" t="s">
        <v>343</v>
      </c>
      <c r="W2108" t="s">
        <v>348</v>
      </c>
      <c r="X2108" t="s">
        <v>352</v>
      </c>
      <c r="Y2108" t="s">
        <v>354</v>
      </c>
      <c r="AK2108" t="s">
        <v>358</v>
      </c>
    </row>
    <row r="2109" spans="1:37">
      <c r="A2109" t="s">
        <v>41</v>
      </c>
      <c r="B2109" t="s">
        <v>61</v>
      </c>
      <c r="C2109" t="s">
        <v>83</v>
      </c>
      <c r="D2109" t="s">
        <v>102</v>
      </c>
      <c r="E2109" t="s">
        <v>121</v>
      </c>
      <c r="F2109" t="s">
        <v>155</v>
      </c>
      <c r="G2109" t="s">
        <v>181</v>
      </c>
      <c r="H2109" t="s">
        <v>216</v>
      </c>
      <c r="I2109" t="s">
        <v>236</v>
      </c>
      <c r="AK2109" t="s">
        <v>358</v>
      </c>
    </row>
    <row r="2110" spans="1:37">
      <c r="A2110" t="s">
        <v>42</v>
      </c>
      <c r="B2110" t="s">
        <v>62</v>
      </c>
      <c r="C2110" t="s">
        <v>84</v>
      </c>
      <c r="D2110" t="s">
        <v>103</v>
      </c>
      <c r="E2110" t="s">
        <v>122</v>
      </c>
      <c r="F2110" t="s">
        <v>156</v>
      </c>
      <c r="G2110" t="s">
        <v>182</v>
      </c>
      <c r="H2110" t="s">
        <v>83</v>
      </c>
      <c r="I2110" t="s">
        <v>237</v>
      </c>
      <c r="J2110" t="s">
        <v>254</v>
      </c>
      <c r="K2110" t="s">
        <v>268</v>
      </c>
      <c r="L2110" t="s">
        <v>280</v>
      </c>
      <c r="M2110" t="s">
        <v>289</v>
      </c>
      <c r="N2110" t="s">
        <v>298</v>
      </c>
      <c r="O2110" t="s">
        <v>307</v>
      </c>
      <c r="P2110" t="s">
        <v>314</v>
      </c>
      <c r="Q2110" t="s">
        <v>216</v>
      </c>
      <c r="R2110" t="s">
        <v>326</v>
      </c>
      <c r="S2110" t="s">
        <v>333</v>
      </c>
      <c r="T2110" t="s">
        <v>335</v>
      </c>
      <c r="U2110" t="s">
        <v>340</v>
      </c>
      <c r="V2110" t="s">
        <v>344</v>
      </c>
      <c r="W2110" t="s">
        <v>349</v>
      </c>
      <c r="AK2110" t="s">
        <v>358</v>
      </c>
    </row>
    <row r="2111" spans="1:37">
      <c r="A2111" t="s">
        <v>43</v>
      </c>
      <c r="B2111" t="s">
        <v>63</v>
      </c>
      <c r="C2111" t="s">
        <v>85</v>
      </c>
      <c r="D2111" t="s">
        <v>104</v>
      </c>
      <c r="E2111" t="s">
        <v>123</v>
      </c>
      <c r="F2111" t="s">
        <v>157</v>
      </c>
      <c r="G2111" t="s">
        <v>183</v>
      </c>
      <c r="AK2111" t="s">
        <v>358</v>
      </c>
    </row>
    <row r="2112" spans="1:37">
      <c r="A2112" t="s">
        <v>44</v>
      </c>
      <c r="B2112" t="s">
        <v>64</v>
      </c>
      <c r="C2112" t="s">
        <v>86</v>
      </c>
      <c r="D2112" t="s">
        <v>105</v>
      </c>
      <c r="E2112" t="s">
        <v>124</v>
      </c>
      <c r="F2112" t="s">
        <v>158</v>
      </c>
      <c r="G2112" t="s">
        <v>184</v>
      </c>
      <c r="AK2112" t="s">
        <v>358</v>
      </c>
    </row>
    <row r="2113" spans="1:37">
      <c r="A2113" t="s">
        <v>45</v>
      </c>
      <c r="B2113" t="s">
        <v>65</v>
      </c>
      <c r="C2113" t="s">
        <v>87</v>
      </c>
      <c r="D2113" t="s">
        <v>106</v>
      </c>
      <c r="E2113" t="s">
        <v>125</v>
      </c>
      <c r="F2113" t="s">
        <v>159</v>
      </c>
      <c r="G2113" t="s">
        <v>185</v>
      </c>
      <c r="H2113" t="s">
        <v>159</v>
      </c>
      <c r="I2113" t="s">
        <v>185</v>
      </c>
      <c r="J2113" t="s">
        <v>255</v>
      </c>
      <c r="AK2113" t="s">
        <v>358</v>
      </c>
    </row>
    <row r="2114" spans="1:37">
      <c r="A2114" t="s">
        <v>46</v>
      </c>
      <c r="B2114" t="s">
        <v>66</v>
      </c>
      <c r="C2114" t="s">
        <v>88</v>
      </c>
      <c r="D2114" t="s">
        <v>76</v>
      </c>
      <c r="E2114" t="s">
        <v>126</v>
      </c>
      <c r="F2114" t="s">
        <v>160</v>
      </c>
      <c r="G2114" t="s">
        <v>186</v>
      </c>
      <c r="H2114" t="s">
        <v>217</v>
      </c>
      <c r="I2114" t="s">
        <v>238</v>
      </c>
      <c r="J2114" t="s">
        <v>256</v>
      </c>
      <c r="K2114" t="s">
        <v>265</v>
      </c>
      <c r="L2114" t="s">
        <v>281</v>
      </c>
      <c r="M2114" t="s">
        <v>290</v>
      </c>
      <c r="N2114" t="s">
        <v>299</v>
      </c>
      <c r="O2114" t="s">
        <v>308</v>
      </c>
      <c r="P2114" t="s">
        <v>228</v>
      </c>
      <c r="Q2114" t="s">
        <v>72</v>
      </c>
      <c r="R2114" t="s">
        <v>327</v>
      </c>
      <c r="S2114" t="s">
        <v>327</v>
      </c>
      <c r="T2114" t="s">
        <v>336</v>
      </c>
      <c r="U2114" t="s">
        <v>336</v>
      </c>
      <c r="V2114" t="s">
        <v>336</v>
      </c>
      <c r="W2114" t="s">
        <v>336</v>
      </c>
      <c r="X2114" t="s">
        <v>353</v>
      </c>
      <c r="AK2114" t="s">
        <v>358</v>
      </c>
    </row>
    <row r="2115" spans="1:37">
      <c r="B2115" t="s">
        <v>67</v>
      </c>
      <c r="C2115" t="s">
        <v>89</v>
      </c>
      <c r="D2115" t="s">
        <v>107</v>
      </c>
      <c r="AK2115" t="s">
        <v>358</v>
      </c>
    </row>
    <row r="2116" spans="1:37">
      <c r="B2116" t="s">
        <v>68</v>
      </c>
      <c r="C2116" t="s">
        <v>90</v>
      </c>
      <c r="D2116" t="s">
        <v>108</v>
      </c>
      <c r="AK2116" t="s">
        <v>358</v>
      </c>
    </row>
    <row r="2117" spans="1:37">
      <c r="A2117" t="s">
        <v>47</v>
      </c>
      <c r="B2117" t="s">
        <v>69</v>
      </c>
      <c r="C2117" t="s">
        <v>91</v>
      </c>
      <c r="D2117" t="s">
        <v>109</v>
      </c>
      <c r="E2117" t="s">
        <v>109</v>
      </c>
      <c r="F2117" t="s">
        <v>109</v>
      </c>
      <c r="G2117" t="s">
        <v>109</v>
      </c>
      <c r="H2117" t="s">
        <v>109</v>
      </c>
      <c r="I2117" t="s">
        <v>239</v>
      </c>
      <c r="AK2117" t="s">
        <v>358</v>
      </c>
    </row>
    <row r="2118" spans="1:37">
      <c r="B2118" t="s">
        <v>70</v>
      </c>
      <c r="C2118" t="s">
        <v>92</v>
      </c>
      <c r="D2118" t="s">
        <v>110</v>
      </c>
      <c r="E2118" t="s">
        <v>127</v>
      </c>
      <c r="F2118" t="s">
        <v>161</v>
      </c>
      <c r="G2118" t="s">
        <v>187</v>
      </c>
      <c r="H2118" t="s">
        <v>218</v>
      </c>
      <c r="AK2118" t="s">
        <v>358</v>
      </c>
    </row>
    <row r="2119" spans="1:37">
      <c r="B2119" t="s">
        <v>71</v>
      </c>
      <c r="C2119" t="s">
        <v>93</v>
      </c>
      <c r="D2119" t="s">
        <v>111</v>
      </c>
      <c r="E2119" t="s">
        <v>128</v>
      </c>
      <c r="F2119" t="s">
        <v>162</v>
      </c>
      <c r="G2119" t="s">
        <v>188</v>
      </c>
      <c r="H2119" t="s">
        <v>219</v>
      </c>
      <c r="I2119" t="s">
        <v>240</v>
      </c>
      <c r="J2119" t="s">
        <v>257</v>
      </c>
      <c r="K2119" t="s">
        <v>269</v>
      </c>
      <c r="L2119" t="s">
        <v>109</v>
      </c>
      <c r="M2119" t="s">
        <v>109</v>
      </c>
      <c r="N2119" t="s">
        <v>109</v>
      </c>
      <c r="O2119" t="s">
        <v>109</v>
      </c>
      <c r="P2119" t="s">
        <v>109</v>
      </c>
      <c r="Q2119" t="s">
        <v>321</v>
      </c>
      <c r="AK2119" t="s">
        <v>358</v>
      </c>
    </row>
    <row r="2120" spans="1:37">
      <c r="A2120" t="s">
        <v>48</v>
      </c>
      <c r="B2120" t="s">
        <v>71</v>
      </c>
      <c r="C2120" t="s">
        <v>93</v>
      </c>
      <c r="D2120" t="s">
        <v>111</v>
      </c>
      <c r="E2120" t="s">
        <v>128</v>
      </c>
      <c r="F2120" t="s">
        <v>163</v>
      </c>
      <c r="G2120" t="s">
        <v>189</v>
      </c>
      <c r="H2120" t="s">
        <v>220</v>
      </c>
      <c r="I2120" t="s">
        <v>241</v>
      </c>
      <c r="J2120" t="s">
        <v>258</v>
      </c>
      <c r="K2120" t="s">
        <v>270</v>
      </c>
      <c r="AK2120" t="s">
        <v>358</v>
      </c>
    </row>
    <row r="2121" spans="1:37">
      <c r="B2121" t="s">
        <v>72</v>
      </c>
      <c r="C2121" t="s">
        <v>72</v>
      </c>
      <c r="D2121" t="s">
        <v>72</v>
      </c>
      <c r="E2121" t="s">
        <v>138</v>
      </c>
      <c r="F2121" t="s">
        <v>167</v>
      </c>
      <c r="G2121" t="s">
        <v>201</v>
      </c>
      <c r="H2121" t="s">
        <v>72</v>
      </c>
      <c r="I2121" t="s">
        <v>192</v>
      </c>
      <c r="J2121" t="s">
        <v>72</v>
      </c>
      <c r="K2121" t="s">
        <v>271</v>
      </c>
      <c r="AK2121" t="s">
        <v>358</v>
      </c>
    </row>
    <row r="2122" spans="1:37">
      <c r="A2122" t="s">
        <v>37</v>
      </c>
      <c r="B2122" t="s">
        <v>49</v>
      </c>
      <c r="C2122" t="s">
        <v>73</v>
      </c>
      <c r="D2122" t="s">
        <v>94</v>
      </c>
      <c r="E2122" t="s">
        <v>112</v>
      </c>
      <c r="F2122" t="s">
        <v>146</v>
      </c>
      <c r="G2122" t="s">
        <v>172</v>
      </c>
      <c r="H2122" t="s">
        <v>207</v>
      </c>
      <c r="I2122" t="s">
        <v>226</v>
      </c>
      <c r="J2122" t="s">
        <v>246</v>
      </c>
      <c r="K2122" t="s">
        <v>259</v>
      </c>
      <c r="AK2122" t="s">
        <v>358</v>
      </c>
    </row>
    <row r="2123" spans="1:37">
      <c r="A2123" t="s">
        <v>38</v>
      </c>
      <c r="B2123" t="s">
        <v>50</v>
      </c>
      <c r="C2123" t="s">
        <v>74</v>
      </c>
      <c r="D2123" t="s">
        <v>95</v>
      </c>
      <c r="E2123" t="s">
        <v>113</v>
      </c>
      <c r="F2123" t="s">
        <v>147</v>
      </c>
      <c r="G2123" t="s">
        <v>173</v>
      </c>
      <c r="H2123" t="s">
        <v>208</v>
      </c>
      <c r="I2123" t="s">
        <v>227</v>
      </c>
      <c r="J2123" t="s">
        <v>115</v>
      </c>
      <c r="K2123" t="s">
        <v>260</v>
      </c>
      <c r="L2123" t="s">
        <v>273</v>
      </c>
      <c r="M2123" t="s">
        <v>282</v>
      </c>
      <c r="N2123" t="s">
        <v>291</v>
      </c>
      <c r="AK2123" t="s">
        <v>358</v>
      </c>
    </row>
    <row r="2124" spans="1:37">
      <c r="B2124" t="s">
        <v>51</v>
      </c>
      <c r="C2124" t="s">
        <v>75</v>
      </c>
      <c r="D2124" t="s">
        <v>52</v>
      </c>
      <c r="E2124" t="s">
        <v>114</v>
      </c>
      <c r="F2124" t="s">
        <v>148</v>
      </c>
      <c r="G2124" t="s">
        <v>148</v>
      </c>
      <c r="H2124" t="s">
        <v>209</v>
      </c>
      <c r="I2124" t="s">
        <v>228</v>
      </c>
      <c r="J2124" t="s">
        <v>247</v>
      </c>
      <c r="K2124" t="s">
        <v>261</v>
      </c>
      <c r="L2124" t="s">
        <v>274</v>
      </c>
      <c r="M2124" t="s">
        <v>283</v>
      </c>
      <c r="N2124" t="s">
        <v>292</v>
      </c>
      <c r="O2124" t="s">
        <v>300</v>
      </c>
      <c r="AK2124" t="s">
        <v>358</v>
      </c>
    </row>
    <row r="2125" spans="1:37">
      <c r="B2125" t="s">
        <v>52</v>
      </c>
      <c r="C2125" t="s">
        <v>76</v>
      </c>
      <c r="D2125" t="s">
        <v>96</v>
      </c>
      <c r="E2125" t="s">
        <v>115</v>
      </c>
      <c r="F2125" t="s">
        <v>149</v>
      </c>
      <c r="G2125" t="s">
        <v>174</v>
      </c>
      <c r="H2125" t="s">
        <v>96</v>
      </c>
      <c r="I2125" t="s">
        <v>229</v>
      </c>
      <c r="J2125" t="s">
        <v>248</v>
      </c>
      <c r="K2125" t="s">
        <v>262</v>
      </c>
      <c r="L2125" t="s">
        <v>52</v>
      </c>
      <c r="M2125" t="s">
        <v>76</v>
      </c>
      <c r="N2125" t="s">
        <v>293</v>
      </c>
      <c r="O2125" t="s">
        <v>301</v>
      </c>
      <c r="P2125" t="s">
        <v>309</v>
      </c>
      <c r="Q2125" t="s">
        <v>315</v>
      </c>
      <c r="R2125" t="s">
        <v>228</v>
      </c>
      <c r="S2125" t="s">
        <v>328</v>
      </c>
      <c r="T2125" t="s">
        <v>149</v>
      </c>
      <c r="U2125" t="s">
        <v>337</v>
      </c>
      <c r="V2125" t="s">
        <v>341</v>
      </c>
      <c r="W2125" t="s">
        <v>345</v>
      </c>
      <c r="X2125" t="s">
        <v>350</v>
      </c>
      <c r="AK2125" t="s">
        <v>358</v>
      </c>
    </row>
    <row r="2126" spans="1:37">
      <c r="B2126" t="s">
        <v>53</v>
      </c>
      <c r="C2126" t="s">
        <v>77</v>
      </c>
      <c r="D2126" t="s">
        <v>97</v>
      </c>
      <c r="E2126" t="s">
        <v>116</v>
      </c>
      <c r="F2126" t="s">
        <v>150</v>
      </c>
      <c r="G2126" t="s">
        <v>175</v>
      </c>
      <c r="H2126" t="s">
        <v>210</v>
      </c>
      <c r="I2126" t="s">
        <v>230</v>
      </c>
      <c r="J2126" t="s">
        <v>249</v>
      </c>
      <c r="K2126" t="s">
        <v>263</v>
      </c>
      <c r="L2126" t="s">
        <v>275</v>
      </c>
      <c r="M2126" t="s">
        <v>284</v>
      </c>
      <c r="N2126" t="s">
        <v>294</v>
      </c>
      <c r="O2126" t="s">
        <v>302</v>
      </c>
      <c r="P2126" t="s">
        <v>310</v>
      </c>
      <c r="Q2126" t="s">
        <v>316</v>
      </c>
      <c r="R2126" t="s">
        <v>322</v>
      </c>
      <c r="S2126" t="s">
        <v>329</v>
      </c>
      <c r="AK2126" t="s">
        <v>358</v>
      </c>
    </row>
    <row r="2127" spans="1:37">
      <c r="A2127" t="s">
        <v>39</v>
      </c>
      <c r="B2127" t="s">
        <v>54</v>
      </c>
      <c r="C2127" t="s">
        <v>54</v>
      </c>
      <c r="D2127" t="s">
        <v>54</v>
      </c>
      <c r="E2127" t="s">
        <v>54</v>
      </c>
      <c r="F2127" t="s">
        <v>54</v>
      </c>
      <c r="G2127" t="s">
        <v>54</v>
      </c>
      <c r="H2127" t="s">
        <v>54</v>
      </c>
      <c r="I2127" t="s">
        <v>54</v>
      </c>
      <c r="J2127" t="s">
        <v>54</v>
      </c>
      <c r="K2127" t="s">
        <v>54</v>
      </c>
      <c r="L2127" t="s">
        <v>54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323</v>
      </c>
      <c r="S2127" t="s">
        <v>330</v>
      </c>
      <c r="AK2127" t="s">
        <v>358</v>
      </c>
    </row>
    <row r="2128" spans="1:37">
      <c r="B2128" t="s">
        <v>55</v>
      </c>
      <c r="C2128" t="s">
        <v>78</v>
      </c>
      <c r="D2128" t="s">
        <v>55</v>
      </c>
      <c r="E2128" t="s">
        <v>78</v>
      </c>
      <c r="F2128" t="s">
        <v>55</v>
      </c>
      <c r="G2128" t="s">
        <v>78</v>
      </c>
      <c r="H2128" t="s">
        <v>55</v>
      </c>
      <c r="I2128" t="s">
        <v>78</v>
      </c>
      <c r="J2128" t="s">
        <v>55</v>
      </c>
      <c r="K2128" t="s">
        <v>78</v>
      </c>
      <c r="L2128" t="s">
        <v>55</v>
      </c>
      <c r="M2128" t="s">
        <v>78</v>
      </c>
      <c r="N2128" t="s">
        <v>55</v>
      </c>
      <c r="O2128" t="s">
        <v>78</v>
      </c>
      <c r="P2128" t="s">
        <v>55</v>
      </c>
      <c r="Q2128" t="s">
        <v>78</v>
      </c>
      <c r="R2128" t="s">
        <v>55</v>
      </c>
      <c r="S2128" t="s">
        <v>78</v>
      </c>
      <c r="T2128" t="s">
        <v>55</v>
      </c>
      <c r="U2128" t="s">
        <v>78</v>
      </c>
      <c r="V2128" t="s">
        <v>55</v>
      </c>
      <c r="W2128" t="s">
        <v>78</v>
      </c>
      <c r="X2128" t="s">
        <v>55</v>
      </c>
      <c r="Y2128" t="s">
        <v>78</v>
      </c>
      <c r="Z2128" t="s">
        <v>55</v>
      </c>
      <c r="AA2128" t="s">
        <v>78</v>
      </c>
      <c r="AB2128" t="s">
        <v>55</v>
      </c>
      <c r="AC2128" t="s">
        <v>78</v>
      </c>
      <c r="AD2128" t="s">
        <v>55</v>
      </c>
      <c r="AE2128" t="s">
        <v>78</v>
      </c>
      <c r="AF2128" t="s">
        <v>55</v>
      </c>
      <c r="AG2128" t="s">
        <v>78</v>
      </c>
      <c r="AH2128" t="s">
        <v>55</v>
      </c>
      <c r="AI2128" t="s">
        <v>78</v>
      </c>
      <c r="AK2128" t="s">
        <v>358</v>
      </c>
    </row>
    <row r="2129" spans="1:37">
      <c r="B2129" t="s">
        <v>56</v>
      </c>
      <c r="C2129" t="s">
        <v>56</v>
      </c>
      <c r="D2129" t="s">
        <v>56</v>
      </c>
      <c r="E2129" t="s">
        <v>56</v>
      </c>
      <c r="F2129" t="s">
        <v>56</v>
      </c>
      <c r="G2129" t="s">
        <v>176</v>
      </c>
      <c r="H2129" t="s">
        <v>211</v>
      </c>
      <c r="I2129" t="s">
        <v>231</v>
      </c>
      <c r="J2129" t="s">
        <v>250</v>
      </c>
      <c r="K2129" t="s">
        <v>264</v>
      </c>
      <c r="L2129" t="s">
        <v>276</v>
      </c>
      <c r="M2129" t="s">
        <v>285</v>
      </c>
      <c r="N2129" t="s">
        <v>295</v>
      </c>
      <c r="O2129" t="s">
        <v>303</v>
      </c>
      <c r="P2129" t="s">
        <v>56</v>
      </c>
      <c r="Q2129" t="s">
        <v>317</v>
      </c>
      <c r="R2129" t="s">
        <v>324</v>
      </c>
      <c r="S2129" t="s">
        <v>331</v>
      </c>
      <c r="T2129" t="s">
        <v>334</v>
      </c>
      <c r="U2129" t="s">
        <v>338</v>
      </c>
      <c r="V2129" t="s">
        <v>342</v>
      </c>
      <c r="W2129" t="s">
        <v>346</v>
      </c>
      <c r="X2129" t="s">
        <v>351</v>
      </c>
      <c r="AK2129" t="s">
        <v>358</v>
      </c>
    </row>
    <row r="2130" spans="1:37">
      <c r="B2130" t="s">
        <v>57</v>
      </c>
      <c r="C2130" t="s">
        <v>79</v>
      </c>
      <c r="D2130" t="s">
        <v>98</v>
      </c>
      <c r="E2130" t="s">
        <v>117</v>
      </c>
      <c r="F2130" t="s">
        <v>151</v>
      </c>
      <c r="G2130" t="s">
        <v>177</v>
      </c>
      <c r="H2130" t="s">
        <v>212</v>
      </c>
      <c r="I2130" t="s">
        <v>232</v>
      </c>
      <c r="J2130" t="s">
        <v>251</v>
      </c>
      <c r="K2130" t="s">
        <v>265</v>
      </c>
      <c r="L2130" t="s">
        <v>277</v>
      </c>
      <c r="M2130" t="s">
        <v>286</v>
      </c>
      <c r="N2130" t="s">
        <v>296</v>
      </c>
      <c r="O2130" t="s">
        <v>304</v>
      </c>
      <c r="P2130" t="s">
        <v>311</v>
      </c>
      <c r="Q2130" t="s">
        <v>318</v>
      </c>
      <c r="R2130" t="s">
        <v>185</v>
      </c>
      <c r="S2130" t="s">
        <v>159</v>
      </c>
      <c r="T2130" t="s">
        <v>185</v>
      </c>
      <c r="U2130" t="s">
        <v>339</v>
      </c>
      <c r="V2130" t="s">
        <v>72</v>
      </c>
      <c r="W2130" t="s">
        <v>347</v>
      </c>
      <c r="X2130" t="s">
        <v>72</v>
      </c>
      <c r="Y2130" t="s">
        <v>96</v>
      </c>
      <c r="AK2130" t="s">
        <v>358</v>
      </c>
    </row>
    <row r="2131" spans="1:37">
      <c r="B2131" t="s">
        <v>58</v>
      </c>
      <c r="C2131" t="s">
        <v>80</v>
      </c>
      <c r="D2131" t="s">
        <v>99</v>
      </c>
      <c r="E2131" t="s">
        <v>118</v>
      </c>
      <c r="F2131" t="s">
        <v>152</v>
      </c>
      <c r="G2131" t="s">
        <v>178</v>
      </c>
      <c r="H2131" t="s">
        <v>213</v>
      </c>
      <c r="I2131" t="s">
        <v>233</v>
      </c>
      <c r="J2131" t="s">
        <v>252</v>
      </c>
      <c r="K2131" t="s">
        <v>266</v>
      </c>
      <c r="L2131" t="s">
        <v>278</v>
      </c>
      <c r="M2131" t="s">
        <v>287</v>
      </c>
      <c r="N2131" t="s">
        <v>297</v>
      </c>
      <c r="O2131" t="s">
        <v>305</v>
      </c>
      <c r="P2131" t="s">
        <v>312</v>
      </c>
      <c r="Q2131" t="s">
        <v>319</v>
      </c>
      <c r="R2131">
        <f>&gt;10       ветра      3.7     23  25</f>
        <v>0</v>
      </c>
      <c r="AK2131" t="s">
        <v>358</v>
      </c>
    </row>
    <row r="2132" spans="1:37">
      <c r="A2132" t="s">
        <v>40</v>
      </c>
      <c r="B2132" t="s">
        <v>59</v>
      </c>
      <c r="C2132" t="s">
        <v>81</v>
      </c>
      <c r="D2132" t="s">
        <v>100</v>
      </c>
      <c r="E2132" t="s">
        <v>119</v>
      </c>
      <c r="F2132" t="s">
        <v>153</v>
      </c>
      <c r="G2132" t="s">
        <v>179</v>
      </c>
      <c r="H2132" t="s">
        <v>214</v>
      </c>
      <c r="I2132" t="s">
        <v>234</v>
      </c>
      <c r="AK2132" t="s">
        <v>358</v>
      </c>
    </row>
    <row r="2133" spans="1:37">
      <c r="A2133" t="s">
        <v>40</v>
      </c>
      <c r="B2133" t="s">
        <v>60</v>
      </c>
      <c r="C2133" t="s">
        <v>82</v>
      </c>
      <c r="D2133" t="s">
        <v>101</v>
      </c>
      <c r="E2133" t="s">
        <v>120</v>
      </c>
      <c r="F2133" t="s">
        <v>154</v>
      </c>
      <c r="G2133" t="s">
        <v>180</v>
      </c>
      <c r="H2133" t="s">
        <v>215</v>
      </c>
      <c r="I2133" t="s">
        <v>235</v>
      </c>
      <c r="J2133" t="s">
        <v>253</v>
      </c>
      <c r="K2133" t="s">
        <v>267</v>
      </c>
      <c r="L2133" t="s">
        <v>279</v>
      </c>
      <c r="M2133" t="s">
        <v>288</v>
      </c>
      <c r="N2133" t="s">
        <v>100</v>
      </c>
      <c r="O2133" t="s">
        <v>306</v>
      </c>
      <c r="P2133" t="s">
        <v>313</v>
      </c>
      <c r="Q2133" t="s">
        <v>320</v>
      </c>
      <c r="R2133" t="s">
        <v>325</v>
      </c>
      <c r="S2133" t="s">
        <v>332</v>
      </c>
      <c r="T2133" t="s">
        <v>119</v>
      </c>
      <c r="U2133" t="s">
        <v>234</v>
      </c>
      <c r="V2133" t="s">
        <v>343</v>
      </c>
      <c r="W2133" t="s">
        <v>348</v>
      </c>
      <c r="X2133" t="s">
        <v>352</v>
      </c>
      <c r="Y2133" t="s">
        <v>354</v>
      </c>
      <c r="AK2133" t="s">
        <v>358</v>
      </c>
    </row>
    <row r="2134" spans="1:37">
      <c r="A2134" t="s">
        <v>41</v>
      </c>
      <c r="B2134" t="s">
        <v>61</v>
      </c>
      <c r="C2134" t="s">
        <v>83</v>
      </c>
      <c r="D2134" t="s">
        <v>102</v>
      </c>
      <c r="E2134" t="s">
        <v>121</v>
      </c>
      <c r="F2134" t="s">
        <v>155</v>
      </c>
      <c r="G2134" t="s">
        <v>181</v>
      </c>
      <c r="H2134" t="s">
        <v>216</v>
      </c>
      <c r="I2134" t="s">
        <v>236</v>
      </c>
      <c r="AK2134" t="s">
        <v>358</v>
      </c>
    </row>
    <row r="2135" spans="1:37">
      <c r="A2135" t="s">
        <v>42</v>
      </c>
      <c r="B2135" t="s">
        <v>62</v>
      </c>
      <c r="C2135" t="s">
        <v>84</v>
      </c>
      <c r="D2135" t="s">
        <v>103</v>
      </c>
      <c r="E2135" t="s">
        <v>122</v>
      </c>
      <c r="F2135" t="s">
        <v>156</v>
      </c>
      <c r="G2135" t="s">
        <v>182</v>
      </c>
      <c r="H2135" t="s">
        <v>83</v>
      </c>
      <c r="I2135" t="s">
        <v>237</v>
      </c>
      <c r="J2135" t="s">
        <v>254</v>
      </c>
      <c r="K2135" t="s">
        <v>268</v>
      </c>
      <c r="L2135" t="s">
        <v>280</v>
      </c>
      <c r="M2135" t="s">
        <v>289</v>
      </c>
      <c r="N2135" t="s">
        <v>298</v>
      </c>
      <c r="O2135" t="s">
        <v>307</v>
      </c>
      <c r="P2135" t="s">
        <v>314</v>
      </c>
      <c r="Q2135" t="s">
        <v>216</v>
      </c>
      <c r="R2135" t="s">
        <v>326</v>
      </c>
      <c r="S2135" t="s">
        <v>333</v>
      </c>
      <c r="T2135" t="s">
        <v>335</v>
      </c>
      <c r="U2135" t="s">
        <v>340</v>
      </c>
      <c r="V2135" t="s">
        <v>344</v>
      </c>
      <c r="W2135" t="s">
        <v>349</v>
      </c>
      <c r="AK2135" t="s">
        <v>358</v>
      </c>
    </row>
    <row r="2136" spans="1:37">
      <c r="A2136" t="s">
        <v>43</v>
      </c>
      <c r="B2136" t="s">
        <v>63</v>
      </c>
      <c r="C2136" t="s">
        <v>85</v>
      </c>
      <c r="D2136" t="s">
        <v>104</v>
      </c>
      <c r="E2136" t="s">
        <v>123</v>
      </c>
      <c r="F2136" t="s">
        <v>157</v>
      </c>
      <c r="G2136" t="s">
        <v>183</v>
      </c>
      <c r="AK2136" t="s">
        <v>358</v>
      </c>
    </row>
    <row r="2137" spans="1:37">
      <c r="A2137" t="s">
        <v>44</v>
      </c>
      <c r="B2137" t="s">
        <v>64</v>
      </c>
      <c r="C2137" t="s">
        <v>86</v>
      </c>
      <c r="D2137" t="s">
        <v>105</v>
      </c>
      <c r="E2137" t="s">
        <v>124</v>
      </c>
      <c r="F2137" t="s">
        <v>158</v>
      </c>
      <c r="G2137" t="s">
        <v>184</v>
      </c>
      <c r="AK2137" t="s">
        <v>358</v>
      </c>
    </row>
    <row r="2138" spans="1:37">
      <c r="A2138" t="s">
        <v>45</v>
      </c>
      <c r="B2138" t="s">
        <v>65</v>
      </c>
      <c r="C2138" t="s">
        <v>87</v>
      </c>
      <c r="D2138" t="s">
        <v>106</v>
      </c>
      <c r="E2138" t="s">
        <v>125</v>
      </c>
      <c r="F2138" t="s">
        <v>159</v>
      </c>
      <c r="G2138" t="s">
        <v>185</v>
      </c>
      <c r="H2138" t="s">
        <v>159</v>
      </c>
      <c r="I2138" t="s">
        <v>185</v>
      </c>
      <c r="J2138" t="s">
        <v>255</v>
      </c>
      <c r="AK2138" t="s">
        <v>358</v>
      </c>
    </row>
    <row r="2139" spans="1:37">
      <c r="A2139" t="s">
        <v>46</v>
      </c>
      <c r="B2139" t="s">
        <v>66</v>
      </c>
      <c r="C2139" t="s">
        <v>88</v>
      </c>
      <c r="D2139" t="s">
        <v>76</v>
      </c>
      <c r="E2139" t="s">
        <v>126</v>
      </c>
      <c r="F2139" t="s">
        <v>160</v>
      </c>
      <c r="G2139" t="s">
        <v>186</v>
      </c>
      <c r="H2139" t="s">
        <v>217</v>
      </c>
      <c r="I2139" t="s">
        <v>238</v>
      </c>
      <c r="J2139" t="s">
        <v>256</v>
      </c>
      <c r="K2139" t="s">
        <v>265</v>
      </c>
      <c r="L2139" t="s">
        <v>281</v>
      </c>
      <c r="M2139" t="s">
        <v>290</v>
      </c>
      <c r="N2139" t="s">
        <v>299</v>
      </c>
      <c r="O2139" t="s">
        <v>308</v>
      </c>
      <c r="P2139" t="s">
        <v>228</v>
      </c>
      <c r="Q2139" t="s">
        <v>72</v>
      </c>
      <c r="R2139" t="s">
        <v>327</v>
      </c>
      <c r="S2139" t="s">
        <v>327</v>
      </c>
      <c r="T2139" t="s">
        <v>336</v>
      </c>
      <c r="U2139" t="s">
        <v>336</v>
      </c>
      <c r="V2139" t="s">
        <v>336</v>
      </c>
      <c r="W2139" t="s">
        <v>336</v>
      </c>
      <c r="X2139" t="s">
        <v>353</v>
      </c>
      <c r="AK2139" t="s">
        <v>358</v>
      </c>
    </row>
    <row r="2140" spans="1:37">
      <c r="B2140" t="s">
        <v>67</v>
      </c>
      <c r="C2140" t="s">
        <v>89</v>
      </c>
      <c r="D2140" t="s">
        <v>107</v>
      </c>
      <c r="AK2140" t="s">
        <v>358</v>
      </c>
    </row>
    <row r="2141" spans="1:37">
      <c r="B2141" t="s">
        <v>68</v>
      </c>
      <c r="C2141" t="s">
        <v>90</v>
      </c>
      <c r="D2141" t="s">
        <v>108</v>
      </c>
      <c r="AK2141" t="s">
        <v>358</v>
      </c>
    </row>
    <row r="2142" spans="1:37">
      <c r="A2142" t="s">
        <v>47</v>
      </c>
      <c r="B2142" t="s">
        <v>69</v>
      </c>
      <c r="C2142" t="s">
        <v>91</v>
      </c>
      <c r="D2142" t="s">
        <v>109</v>
      </c>
      <c r="E2142" t="s">
        <v>109</v>
      </c>
      <c r="F2142" t="s">
        <v>109</v>
      </c>
      <c r="G2142" t="s">
        <v>109</v>
      </c>
      <c r="H2142" t="s">
        <v>109</v>
      </c>
      <c r="I2142" t="s">
        <v>239</v>
      </c>
      <c r="AK2142" t="s">
        <v>358</v>
      </c>
    </row>
    <row r="2143" spans="1:37">
      <c r="B2143" t="s">
        <v>70</v>
      </c>
      <c r="C2143" t="s">
        <v>92</v>
      </c>
      <c r="D2143" t="s">
        <v>110</v>
      </c>
      <c r="E2143" t="s">
        <v>127</v>
      </c>
      <c r="F2143" t="s">
        <v>161</v>
      </c>
      <c r="G2143" t="s">
        <v>187</v>
      </c>
      <c r="H2143" t="s">
        <v>218</v>
      </c>
      <c r="AK2143" t="s">
        <v>358</v>
      </c>
    </row>
    <row r="2144" spans="1:37">
      <c r="B2144" t="s">
        <v>71</v>
      </c>
      <c r="C2144" t="s">
        <v>93</v>
      </c>
      <c r="D2144" t="s">
        <v>111</v>
      </c>
      <c r="E2144" t="s">
        <v>128</v>
      </c>
      <c r="F2144" t="s">
        <v>162</v>
      </c>
      <c r="G2144" t="s">
        <v>188</v>
      </c>
      <c r="H2144" t="s">
        <v>219</v>
      </c>
      <c r="I2144" t="s">
        <v>240</v>
      </c>
      <c r="J2144" t="s">
        <v>257</v>
      </c>
      <c r="K2144" t="s">
        <v>269</v>
      </c>
      <c r="L2144" t="s">
        <v>109</v>
      </c>
      <c r="M2144" t="s">
        <v>109</v>
      </c>
      <c r="N2144" t="s">
        <v>109</v>
      </c>
      <c r="O2144" t="s">
        <v>109</v>
      </c>
      <c r="P2144" t="s">
        <v>109</v>
      </c>
      <c r="Q2144" t="s">
        <v>321</v>
      </c>
      <c r="AK2144" t="s">
        <v>358</v>
      </c>
    </row>
    <row r="2145" spans="1:37">
      <c r="A2145" t="s">
        <v>48</v>
      </c>
      <c r="B2145" t="s">
        <v>71</v>
      </c>
      <c r="C2145" t="s">
        <v>93</v>
      </c>
      <c r="D2145" t="s">
        <v>111</v>
      </c>
      <c r="E2145" t="s">
        <v>128</v>
      </c>
      <c r="F2145" t="s">
        <v>163</v>
      </c>
      <c r="G2145" t="s">
        <v>189</v>
      </c>
      <c r="H2145" t="s">
        <v>220</v>
      </c>
      <c r="I2145" t="s">
        <v>241</v>
      </c>
      <c r="J2145" t="s">
        <v>258</v>
      </c>
      <c r="K2145" t="s">
        <v>270</v>
      </c>
      <c r="AK2145" t="s">
        <v>358</v>
      </c>
    </row>
    <row r="2146" spans="1:37">
      <c r="B2146" t="s">
        <v>72</v>
      </c>
      <c r="C2146" t="s">
        <v>72</v>
      </c>
      <c r="D2146" t="s">
        <v>72</v>
      </c>
      <c r="E2146" t="s">
        <v>139</v>
      </c>
      <c r="F2146" t="s">
        <v>139</v>
      </c>
      <c r="G2146" t="s">
        <v>192</v>
      </c>
      <c r="H2146" t="s">
        <v>203</v>
      </c>
      <c r="I2146" t="s">
        <v>192</v>
      </c>
      <c r="J2146" t="s">
        <v>192</v>
      </c>
      <c r="K2146" t="s">
        <v>271</v>
      </c>
      <c r="AK2146" t="s">
        <v>358</v>
      </c>
    </row>
    <row r="2147" spans="1:37">
      <c r="A2147" t="s">
        <v>37</v>
      </c>
      <c r="B2147" t="s">
        <v>49</v>
      </c>
      <c r="C2147" t="s">
        <v>73</v>
      </c>
      <c r="D2147" t="s">
        <v>94</v>
      </c>
      <c r="E2147" t="s">
        <v>112</v>
      </c>
      <c r="F2147" t="s">
        <v>146</v>
      </c>
      <c r="G2147" t="s">
        <v>172</v>
      </c>
      <c r="H2147" t="s">
        <v>207</v>
      </c>
      <c r="I2147" t="s">
        <v>226</v>
      </c>
      <c r="J2147" t="s">
        <v>246</v>
      </c>
      <c r="K2147" t="s">
        <v>259</v>
      </c>
      <c r="AK2147" t="s">
        <v>358</v>
      </c>
    </row>
    <row r="2148" spans="1:37">
      <c r="A2148" t="s">
        <v>38</v>
      </c>
      <c r="B2148" t="s">
        <v>50</v>
      </c>
      <c r="C2148" t="s">
        <v>74</v>
      </c>
      <c r="D2148" t="s">
        <v>95</v>
      </c>
      <c r="E2148" t="s">
        <v>113</v>
      </c>
      <c r="F2148" t="s">
        <v>147</v>
      </c>
      <c r="G2148" t="s">
        <v>173</v>
      </c>
      <c r="H2148" t="s">
        <v>208</v>
      </c>
      <c r="I2148" t="s">
        <v>227</v>
      </c>
      <c r="J2148" t="s">
        <v>115</v>
      </c>
      <c r="K2148" t="s">
        <v>260</v>
      </c>
      <c r="L2148" t="s">
        <v>273</v>
      </c>
      <c r="M2148" t="s">
        <v>282</v>
      </c>
      <c r="N2148" t="s">
        <v>291</v>
      </c>
      <c r="AK2148" t="s">
        <v>358</v>
      </c>
    </row>
    <row r="2149" spans="1:37">
      <c r="B2149" t="s">
        <v>51</v>
      </c>
      <c r="C2149" t="s">
        <v>75</v>
      </c>
      <c r="D2149" t="s">
        <v>52</v>
      </c>
      <c r="E2149" t="s">
        <v>114</v>
      </c>
      <c r="F2149" t="s">
        <v>148</v>
      </c>
      <c r="G2149" t="s">
        <v>148</v>
      </c>
      <c r="H2149" t="s">
        <v>209</v>
      </c>
      <c r="I2149" t="s">
        <v>228</v>
      </c>
      <c r="J2149" t="s">
        <v>247</v>
      </c>
      <c r="K2149" t="s">
        <v>261</v>
      </c>
      <c r="L2149" t="s">
        <v>274</v>
      </c>
      <c r="M2149" t="s">
        <v>283</v>
      </c>
      <c r="N2149" t="s">
        <v>292</v>
      </c>
      <c r="O2149" t="s">
        <v>300</v>
      </c>
      <c r="AK2149" t="s">
        <v>358</v>
      </c>
    </row>
    <row r="2150" spans="1:37">
      <c r="B2150" t="s">
        <v>52</v>
      </c>
      <c r="C2150" t="s">
        <v>76</v>
      </c>
      <c r="D2150" t="s">
        <v>96</v>
      </c>
      <c r="E2150" t="s">
        <v>115</v>
      </c>
      <c r="F2150" t="s">
        <v>149</v>
      </c>
      <c r="G2150" t="s">
        <v>174</v>
      </c>
      <c r="H2150" t="s">
        <v>96</v>
      </c>
      <c r="I2150" t="s">
        <v>229</v>
      </c>
      <c r="J2150" t="s">
        <v>248</v>
      </c>
      <c r="K2150" t="s">
        <v>262</v>
      </c>
      <c r="L2150" t="s">
        <v>52</v>
      </c>
      <c r="M2150" t="s">
        <v>76</v>
      </c>
      <c r="N2150" t="s">
        <v>293</v>
      </c>
      <c r="O2150" t="s">
        <v>301</v>
      </c>
      <c r="P2150" t="s">
        <v>309</v>
      </c>
      <c r="Q2150" t="s">
        <v>315</v>
      </c>
      <c r="R2150" t="s">
        <v>228</v>
      </c>
      <c r="S2150" t="s">
        <v>328</v>
      </c>
      <c r="T2150" t="s">
        <v>149</v>
      </c>
      <c r="U2150" t="s">
        <v>337</v>
      </c>
      <c r="V2150" t="s">
        <v>341</v>
      </c>
      <c r="W2150" t="s">
        <v>345</v>
      </c>
      <c r="X2150" t="s">
        <v>350</v>
      </c>
      <c r="AK2150" t="s">
        <v>358</v>
      </c>
    </row>
    <row r="2151" spans="1:37">
      <c r="B2151" t="s">
        <v>53</v>
      </c>
      <c r="C2151" t="s">
        <v>77</v>
      </c>
      <c r="D2151" t="s">
        <v>97</v>
      </c>
      <c r="E2151" t="s">
        <v>116</v>
      </c>
      <c r="F2151" t="s">
        <v>150</v>
      </c>
      <c r="G2151" t="s">
        <v>175</v>
      </c>
      <c r="H2151" t="s">
        <v>210</v>
      </c>
      <c r="I2151" t="s">
        <v>230</v>
      </c>
      <c r="J2151" t="s">
        <v>249</v>
      </c>
      <c r="K2151" t="s">
        <v>263</v>
      </c>
      <c r="L2151" t="s">
        <v>275</v>
      </c>
      <c r="M2151" t="s">
        <v>284</v>
      </c>
      <c r="N2151" t="s">
        <v>294</v>
      </c>
      <c r="O2151" t="s">
        <v>302</v>
      </c>
      <c r="P2151" t="s">
        <v>310</v>
      </c>
      <c r="Q2151" t="s">
        <v>316</v>
      </c>
      <c r="R2151" t="s">
        <v>322</v>
      </c>
      <c r="S2151" t="s">
        <v>329</v>
      </c>
      <c r="AK2151" t="s">
        <v>358</v>
      </c>
    </row>
    <row r="2152" spans="1:37">
      <c r="A2152" t="s">
        <v>39</v>
      </c>
      <c r="B2152" t="s">
        <v>54</v>
      </c>
      <c r="C2152" t="s">
        <v>54</v>
      </c>
      <c r="D2152" t="s">
        <v>54</v>
      </c>
      <c r="E2152" t="s">
        <v>54</v>
      </c>
      <c r="F2152" t="s">
        <v>54</v>
      </c>
      <c r="G2152" t="s">
        <v>54</v>
      </c>
      <c r="H2152" t="s">
        <v>54</v>
      </c>
      <c r="I2152" t="s">
        <v>54</v>
      </c>
      <c r="J2152" t="s">
        <v>54</v>
      </c>
      <c r="K2152" t="s">
        <v>54</v>
      </c>
      <c r="L2152" t="s">
        <v>54</v>
      </c>
      <c r="M2152" t="s">
        <v>54</v>
      </c>
      <c r="N2152" t="s">
        <v>54</v>
      </c>
      <c r="O2152" t="s">
        <v>54</v>
      </c>
      <c r="P2152" t="s">
        <v>54</v>
      </c>
      <c r="Q2152" t="s">
        <v>54</v>
      </c>
      <c r="R2152" t="s">
        <v>323</v>
      </c>
      <c r="S2152" t="s">
        <v>330</v>
      </c>
      <c r="AK2152" t="s">
        <v>358</v>
      </c>
    </row>
    <row r="2153" spans="1:37">
      <c r="B2153" t="s">
        <v>55</v>
      </c>
      <c r="C2153" t="s">
        <v>78</v>
      </c>
      <c r="D2153" t="s">
        <v>55</v>
      </c>
      <c r="E2153" t="s">
        <v>78</v>
      </c>
      <c r="F2153" t="s">
        <v>55</v>
      </c>
      <c r="G2153" t="s">
        <v>78</v>
      </c>
      <c r="H2153" t="s">
        <v>55</v>
      </c>
      <c r="I2153" t="s">
        <v>78</v>
      </c>
      <c r="J2153" t="s">
        <v>55</v>
      </c>
      <c r="K2153" t="s">
        <v>78</v>
      </c>
      <c r="L2153" t="s">
        <v>55</v>
      </c>
      <c r="M2153" t="s">
        <v>78</v>
      </c>
      <c r="N2153" t="s">
        <v>55</v>
      </c>
      <c r="O2153" t="s">
        <v>78</v>
      </c>
      <c r="P2153" t="s">
        <v>55</v>
      </c>
      <c r="Q2153" t="s">
        <v>78</v>
      </c>
      <c r="R2153" t="s">
        <v>55</v>
      </c>
      <c r="S2153" t="s">
        <v>78</v>
      </c>
      <c r="T2153" t="s">
        <v>55</v>
      </c>
      <c r="U2153" t="s">
        <v>78</v>
      </c>
      <c r="V2153" t="s">
        <v>55</v>
      </c>
      <c r="W2153" t="s">
        <v>78</v>
      </c>
      <c r="X2153" t="s">
        <v>55</v>
      </c>
      <c r="Y2153" t="s">
        <v>78</v>
      </c>
      <c r="Z2153" t="s">
        <v>55</v>
      </c>
      <c r="AA2153" t="s">
        <v>78</v>
      </c>
      <c r="AB2153" t="s">
        <v>55</v>
      </c>
      <c r="AC2153" t="s">
        <v>78</v>
      </c>
      <c r="AD2153" t="s">
        <v>55</v>
      </c>
      <c r="AE2153" t="s">
        <v>78</v>
      </c>
      <c r="AF2153" t="s">
        <v>55</v>
      </c>
      <c r="AG2153" t="s">
        <v>78</v>
      </c>
      <c r="AH2153" t="s">
        <v>55</v>
      </c>
      <c r="AI2153" t="s">
        <v>78</v>
      </c>
      <c r="AK2153" t="s">
        <v>358</v>
      </c>
    </row>
    <row r="2154" spans="1:37">
      <c r="B2154" t="s">
        <v>56</v>
      </c>
      <c r="C2154" t="s">
        <v>56</v>
      </c>
      <c r="D2154" t="s">
        <v>56</v>
      </c>
      <c r="E2154" t="s">
        <v>56</v>
      </c>
      <c r="F2154" t="s">
        <v>56</v>
      </c>
      <c r="G2154" t="s">
        <v>176</v>
      </c>
      <c r="H2154" t="s">
        <v>211</v>
      </c>
      <c r="I2154" t="s">
        <v>231</v>
      </c>
      <c r="J2154" t="s">
        <v>250</v>
      </c>
      <c r="K2154" t="s">
        <v>264</v>
      </c>
      <c r="L2154" t="s">
        <v>276</v>
      </c>
      <c r="M2154" t="s">
        <v>285</v>
      </c>
      <c r="N2154" t="s">
        <v>295</v>
      </c>
      <c r="O2154" t="s">
        <v>303</v>
      </c>
      <c r="P2154" t="s">
        <v>56</v>
      </c>
      <c r="Q2154" t="s">
        <v>317</v>
      </c>
      <c r="R2154" t="s">
        <v>324</v>
      </c>
      <c r="S2154" t="s">
        <v>331</v>
      </c>
      <c r="T2154" t="s">
        <v>334</v>
      </c>
      <c r="U2154" t="s">
        <v>338</v>
      </c>
      <c r="V2154" t="s">
        <v>342</v>
      </c>
      <c r="W2154" t="s">
        <v>346</v>
      </c>
      <c r="X2154" t="s">
        <v>351</v>
      </c>
      <c r="AK2154" t="s">
        <v>358</v>
      </c>
    </row>
    <row r="2155" spans="1:37">
      <c r="B2155" t="s">
        <v>57</v>
      </c>
      <c r="C2155" t="s">
        <v>79</v>
      </c>
      <c r="D2155" t="s">
        <v>98</v>
      </c>
      <c r="E2155" t="s">
        <v>117</v>
      </c>
      <c r="F2155" t="s">
        <v>151</v>
      </c>
      <c r="G2155" t="s">
        <v>177</v>
      </c>
      <c r="H2155" t="s">
        <v>212</v>
      </c>
      <c r="I2155" t="s">
        <v>232</v>
      </c>
      <c r="J2155" t="s">
        <v>251</v>
      </c>
      <c r="K2155" t="s">
        <v>265</v>
      </c>
      <c r="L2155" t="s">
        <v>277</v>
      </c>
      <c r="M2155" t="s">
        <v>286</v>
      </c>
      <c r="N2155" t="s">
        <v>296</v>
      </c>
      <c r="O2155" t="s">
        <v>304</v>
      </c>
      <c r="P2155" t="s">
        <v>311</v>
      </c>
      <c r="Q2155" t="s">
        <v>318</v>
      </c>
      <c r="R2155" t="s">
        <v>185</v>
      </c>
      <c r="S2155" t="s">
        <v>159</v>
      </c>
      <c r="T2155" t="s">
        <v>185</v>
      </c>
      <c r="U2155" t="s">
        <v>339</v>
      </c>
      <c r="V2155" t="s">
        <v>72</v>
      </c>
      <c r="W2155" t="s">
        <v>347</v>
      </c>
      <c r="X2155" t="s">
        <v>72</v>
      </c>
      <c r="Y2155" t="s">
        <v>96</v>
      </c>
      <c r="AK2155" t="s">
        <v>358</v>
      </c>
    </row>
    <row r="2156" spans="1:37">
      <c r="B2156" t="s">
        <v>58</v>
      </c>
      <c r="C2156" t="s">
        <v>80</v>
      </c>
      <c r="D2156" t="s">
        <v>99</v>
      </c>
      <c r="E2156" t="s">
        <v>118</v>
      </c>
      <c r="F2156" t="s">
        <v>152</v>
      </c>
      <c r="G2156" t="s">
        <v>178</v>
      </c>
      <c r="H2156" t="s">
        <v>213</v>
      </c>
      <c r="I2156" t="s">
        <v>233</v>
      </c>
      <c r="J2156" t="s">
        <v>252</v>
      </c>
      <c r="K2156" t="s">
        <v>266</v>
      </c>
      <c r="L2156" t="s">
        <v>278</v>
      </c>
      <c r="M2156" t="s">
        <v>287</v>
      </c>
      <c r="N2156" t="s">
        <v>297</v>
      </c>
      <c r="O2156" t="s">
        <v>305</v>
      </c>
      <c r="P2156" t="s">
        <v>312</v>
      </c>
      <c r="Q2156" t="s">
        <v>319</v>
      </c>
      <c r="R2156">
        <f>&gt;10       ветра      2.3     18  14</f>
        <v>0</v>
      </c>
      <c r="AK2156" t="s">
        <v>358</v>
      </c>
    </row>
    <row r="2157" spans="1:37">
      <c r="A2157" t="s">
        <v>40</v>
      </c>
      <c r="B2157" t="s">
        <v>59</v>
      </c>
      <c r="C2157" t="s">
        <v>81</v>
      </c>
      <c r="D2157" t="s">
        <v>100</v>
      </c>
      <c r="E2157" t="s">
        <v>119</v>
      </c>
      <c r="F2157" t="s">
        <v>153</v>
      </c>
      <c r="G2157" t="s">
        <v>179</v>
      </c>
      <c r="H2157" t="s">
        <v>214</v>
      </c>
      <c r="I2157" t="s">
        <v>234</v>
      </c>
      <c r="AK2157" t="s">
        <v>358</v>
      </c>
    </row>
    <row r="2158" spans="1:37">
      <c r="A2158" t="s">
        <v>40</v>
      </c>
      <c r="B2158" t="s">
        <v>60</v>
      </c>
      <c r="C2158" t="s">
        <v>82</v>
      </c>
      <c r="D2158" t="s">
        <v>101</v>
      </c>
      <c r="E2158" t="s">
        <v>120</v>
      </c>
      <c r="F2158" t="s">
        <v>154</v>
      </c>
      <c r="G2158" t="s">
        <v>180</v>
      </c>
      <c r="H2158" t="s">
        <v>215</v>
      </c>
      <c r="I2158" t="s">
        <v>235</v>
      </c>
      <c r="J2158" t="s">
        <v>253</v>
      </c>
      <c r="K2158" t="s">
        <v>267</v>
      </c>
      <c r="L2158" t="s">
        <v>279</v>
      </c>
      <c r="M2158" t="s">
        <v>288</v>
      </c>
      <c r="N2158" t="s">
        <v>100</v>
      </c>
      <c r="O2158" t="s">
        <v>306</v>
      </c>
      <c r="P2158" t="s">
        <v>313</v>
      </c>
      <c r="Q2158" t="s">
        <v>320</v>
      </c>
      <c r="R2158" t="s">
        <v>325</v>
      </c>
      <c r="S2158" t="s">
        <v>332</v>
      </c>
      <c r="T2158" t="s">
        <v>119</v>
      </c>
      <c r="U2158" t="s">
        <v>234</v>
      </c>
      <c r="V2158" t="s">
        <v>343</v>
      </c>
      <c r="W2158" t="s">
        <v>348</v>
      </c>
      <c r="X2158" t="s">
        <v>352</v>
      </c>
      <c r="Y2158" t="s">
        <v>354</v>
      </c>
      <c r="AK2158" t="s">
        <v>358</v>
      </c>
    </row>
    <row r="2159" spans="1:37">
      <c r="A2159" t="s">
        <v>41</v>
      </c>
      <c r="B2159" t="s">
        <v>61</v>
      </c>
      <c r="C2159" t="s">
        <v>83</v>
      </c>
      <c r="D2159" t="s">
        <v>102</v>
      </c>
      <c r="E2159" t="s">
        <v>121</v>
      </c>
      <c r="F2159" t="s">
        <v>155</v>
      </c>
      <c r="G2159" t="s">
        <v>181</v>
      </c>
      <c r="H2159" t="s">
        <v>216</v>
      </c>
      <c r="I2159" t="s">
        <v>236</v>
      </c>
      <c r="AK2159" t="s">
        <v>358</v>
      </c>
    </row>
    <row r="2160" spans="1:37">
      <c r="A2160" t="s">
        <v>42</v>
      </c>
      <c r="B2160" t="s">
        <v>62</v>
      </c>
      <c r="C2160" t="s">
        <v>84</v>
      </c>
      <c r="D2160" t="s">
        <v>103</v>
      </c>
      <c r="E2160" t="s">
        <v>122</v>
      </c>
      <c r="F2160" t="s">
        <v>156</v>
      </c>
      <c r="G2160" t="s">
        <v>182</v>
      </c>
      <c r="H2160" t="s">
        <v>83</v>
      </c>
      <c r="I2160" t="s">
        <v>237</v>
      </c>
      <c r="J2160" t="s">
        <v>254</v>
      </c>
      <c r="K2160" t="s">
        <v>268</v>
      </c>
      <c r="L2160" t="s">
        <v>280</v>
      </c>
      <c r="M2160" t="s">
        <v>289</v>
      </c>
      <c r="N2160" t="s">
        <v>298</v>
      </c>
      <c r="O2160" t="s">
        <v>307</v>
      </c>
      <c r="P2160" t="s">
        <v>314</v>
      </c>
      <c r="Q2160" t="s">
        <v>216</v>
      </c>
      <c r="R2160" t="s">
        <v>326</v>
      </c>
      <c r="S2160" t="s">
        <v>333</v>
      </c>
      <c r="T2160" t="s">
        <v>335</v>
      </c>
      <c r="U2160" t="s">
        <v>340</v>
      </c>
      <c r="V2160" t="s">
        <v>344</v>
      </c>
      <c r="W2160" t="s">
        <v>349</v>
      </c>
      <c r="AK2160" t="s">
        <v>358</v>
      </c>
    </row>
    <row r="2161" spans="1:37">
      <c r="A2161" t="s">
        <v>43</v>
      </c>
      <c r="B2161" t="s">
        <v>63</v>
      </c>
      <c r="C2161" t="s">
        <v>85</v>
      </c>
      <c r="D2161" t="s">
        <v>104</v>
      </c>
      <c r="E2161" t="s">
        <v>123</v>
      </c>
      <c r="F2161" t="s">
        <v>157</v>
      </c>
      <c r="G2161" t="s">
        <v>183</v>
      </c>
      <c r="AK2161" t="s">
        <v>358</v>
      </c>
    </row>
    <row r="2162" spans="1:37">
      <c r="A2162" t="s">
        <v>44</v>
      </c>
      <c r="B2162" t="s">
        <v>64</v>
      </c>
      <c r="C2162" t="s">
        <v>86</v>
      </c>
      <c r="D2162" t="s">
        <v>105</v>
      </c>
      <c r="E2162" t="s">
        <v>124</v>
      </c>
      <c r="F2162" t="s">
        <v>158</v>
      </c>
      <c r="G2162" t="s">
        <v>184</v>
      </c>
      <c r="AK2162" t="s">
        <v>358</v>
      </c>
    </row>
    <row r="2163" spans="1:37">
      <c r="A2163" t="s">
        <v>45</v>
      </c>
      <c r="B2163" t="s">
        <v>65</v>
      </c>
      <c r="C2163" t="s">
        <v>87</v>
      </c>
      <c r="D2163" t="s">
        <v>106</v>
      </c>
      <c r="E2163" t="s">
        <v>125</v>
      </c>
      <c r="F2163" t="s">
        <v>159</v>
      </c>
      <c r="G2163" t="s">
        <v>185</v>
      </c>
      <c r="H2163" t="s">
        <v>159</v>
      </c>
      <c r="I2163" t="s">
        <v>185</v>
      </c>
      <c r="J2163" t="s">
        <v>255</v>
      </c>
      <c r="AK2163" t="s">
        <v>358</v>
      </c>
    </row>
    <row r="2164" spans="1:37">
      <c r="A2164" t="s">
        <v>46</v>
      </c>
      <c r="B2164" t="s">
        <v>66</v>
      </c>
      <c r="C2164" t="s">
        <v>88</v>
      </c>
      <c r="D2164" t="s">
        <v>76</v>
      </c>
      <c r="E2164" t="s">
        <v>126</v>
      </c>
      <c r="F2164" t="s">
        <v>160</v>
      </c>
      <c r="G2164" t="s">
        <v>186</v>
      </c>
      <c r="H2164" t="s">
        <v>217</v>
      </c>
      <c r="I2164" t="s">
        <v>238</v>
      </c>
      <c r="J2164" t="s">
        <v>256</v>
      </c>
      <c r="K2164" t="s">
        <v>265</v>
      </c>
      <c r="L2164" t="s">
        <v>281</v>
      </c>
      <c r="M2164" t="s">
        <v>290</v>
      </c>
      <c r="N2164" t="s">
        <v>299</v>
      </c>
      <c r="O2164" t="s">
        <v>308</v>
      </c>
      <c r="P2164" t="s">
        <v>228</v>
      </c>
      <c r="Q2164" t="s">
        <v>72</v>
      </c>
      <c r="R2164" t="s">
        <v>327</v>
      </c>
      <c r="S2164" t="s">
        <v>327</v>
      </c>
      <c r="T2164" t="s">
        <v>336</v>
      </c>
      <c r="U2164" t="s">
        <v>336</v>
      </c>
      <c r="V2164" t="s">
        <v>336</v>
      </c>
      <c r="W2164" t="s">
        <v>336</v>
      </c>
      <c r="X2164" t="s">
        <v>353</v>
      </c>
      <c r="AK2164" t="s">
        <v>358</v>
      </c>
    </row>
    <row r="2165" spans="1:37">
      <c r="A2165" t="s">
        <v>37</v>
      </c>
      <c r="B2165" t="s">
        <v>49</v>
      </c>
      <c r="C2165" t="s">
        <v>73</v>
      </c>
      <c r="D2165" t="s">
        <v>94</v>
      </c>
      <c r="E2165" t="s">
        <v>112</v>
      </c>
      <c r="F2165" t="s">
        <v>146</v>
      </c>
      <c r="G2165" t="s">
        <v>172</v>
      </c>
      <c r="H2165" t="s">
        <v>207</v>
      </c>
      <c r="I2165" t="s">
        <v>226</v>
      </c>
      <c r="J2165" t="s">
        <v>246</v>
      </c>
      <c r="K2165" t="s">
        <v>259</v>
      </c>
      <c r="AK2165" t="s">
        <v>358</v>
      </c>
    </row>
    <row r="2166" spans="1:37">
      <c r="A2166" t="s">
        <v>38</v>
      </c>
      <c r="B2166" t="s">
        <v>50</v>
      </c>
      <c r="C2166" t="s">
        <v>74</v>
      </c>
      <c r="D2166" t="s">
        <v>95</v>
      </c>
      <c r="E2166" t="s">
        <v>113</v>
      </c>
      <c r="F2166" t="s">
        <v>147</v>
      </c>
      <c r="G2166" t="s">
        <v>173</v>
      </c>
      <c r="H2166" t="s">
        <v>208</v>
      </c>
      <c r="I2166" t="s">
        <v>227</v>
      </c>
      <c r="J2166" t="s">
        <v>115</v>
      </c>
      <c r="K2166" t="s">
        <v>260</v>
      </c>
      <c r="L2166" t="s">
        <v>273</v>
      </c>
      <c r="M2166" t="s">
        <v>282</v>
      </c>
      <c r="N2166" t="s">
        <v>291</v>
      </c>
      <c r="AK2166" t="s">
        <v>358</v>
      </c>
    </row>
    <row r="2167" spans="1:37">
      <c r="B2167" t="s">
        <v>51</v>
      </c>
      <c r="C2167" t="s">
        <v>75</v>
      </c>
      <c r="D2167" t="s">
        <v>52</v>
      </c>
      <c r="E2167" t="s">
        <v>114</v>
      </c>
      <c r="F2167" t="s">
        <v>148</v>
      </c>
      <c r="G2167" t="s">
        <v>148</v>
      </c>
      <c r="H2167" t="s">
        <v>209</v>
      </c>
      <c r="I2167" t="s">
        <v>228</v>
      </c>
      <c r="J2167" t="s">
        <v>247</v>
      </c>
      <c r="K2167" t="s">
        <v>261</v>
      </c>
      <c r="L2167" t="s">
        <v>274</v>
      </c>
      <c r="M2167" t="s">
        <v>283</v>
      </c>
      <c r="N2167" t="s">
        <v>292</v>
      </c>
      <c r="O2167" t="s">
        <v>300</v>
      </c>
      <c r="AK2167" t="s">
        <v>358</v>
      </c>
    </row>
    <row r="2168" spans="1:37">
      <c r="B2168" t="s">
        <v>52</v>
      </c>
      <c r="C2168" t="s">
        <v>76</v>
      </c>
      <c r="D2168" t="s">
        <v>96</v>
      </c>
      <c r="E2168" t="s">
        <v>115</v>
      </c>
      <c r="F2168" t="s">
        <v>149</v>
      </c>
      <c r="G2168" t="s">
        <v>174</v>
      </c>
      <c r="H2168" t="s">
        <v>96</v>
      </c>
      <c r="I2168" t="s">
        <v>229</v>
      </c>
      <c r="J2168" t="s">
        <v>248</v>
      </c>
      <c r="K2168" t="s">
        <v>262</v>
      </c>
      <c r="L2168" t="s">
        <v>52</v>
      </c>
      <c r="M2168" t="s">
        <v>76</v>
      </c>
      <c r="N2168" t="s">
        <v>293</v>
      </c>
      <c r="O2168" t="s">
        <v>301</v>
      </c>
      <c r="P2168" t="s">
        <v>309</v>
      </c>
      <c r="Q2168" t="s">
        <v>315</v>
      </c>
      <c r="R2168" t="s">
        <v>228</v>
      </c>
      <c r="S2168" t="s">
        <v>328</v>
      </c>
      <c r="T2168" t="s">
        <v>149</v>
      </c>
      <c r="U2168" t="s">
        <v>337</v>
      </c>
      <c r="V2168" t="s">
        <v>341</v>
      </c>
      <c r="W2168" t="s">
        <v>345</v>
      </c>
      <c r="X2168" t="s">
        <v>350</v>
      </c>
      <c r="AK2168" t="s">
        <v>358</v>
      </c>
    </row>
    <row r="2169" spans="1:37">
      <c r="B2169" t="s">
        <v>53</v>
      </c>
      <c r="C2169" t="s">
        <v>77</v>
      </c>
      <c r="D2169" t="s">
        <v>97</v>
      </c>
      <c r="E2169" t="s">
        <v>116</v>
      </c>
      <c r="F2169" t="s">
        <v>150</v>
      </c>
      <c r="G2169" t="s">
        <v>175</v>
      </c>
      <c r="H2169" t="s">
        <v>210</v>
      </c>
      <c r="I2169" t="s">
        <v>230</v>
      </c>
      <c r="J2169" t="s">
        <v>249</v>
      </c>
      <c r="K2169" t="s">
        <v>263</v>
      </c>
      <c r="L2169" t="s">
        <v>275</v>
      </c>
      <c r="M2169" t="s">
        <v>284</v>
      </c>
      <c r="N2169" t="s">
        <v>294</v>
      </c>
      <c r="O2169" t="s">
        <v>302</v>
      </c>
      <c r="P2169" t="s">
        <v>310</v>
      </c>
      <c r="Q2169" t="s">
        <v>316</v>
      </c>
      <c r="R2169" t="s">
        <v>322</v>
      </c>
      <c r="S2169" t="s">
        <v>329</v>
      </c>
      <c r="AK2169" t="s">
        <v>358</v>
      </c>
    </row>
    <row r="2170" spans="1:37">
      <c r="A2170" t="s">
        <v>39</v>
      </c>
      <c r="B2170" t="s">
        <v>54</v>
      </c>
      <c r="C2170" t="s">
        <v>54</v>
      </c>
      <c r="D2170" t="s">
        <v>54</v>
      </c>
      <c r="E2170" t="s">
        <v>54</v>
      </c>
      <c r="F2170" t="s">
        <v>54</v>
      </c>
      <c r="G2170" t="s">
        <v>54</v>
      </c>
      <c r="H2170" t="s">
        <v>54</v>
      </c>
      <c r="I2170" t="s">
        <v>54</v>
      </c>
      <c r="J2170" t="s">
        <v>54</v>
      </c>
      <c r="K2170" t="s">
        <v>54</v>
      </c>
      <c r="L2170" t="s">
        <v>54</v>
      </c>
      <c r="M2170" t="s">
        <v>54</v>
      </c>
      <c r="N2170" t="s">
        <v>54</v>
      </c>
      <c r="O2170" t="s">
        <v>54</v>
      </c>
      <c r="P2170" t="s">
        <v>54</v>
      </c>
      <c r="Q2170" t="s">
        <v>54</v>
      </c>
      <c r="R2170" t="s">
        <v>323</v>
      </c>
      <c r="S2170" t="s">
        <v>330</v>
      </c>
      <c r="AK2170" t="s">
        <v>358</v>
      </c>
    </row>
    <row r="2171" spans="1:37">
      <c r="B2171" t="s">
        <v>55</v>
      </c>
      <c r="C2171" t="s">
        <v>78</v>
      </c>
      <c r="D2171" t="s">
        <v>55</v>
      </c>
      <c r="E2171" t="s">
        <v>78</v>
      </c>
      <c r="F2171" t="s">
        <v>55</v>
      </c>
      <c r="G2171" t="s">
        <v>78</v>
      </c>
      <c r="H2171" t="s">
        <v>55</v>
      </c>
      <c r="I2171" t="s">
        <v>78</v>
      </c>
      <c r="J2171" t="s">
        <v>55</v>
      </c>
      <c r="K2171" t="s">
        <v>78</v>
      </c>
      <c r="L2171" t="s">
        <v>55</v>
      </c>
      <c r="M2171" t="s">
        <v>78</v>
      </c>
      <c r="N2171" t="s">
        <v>55</v>
      </c>
      <c r="O2171" t="s">
        <v>78</v>
      </c>
      <c r="P2171" t="s">
        <v>55</v>
      </c>
      <c r="Q2171" t="s">
        <v>78</v>
      </c>
      <c r="R2171" t="s">
        <v>55</v>
      </c>
      <c r="S2171" t="s">
        <v>78</v>
      </c>
      <c r="T2171" t="s">
        <v>55</v>
      </c>
      <c r="U2171" t="s">
        <v>78</v>
      </c>
      <c r="V2171" t="s">
        <v>55</v>
      </c>
      <c r="W2171" t="s">
        <v>78</v>
      </c>
      <c r="X2171" t="s">
        <v>55</v>
      </c>
      <c r="Y2171" t="s">
        <v>78</v>
      </c>
      <c r="Z2171" t="s">
        <v>55</v>
      </c>
      <c r="AA2171" t="s">
        <v>78</v>
      </c>
      <c r="AB2171" t="s">
        <v>55</v>
      </c>
      <c r="AC2171" t="s">
        <v>78</v>
      </c>
      <c r="AD2171" t="s">
        <v>55</v>
      </c>
      <c r="AE2171" t="s">
        <v>78</v>
      </c>
      <c r="AF2171" t="s">
        <v>55</v>
      </c>
      <c r="AG2171" t="s">
        <v>78</v>
      </c>
      <c r="AH2171" t="s">
        <v>55</v>
      </c>
      <c r="AI2171" t="s">
        <v>78</v>
      </c>
      <c r="AK2171" t="s">
        <v>358</v>
      </c>
    </row>
    <row r="2172" spans="1:37">
      <c r="B2172" t="s">
        <v>56</v>
      </c>
      <c r="C2172" t="s">
        <v>56</v>
      </c>
      <c r="D2172" t="s">
        <v>56</v>
      </c>
      <c r="E2172" t="s">
        <v>56</v>
      </c>
      <c r="F2172" t="s">
        <v>56</v>
      </c>
      <c r="G2172" t="s">
        <v>176</v>
      </c>
      <c r="H2172" t="s">
        <v>211</v>
      </c>
      <c r="I2172" t="s">
        <v>231</v>
      </c>
      <c r="J2172" t="s">
        <v>250</v>
      </c>
      <c r="K2172" t="s">
        <v>264</v>
      </c>
      <c r="L2172" t="s">
        <v>276</v>
      </c>
      <c r="M2172" t="s">
        <v>285</v>
      </c>
      <c r="N2172" t="s">
        <v>295</v>
      </c>
      <c r="O2172" t="s">
        <v>303</v>
      </c>
      <c r="P2172" t="s">
        <v>56</v>
      </c>
      <c r="Q2172" t="s">
        <v>317</v>
      </c>
      <c r="R2172" t="s">
        <v>324</v>
      </c>
      <c r="S2172" t="s">
        <v>331</v>
      </c>
      <c r="T2172" t="s">
        <v>334</v>
      </c>
      <c r="U2172" t="s">
        <v>338</v>
      </c>
      <c r="V2172" t="s">
        <v>342</v>
      </c>
      <c r="W2172" t="s">
        <v>346</v>
      </c>
      <c r="X2172" t="s">
        <v>351</v>
      </c>
      <c r="AK2172" t="s">
        <v>358</v>
      </c>
    </row>
    <row r="2173" spans="1:37">
      <c r="B2173" t="s">
        <v>57</v>
      </c>
      <c r="C2173" t="s">
        <v>79</v>
      </c>
      <c r="D2173" t="s">
        <v>98</v>
      </c>
      <c r="E2173" t="s">
        <v>117</v>
      </c>
      <c r="F2173" t="s">
        <v>151</v>
      </c>
      <c r="G2173" t="s">
        <v>177</v>
      </c>
      <c r="H2173" t="s">
        <v>212</v>
      </c>
      <c r="I2173" t="s">
        <v>232</v>
      </c>
      <c r="J2173" t="s">
        <v>251</v>
      </c>
      <c r="K2173" t="s">
        <v>265</v>
      </c>
      <c r="L2173" t="s">
        <v>277</v>
      </c>
      <c r="M2173" t="s">
        <v>286</v>
      </c>
      <c r="N2173" t="s">
        <v>296</v>
      </c>
      <c r="O2173" t="s">
        <v>304</v>
      </c>
      <c r="P2173" t="s">
        <v>311</v>
      </c>
      <c r="Q2173" t="s">
        <v>318</v>
      </c>
      <c r="R2173" t="s">
        <v>185</v>
      </c>
      <c r="S2173" t="s">
        <v>159</v>
      </c>
      <c r="T2173" t="s">
        <v>185</v>
      </c>
      <c r="U2173" t="s">
        <v>339</v>
      </c>
      <c r="V2173" t="s">
        <v>72</v>
      </c>
      <c r="W2173" t="s">
        <v>347</v>
      </c>
      <c r="X2173" t="s">
        <v>72</v>
      </c>
      <c r="Y2173" t="s">
        <v>96</v>
      </c>
      <c r="AK2173" t="s">
        <v>358</v>
      </c>
    </row>
    <row r="2174" spans="1:37">
      <c r="B2174" t="s">
        <v>58</v>
      </c>
      <c r="C2174" t="s">
        <v>80</v>
      </c>
      <c r="D2174" t="s">
        <v>99</v>
      </c>
      <c r="E2174" t="s">
        <v>118</v>
      </c>
      <c r="F2174" t="s">
        <v>152</v>
      </c>
      <c r="G2174" t="s">
        <v>178</v>
      </c>
      <c r="H2174" t="s">
        <v>213</v>
      </c>
      <c r="I2174" t="s">
        <v>233</v>
      </c>
      <c r="J2174" t="s">
        <v>252</v>
      </c>
      <c r="K2174" t="s">
        <v>266</v>
      </c>
      <c r="L2174" t="s">
        <v>278</v>
      </c>
      <c r="M2174" t="s">
        <v>287</v>
      </c>
      <c r="N2174" t="s">
        <v>297</v>
      </c>
      <c r="O2174" t="s">
        <v>305</v>
      </c>
      <c r="P2174" t="s">
        <v>312</v>
      </c>
      <c r="Q2174" t="s">
        <v>319</v>
      </c>
      <c r="R2174">
        <f>&gt;10       ветра      4.8     21  26</f>
        <v>0</v>
      </c>
      <c r="AK2174" t="s">
        <v>358</v>
      </c>
    </row>
    <row r="2175" spans="1:37">
      <c r="A2175" t="s">
        <v>40</v>
      </c>
      <c r="B2175" t="s">
        <v>59</v>
      </c>
      <c r="C2175" t="s">
        <v>81</v>
      </c>
      <c r="D2175" t="s">
        <v>100</v>
      </c>
      <c r="E2175" t="s">
        <v>119</v>
      </c>
      <c r="F2175" t="s">
        <v>153</v>
      </c>
      <c r="G2175" t="s">
        <v>179</v>
      </c>
      <c r="H2175" t="s">
        <v>214</v>
      </c>
      <c r="I2175" t="s">
        <v>234</v>
      </c>
      <c r="AK2175" t="s">
        <v>358</v>
      </c>
    </row>
    <row r="2176" spans="1:37">
      <c r="A2176" t="s">
        <v>40</v>
      </c>
      <c r="B2176" t="s">
        <v>60</v>
      </c>
      <c r="C2176" t="s">
        <v>82</v>
      </c>
      <c r="D2176" t="s">
        <v>101</v>
      </c>
      <c r="E2176" t="s">
        <v>120</v>
      </c>
      <c r="F2176" t="s">
        <v>154</v>
      </c>
      <c r="G2176" t="s">
        <v>180</v>
      </c>
      <c r="H2176" t="s">
        <v>215</v>
      </c>
      <c r="I2176" t="s">
        <v>235</v>
      </c>
      <c r="J2176" t="s">
        <v>253</v>
      </c>
      <c r="K2176" t="s">
        <v>267</v>
      </c>
      <c r="L2176" t="s">
        <v>279</v>
      </c>
      <c r="M2176" t="s">
        <v>288</v>
      </c>
      <c r="N2176" t="s">
        <v>100</v>
      </c>
      <c r="O2176" t="s">
        <v>306</v>
      </c>
      <c r="P2176" t="s">
        <v>313</v>
      </c>
      <c r="Q2176" t="s">
        <v>320</v>
      </c>
      <c r="R2176" t="s">
        <v>325</v>
      </c>
      <c r="S2176" t="s">
        <v>332</v>
      </c>
      <c r="T2176" t="s">
        <v>119</v>
      </c>
      <c r="U2176" t="s">
        <v>234</v>
      </c>
      <c r="V2176" t="s">
        <v>343</v>
      </c>
      <c r="W2176" t="s">
        <v>348</v>
      </c>
      <c r="X2176" t="s">
        <v>352</v>
      </c>
      <c r="Y2176" t="s">
        <v>354</v>
      </c>
      <c r="AK2176" t="s">
        <v>358</v>
      </c>
    </row>
    <row r="2177" spans="1:37">
      <c r="A2177" t="s">
        <v>41</v>
      </c>
      <c r="B2177" t="s">
        <v>61</v>
      </c>
      <c r="C2177" t="s">
        <v>83</v>
      </c>
      <c r="D2177" t="s">
        <v>102</v>
      </c>
      <c r="E2177" t="s">
        <v>121</v>
      </c>
      <c r="F2177" t="s">
        <v>155</v>
      </c>
      <c r="G2177" t="s">
        <v>181</v>
      </c>
      <c r="H2177" t="s">
        <v>216</v>
      </c>
      <c r="I2177" t="s">
        <v>236</v>
      </c>
      <c r="AK2177" t="s">
        <v>358</v>
      </c>
    </row>
    <row r="2178" spans="1:37">
      <c r="A2178" t="s">
        <v>42</v>
      </c>
      <c r="B2178" t="s">
        <v>62</v>
      </c>
      <c r="C2178" t="s">
        <v>84</v>
      </c>
      <c r="D2178" t="s">
        <v>103</v>
      </c>
      <c r="E2178" t="s">
        <v>122</v>
      </c>
      <c r="F2178" t="s">
        <v>156</v>
      </c>
      <c r="G2178" t="s">
        <v>182</v>
      </c>
      <c r="H2178" t="s">
        <v>83</v>
      </c>
      <c r="I2178" t="s">
        <v>237</v>
      </c>
      <c r="J2178" t="s">
        <v>254</v>
      </c>
      <c r="K2178" t="s">
        <v>268</v>
      </c>
      <c r="L2178" t="s">
        <v>280</v>
      </c>
      <c r="M2178" t="s">
        <v>289</v>
      </c>
      <c r="N2178" t="s">
        <v>298</v>
      </c>
      <c r="O2178" t="s">
        <v>307</v>
      </c>
      <c r="P2178" t="s">
        <v>314</v>
      </c>
      <c r="Q2178" t="s">
        <v>216</v>
      </c>
      <c r="R2178" t="s">
        <v>326</v>
      </c>
      <c r="S2178" t="s">
        <v>333</v>
      </c>
      <c r="T2178" t="s">
        <v>335</v>
      </c>
      <c r="U2178" t="s">
        <v>340</v>
      </c>
      <c r="V2178" t="s">
        <v>344</v>
      </c>
      <c r="W2178" t="s">
        <v>349</v>
      </c>
      <c r="AK2178" t="s">
        <v>358</v>
      </c>
    </row>
    <row r="2179" spans="1:37">
      <c r="A2179" t="s">
        <v>43</v>
      </c>
      <c r="B2179" t="s">
        <v>63</v>
      </c>
      <c r="C2179" t="s">
        <v>85</v>
      </c>
      <c r="D2179" t="s">
        <v>104</v>
      </c>
      <c r="E2179" t="s">
        <v>123</v>
      </c>
      <c r="F2179" t="s">
        <v>157</v>
      </c>
      <c r="G2179" t="s">
        <v>183</v>
      </c>
      <c r="AK2179" t="s">
        <v>358</v>
      </c>
    </row>
    <row r="2180" spans="1:37">
      <c r="A2180" t="s">
        <v>44</v>
      </c>
      <c r="B2180" t="s">
        <v>64</v>
      </c>
      <c r="C2180" t="s">
        <v>86</v>
      </c>
      <c r="D2180" t="s">
        <v>105</v>
      </c>
      <c r="E2180" t="s">
        <v>124</v>
      </c>
      <c r="F2180" t="s">
        <v>158</v>
      </c>
      <c r="G2180" t="s">
        <v>184</v>
      </c>
      <c r="AK2180" t="s">
        <v>358</v>
      </c>
    </row>
    <row r="2181" spans="1:37">
      <c r="A2181" t="s">
        <v>45</v>
      </c>
      <c r="B2181" t="s">
        <v>65</v>
      </c>
      <c r="C2181" t="s">
        <v>87</v>
      </c>
      <c r="D2181" t="s">
        <v>106</v>
      </c>
      <c r="E2181" t="s">
        <v>125</v>
      </c>
      <c r="F2181" t="s">
        <v>159</v>
      </c>
      <c r="G2181" t="s">
        <v>185</v>
      </c>
      <c r="H2181" t="s">
        <v>159</v>
      </c>
      <c r="I2181" t="s">
        <v>185</v>
      </c>
      <c r="J2181" t="s">
        <v>255</v>
      </c>
      <c r="AK2181" t="s">
        <v>358</v>
      </c>
    </row>
    <row r="2182" spans="1:37">
      <c r="A2182" t="s">
        <v>46</v>
      </c>
      <c r="B2182" t="s">
        <v>66</v>
      </c>
      <c r="C2182" t="s">
        <v>88</v>
      </c>
      <c r="D2182" t="s">
        <v>76</v>
      </c>
      <c r="E2182" t="s">
        <v>126</v>
      </c>
      <c r="F2182" t="s">
        <v>160</v>
      </c>
      <c r="G2182" t="s">
        <v>186</v>
      </c>
      <c r="H2182" t="s">
        <v>217</v>
      </c>
      <c r="I2182" t="s">
        <v>238</v>
      </c>
      <c r="J2182" t="s">
        <v>256</v>
      </c>
      <c r="K2182" t="s">
        <v>265</v>
      </c>
      <c r="L2182" t="s">
        <v>281</v>
      </c>
      <c r="M2182" t="s">
        <v>290</v>
      </c>
      <c r="N2182" t="s">
        <v>299</v>
      </c>
      <c r="O2182" t="s">
        <v>308</v>
      </c>
      <c r="P2182" t="s">
        <v>228</v>
      </c>
      <c r="Q2182" t="s">
        <v>72</v>
      </c>
      <c r="R2182" t="s">
        <v>327</v>
      </c>
      <c r="S2182" t="s">
        <v>327</v>
      </c>
      <c r="T2182" t="s">
        <v>336</v>
      </c>
      <c r="U2182" t="s">
        <v>336</v>
      </c>
      <c r="V2182" t="s">
        <v>336</v>
      </c>
      <c r="W2182" t="s">
        <v>336</v>
      </c>
      <c r="X2182" t="s">
        <v>353</v>
      </c>
      <c r="AK2182" t="s">
        <v>358</v>
      </c>
    </row>
    <row r="2183" spans="1:37">
      <c r="A2183" t="s">
        <v>37</v>
      </c>
      <c r="B2183" t="s">
        <v>49</v>
      </c>
      <c r="C2183" t="s">
        <v>73</v>
      </c>
      <c r="D2183" t="s">
        <v>94</v>
      </c>
      <c r="E2183" t="s">
        <v>112</v>
      </c>
      <c r="F2183" t="s">
        <v>146</v>
      </c>
      <c r="G2183" t="s">
        <v>172</v>
      </c>
      <c r="H2183" t="s">
        <v>207</v>
      </c>
      <c r="I2183" t="s">
        <v>226</v>
      </c>
      <c r="J2183" t="s">
        <v>246</v>
      </c>
      <c r="K2183" t="s">
        <v>259</v>
      </c>
      <c r="AK2183" t="s">
        <v>358</v>
      </c>
    </row>
    <row r="2184" spans="1:37">
      <c r="A2184" t="s">
        <v>38</v>
      </c>
      <c r="B2184" t="s">
        <v>50</v>
      </c>
      <c r="C2184" t="s">
        <v>74</v>
      </c>
      <c r="D2184" t="s">
        <v>95</v>
      </c>
      <c r="E2184" t="s">
        <v>113</v>
      </c>
      <c r="F2184" t="s">
        <v>147</v>
      </c>
      <c r="G2184" t="s">
        <v>173</v>
      </c>
      <c r="H2184" t="s">
        <v>208</v>
      </c>
      <c r="I2184" t="s">
        <v>227</v>
      </c>
      <c r="J2184" t="s">
        <v>115</v>
      </c>
      <c r="K2184" t="s">
        <v>260</v>
      </c>
      <c r="L2184" t="s">
        <v>273</v>
      </c>
      <c r="M2184" t="s">
        <v>282</v>
      </c>
      <c r="N2184" t="s">
        <v>291</v>
      </c>
      <c r="AK2184" t="s">
        <v>358</v>
      </c>
    </row>
    <row r="2185" spans="1:37">
      <c r="B2185" t="s">
        <v>51</v>
      </c>
      <c r="C2185" t="s">
        <v>75</v>
      </c>
      <c r="D2185" t="s">
        <v>52</v>
      </c>
      <c r="E2185" t="s">
        <v>114</v>
      </c>
      <c r="F2185" t="s">
        <v>148</v>
      </c>
      <c r="G2185" t="s">
        <v>148</v>
      </c>
      <c r="H2185" t="s">
        <v>209</v>
      </c>
      <c r="I2185" t="s">
        <v>228</v>
      </c>
      <c r="J2185" t="s">
        <v>247</v>
      </c>
      <c r="K2185" t="s">
        <v>261</v>
      </c>
      <c r="L2185" t="s">
        <v>274</v>
      </c>
      <c r="M2185" t="s">
        <v>283</v>
      </c>
      <c r="N2185" t="s">
        <v>292</v>
      </c>
      <c r="O2185" t="s">
        <v>300</v>
      </c>
      <c r="AK2185" t="s">
        <v>358</v>
      </c>
    </row>
    <row r="2186" spans="1:37">
      <c r="B2186" t="s">
        <v>52</v>
      </c>
      <c r="C2186" t="s">
        <v>76</v>
      </c>
      <c r="D2186" t="s">
        <v>96</v>
      </c>
      <c r="E2186" t="s">
        <v>115</v>
      </c>
      <c r="F2186" t="s">
        <v>149</v>
      </c>
      <c r="G2186" t="s">
        <v>174</v>
      </c>
      <c r="H2186" t="s">
        <v>96</v>
      </c>
      <c r="I2186" t="s">
        <v>229</v>
      </c>
      <c r="J2186" t="s">
        <v>248</v>
      </c>
      <c r="K2186" t="s">
        <v>262</v>
      </c>
      <c r="L2186" t="s">
        <v>52</v>
      </c>
      <c r="M2186" t="s">
        <v>76</v>
      </c>
      <c r="N2186" t="s">
        <v>293</v>
      </c>
      <c r="O2186" t="s">
        <v>301</v>
      </c>
      <c r="P2186" t="s">
        <v>309</v>
      </c>
      <c r="Q2186" t="s">
        <v>315</v>
      </c>
      <c r="R2186" t="s">
        <v>228</v>
      </c>
      <c r="S2186" t="s">
        <v>328</v>
      </c>
      <c r="T2186" t="s">
        <v>149</v>
      </c>
      <c r="U2186" t="s">
        <v>337</v>
      </c>
      <c r="V2186" t="s">
        <v>341</v>
      </c>
      <c r="W2186" t="s">
        <v>345</v>
      </c>
      <c r="X2186" t="s">
        <v>350</v>
      </c>
      <c r="AK2186" t="s">
        <v>358</v>
      </c>
    </row>
    <row r="2187" spans="1:37">
      <c r="B2187" t="s">
        <v>53</v>
      </c>
      <c r="C2187" t="s">
        <v>77</v>
      </c>
      <c r="D2187" t="s">
        <v>97</v>
      </c>
      <c r="E2187" t="s">
        <v>116</v>
      </c>
      <c r="F2187" t="s">
        <v>150</v>
      </c>
      <c r="G2187" t="s">
        <v>175</v>
      </c>
      <c r="H2187" t="s">
        <v>210</v>
      </c>
      <c r="I2187" t="s">
        <v>230</v>
      </c>
      <c r="J2187" t="s">
        <v>249</v>
      </c>
      <c r="K2187" t="s">
        <v>263</v>
      </c>
      <c r="L2187" t="s">
        <v>275</v>
      </c>
      <c r="M2187" t="s">
        <v>284</v>
      </c>
      <c r="N2187" t="s">
        <v>294</v>
      </c>
      <c r="O2187" t="s">
        <v>302</v>
      </c>
      <c r="P2187" t="s">
        <v>310</v>
      </c>
      <c r="Q2187" t="s">
        <v>316</v>
      </c>
      <c r="R2187" t="s">
        <v>322</v>
      </c>
      <c r="S2187" t="s">
        <v>329</v>
      </c>
      <c r="AK2187" t="s">
        <v>358</v>
      </c>
    </row>
    <row r="2188" spans="1:37">
      <c r="A2188" t="s">
        <v>39</v>
      </c>
      <c r="B2188" t="s">
        <v>54</v>
      </c>
      <c r="C2188" t="s">
        <v>54</v>
      </c>
      <c r="D2188" t="s">
        <v>54</v>
      </c>
      <c r="E2188" t="s">
        <v>54</v>
      </c>
      <c r="F2188" t="s">
        <v>54</v>
      </c>
      <c r="G2188" t="s">
        <v>54</v>
      </c>
      <c r="H2188" t="s">
        <v>54</v>
      </c>
      <c r="I2188" t="s">
        <v>54</v>
      </c>
      <c r="J2188" t="s">
        <v>54</v>
      </c>
      <c r="K2188" t="s">
        <v>54</v>
      </c>
      <c r="L2188" t="s">
        <v>54</v>
      </c>
      <c r="M2188" t="s">
        <v>54</v>
      </c>
      <c r="N2188" t="s">
        <v>54</v>
      </c>
      <c r="O2188" t="s">
        <v>54</v>
      </c>
      <c r="P2188" t="s">
        <v>54</v>
      </c>
      <c r="Q2188" t="s">
        <v>54</v>
      </c>
      <c r="R2188" t="s">
        <v>323</v>
      </c>
      <c r="S2188" t="s">
        <v>330</v>
      </c>
      <c r="AK2188" t="s">
        <v>358</v>
      </c>
    </row>
    <row r="2189" spans="1:37">
      <c r="B2189" t="s">
        <v>55</v>
      </c>
      <c r="C2189" t="s">
        <v>78</v>
      </c>
      <c r="D2189" t="s">
        <v>55</v>
      </c>
      <c r="E2189" t="s">
        <v>78</v>
      </c>
      <c r="F2189" t="s">
        <v>55</v>
      </c>
      <c r="G2189" t="s">
        <v>78</v>
      </c>
      <c r="H2189" t="s">
        <v>55</v>
      </c>
      <c r="I2189" t="s">
        <v>78</v>
      </c>
      <c r="J2189" t="s">
        <v>55</v>
      </c>
      <c r="K2189" t="s">
        <v>78</v>
      </c>
      <c r="L2189" t="s">
        <v>55</v>
      </c>
      <c r="M2189" t="s">
        <v>78</v>
      </c>
      <c r="N2189" t="s">
        <v>55</v>
      </c>
      <c r="O2189" t="s">
        <v>78</v>
      </c>
      <c r="P2189" t="s">
        <v>55</v>
      </c>
      <c r="Q2189" t="s">
        <v>78</v>
      </c>
      <c r="R2189" t="s">
        <v>55</v>
      </c>
      <c r="S2189" t="s">
        <v>78</v>
      </c>
      <c r="T2189" t="s">
        <v>55</v>
      </c>
      <c r="U2189" t="s">
        <v>78</v>
      </c>
      <c r="V2189" t="s">
        <v>55</v>
      </c>
      <c r="W2189" t="s">
        <v>78</v>
      </c>
      <c r="X2189" t="s">
        <v>55</v>
      </c>
      <c r="Y2189" t="s">
        <v>78</v>
      </c>
      <c r="Z2189" t="s">
        <v>55</v>
      </c>
      <c r="AA2189" t="s">
        <v>78</v>
      </c>
      <c r="AB2189" t="s">
        <v>55</v>
      </c>
      <c r="AC2189" t="s">
        <v>78</v>
      </c>
      <c r="AD2189" t="s">
        <v>55</v>
      </c>
      <c r="AE2189" t="s">
        <v>78</v>
      </c>
      <c r="AF2189" t="s">
        <v>55</v>
      </c>
      <c r="AG2189" t="s">
        <v>78</v>
      </c>
      <c r="AH2189" t="s">
        <v>55</v>
      </c>
      <c r="AI2189" t="s">
        <v>78</v>
      </c>
      <c r="AK2189" t="s">
        <v>358</v>
      </c>
    </row>
    <row r="2190" spans="1:37">
      <c r="B2190" t="s">
        <v>56</v>
      </c>
      <c r="C2190" t="s">
        <v>56</v>
      </c>
      <c r="D2190" t="s">
        <v>56</v>
      </c>
      <c r="E2190" t="s">
        <v>56</v>
      </c>
      <c r="F2190" t="s">
        <v>56</v>
      </c>
      <c r="G2190" t="s">
        <v>176</v>
      </c>
      <c r="H2190" t="s">
        <v>211</v>
      </c>
      <c r="I2190" t="s">
        <v>231</v>
      </c>
      <c r="J2190" t="s">
        <v>250</v>
      </c>
      <c r="K2190" t="s">
        <v>264</v>
      </c>
      <c r="L2190" t="s">
        <v>276</v>
      </c>
      <c r="M2190" t="s">
        <v>285</v>
      </c>
      <c r="N2190" t="s">
        <v>295</v>
      </c>
      <c r="O2190" t="s">
        <v>303</v>
      </c>
      <c r="P2190" t="s">
        <v>56</v>
      </c>
      <c r="Q2190" t="s">
        <v>317</v>
      </c>
      <c r="R2190" t="s">
        <v>324</v>
      </c>
      <c r="S2190" t="s">
        <v>331</v>
      </c>
      <c r="T2190" t="s">
        <v>334</v>
      </c>
      <c r="U2190" t="s">
        <v>338</v>
      </c>
      <c r="V2190" t="s">
        <v>342</v>
      </c>
      <c r="W2190" t="s">
        <v>346</v>
      </c>
      <c r="X2190" t="s">
        <v>351</v>
      </c>
      <c r="AK2190" t="s">
        <v>358</v>
      </c>
    </row>
    <row r="2191" spans="1:37">
      <c r="B2191" t="s">
        <v>57</v>
      </c>
      <c r="C2191" t="s">
        <v>79</v>
      </c>
      <c r="D2191" t="s">
        <v>98</v>
      </c>
      <c r="E2191" t="s">
        <v>117</v>
      </c>
      <c r="F2191" t="s">
        <v>151</v>
      </c>
      <c r="G2191" t="s">
        <v>177</v>
      </c>
      <c r="H2191" t="s">
        <v>212</v>
      </c>
      <c r="I2191" t="s">
        <v>232</v>
      </c>
      <c r="J2191" t="s">
        <v>251</v>
      </c>
      <c r="K2191" t="s">
        <v>265</v>
      </c>
      <c r="L2191" t="s">
        <v>277</v>
      </c>
      <c r="M2191" t="s">
        <v>286</v>
      </c>
      <c r="N2191" t="s">
        <v>296</v>
      </c>
      <c r="O2191" t="s">
        <v>304</v>
      </c>
      <c r="P2191" t="s">
        <v>311</v>
      </c>
      <c r="Q2191" t="s">
        <v>318</v>
      </c>
      <c r="R2191" t="s">
        <v>185</v>
      </c>
      <c r="S2191" t="s">
        <v>159</v>
      </c>
      <c r="T2191" t="s">
        <v>185</v>
      </c>
      <c r="U2191" t="s">
        <v>339</v>
      </c>
      <c r="V2191" t="s">
        <v>72</v>
      </c>
      <c r="W2191" t="s">
        <v>347</v>
      </c>
      <c r="X2191" t="s">
        <v>72</v>
      </c>
      <c r="Y2191" t="s">
        <v>96</v>
      </c>
      <c r="AK2191" t="s">
        <v>358</v>
      </c>
    </row>
    <row r="2192" spans="1:37">
      <c r="B2192" t="s">
        <v>58</v>
      </c>
      <c r="C2192" t="s">
        <v>80</v>
      </c>
      <c r="D2192" t="s">
        <v>99</v>
      </c>
      <c r="E2192" t="s">
        <v>118</v>
      </c>
      <c r="F2192" t="s">
        <v>152</v>
      </c>
      <c r="G2192" t="s">
        <v>178</v>
      </c>
      <c r="H2192" t="s">
        <v>213</v>
      </c>
      <c r="I2192" t="s">
        <v>233</v>
      </c>
      <c r="J2192" t="s">
        <v>252</v>
      </c>
      <c r="K2192" t="s">
        <v>266</v>
      </c>
      <c r="L2192" t="s">
        <v>278</v>
      </c>
      <c r="M2192" t="s">
        <v>287</v>
      </c>
      <c r="N2192" t="s">
        <v>297</v>
      </c>
      <c r="O2192" t="s">
        <v>305</v>
      </c>
      <c r="P2192" t="s">
        <v>312</v>
      </c>
      <c r="Q2192" t="s">
        <v>319</v>
      </c>
      <c r="R2192">
        <f>&gt;10       ветра      3.1     19  14</f>
        <v>0</v>
      </c>
      <c r="AK2192" t="s">
        <v>358</v>
      </c>
    </row>
    <row r="2193" spans="1:37">
      <c r="A2193" t="s">
        <v>40</v>
      </c>
      <c r="B2193" t="s">
        <v>59</v>
      </c>
      <c r="C2193" t="s">
        <v>81</v>
      </c>
      <c r="D2193" t="s">
        <v>100</v>
      </c>
      <c r="E2193" t="s">
        <v>119</v>
      </c>
      <c r="F2193" t="s">
        <v>153</v>
      </c>
      <c r="G2193" t="s">
        <v>179</v>
      </c>
      <c r="H2193" t="s">
        <v>214</v>
      </c>
      <c r="I2193" t="s">
        <v>234</v>
      </c>
      <c r="AK2193" t="s">
        <v>358</v>
      </c>
    </row>
    <row r="2194" spans="1:37">
      <c r="A2194" t="s">
        <v>40</v>
      </c>
      <c r="B2194" t="s">
        <v>60</v>
      </c>
      <c r="C2194" t="s">
        <v>82</v>
      </c>
      <c r="D2194" t="s">
        <v>101</v>
      </c>
      <c r="E2194" t="s">
        <v>120</v>
      </c>
      <c r="F2194" t="s">
        <v>154</v>
      </c>
      <c r="G2194" t="s">
        <v>180</v>
      </c>
      <c r="H2194" t="s">
        <v>215</v>
      </c>
      <c r="I2194" t="s">
        <v>235</v>
      </c>
      <c r="J2194" t="s">
        <v>253</v>
      </c>
      <c r="K2194" t="s">
        <v>267</v>
      </c>
      <c r="L2194" t="s">
        <v>279</v>
      </c>
      <c r="M2194" t="s">
        <v>288</v>
      </c>
      <c r="N2194" t="s">
        <v>100</v>
      </c>
      <c r="O2194" t="s">
        <v>306</v>
      </c>
      <c r="P2194" t="s">
        <v>313</v>
      </c>
      <c r="Q2194" t="s">
        <v>320</v>
      </c>
      <c r="R2194" t="s">
        <v>325</v>
      </c>
      <c r="S2194" t="s">
        <v>332</v>
      </c>
      <c r="T2194" t="s">
        <v>119</v>
      </c>
      <c r="U2194" t="s">
        <v>234</v>
      </c>
      <c r="V2194" t="s">
        <v>343</v>
      </c>
      <c r="W2194" t="s">
        <v>348</v>
      </c>
      <c r="X2194" t="s">
        <v>352</v>
      </c>
      <c r="Y2194" t="s">
        <v>354</v>
      </c>
      <c r="AK2194" t="s">
        <v>358</v>
      </c>
    </row>
    <row r="2195" spans="1:37">
      <c r="A2195" t="s">
        <v>41</v>
      </c>
      <c r="B2195" t="s">
        <v>61</v>
      </c>
      <c r="C2195" t="s">
        <v>83</v>
      </c>
      <c r="D2195" t="s">
        <v>102</v>
      </c>
      <c r="E2195" t="s">
        <v>121</v>
      </c>
      <c r="F2195" t="s">
        <v>155</v>
      </c>
      <c r="G2195" t="s">
        <v>181</v>
      </c>
      <c r="H2195" t="s">
        <v>216</v>
      </c>
      <c r="I2195" t="s">
        <v>236</v>
      </c>
      <c r="AK2195" t="s">
        <v>358</v>
      </c>
    </row>
    <row r="2196" spans="1:37">
      <c r="A2196" t="s">
        <v>42</v>
      </c>
      <c r="B2196" t="s">
        <v>62</v>
      </c>
      <c r="C2196" t="s">
        <v>84</v>
      </c>
      <c r="D2196" t="s">
        <v>103</v>
      </c>
      <c r="E2196" t="s">
        <v>122</v>
      </c>
      <c r="F2196" t="s">
        <v>156</v>
      </c>
      <c r="G2196" t="s">
        <v>182</v>
      </c>
      <c r="H2196" t="s">
        <v>83</v>
      </c>
      <c r="I2196" t="s">
        <v>237</v>
      </c>
      <c r="J2196" t="s">
        <v>254</v>
      </c>
      <c r="K2196" t="s">
        <v>268</v>
      </c>
      <c r="L2196" t="s">
        <v>280</v>
      </c>
      <c r="M2196" t="s">
        <v>289</v>
      </c>
      <c r="N2196" t="s">
        <v>298</v>
      </c>
      <c r="O2196" t="s">
        <v>307</v>
      </c>
      <c r="P2196" t="s">
        <v>314</v>
      </c>
      <c r="Q2196" t="s">
        <v>216</v>
      </c>
      <c r="R2196" t="s">
        <v>326</v>
      </c>
      <c r="S2196" t="s">
        <v>333</v>
      </c>
      <c r="T2196" t="s">
        <v>335</v>
      </c>
      <c r="U2196" t="s">
        <v>340</v>
      </c>
      <c r="V2196" t="s">
        <v>344</v>
      </c>
      <c r="W2196" t="s">
        <v>349</v>
      </c>
      <c r="AK2196" t="s">
        <v>358</v>
      </c>
    </row>
    <row r="2197" spans="1:37">
      <c r="A2197" t="s">
        <v>43</v>
      </c>
      <c r="B2197" t="s">
        <v>63</v>
      </c>
      <c r="C2197" t="s">
        <v>85</v>
      </c>
      <c r="D2197" t="s">
        <v>104</v>
      </c>
      <c r="E2197" t="s">
        <v>123</v>
      </c>
      <c r="F2197" t="s">
        <v>157</v>
      </c>
      <c r="G2197" t="s">
        <v>183</v>
      </c>
      <c r="AK2197" t="s">
        <v>358</v>
      </c>
    </row>
    <row r="2198" spans="1:37">
      <c r="A2198" t="s">
        <v>44</v>
      </c>
      <c r="B2198" t="s">
        <v>64</v>
      </c>
      <c r="C2198" t="s">
        <v>86</v>
      </c>
      <c r="D2198" t="s">
        <v>105</v>
      </c>
      <c r="E2198" t="s">
        <v>124</v>
      </c>
      <c r="F2198" t="s">
        <v>158</v>
      </c>
      <c r="G2198" t="s">
        <v>184</v>
      </c>
      <c r="AK2198" t="s">
        <v>358</v>
      </c>
    </row>
    <row r="2199" spans="1:37">
      <c r="A2199" t="s">
        <v>45</v>
      </c>
      <c r="B2199" t="s">
        <v>65</v>
      </c>
      <c r="C2199" t="s">
        <v>87</v>
      </c>
      <c r="D2199" t="s">
        <v>106</v>
      </c>
      <c r="E2199" t="s">
        <v>125</v>
      </c>
      <c r="F2199" t="s">
        <v>159</v>
      </c>
      <c r="G2199" t="s">
        <v>185</v>
      </c>
      <c r="H2199" t="s">
        <v>159</v>
      </c>
      <c r="I2199" t="s">
        <v>185</v>
      </c>
      <c r="J2199" t="s">
        <v>255</v>
      </c>
      <c r="AK2199" t="s">
        <v>358</v>
      </c>
    </row>
    <row r="2200" spans="1:37">
      <c r="A2200" t="s">
        <v>46</v>
      </c>
      <c r="B2200" t="s">
        <v>66</v>
      </c>
      <c r="C2200" t="s">
        <v>88</v>
      </c>
      <c r="D2200" t="s">
        <v>76</v>
      </c>
      <c r="E2200" t="s">
        <v>126</v>
      </c>
      <c r="F2200" t="s">
        <v>160</v>
      </c>
      <c r="G2200" t="s">
        <v>186</v>
      </c>
      <c r="H2200" t="s">
        <v>217</v>
      </c>
      <c r="I2200" t="s">
        <v>238</v>
      </c>
      <c r="J2200" t="s">
        <v>256</v>
      </c>
      <c r="K2200" t="s">
        <v>265</v>
      </c>
      <c r="L2200" t="s">
        <v>281</v>
      </c>
      <c r="M2200" t="s">
        <v>290</v>
      </c>
      <c r="N2200" t="s">
        <v>299</v>
      </c>
      <c r="O2200" t="s">
        <v>308</v>
      </c>
      <c r="P2200" t="s">
        <v>228</v>
      </c>
      <c r="Q2200" t="s">
        <v>72</v>
      </c>
      <c r="R2200" t="s">
        <v>327</v>
      </c>
      <c r="S2200" t="s">
        <v>327</v>
      </c>
      <c r="T2200" t="s">
        <v>336</v>
      </c>
      <c r="U2200" t="s">
        <v>336</v>
      </c>
      <c r="V2200" t="s">
        <v>336</v>
      </c>
      <c r="W2200" t="s">
        <v>336</v>
      </c>
      <c r="X2200" t="s">
        <v>353</v>
      </c>
      <c r="AK2200" t="s">
        <v>358</v>
      </c>
    </row>
    <row r="2201" spans="1:37">
      <c r="A2201" t="s">
        <v>37</v>
      </c>
      <c r="B2201" t="s">
        <v>49</v>
      </c>
      <c r="C2201" t="s">
        <v>73</v>
      </c>
      <c r="D2201" t="s">
        <v>94</v>
      </c>
      <c r="E2201" t="s">
        <v>112</v>
      </c>
      <c r="F2201" t="s">
        <v>146</v>
      </c>
      <c r="G2201" t="s">
        <v>172</v>
      </c>
      <c r="H2201" t="s">
        <v>207</v>
      </c>
      <c r="I2201" t="s">
        <v>226</v>
      </c>
      <c r="J2201" t="s">
        <v>246</v>
      </c>
      <c r="K2201" t="s">
        <v>259</v>
      </c>
      <c r="AK2201" t="s">
        <v>358</v>
      </c>
    </row>
    <row r="2202" spans="1:37">
      <c r="A2202" t="s">
        <v>38</v>
      </c>
      <c r="B2202" t="s">
        <v>50</v>
      </c>
      <c r="C2202" t="s">
        <v>74</v>
      </c>
      <c r="D2202" t="s">
        <v>95</v>
      </c>
      <c r="E2202" t="s">
        <v>113</v>
      </c>
      <c r="F2202" t="s">
        <v>147</v>
      </c>
      <c r="G2202" t="s">
        <v>173</v>
      </c>
      <c r="H2202" t="s">
        <v>208</v>
      </c>
      <c r="I2202" t="s">
        <v>227</v>
      </c>
      <c r="J2202" t="s">
        <v>115</v>
      </c>
      <c r="K2202" t="s">
        <v>260</v>
      </c>
      <c r="L2202" t="s">
        <v>273</v>
      </c>
      <c r="M2202" t="s">
        <v>282</v>
      </c>
      <c r="N2202" t="s">
        <v>291</v>
      </c>
      <c r="AK2202" t="s">
        <v>358</v>
      </c>
    </row>
    <row r="2203" spans="1:37">
      <c r="B2203" t="s">
        <v>51</v>
      </c>
      <c r="C2203" t="s">
        <v>75</v>
      </c>
      <c r="D2203" t="s">
        <v>52</v>
      </c>
      <c r="E2203" t="s">
        <v>114</v>
      </c>
      <c r="F2203" t="s">
        <v>148</v>
      </c>
      <c r="G2203" t="s">
        <v>148</v>
      </c>
      <c r="H2203" t="s">
        <v>209</v>
      </c>
      <c r="I2203" t="s">
        <v>228</v>
      </c>
      <c r="J2203" t="s">
        <v>247</v>
      </c>
      <c r="K2203" t="s">
        <v>261</v>
      </c>
      <c r="L2203" t="s">
        <v>274</v>
      </c>
      <c r="M2203" t="s">
        <v>283</v>
      </c>
      <c r="N2203" t="s">
        <v>292</v>
      </c>
      <c r="O2203" t="s">
        <v>300</v>
      </c>
      <c r="AK2203" t="s">
        <v>358</v>
      </c>
    </row>
    <row r="2204" spans="1:37">
      <c r="B2204" t="s">
        <v>52</v>
      </c>
      <c r="C2204" t="s">
        <v>76</v>
      </c>
      <c r="D2204" t="s">
        <v>96</v>
      </c>
      <c r="E2204" t="s">
        <v>115</v>
      </c>
      <c r="F2204" t="s">
        <v>149</v>
      </c>
      <c r="G2204" t="s">
        <v>174</v>
      </c>
      <c r="H2204" t="s">
        <v>96</v>
      </c>
      <c r="I2204" t="s">
        <v>229</v>
      </c>
      <c r="J2204" t="s">
        <v>248</v>
      </c>
      <c r="K2204" t="s">
        <v>262</v>
      </c>
      <c r="L2204" t="s">
        <v>52</v>
      </c>
      <c r="M2204" t="s">
        <v>76</v>
      </c>
      <c r="N2204" t="s">
        <v>293</v>
      </c>
      <c r="O2204" t="s">
        <v>301</v>
      </c>
      <c r="P2204" t="s">
        <v>309</v>
      </c>
      <c r="Q2204" t="s">
        <v>315</v>
      </c>
      <c r="R2204" t="s">
        <v>228</v>
      </c>
      <c r="S2204" t="s">
        <v>328</v>
      </c>
      <c r="T2204" t="s">
        <v>149</v>
      </c>
      <c r="U2204" t="s">
        <v>337</v>
      </c>
      <c r="V2204" t="s">
        <v>341</v>
      </c>
      <c r="W2204" t="s">
        <v>345</v>
      </c>
      <c r="X2204" t="s">
        <v>350</v>
      </c>
      <c r="AK2204" t="s">
        <v>358</v>
      </c>
    </row>
    <row r="2205" spans="1:37">
      <c r="B2205" t="s">
        <v>53</v>
      </c>
      <c r="C2205" t="s">
        <v>77</v>
      </c>
      <c r="D2205" t="s">
        <v>97</v>
      </c>
      <c r="E2205" t="s">
        <v>116</v>
      </c>
      <c r="F2205" t="s">
        <v>150</v>
      </c>
      <c r="G2205" t="s">
        <v>175</v>
      </c>
      <c r="H2205" t="s">
        <v>210</v>
      </c>
      <c r="I2205" t="s">
        <v>230</v>
      </c>
      <c r="J2205" t="s">
        <v>249</v>
      </c>
      <c r="K2205" t="s">
        <v>263</v>
      </c>
      <c r="L2205" t="s">
        <v>275</v>
      </c>
      <c r="M2205" t="s">
        <v>284</v>
      </c>
      <c r="N2205" t="s">
        <v>294</v>
      </c>
      <c r="O2205" t="s">
        <v>302</v>
      </c>
      <c r="P2205" t="s">
        <v>310</v>
      </c>
      <c r="Q2205" t="s">
        <v>316</v>
      </c>
      <c r="R2205" t="s">
        <v>322</v>
      </c>
      <c r="S2205" t="s">
        <v>329</v>
      </c>
      <c r="AK2205" t="s">
        <v>358</v>
      </c>
    </row>
    <row r="2206" spans="1:37">
      <c r="A2206" t="s">
        <v>39</v>
      </c>
      <c r="B2206" t="s">
        <v>54</v>
      </c>
      <c r="C2206" t="s">
        <v>54</v>
      </c>
      <c r="D2206" t="s">
        <v>54</v>
      </c>
      <c r="E2206" t="s">
        <v>54</v>
      </c>
      <c r="F2206" t="s">
        <v>54</v>
      </c>
      <c r="G2206" t="s">
        <v>54</v>
      </c>
      <c r="H2206" t="s">
        <v>54</v>
      </c>
      <c r="I2206" t="s">
        <v>54</v>
      </c>
      <c r="J2206" t="s">
        <v>54</v>
      </c>
      <c r="K2206" t="s">
        <v>54</v>
      </c>
      <c r="L2206" t="s">
        <v>54</v>
      </c>
      <c r="M2206" t="s">
        <v>54</v>
      </c>
      <c r="N2206" t="s">
        <v>54</v>
      </c>
      <c r="O2206" t="s">
        <v>54</v>
      </c>
      <c r="P2206" t="s">
        <v>54</v>
      </c>
      <c r="Q2206" t="s">
        <v>54</v>
      </c>
      <c r="R2206" t="s">
        <v>323</v>
      </c>
      <c r="S2206" t="s">
        <v>330</v>
      </c>
      <c r="AK2206" t="s">
        <v>358</v>
      </c>
    </row>
    <row r="2207" spans="1:37">
      <c r="B2207" t="s">
        <v>55</v>
      </c>
      <c r="C2207" t="s">
        <v>78</v>
      </c>
      <c r="D2207" t="s">
        <v>55</v>
      </c>
      <c r="E2207" t="s">
        <v>78</v>
      </c>
      <c r="F2207" t="s">
        <v>55</v>
      </c>
      <c r="G2207" t="s">
        <v>78</v>
      </c>
      <c r="H2207" t="s">
        <v>55</v>
      </c>
      <c r="I2207" t="s">
        <v>78</v>
      </c>
      <c r="J2207" t="s">
        <v>55</v>
      </c>
      <c r="K2207" t="s">
        <v>78</v>
      </c>
      <c r="L2207" t="s">
        <v>55</v>
      </c>
      <c r="M2207" t="s">
        <v>78</v>
      </c>
      <c r="N2207" t="s">
        <v>55</v>
      </c>
      <c r="O2207" t="s">
        <v>78</v>
      </c>
      <c r="P2207" t="s">
        <v>55</v>
      </c>
      <c r="Q2207" t="s">
        <v>78</v>
      </c>
      <c r="R2207" t="s">
        <v>55</v>
      </c>
      <c r="S2207" t="s">
        <v>78</v>
      </c>
      <c r="T2207" t="s">
        <v>55</v>
      </c>
      <c r="U2207" t="s">
        <v>78</v>
      </c>
      <c r="V2207" t="s">
        <v>55</v>
      </c>
      <c r="W2207" t="s">
        <v>78</v>
      </c>
      <c r="X2207" t="s">
        <v>55</v>
      </c>
      <c r="Y2207" t="s">
        <v>78</v>
      </c>
      <c r="Z2207" t="s">
        <v>55</v>
      </c>
      <c r="AA2207" t="s">
        <v>78</v>
      </c>
      <c r="AB2207" t="s">
        <v>55</v>
      </c>
      <c r="AC2207" t="s">
        <v>78</v>
      </c>
      <c r="AD2207" t="s">
        <v>55</v>
      </c>
      <c r="AE2207" t="s">
        <v>78</v>
      </c>
      <c r="AF2207" t="s">
        <v>55</v>
      </c>
      <c r="AG2207" t="s">
        <v>78</v>
      </c>
      <c r="AH2207" t="s">
        <v>55</v>
      </c>
      <c r="AI2207" t="s">
        <v>78</v>
      </c>
      <c r="AK2207" t="s">
        <v>358</v>
      </c>
    </row>
    <row r="2208" spans="1:37">
      <c r="B2208" t="s">
        <v>56</v>
      </c>
      <c r="C2208" t="s">
        <v>56</v>
      </c>
      <c r="D2208" t="s">
        <v>56</v>
      </c>
      <c r="E2208" t="s">
        <v>56</v>
      </c>
      <c r="F2208" t="s">
        <v>56</v>
      </c>
      <c r="G2208" t="s">
        <v>176</v>
      </c>
      <c r="H2208" t="s">
        <v>211</v>
      </c>
      <c r="I2208" t="s">
        <v>231</v>
      </c>
      <c r="J2208" t="s">
        <v>250</v>
      </c>
      <c r="K2208" t="s">
        <v>264</v>
      </c>
      <c r="L2208" t="s">
        <v>276</v>
      </c>
      <c r="M2208" t="s">
        <v>285</v>
      </c>
      <c r="N2208" t="s">
        <v>295</v>
      </c>
      <c r="O2208" t="s">
        <v>303</v>
      </c>
      <c r="P2208" t="s">
        <v>56</v>
      </c>
      <c r="Q2208" t="s">
        <v>317</v>
      </c>
      <c r="R2208" t="s">
        <v>324</v>
      </c>
      <c r="S2208" t="s">
        <v>331</v>
      </c>
      <c r="T2208" t="s">
        <v>334</v>
      </c>
      <c r="U2208" t="s">
        <v>338</v>
      </c>
      <c r="V2208" t="s">
        <v>342</v>
      </c>
      <c r="W2208" t="s">
        <v>346</v>
      </c>
      <c r="X2208" t="s">
        <v>351</v>
      </c>
      <c r="AK2208" t="s">
        <v>358</v>
      </c>
    </row>
    <row r="2209" spans="1:37">
      <c r="B2209" t="s">
        <v>57</v>
      </c>
      <c r="C2209" t="s">
        <v>79</v>
      </c>
      <c r="D2209" t="s">
        <v>98</v>
      </c>
      <c r="E2209" t="s">
        <v>117</v>
      </c>
      <c r="F2209" t="s">
        <v>151</v>
      </c>
      <c r="G2209" t="s">
        <v>177</v>
      </c>
      <c r="H2209" t="s">
        <v>212</v>
      </c>
      <c r="I2209" t="s">
        <v>232</v>
      </c>
      <c r="J2209" t="s">
        <v>251</v>
      </c>
      <c r="K2209" t="s">
        <v>265</v>
      </c>
      <c r="L2209" t="s">
        <v>277</v>
      </c>
      <c r="M2209" t="s">
        <v>286</v>
      </c>
      <c r="N2209" t="s">
        <v>296</v>
      </c>
      <c r="O2209" t="s">
        <v>304</v>
      </c>
      <c r="P2209" t="s">
        <v>311</v>
      </c>
      <c r="Q2209" t="s">
        <v>318</v>
      </c>
      <c r="R2209" t="s">
        <v>185</v>
      </c>
      <c r="S2209" t="s">
        <v>159</v>
      </c>
      <c r="T2209" t="s">
        <v>185</v>
      </c>
      <c r="U2209" t="s">
        <v>339</v>
      </c>
      <c r="V2209" t="s">
        <v>72</v>
      </c>
      <c r="W2209" t="s">
        <v>347</v>
      </c>
      <c r="X2209" t="s">
        <v>72</v>
      </c>
      <c r="Y2209" t="s">
        <v>96</v>
      </c>
      <c r="AK2209" t="s">
        <v>358</v>
      </c>
    </row>
    <row r="2210" spans="1:37">
      <c r="B2210" t="s">
        <v>58</v>
      </c>
      <c r="C2210" t="s">
        <v>80</v>
      </c>
      <c r="D2210" t="s">
        <v>99</v>
      </c>
      <c r="E2210" t="s">
        <v>118</v>
      </c>
      <c r="F2210" t="s">
        <v>152</v>
      </c>
      <c r="G2210" t="s">
        <v>178</v>
      </c>
      <c r="H2210" t="s">
        <v>213</v>
      </c>
      <c r="I2210" t="s">
        <v>233</v>
      </c>
      <c r="J2210" t="s">
        <v>252</v>
      </c>
      <c r="K2210" t="s">
        <v>266</v>
      </c>
      <c r="L2210" t="s">
        <v>278</v>
      </c>
      <c r="M2210" t="s">
        <v>287</v>
      </c>
      <c r="N2210" t="s">
        <v>297</v>
      </c>
      <c r="O2210" t="s">
        <v>305</v>
      </c>
      <c r="P2210" t="s">
        <v>312</v>
      </c>
      <c r="Q2210" t="s">
        <v>319</v>
      </c>
      <c r="R2210">
        <f>&gt;10       ветра      2.8     17  14</f>
        <v>0</v>
      </c>
      <c r="AK2210" t="s">
        <v>358</v>
      </c>
    </row>
    <row r="2211" spans="1:37">
      <c r="A2211" t="s">
        <v>40</v>
      </c>
      <c r="B2211" t="s">
        <v>59</v>
      </c>
      <c r="C2211" t="s">
        <v>81</v>
      </c>
      <c r="D2211" t="s">
        <v>100</v>
      </c>
      <c r="E2211" t="s">
        <v>119</v>
      </c>
      <c r="F2211" t="s">
        <v>153</v>
      </c>
      <c r="G2211" t="s">
        <v>179</v>
      </c>
      <c r="H2211" t="s">
        <v>214</v>
      </c>
      <c r="I2211" t="s">
        <v>234</v>
      </c>
      <c r="AK2211" t="s">
        <v>358</v>
      </c>
    </row>
    <row r="2212" spans="1:37">
      <c r="A2212" t="s">
        <v>40</v>
      </c>
      <c r="B2212" t="s">
        <v>60</v>
      </c>
      <c r="C2212" t="s">
        <v>82</v>
      </c>
      <c r="D2212" t="s">
        <v>101</v>
      </c>
      <c r="E2212" t="s">
        <v>120</v>
      </c>
      <c r="F2212" t="s">
        <v>154</v>
      </c>
      <c r="G2212" t="s">
        <v>180</v>
      </c>
      <c r="H2212" t="s">
        <v>215</v>
      </c>
      <c r="I2212" t="s">
        <v>235</v>
      </c>
      <c r="J2212" t="s">
        <v>253</v>
      </c>
      <c r="K2212" t="s">
        <v>267</v>
      </c>
      <c r="L2212" t="s">
        <v>279</v>
      </c>
      <c r="M2212" t="s">
        <v>288</v>
      </c>
      <c r="N2212" t="s">
        <v>100</v>
      </c>
      <c r="O2212" t="s">
        <v>306</v>
      </c>
      <c r="P2212" t="s">
        <v>313</v>
      </c>
      <c r="Q2212" t="s">
        <v>320</v>
      </c>
      <c r="R2212" t="s">
        <v>325</v>
      </c>
      <c r="S2212" t="s">
        <v>332</v>
      </c>
      <c r="T2212" t="s">
        <v>119</v>
      </c>
      <c r="U2212" t="s">
        <v>234</v>
      </c>
      <c r="V2212" t="s">
        <v>343</v>
      </c>
      <c r="W2212" t="s">
        <v>348</v>
      </c>
      <c r="X2212" t="s">
        <v>352</v>
      </c>
      <c r="Y2212" t="s">
        <v>354</v>
      </c>
      <c r="AK2212" t="s">
        <v>358</v>
      </c>
    </row>
    <row r="2213" spans="1:37">
      <c r="A2213" t="s">
        <v>41</v>
      </c>
      <c r="B2213" t="s">
        <v>61</v>
      </c>
      <c r="C2213" t="s">
        <v>83</v>
      </c>
      <c r="D2213" t="s">
        <v>102</v>
      </c>
      <c r="E2213" t="s">
        <v>121</v>
      </c>
      <c r="F2213" t="s">
        <v>155</v>
      </c>
      <c r="G2213" t="s">
        <v>181</v>
      </c>
      <c r="H2213" t="s">
        <v>216</v>
      </c>
      <c r="I2213" t="s">
        <v>236</v>
      </c>
      <c r="AK2213" t="s">
        <v>358</v>
      </c>
    </row>
    <row r="2214" spans="1:37">
      <c r="A2214" t="s">
        <v>42</v>
      </c>
      <c r="B2214" t="s">
        <v>62</v>
      </c>
      <c r="C2214" t="s">
        <v>84</v>
      </c>
      <c r="D2214" t="s">
        <v>103</v>
      </c>
      <c r="E2214" t="s">
        <v>122</v>
      </c>
      <c r="F2214" t="s">
        <v>156</v>
      </c>
      <c r="G2214" t="s">
        <v>182</v>
      </c>
      <c r="H2214" t="s">
        <v>83</v>
      </c>
      <c r="I2214" t="s">
        <v>237</v>
      </c>
      <c r="J2214" t="s">
        <v>254</v>
      </c>
      <c r="K2214" t="s">
        <v>268</v>
      </c>
      <c r="L2214" t="s">
        <v>280</v>
      </c>
      <c r="M2214" t="s">
        <v>289</v>
      </c>
      <c r="N2214" t="s">
        <v>298</v>
      </c>
      <c r="O2214" t="s">
        <v>307</v>
      </c>
      <c r="P2214" t="s">
        <v>314</v>
      </c>
      <c r="Q2214" t="s">
        <v>216</v>
      </c>
      <c r="R2214" t="s">
        <v>326</v>
      </c>
      <c r="S2214" t="s">
        <v>333</v>
      </c>
      <c r="T2214" t="s">
        <v>335</v>
      </c>
      <c r="U2214" t="s">
        <v>340</v>
      </c>
      <c r="V2214" t="s">
        <v>344</v>
      </c>
      <c r="W2214" t="s">
        <v>349</v>
      </c>
      <c r="AK2214" t="s">
        <v>358</v>
      </c>
    </row>
    <row r="2215" spans="1:37">
      <c r="A2215" t="s">
        <v>43</v>
      </c>
      <c r="B2215" t="s">
        <v>63</v>
      </c>
      <c r="C2215" t="s">
        <v>85</v>
      </c>
      <c r="D2215" t="s">
        <v>104</v>
      </c>
      <c r="E2215" t="s">
        <v>123</v>
      </c>
      <c r="F2215" t="s">
        <v>157</v>
      </c>
      <c r="G2215" t="s">
        <v>183</v>
      </c>
      <c r="AK2215" t="s">
        <v>358</v>
      </c>
    </row>
    <row r="2216" spans="1:37">
      <c r="A2216" t="s">
        <v>44</v>
      </c>
      <c r="B2216" t="s">
        <v>64</v>
      </c>
      <c r="C2216" t="s">
        <v>86</v>
      </c>
      <c r="D2216" t="s">
        <v>105</v>
      </c>
      <c r="E2216" t="s">
        <v>124</v>
      </c>
      <c r="F2216" t="s">
        <v>158</v>
      </c>
      <c r="G2216" t="s">
        <v>184</v>
      </c>
      <c r="AK2216" t="s">
        <v>358</v>
      </c>
    </row>
    <row r="2217" spans="1:37">
      <c r="A2217" t="s">
        <v>45</v>
      </c>
      <c r="B2217" t="s">
        <v>65</v>
      </c>
      <c r="C2217" t="s">
        <v>87</v>
      </c>
      <c r="D2217" t="s">
        <v>106</v>
      </c>
      <c r="E2217" t="s">
        <v>125</v>
      </c>
      <c r="F2217" t="s">
        <v>159</v>
      </c>
      <c r="G2217" t="s">
        <v>185</v>
      </c>
      <c r="H2217" t="s">
        <v>159</v>
      </c>
      <c r="I2217" t="s">
        <v>185</v>
      </c>
      <c r="J2217" t="s">
        <v>255</v>
      </c>
      <c r="AK2217" t="s">
        <v>358</v>
      </c>
    </row>
    <row r="2218" spans="1:37">
      <c r="A2218" t="s">
        <v>46</v>
      </c>
      <c r="B2218" t="s">
        <v>66</v>
      </c>
      <c r="C2218" t="s">
        <v>88</v>
      </c>
      <c r="D2218" t="s">
        <v>76</v>
      </c>
      <c r="E2218" t="s">
        <v>126</v>
      </c>
      <c r="F2218" t="s">
        <v>160</v>
      </c>
      <c r="G2218" t="s">
        <v>186</v>
      </c>
      <c r="H2218" t="s">
        <v>217</v>
      </c>
      <c r="I2218" t="s">
        <v>238</v>
      </c>
      <c r="J2218" t="s">
        <v>256</v>
      </c>
      <c r="K2218" t="s">
        <v>265</v>
      </c>
      <c r="L2218" t="s">
        <v>281</v>
      </c>
      <c r="M2218" t="s">
        <v>290</v>
      </c>
      <c r="N2218" t="s">
        <v>299</v>
      </c>
      <c r="O2218" t="s">
        <v>308</v>
      </c>
      <c r="P2218" t="s">
        <v>228</v>
      </c>
      <c r="Q2218" t="s">
        <v>72</v>
      </c>
      <c r="R2218" t="s">
        <v>327</v>
      </c>
      <c r="S2218" t="s">
        <v>327</v>
      </c>
      <c r="T2218" t="s">
        <v>336</v>
      </c>
      <c r="U2218" t="s">
        <v>336</v>
      </c>
      <c r="V2218" t="s">
        <v>336</v>
      </c>
      <c r="W2218" t="s">
        <v>336</v>
      </c>
      <c r="X2218" t="s">
        <v>353</v>
      </c>
      <c r="AK2218" t="s">
        <v>358</v>
      </c>
    </row>
    <row r="2219" spans="1:37">
      <c r="B2219" t="s">
        <v>67</v>
      </c>
      <c r="C2219" t="s">
        <v>89</v>
      </c>
      <c r="D2219" t="s">
        <v>107</v>
      </c>
      <c r="AK2219" t="s">
        <v>358</v>
      </c>
    </row>
    <row r="2220" spans="1:37">
      <c r="B2220" t="s">
        <v>68</v>
      </c>
      <c r="C2220" t="s">
        <v>90</v>
      </c>
      <c r="D2220" t="s">
        <v>108</v>
      </c>
      <c r="AK2220" t="s">
        <v>358</v>
      </c>
    </row>
    <row r="2221" spans="1:37">
      <c r="A2221" t="s">
        <v>47</v>
      </c>
      <c r="B2221" t="s">
        <v>69</v>
      </c>
      <c r="C2221" t="s">
        <v>91</v>
      </c>
      <c r="D2221" t="s">
        <v>109</v>
      </c>
      <c r="E2221" t="s">
        <v>109</v>
      </c>
      <c r="F2221" t="s">
        <v>109</v>
      </c>
      <c r="G2221" t="s">
        <v>109</v>
      </c>
      <c r="H2221" t="s">
        <v>109</v>
      </c>
      <c r="I2221" t="s">
        <v>239</v>
      </c>
      <c r="AK2221" t="s">
        <v>358</v>
      </c>
    </row>
    <row r="2222" spans="1:37">
      <c r="B2222" t="s">
        <v>70</v>
      </c>
      <c r="C2222" t="s">
        <v>92</v>
      </c>
      <c r="D2222" t="s">
        <v>110</v>
      </c>
      <c r="E2222" t="s">
        <v>127</v>
      </c>
      <c r="F2222" t="s">
        <v>161</v>
      </c>
      <c r="G2222" t="s">
        <v>187</v>
      </c>
      <c r="H2222" t="s">
        <v>218</v>
      </c>
      <c r="AK2222" t="s">
        <v>358</v>
      </c>
    </row>
    <row r="2223" spans="1:37">
      <c r="B2223" t="s">
        <v>71</v>
      </c>
      <c r="C2223" t="s">
        <v>93</v>
      </c>
      <c r="D2223" t="s">
        <v>111</v>
      </c>
      <c r="E2223" t="s">
        <v>128</v>
      </c>
      <c r="F2223" t="s">
        <v>162</v>
      </c>
      <c r="G2223" t="s">
        <v>188</v>
      </c>
      <c r="H2223" t="s">
        <v>219</v>
      </c>
      <c r="I2223" t="s">
        <v>240</v>
      </c>
      <c r="J2223" t="s">
        <v>257</v>
      </c>
      <c r="K2223" t="s">
        <v>269</v>
      </c>
      <c r="L2223" t="s">
        <v>109</v>
      </c>
      <c r="M2223" t="s">
        <v>109</v>
      </c>
      <c r="N2223" t="s">
        <v>109</v>
      </c>
      <c r="O2223" t="s">
        <v>109</v>
      </c>
      <c r="P2223" t="s">
        <v>109</v>
      </c>
      <c r="Q2223" t="s">
        <v>321</v>
      </c>
      <c r="AK2223" t="s">
        <v>358</v>
      </c>
    </row>
    <row r="2224" spans="1:37">
      <c r="A2224" t="s">
        <v>48</v>
      </c>
      <c r="B2224" t="s">
        <v>71</v>
      </c>
      <c r="C2224" t="s">
        <v>93</v>
      </c>
      <c r="D2224" t="s">
        <v>111</v>
      </c>
      <c r="E2224" t="s">
        <v>128</v>
      </c>
      <c r="F2224" t="s">
        <v>163</v>
      </c>
      <c r="G2224" t="s">
        <v>189</v>
      </c>
      <c r="H2224" t="s">
        <v>220</v>
      </c>
      <c r="I2224" t="s">
        <v>241</v>
      </c>
      <c r="J2224" t="s">
        <v>258</v>
      </c>
      <c r="K2224" t="s">
        <v>270</v>
      </c>
      <c r="AK2224" t="s">
        <v>358</v>
      </c>
    </row>
    <row r="2225" spans="1:37">
      <c r="B2225" t="s">
        <v>72</v>
      </c>
      <c r="C2225" t="s">
        <v>72</v>
      </c>
      <c r="D2225" t="s">
        <v>72</v>
      </c>
      <c r="E2225" t="s">
        <v>138</v>
      </c>
      <c r="F2225" t="s">
        <v>168</v>
      </c>
      <c r="G2225" t="s">
        <v>202</v>
      </c>
      <c r="H2225" t="s">
        <v>192</v>
      </c>
      <c r="I2225" t="s">
        <v>192</v>
      </c>
      <c r="J2225" t="s">
        <v>192</v>
      </c>
      <c r="K2225" t="s">
        <v>271</v>
      </c>
      <c r="AK2225" t="s">
        <v>358</v>
      </c>
    </row>
    <row r="2226" spans="1:37">
      <c r="A2226" t="s">
        <v>37</v>
      </c>
      <c r="B2226" t="s">
        <v>49</v>
      </c>
      <c r="C2226" t="s">
        <v>73</v>
      </c>
      <c r="D2226" t="s">
        <v>94</v>
      </c>
      <c r="E2226" t="s">
        <v>112</v>
      </c>
      <c r="F2226" t="s">
        <v>146</v>
      </c>
      <c r="G2226" t="s">
        <v>172</v>
      </c>
      <c r="H2226" t="s">
        <v>207</v>
      </c>
      <c r="I2226" t="s">
        <v>226</v>
      </c>
      <c r="J2226" t="s">
        <v>246</v>
      </c>
      <c r="K2226" t="s">
        <v>259</v>
      </c>
      <c r="AK2226" t="s">
        <v>358</v>
      </c>
    </row>
    <row r="2227" spans="1:37">
      <c r="A2227" t="s">
        <v>38</v>
      </c>
      <c r="B2227" t="s">
        <v>50</v>
      </c>
      <c r="C2227" t="s">
        <v>74</v>
      </c>
      <c r="D2227" t="s">
        <v>95</v>
      </c>
      <c r="E2227" t="s">
        <v>113</v>
      </c>
      <c r="F2227" t="s">
        <v>147</v>
      </c>
      <c r="G2227" t="s">
        <v>173</v>
      </c>
      <c r="H2227" t="s">
        <v>208</v>
      </c>
      <c r="I2227" t="s">
        <v>227</v>
      </c>
      <c r="J2227" t="s">
        <v>115</v>
      </c>
      <c r="K2227" t="s">
        <v>260</v>
      </c>
      <c r="L2227" t="s">
        <v>273</v>
      </c>
      <c r="M2227" t="s">
        <v>282</v>
      </c>
      <c r="N2227" t="s">
        <v>291</v>
      </c>
      <c r="AK2227" t="s">
        <v>358</v>
      </c>
    </row>
    <row r="2228" spans="1:37">
      <c r="B2228" t="s">
        <v>51</v>
      </c>
      <c r="C2228" t="s">
        <v>75</v>
      </c>
      <c r="D2228" t="s">
        <v>52</v>
      </c>
      <c r="E2228" t="s">
        <v>114</v>
      </c>
      <c r="F2228" t="s">
        <v>148</v>
      </c>
      <c r="G2228" t="s">
        <v>148</v>
      </c>
      <c r="H2228" t="s">
        <v>209</v>
      </c>
      <c r="I2228" t="s">
        <v>228</v>
      </c>
      <c r="J2228" t="s">
        <v>247</v>
      </c>
      <c r="K2228" t="s">
        <v>261</v>
      </c>
      <c r="L2228" t="s">
        <v>274</v>
      </c>
      <c r="M2228" t="s">
        <v>283</v>
      </c>
      <c r="N2228" t="s">
        <v>292</v>
      </c>
      <c r="O2228" t="s">
        <v>300</v>
      </c>
      <c r="AK2228" t="s">
        <v>358</v>
      </c>
    </row>
    <row r="2229" spans="1:37">
      <c r="B2229" t="s">
        <v>52</v>
      </c>
      <c r="C2229" t="s">
        <v>76</v>
      </c>
      <c r="D2229" t="s">
        <v>96</v>
      </c>
      <c r="E2229" t="s">
        <v>115</v>
      </c>
      <c r="F2229" t="s">
        <v>149</v>
      </c>
      <c r="G2229" t="s">
        <v>174</v>
      </c>
      <c r="H2229" t="s">
        <v>96</v>
      </c>
      <c r="I2229" t="s">
        <v>229</v>
      </c>
      <c r="J2229" t="s">
        <v>248</v>
      </c>
      <c r="K2229" t="s">
        <v>262</v>
      </c>
      <c r="L2229" t="s">
        <v>52</v>
      </c>
      <c r="M2229" t="s">
        <v>76</v>
      </c>
      <c r="N2229" t="s">
        <v>293</v>
      </c>
      <c r="O2229" t="s">
        <v>301</v>
      </c>
      <c r="P2229" t="s">
        <v>309</v>
      </c>
      <c r="Q2229" t="s">
        <v>315</v>
      </c>
      <c r="R2229" t="s">
        <v>228</v>
      </c>
      <c r="S2229" t="s">
        <v>328</v>
      </c>
      <c r="T2229" t="s">
        <v>149</v>
      </c>
      <c r="U2229" t="s">
        <v>337</v>
      </c>
      <c r="V2229" t="s">
        <v>341</v>
      </c>
      <c r="W2229" t="s">
        <v>345</v>
      </c>
      <c r="X2229" t="s">
        <v>350</v>
      </c>
      <c r="AK2229" t="s">
        <v>358</v>
      </c>
    </row>
    <row r="2230" spans="1:37">
      <c r="B2230" t="s">
        <v>53</v>
      </c>
      <c r="C2230" t="s">
        <v>77</v>
      </c>
      <c r="D2230" t="s">
        <v>97</v>
      </c>
      <c r="E2230" t="s">
        <v>116</v>
      </c>
      <c r="F2230" t="s">
        <v>150</v>
      </c>
      <c r="G2230" t="s">
        <v>175</v>
      </c>
      <c r="H2230" t="s">
        <v>210</v>
      </c>
      <c r="I2230" t="s">
        <v>230</v>
      </c>
      <c r="J2230" t="s">
        <v>249</v>
      </c>
      <c r="K2230" t="s">
        <v>263</v>
      </c>
      <c r="L2230" t="s">
        <v>275</v>
      </c>
      <c r="M2230" t="s">
        <v>284</v>
      </c>
      <c r="N2230" t="s">
        <v>294</v>
      </c>
      <c r="O2230" t="s">
        <v>302</v>
      </c>
      <c r="P2230" t="s">
        <v>310</v>
      </c>
      <c r="Q2230" t="s">
        <v>316</v>
      </c>
      <c r="R2230" t="s">
        <v>322</v>
      </c>
      <c r="S2230" t="s">
        <v>329</v>
      </c>
      <c r="AK2230" t="s">
        <v>358</v>
      </c>
    </row>
    <row r="2231" spans="1:37">
      <c r="A2231" t="s">
        <v>39</v>
      </c>
      <c r="B2231" t="s">
        <v>54</v>
      </c>
      <c r="C2231" t="s">
        <v>54</v>
      </c>
      <c r="D2231" t="s">
        <v>54</v>
      </c>
      <c r="E2231" t="s">
        <v>54</v>
      </c>
      <c r="F2231" t="s">
        <v>54</v>
      </c>
      <c r="G2231" t="s">
        <v>54</v>
      </c>
      <c r="H2231" t="s">
        <v>54</v>
      </c>
      <c r="I2231" t="s">
        <v>54</v>
      </c>
      <c r="J2231" t="s">
        <v>54</v>
      </c>
      <c r="K2231" t="s">
        <v>54</v>
      </c>
      <c r="L2231" t="s">
        <v>54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323</v>
      </c>
      <c r="S2231" t="s">
        <v>330</v>
      </c>
      <c r="AK2231" t="s">
        <v>358</v>
      </c>
    </row>
    <row r="2232" spans="1:37">
      <c r="B2232" t="s">
        <v>55</v>
      </c>
      <c r="C2232" t="s">
        <v>78</v>
      </c>
      <c r="D2232" t="s">
        <v>55</v>
      </c>
      <c r="E2232" t="s">
        <v>78</v>
      </c>
      <c r="F2232" t="s">
        <v>55</v>
      </c>
      <c r="G2232" t="s">
        <v>78</v>
      </c>
      <c r="H2232" t="s">
        <v>55</v>
      </c>
      <c r="I2232" t="s">
        <v>78</v>
      </c>
      <c r="J2232" t="s">
        <v>55</v>
      </c>
      <c r="K2232" t="s">
        <v>78</v>
      </c>
      <c r="L2232" t="s">
        <v>55</v>
      </c>
      <c r="M2232" t="s">
        <v>78</v>
      </c>
      <c r="N2232" t="s">
        <v>55</v>
      </c>
      <c r="O2232" t="s">
        <v>78</v>
      </c>
      <c r="P2232" t="s">
        <v>55</v>
      </c>
      <c r="Q2232" t="s">
        <v>78</v>
      </c>
      <c r="R2232" t="s">
        <v>55</v>
      </c>
      <c r="S2232" t="s">
        <v>78</v>
      </c>
      <c r="T2232" t="s">
        <v>55</v>
      </c>
      <c r="U2232" t="s">
        <v>78</v>
      </c>
      <c r="V2232" t="s">
        <v>55</v>
      </c>
      <c r="W2232" t="s">
        <v>78</v>
      </c>
      <c r="X2232" t="s">
        <v>55</v>
      </c>
      <c r="Y2232" t="s">
        <v>78</v>
      </c>
      <c r="Z2232" t="s">
        <v>55</v>
      </c>
      <c r="AA2232" t="s">
        <v>78</v>
      </c>
      <c r="AB2232" t="s">
        <v>55</v>
      </c>
      <c r="AC2232" t="s">
        <v>78</v>
      </c>
      <c r="AD2232" t="s">
        <v>55</v>
      </c>
      <c r="AE2232" t="s">
        <v>78</v>
      </c>
      <c r="AF2232" t="s">
        <v>55</v>
      </c>
      <c r="AG2232" t="s">
        <v>78</v>
      </c>
      <c r="AH2232" t="s">
        <v>55</v>
      </c>
      <c r="AI2232" t="s">
        <v>78</v>
      </c>
      <c r="AK2232" t="s">
        <v>358</v>
      </c>
    </row>
    <row r="2233" spans="1:37">
      <c r="B2233" t="s">
        <v>56</v>
      </c>
      <c r="C2233" t="s">
        <v>56</v>
      </c>
      <c r="D2233" t="s">
        <v>56</v>
      </c>
      <c r="E2233" t="s">
        <v>56</v>
      </c>
      <c r="F2233" t="s">
        <v>56</v>
      </c>
      <c r="G2233" t="s">
        <v>176</v>
      </c>
      <c r="H2233" t="s">
        <v>211</v>
      </c>
      <c r="I2233" t="s">
        <v>231</v>
      </c>
      <c r="J2233" t="s">
        <v>250</v>
      </c>
      <c r="K2233" t="s">
        <v>264</v>
      </c>
      <c r="L2233" t="s">
        <v>276</v>
      </c>
      <c r="M2233" t="s">
        <v>285</v>
      </c>
      <c r="N2233" t="s">
        <v>295</v>
      </c>
      <c r="O2233" t="s">
        <v>303</v>
      </c>
      <c r="P2233" t="s">
        <v>56</v>
      </c>
      <c r="Q2233" t="s">
        <v>317</v>
      </c>
      <c r="R2233" t="s">
        <v>324</v>
      </c>
      <c r="S2233" t="s">
        <v>331</v>
      </c>
      <c r="T2233" t="s">
        <v>334</v>
      </c>
      <c r="U2233" t="s">
        <v>338</v>
      </c>
      <c r="V2233" t="s">
        <v>342</v>
      </c>
      <c r="W2233" t="s">
        <v>346</v>
      </c>
      <c r="X2233" t="s">
        <v>351</v>
      </c>
      <c r="AK2233" t="s">
        <v>358</v>
      </c>
    </row>
    <row r="2234" spans="1:37">
      <c r="B2234" t="s">
        <v>57</v>
      </c>
      <c r="C2234" t="s">
        <v>79</v>
      </c>
      <c r="D2234" t="s">
        <v>98</v>
      </c>
      <c r="E2234" t="s">
        <v>117</v>
      </c>
      <c r="F2234" t="s">
        <v>151</v>
      </c>
      <c r="G2234" t="s">
        <v>177</v>
      </c>
      <c r="H2234" t="s">
        <v>212</v>
      </c>
      <c r="I2234" t="s">
        <v>232</v>
      </c>
      <c r="J2234" t="s">
        <v>251</v>
      </c>
      <c r="K2234" t="s">
        <v>265</v>
      </c>
      <c r="L2234" t="s">
        <v>277</v>
      </c>
      <c r="M2234" t="s">
        <v>286</v>
      </c>
      <c r="N2234" t="s">
        <v>296</v>
      </c>
      <c r="O2234" t="s">
        <v>304</v>
      </c>
      <c r="P2234" t="s">
        <v>311</v>
      </c>
      <c r="Q2234" t="s">
        <v>318</v>
      </c>
      <c r="R2234" t="s">
        <v>185</v>
      </c>
      <c r="S2234" t="s">
        <v>159</v>
      </c>
      <c r="T2234" t="s">
        <v>185</v>
      </c>
      <c r="U2234" t="s">
        <v>339</v>
      </c>
      <c r="V2234" t="s">
        <v>72</v>
      </c>
      <c r="W2234" t="s">
        <v>347</v>
      </c>
      <c r="X2234" t="s">
        <v>72</v>
      </c>
      <c r="Y2234" t="s">
        <v>96</v>
      </c>
      <c r="AK2234" t="s">
        <v>358</v>
      </c>
    </row>
    <row r="2235" spans="1:37">
      <c r="B2235" t="s">
        <v>58</v>
      </c>
      <c r="C2235" t="s">
        <v>80</v>
      </c>
      <c r="D2235" t="s">
        <v>99</v>
      </c>
      <c r="E2235" t="s">
        <v>118</v>
      </c>
      <c r="F2235" t="s">
        <v>152</v>
      </c>
      <c r="G2235" t="s">
        <v>178</v>
      </c>
      <c r="H2235" t="s">
        <v>213</v>
      </c>
      <c r="I2235" t="s">
        <v>233</v>
      </c>
      <c r="J2235" t="s">
        <v>252</v>
      </c>
      <c r="K2235" t="s">
        <v>266</v>
      </c>
      <c r="L2235" t="s">
        <v>278</v>
      </c>
      <c r="M2235" t="s">
        <v>287</v>
      </c>
      <c r="N2235" t="s">
        <v>297</v>
      </c>
      <c r="O2235" t="s">
        <v>305</v>
      </c>
      <c r="P2235" t="s">
        <v>312</v>
      </c>
      <c r="Q2235" t="s">
        <v>319</v>
      </c>
      <c r="R2235">
        <f>&gt;10       ветра      1.9     20  25</f>
        <v>0</v>
      </c>
      <c r="AK2235" t="s">
        <v>358</v>
      </c>
    </row>
    <row r="2236" spans="1:37">
      <c r="A2236" t="s">
        <v>40</v>
      </c>
      <c r="B2236" t="s">
        <v>59</v>
      </c>
      <c r="C2236" t="s">
        <v>81</v>
      </c>
      <c r="D2236" t="s">
        <v>100</v>
      </c>
      <c r="E2236" t="s">
        <v>119</v>
      </c>
      <c r="F2236" t="s">
        <v>153</v>
      </c>
      <c r="G2236" t="s">
        <v>179</v>
      </c>
      <c r="H2236" t="s">
        <v>214</v>
      </c>
      <c r="I2236" t="s">
        <v>234</v>
      </c>
      <c r="AK2236" t="s">
        <v>358</v>
      </c>
    </row>
    <row r="2237" spans="1:37">
      <c r="A2237" t="s">
        <v>40</v>
      </c>
      <c r="B2237" t="s">
        <v>60</v>
      </c>
      <c r="C2237" t="s">
        <v>82</v>
      </c>
      <c r="D2237" t="s">
        <v>101</v>
      </c>
      <c r="E2237" t="s">
        <v>120</v>
      </c>
      <c r="F2237" t="s">
        <v>154</v>
      </c>
      <c r="G2237" t="s">
        <v>180</v>
      </c>
      <c r="H2237" t="s">
        <v>215</v>
      </c>
      <c r="I2237" t="s">
        <v>235</v>
      </c>
      <c r="J2237" t="s">
        <v>253</v>
      </c>
      <c r="K2237" t="s">
        <v>267</v>
      </c>
      <c r="L2237" t="s">
        <v>279</v>
      </c>
      <c r="M2237" t="s">
        <v>288</v>
      </c>
      <c r="N2237" t="s">
        <v>100</v>
      </c>
      <c r="O2237" t="s">
        <v>306</v>
      </c>
      <c r="P2237" t="s">
        <v>313</v>
      </c>
      <c r="Q2237" t="s">
        <v>320</v>
      </c>
      <c r="R2237" t="s">
        <v>325</v>
      </c>
      <c r="S2237" t="s">
        <v>332</v>
      </c>
      <c r="T2237" t="s">
        <v>119</v>
      </c>
      <c r="U2237" t="s">
        <v>234</v>
      </c>
      <c r="V2237" t="s">
        <v>343</v>
      </c>
      <c r="W2237" t="s">
        <v>348</v>
      </c>
      <c r="X2237" t="s">
        <v>352</v>
      </c>
      <c r="Y2237" t="s">
        <v>354</v>
      </c>
      <c r="AK2237" t="s">
        <v>358</v>
      </c>
    </row>
    <row r="2238" spans="1:37">
      <c r="A2238" t="s">
        <v>41</v>
      </c>
      <c r="B2238" t="s">
        <v>61</v>
      </c>
      <c r="C2238" t="s">
        <v>83</v>
      </c>
      <c r="D2238" t="s">
        <v>102</v>
      </c>
      <c r="E2238" t="s">
        <v>121</v>
      </c>
      <c r="F2238" t="s">
        <v>155</v>
      </c>
      <c r="G2238" t="s">
        <v>181</v>
      </c>
      <c r="H2238" t="s">
        <v>216</v>
      </c>
      <c r="I2238" t="s">
        <v>236</v>
      </c>
      <c r="AK2238" t="s">
        <v>358</v>
      </c>
    </row>
    <row r="2239" spans="1:37">
      <c r="A2239" t="s">
        <v>42</v>
      </c>
      <c r="B2239" t="s">
        <v>62</v>
      </c>
      <c r="C2239" t="s">
        <v>84</v>
      </c>
      <c r="D2239" t="s">
        <v>103</v>
      </c>
      <c r="E2239" t="s">
        <v>122</v>
      </c>
      <c r="F2239" t="s">
        <v>156</v>
      </c>
      <c r="G2239" t="s">
        <v>182</v>
      </c>
      <c r="H2239" t="s">
        <v>83</v>
      </c>
      <c r="I2239" t="s">
        <v>237</v>
      </c>
      <c r="J2239" t="s">
        <v>254</v>
      </c>
      <c r="K2239" t="s">
        <v>268</v>
      </c>
      <c r="L2239" t="s">
        <v>280</v>
      </c>
      <c r="M2239" t="s">
        <v>289</v>
      </c>
      <c r="N2239" t="s">
        <v>298</v>
      </c>
      <c r="O2239" t="s">
        <v>307</v>
      </c>
      <c r="P2239" t="s">
        <v>314</v>
      </c>
      <c r="Q2239" t="s">
        <v>216</v>
      </c>
      <c r="R2239" t="s">
        <v>326</v>
      </c>
      <c r="S2239" t="s">
        <v>333</v>
      </c>
      <c r="T2239" t="s">
        <v>335</v>
      </c>
      <c r="U2239" t="s">
        <v>340</v>
      </c>
      <c r="V2239" t="s">
        <v>344</v>
      </c>
      <c r="W2239" t="s">
        <v>349</v>
      </c>
      <c r="AK2239" t="s">
        <v>358</v>
      </c>
    </row>
    <row r="2240" spans="1:37">
      <c r="A2240" t="s">
        <v>43</v>
      </c>
      <c r="B2240" t="s">
        <v>63</v>
      </c>
      <c r="C2240" t="s">
        <v>85</v>
      </c>
      <c r="D2240" t="s">
        <v>104</v>
      </c>
      <c r="E2240" t="s">
        <v>123</v>
      </c>
      <c r="F2240" t="s">
        <v>157</v>
      </c>
      <c r="G2240" t="s">
        <v>183</v>
      </c>
      <c r="AK2240" t="s">
        <v>358</v>
      </c>
    </row>
    <row r="2241" spans="1:37">
      <c r="A2241" t="s">
        <v>44</v>
      </c>
      <c r="B2241" t="s">
        <v>64</v>
      </c>
      <c r="C2241" t="s">
        <v>86</v>
      </c>
      <c r="D2241" t="s">
        <v>105</v>
      </c>
      <c r="E2241" t="s">
        <v>124</v>
      </c>
      <c r="F2241" t="s">
        <v>158</v>
      </c>
      <c r="G2241" t="s">
        <v>184</v>
      </c>
      <c r="AK2241" t="s">
        <v>358</v>
      </c>
    </row>
    <row r="2242" spans="1:37">
      <c r="A2242" t="s">
        <v>45</v>
      </c>
      <c r="B2242" t="s">
        <v>65</v>
      </c>
      <c r="C2242" t="s">
        <v>87</v>
      </c>
      <c r="D2242" t="s">
        <v>106</v>
      </c>
      <c r="E2242" t="s">
        <v>125</v>
      </c>
      <c r="F2242" t="s">
        <v>159</v>
      </c>
      <c r="G2242" t="s">
        <v>185</v>
      </c>
      <c r="H2242" t="s">
        <v>159</v>
      </c>
      <c r="I2242" t="s">
        <v>185</v>
      </c>
      <c r="J2242" t="s">
        <v>255</v>
      </c>
      <c r="AK2242" t="s">
        <v>358</v>
      </c>
    </row>
    <row r="2243" spans="1:37">
      <c r="A2243" t="s">
        <v>46</v>
      </c>
      <c r="B2243" t="s">
        <v>66</v>
      </c>
      <c r="C2243" t="s">
        <v>88</v>
      </c>
      <c r="D2243" t="s">
        <v>76</v>
      </c>
      <c r="E2243" t="s">
        <v>126</v>
      </c>
      <c r="F2243" t="s">
        <v>160</v>
      </c>
      <c r="G2243" t="s">
        <v>186</v>
      </c>
      <c r="H2243" t="s">
        <v>217</v>
      </c>
      <c r="I2243" t="s">
        <v>238</v>
      </c>
      <c r="J2243" t="s">
        <v>256</v>
      </c>
      <c r="K2243" t="s">
        <v>265</v>
      </c>
      <c r="L2243" t="s">
        <v>281</v>
      </c>
      <c r="M2243" t="s">
        <v>290</v>
      </c>
      <c r="N2243" t="s">
        <v>299</v>
      </c>
      <c r="O2243" t="s">
        <v>308</v>
      </c>
      <c r="P2243" t="s">
        <v>228</v>
      </c>
      <c r="Q2243" t="s">
        <v>72</v>
      </c>
      <c r="R2243" t="s">
        <v>327</v>
      </c>
      <c r="S2243" t="s">
        <v>327</v>
      </c>
      <c r="T2243" t="s">
        <v>336</v>
      </c>
      <c r="U2243" t="s">
        <v>336</v>
      </c>
      <c r="V2243" t="s">
        <v>336</v>
      </c>
      <c r="W2243" t="s">
        <v>336</v>
      </c>
      <c r="X2243" t="s">
        <v>353</v>
      </c>
      <c r="AK2243" t="s">
        <v>358</v>
      </c>
    </row>
    <row r="2244" spans="1:37">
      <c r="B2244" t="s">
        <v>67</v>
      </c>
      <c r="C2244" t="s">
        <v>89</v>
      </c>
      <c r="D2244" t="s">
        <v>107</v>
      </c>
      <c r="AK2244" t="s">
        <v>358</v>
      </c>
    </row>
    <row r="2245" spans="1:37">
      <c r="B2245" t="s">
        <v>68</v>
      </c>
      <c r="C2245" t="s">
        <v>90</v>
      </c>
      <c r="D2245" t="s">
        <v>108</v>
      </c>
      <c r="AK2245" t="s">
        <v>358</v>
      </c>
    </row>
    <row r="2246" spans="1:37">
      <c r="A2246" t="s">
        <v>47</v>
      </c>
      <c r="B2246" t="s">
        <v>69</v>
      </c>
      <c r="C2246" t="s">
        <v>91</v>
      </c>
      <c r="D2246" t="s">
        <v>109</v>
      </c>
      <c r="E2246" t="s">
        <v>109</v>
      </c>
      <c r="F2246" t="s">
        <v>109</v>
      </c>
      <c r="G2246" t="s">
        <v>109</v>
      </c>
      <c r="H2246" t="s">
        <v>109</v>
      </c>
      <c r="I2246" t="s">
        <v>239</v>
      </c>
      <c r="AK2246" t="s">
        <v>358</v>
      </c>
    </row>
    <row r="2247" spans="1:37">
      <c r="B2247" t="s">
        <v>70</v>
      </c>
      <c r="C2247" t="s">
        <v>92</v>
      </c>
      <c r="D2247" t="s">
        <v>110</v>
      </c>
      <c r="E2247" t="s">
        <v>127</v>
      </c>
      <c r="F2247" t="s">
        <v>161</v>
      </c>
      <c r="G2247" t="s">
        <v>187</v>
      </c>
      <c r="H2247" t="s">
        <v>218</v>
      </c>
      <c r="AK2247" t="s">
        <v>358</v>
      </c>
    </row>
    <row r="2248" spans="1:37">
      <c r="B2248" t="s">
        <v>71</v>
      </c>
      <c r="C2248" t="s">
        <v>93</v>
      </c>
      <c r="D2248" t="s">
        <v>111</v>
      </c>
      <c r="E2248" t="s">
        <v>128</v>
      </c>
      <c r="F2248" t="s">
        <v>162</v>
      </c>
      <c r="G2248" t="s">
        <v>188</v>
      </c>
      <c r="H2248" t="s">
        <v>219</v>
      </c>
      <c r="I2248" t="s">
        <v>240</v>
      </c>
      <c r="J2248" t="s">
        <v>257</v>
      </c>
      <c r="K2248" t="s">
        <v>269</v>
      </c>
      <c r="L2248" t="s">
        <v>109</v>
      </c>
      <c r="M2248" t="s">
        <v>109</v>
      </c>
      <c r="N2248" t="s">
        <v>109</v>
      </c>
      <c r="O2248" t="s">
        <v>109</v>
      </c>
      <c r="P2248" t="s">
        <v>109</v>
      </c>
      <c r="Q2248" t="s">
        <v>321</v>
      </c>
      <c r="AK2248" t="s">
        <v>358</v>
      </c>
    </row>
    <row r="2249" spans="1:37">
      <c r="A2249" t="s">
        <v>48</v>
      </c>
      <c r="B2249" t="s">
        <v>71</v>
      </c>
      <c r="C2249" t="s">
        <v>93</v>
      </c>
      <c r="D2249" t="s">
        <v>111</v>
      </c>
      <c r="E2249" t="s">
        <v>128</v>
      </c>
      <c r="F2249" t="s">
        <v>163</v>
      </c>
      <c r="G2249" t="s">
        <v>189</v>
      </c>
      <c r="H2249" t="s">
        <v>220</v>
      </c>
      <c r="I2249" t="s">
        <v>241</v>
      </c>
      <c r="J2249" t="s">
        <v>258</v>
      </c>
      <c r="K2249" t="s">
        <v>270</v>
      </c>
      <c r="AK2249" t="s">
        <v>358</v>
      </c>
    </row>
    <row r="2250" spans="1:37">
      <c r="B2250" t="s">
        <v>72</v>
      </c>
      <c r="C2250" t="s">
        <v>72</v>
      </c>
      <c r="D2250" t="s">
        <v>72</v>
      </c>
      <c r="E2250" t="s">
        <v>72</v>
      </c>
      <c r="F2250" t="s">
        <v>72</v>
      </c>
      <c r="G2250" t="s">
        <v>72</v>
      </c>
      <c r="H2250" t="s">
        <v>72</v>
      </c>
      <c r="I2250" t="s">
        <v>72</v>
      </c>
      <c r="J2250" t="s">
        <v>72</v>
      </c>
      <c r="K2250" t="s">
        <v>272</v>
      </c>
      <c r="AK2250" t="s">
        <v>358</v>
      </c>
    </row>
    <row r="2251" spans="1:37">
      <c r="A2251" t="s">
        <v>37</v>
      </c>
      <c r="B2251" t="s">
        <v>49</v>
      </c>
      <c r="C2251" t="s">
        <v>73</v>
      </c>
      <c r="D2251" t="s">
        <v>94</v>
      </c>
      <c r="E2251" t="s">
        <v>112</v>
      </c>
      <c r="F2251" t="s">
        <v>146</v>
      </c>
      <c r="G2251" t="s">
        <v>172</v>
      </c>
      <c r="H2251" t="s">
        <v>207</v>
      </c>
      <c r="I2251" t="s">
        <v>226</v>
      </c>
      <c r="J2251" t="s">
        <v>246</v>
      </c>
      <c r="K2251" t="s">
        <v>259</v>
      </c>
      <c r="AK2251" t="s">
        <v>358</v>
      </c>
    </row>
    <row r="2252" spans="1:37">
      <c r="A2252" t="s">
        <v>38</v>
      </c>
      <c r="B2252" t="s">
        <v>50</v>
      </c>
      <c r="C2252" t="s">
        <v>74</v>
      </c>
      <c r="D2252" t="s">
        <v>95</v>
      </c>
      <c r="E2252" t="s">
        <v>113</v>
      </c>
      <c r="F2252" t="s">
        <v>147</v>
      </c>
      <c r="G2252" t="s">
        <v>173</v>
      </c>
      <c r="H2252" t="s">
        <v>208</v>
      </c>
      <c r="I2252" t="s">
        <v>227</v>
      </c>
      <c r="J2252" t="s">
        <v>115</v>
      </c>
      <c r="K2252" t="s">
        <v>260</v>
      </c>
      <c r="L2252" t="s">
        <v>273</v>
      </c>
      <c r="M2252" t="s">
        <v>282</v>
      </c>
      <c r="N2252" t="s">
        <v>291</v>
      </c>
      <c r="AK2252" t="s">
        <v>358</v>
      </c>
    </row>
    <row r="2253" spans="1:37">
      <c r="B2253" t="s">
        <v>51</v>
      </c>
      <c r="C2253" t="s">
        <v>75</v>
      </c>
      <c r="D2253" t="s">
        <v>52</v>
      </c>
      <c r="E2253" t="s">
        <v>114</v>
      </c>
      <c r="F2253" t="s">
        <v>148</v>
      </c>
      <c r="G2253" t="s">
        <v>148</v>
      </c>
      <c r="H2253" t="s">
        <v>209</v>
      </c>
      <c r="I2253" t="s">
        <v>228</v>
      </c>
      <c r="J2253" t="s">
        <v>247</v>
      </c>
      <c r="K2253" t="s">
        <v>261</v>
      </c>
      <c r="L2253" t="s">
        <v>274</v>
      </c>
      <c r="M2253" t="s">
        <v>283</v>
      </c>
      <c r="N2253" t="s">
        <v>292</v>
      </c>
      <c r="O2253" t="s">
        <v>300</v>
      </c>
      <c r="AK2253" t="s">
        <v>358</v>
      </c>
    </row>
    <row r="2254" spans="1:37">
      <c r="B2254" t="s">
        <v>52</v>
      </c>
      <c r="C2254" t="s">
        <v>76</v>
      </c>
      <c r="D2254" t="s">
        <v>96</v>
      </c>
      <c r="E2254" t="s">
        <v>115</v>
      </c>
      <c r="F2254" t="s">
        <v>149</v>
      </c>
      <c r="G2254" t="s">
        <v>174</v>
      </c>
      <c r="H2254" t="s">
        <v>96</v>
      </c>
      <c r="I2254" t="s">
        <v>229</v>
      </c>
      <c r="J2254" t="s">
        <v>248</v>
      </c>
      <c r="K2254" t="s">
        <v>262</v>
      </c>
      <c r="L2254" t="s">
        <v>52</v>
      </c>
      <c r="M2254" t="s">
        <v>76</v>
      </c>
      <c r="N2254" t="s">
        <v>293</v>
      </c>
      <c r="O2254" t="s">
        <v>301</v>
      </c>
      <c r="P2254" t="s">
        <v>309</v>
      </c>
      <c r="Q2254" t="s">
        <v>315</v>
      </c>
      <c r="R2254" t="s">
        <v>228</v>
      </c>
      <c r="S2254" t="s">
        <v>328</v>
      </c>
      <c r="T2254" t="s">
        <v>149</v>
      </c>
      <c r="U2254" t="s">
        <v>337</v>
      </c>
      <c r="V2254" t="s">
        <v>341</v>
      </c>
      <c r="W2254" t="s">
        <v>345</v>
      </c>
      <c r="X2254" t="s">
        <v>350</v>
      </c>
      <c r="AK2254" t="s">
        <v>358</v>
      </c>
    </row>
    <row r="2255" spans="1:37">
      <c r="B2255" t="s">
        <v>53</v>
      </c>
      <c r="C2255" t="s">
        <v>77</v>
      </c>
      <c r="D2255" t="s">
        <v>97</v>
      </c>
      <c r="E2255" t="s">
        <v>116</v>
      </c>
      <c r="F2255" t="s">
        <v>150</v>
      </c>
      <c r="G2255" t="s">
        <v>175</v>
      </c>
      <c r="H2255" t="s">
        <v>210</v>
      </c>
      <c r="I2255" t="s">
        <v>230</v>
      </c>
      <c r="J2255" t="s">
        <v>249</v>
      </c>
      <c r="K2255" t="s">
        <v>263</v>
      </c>
      <c r="L2255" t="s">
        <v>275</v>
      </c>
      <c r="M2255" t="s">
        <v>284</v>
      </c>
      <c r="N2255" t="s">
        <v>294</v>
      </c>
      <c r="O2255" t="s">
        <v>302</v>
      </c>
      <c r="P2255" t="s">
        <v>310</v>
      </c>
      <c r="Q2255" t="s">
        <v>316</v>
      </c>
      <c r="R2255" t="s">
        <v>322</v>
      </c>
      <c r="S2255" t="s">
        <v>329</v>
      </c>
      <c r="AK2255" t="s">
        <v>358</v>
      </c>
    </row>
    <row r="2256" spans="1:37">
      <c r="A2256" t="s">
        <v>39</v>
      </c>
      <c r="B2256" t="s">
        <v>54</v>
      </c>
      <c r="C2256" t="s">
        <v>54</v>
      </c>
      <c r="D2256" t="s">
        <v>54</v>
      </c>
      <c r="E2256" t="s">
        <v>54</v>
      </c>
      <c r="F2256" t="s">
        <v>54</v>
      </c>
      <c r="G2256" t="s">
        <v>54</v>
      </c>
      <c r="H2256" t="s">
        <v>54</v>
      </c>
      <c r="I2256" t="s">
        <v>54</v>
      </c>
      <c r="J2256" t="s">
        <v>54</v>
      </c>
      <c r="K2256" t="s">
        <v>54</v>
      </c>
      <c r="L2256" t="s">
        <v>54</v>
      </c>
      <c r="M2256" t="s">
        <v>54</v>
      </c>
      <c r="N2256" t="s">
        <v>54</v>
      </c>
      <c r="O2256" t="s">
        <v>54</v>
      </c>
      <c r="P2256" t="s">
        <v>54</v>
      </c>
      <c r="Q2256" t="s">
        <v>54</v>
      </c>
      <c r="R2256" t="s">
        <v>323</v>
      </c>
      <c r="S2256" t="s">
        <v>330</v>
      </c>
      <c r="AK2256" t="s">
        <v>358</v>
      </c>
    </row>
    <row r="2257" spans="1:37">
      <c r="B2257" t="s">
        <v>55</v>
      </c>
      <c r="C2257" t="s">
        <v>78</v>
      </c>
      <c r="D2257" t="s">
        <v>55</v>
      </c>
      <c r="E2257" t="s">
        <v>78</v>
      </c>
      <c r="F2257" t="s">
        <v>55</v>
      </c>
      <c r="G2257" t="s">
        <v>78</v>
      </c>
      <c r="H2257" t="s">
        <v>55</v>
      </c>
      <c r="I2257" t="s">
        <v>78</v>
      </c>
      <c r="J2257" t="s">
        <v>55</v>
      </c>
      <c r="K2257" t="s">
        <v>78</v>
      </c>
      <c r="L2257" t="s">
        <v>55</v>
      </c>
      <c r="M2257" t="s">
        <v>78</v>
      </c>
      <c r="N2257" t="s">
        <v>55</v>
      </c>
      <c r="O2257" t="s">
        <v>78</v>
      </c>
      <c r="P2257" t="s">
        <v>55</v>
      </c>
      <c r="Q2257" t="s">
        <v>78</v>
      </c>
      <c r="R2257" t="s">
        <v>55</v>
      </c>
      <c r="S2257" t="s">
        <v>78</v>
      </c>
      <c r="T2257" t="s">
        <v>55</v>
      </c>
      <c r="U2257" t="s">
        <v>78</v>
      </c>
      <c r="V2257" t="s">
        <v>55</v>
      </c>
      <c r="W2257" t="s">
        <v>78</v>
      </c>
      <c r="X2257" t="s">
        <v>55</v>
      </c>
      <c r="Y2257" t="s">
        <v>78</v>
      </c>
      <c r="Z2257" t="s">
        <v>55</v>
      </c>
      <c r="AA2257" t="s">
        <v>78</v>
      </c>
      <c r="AB2257" t="s">
        <v>55</v>
      </c>
      <c r="AC2257" t="s">
        <v>78</v>
      </c>
      <c r="AD2257" t="s">
        <v>55</v>
      </c>
      <c r="AE2257" t="s">
        <v>78</v>
      </c>
      <c r="AF2257" t="s">
        <v>55</v>
      </c>
      <c r="AG2257" t="s">
        <v>78</v>
      </c>
      <c r="AH2257" t="s">
        <v>55</v>
      </c>
      <c r="AI2257" t="s">
        <v>78</v>
      </c>
      <c r="AK2257" t="s">
        <v>358</v>
      </c>
    </row>
    <row r="2258" spans="1:37">
      <c r="B2258" t="s">
        <v>56</v>
      </c>
      <c r="C2258" t="s">
        <v>56</v>
      </c>
      <c r="D2258" t="s">
        <v>56</v>
      </c>
      <c r="E2258" t="s">
        <v>56</v>
      </c>
      <c r="F2258" t="s">
        <v>56</v>
      </c>
      <c r="G2258" t="s">
        <v>176</v>
      </c>
      <c r="H2258" t="s">
        <v>211</v>
      </c>
      <c r="I2258" t="s">
        <v>231</v>
      </c>
      <c r="J2258" t="s">
        <v>250</v>
      </c>
      <c r="K2258" t="s">
        <v>264</v>
      </c>
      <c r="L2258" t="s">
        <v>276</v>
      </c>
      <c r="M2258" t="s">
        <v>285</v>
      </c>
      <c r="N2258" t="s">
        <v>295</v>
      </c>
      <c r="O2258" t="s">
        <v>303</v>
      </c>
      <c r="P2258" t="s">
        <v>56</v>
      </c>
      <c r="Q2258" t="s">
        <v>317</v>
      </c>
      <c r="R2258" t="s">
        <v>324</v>
      </c>
      <c r="S2258" t="s">
        <v>331</v>
      </c>
      <c r="T2258" t="s">
        <v>334</v>
      </c>
      <c r="U2258" t="s">
        <v>338</v>
      </c>
      <c r="V2258" t="s">
        <v>342</v>
      </c>
      <c r="W2258" t="s">
        <v>346</v>
      </c>
      <c r="X2258" t="s">
        <v>351</v>
      </c>
      <c r="AK2258" t="s">
        <v>358</v>
      </c>
    </row>
    <row r="2259" spans="1:37">
      <c r="B2259" t="s">
        <v>57</v>
      </c>
      <c r="C2259" t="s">
        <v>79</v>
      </c>
      <c r="D2259" t="s">
        <v>98</v>
      </c>
      <c r="E2259" t="s">
        <v>117</v>
      </c>
      <c r="F2259" t="s">
        <v>151</v>
      </c>
      <c r="G2259" t="s">
        <v>177</v>
      </c>
      <c r="H2259" t="s">
        <v>212</v>
      </c>
      <c r="I2259" t="s">
        <v>232</v>
      </c>
      <c r="J2259" t="s">
        <v>251</v>
      </c>
      <c r="K2259" t="s">
        <v>265</v>
      </c>
      <c r="L2259" t="s">
        <v>277</v>
      </c>
      <c r="M2259" t="s">
        <v>286</v>
      </c>
      <c r="N2259" t="s">
        <v>296</v>
      </c>
      <c r="O2259" t="s">
        <v>304</v>
      </c>
      <c r="P2259" t="s">
        <v>311</v>
      </c>
      <c r="Q2259" t="s">
        <v>318</v>
      </c>
      <c r="R2259" t="s">
        <v>185</v>
      </c>
      <c r="S2259" t="s">
        <v>159</v>
      </c>
      <c r="T2259" t="s">
        <v>185</v>
      </c>
      <c r="U2259" t="s">
        <v>339</v>
      </c>
      <c r="V2259" t="s">
        <v>72</v>
      </c>
      <c r="W2259" t="s">
        <v>347</v>
      </c>
      <c r="X2259" t="s">
        <v>72</v>
      </c>
      <c r="Y2259" t="s">
        <v>96</v>
      </c>
      <c r="AK2259" t="s">
        <v>358</v>
      </c>
    </row>
    <row r="2260" spans="1:37">
      <c r="B2260" t="s">
        <v>58</v>
      </c>
      <c r="C2260" t="s">
        <v>80</v>
      </c>
      <c r="D2260" t="s">
        <v>99</v>
      </c>
      <c r="E2260" t="s">
        <v>118</v>
      </c>
      <c r="F2260" t="s">
        <v>152</v>
      </c>
      <c r="G2260" t="s">
        <v>178</v>
      </c>
      <c r="H2260" t="s">
        <v>213</v>
      </c>
      <c r="I2260" t="s">
        <v>233</v>
      </c>
      <c r="J2260" t="s">
        <v>252</v>
      </c>
      <c r="K2260" t="s">
        <v>266</v>
      </c>
      <c r="L2260" t="s">
        <v>278</v>
      </c>
      <c r="M2260" t="s">
        <v>287</v>
      </c>
      <c r="N2260" t="s">
        <v>297</v>
      </c>
      <c r="O2260" t="s">
        <v>305</v>
      </c>
      <c r="P2260" t="s">
        <v>312</v>
      </c>
      <c r="Q2260" t="s">
        <v>319</v>
      </c>
      <c r="R2260">
        <f>&gt;10       ветра      2.9     20  26</f>
        <v>0</v>
      </c>
      <c r="AK2260" t="s">
        <v>358</v>
      </c>
    </row>
    <row r="2261" spans="1:37">
      <c r="A2261" t="s">
        <v>40</v>
      </c>
      <c r="B2261" t="s">
        <v>59</v>
      </c>
      <c r="C2261" t="s">
        <v>81</v>
      </c>
      <c r="D2261" t="s">
        <v>100</v>
      </c>
      <c r="E2261" t="s">
        <v>119</v>
      </c>
      <c r="F2261" t="s">
        <v>153</v>
      </c>
      <c r="G2261" t="s">
        <v>179</v>
      </c>
      <c r="H2261" t="s">
        <v>214</v>
      </c>
      <c r="I2261" t="s">
        <v>234</v>
      </c>
      <c r="AK2261" t="s">
        <v>358</v>
      </c>
    </row>
    <row r="2262" spans="1:37">
      <c r="A2262" t="s">
        <v>40</v>
      </c>
      <c r="B2262" t="s">
        <v>60</v>
      </c>
      <c r="C2262" t="s">
        <v>82</v>
      </c>
      <c r="D2262" t="s">
        <v>101</v>
      </c>
      <c r="E2262" t="s">
        <v>120</v>
      </c>
      <c r="F2262" t="s">
        <v>154</v>
      </c>
      <c r="G2262" t="s">
        <v>180</v>
      </c>
      <c r="H2262" t="s">
        <v>215</v>
      </c>
      <c r="I2262" t="s">
        <v>235</v>
      </c>
      <c r="J2262" t="s">
        <v>253</v>
      </c>
      <c r="K2262" t="s">
        <v>267</v>
      </c>
      <c r="L2262" t="s">
        <v>279</v>
      </c>
      <c r="M2262" t="s">
        <v>288</v>
      </c>
      <c r="N2262" t="s">
        <v>100</v>
      </c>
      <c r="O2262" t="s">
        <v>306</v>
      </c>
      <c r="P2262" t="s">
        <v>313</v>
      </c>
      <c r="Q2262" t="s">
        <v>320</v>
      </c>
      <c r="R2262" t="s">
        <v>325</v>
      </c>
      <c r="S2262" t="s">
        <v>332</v>
      </c>
      <c r="T2262" t="s">
        <v>119</v>
      </c>
      <c r="U2262" t="s">
        <v>234</v>
      </c>
      <c r="V2262" t="s">
        <v>343</v>
      </c>
      <c r="W2262" t="s">
        <v>348</v>
      </c>
      <c r="X2262" t="s">
        <v>352</v>
      </c>
      <c r="Y2262" t="s">
        <v>354</v>
      </c>
      <c r="AK2262" t="s">
        <v>358</v>
      </c>
    </row>
    <row r="2263" spans="1:37">
      <c r="A2263" t="s">
        <v>41</v>
      </c>
      <c r="B2263" t="s">
        <v>61</v>
      </c>
      <c r="C2263" t="s">
        <v>83</v>
      </c>
      <c r="D2263" t="s">
        <v>102</v>
      </c>
      <c r="E2263" t="s">
        <v>121</v>
      </c>
      <c r="F2263" t="s">
        <v>155</v>
      </c>
      <c r="G2263" t="s">
        <v>181</v>
      </c>
      <c r="H2263" t="s">
        <v>216</v>
      </c>
      <c r="I2263" t="s">
        <v>236</v>
      </c>
      <c r="AK2263" t="s">
        <v>358</v>
      </c>
    </row>
    <row r="2264" spans="1:37">
      <c r="A2264" t="s">
        <v>42</v>
      </c>
      <c r="B2264" t="s">
        <v>62</v>
      </c>
      <c r="C2264" t="s">
        <v>84</v>
      </c>
      <c r="D2264" t="s">
        <v>103</v>
      </c>
      <c r="E2264" t="s">
        <v>122</v>
      </c>
      <c r="F2264" t="s">
        <v>156</v>
      </c>
      <c r="G2264" t="s">
        <v>182</v>
      </c>
      <c r="H2264" t="s">
        <v>83</v>
      </c>
      <c r="I2264" t="s">
        <v>237</v>
      </c>
      <c r="J2264" t="s">
        <v>254</v>
      </c>
      <c r="K2264" t="s">
        <v>268</v>
      </c>
      <c r="L2264" t="s">
        <v>280</v>
      </c>
      <c r="M2264" t="s">
        <v>289</v>
      </c>
      <c r="N2264" t="s">
        <v>298</v>
      </c>
      <c r="O2264" t="s">
        <v>307</v>
      </c>
      <c r="P2264" t="s">
        <v>314</v>
      </c>
      <c r="Q2264" t="s">
        <v>216</v>
      </c>
      <c r="R2264" t="s">
        <v>326</v>
      </c>
      <c r="S2264" t="s">
        <v>333</v>
      </c>
      <c r="T2264" t="s">
        <v>335</v>
      </c>
      <c r="U2264" t="s">
        <v>340</v>
      </c>
      <c r="V2264" t="s">
        <v>344</v>
      </c>
      <c r="W2264" t="s">
        <v>349</v>
      </c>
      <c r="AK2264" t="s">
        <v>358</v>
      </c>
    </row>
    <row r="2265" spans="1:37">
      <c r="A2265" t="s">
        <v>43</v>
      </c>
      <c r="B2265" t="s">
        <v>63</v>
      </c>
      <c r="C2265" t="s">
        <v>85</v>
      </c>
      <c r="D2265" t="s">
        <v>104</v>
      </c>
      <c r="E2265" t="s">
        <v>123</v>
      </c>
      <c r="F2265" t="s">
        <v>157</v>
      </c>
      <c r="G2265" t="s">
        <v>183</v>
      </c>
      <c r="AK2265" t="s">
        <v>358</v>
      </c>
    </row>
    <row r="2266" spans="1:37">
      <c r="A2266" t="s">
        <v>44</v>
      </c>
      <c r="B2266" t="s">
        <v>64</v>
      </c>
      <c r="C2266" t="s">
        <v>86</v>
      </c>
      <c r="D2266" t="s">
        <v>105</v>
      </c>
      <c r="E2266" t="s">
        <v>124</v>
      </c>
      <c r="F2266" t="s">
        <v>158</v>
      </c>
      <c r="G2266" t="s">
        <v>184</v>
      </c>
      <c r="AK2266" t="s">
        <v>358</v>
      </c>
    </row>
    <row r="2267" spans="1:37">
      <c r="A2267" t="s">
        <v>45</v>
      </c>
      <c r="B2267" t="s">
        <v>65</v>
      </c>
      <c r="C2267" t="s">
        <v>87</v>
      </c>
      <c r="D2267" t="s">
        <v>106</v>
      </c>
      <c r="E2267" t="s">
        <v>125</v>
      </c>
      <c r="F2267" t="s">
        <v>159</v>
      </c>
      <c r="G2267" t="s">
        <v>185</v>
      </c>
      <c r="H2267" t="s">
        <v>159</v>
      </c>
      <c r="I2267" t="s">
        <v>185</v>
      </c>
      <c r="J2267" t="s">
        <v>255</v>
      </c>
      <c r="AK2267" t="s">
        <v>358</v>
      </c>
    </row>
    <row r="2268" spans="1:37">
      <c r="A2268" t="s">
        <v>46</v>
      </c>
      <c r="B2268" t="s">
        <v>66</v>
      </c>
      <c r="C2268" t="s">
        <v>88</v>
      </c>
      <c r="D2268" t="s">
        <v>76</v>
      </c>
      <c r="E2268" t="s">
        <v>126</v>
      </c>
      <c r="F2268" t="s">
        <v>160</v>
      </c>
      <c r="G2268" t="s">
        <v>186</v>
      </c>
      <c r="H2268" t="s">
        <v>217</v>
      </c>
      <c r="I2268" t="s">
        <v>238</v>
      </c>
      <c r="J2268" t="s">
        <v>256</v>
      </c>
      <c r="K2268" t="s">
        <v>265</v>
      </c>
      <c r="L2268" t="s">
        <v>281</v>
      </c>
      <c r="M2268" t="s">
        <v>290</v>
      </c>
      <c r="N2268" t="s">
        <v>299</v>
      </c>
      <c r="O2268" t="s">
        <v>308</v>
      </c>
      <c r="P2268" t="s">
        <v>228</v>
      </c>
      <c r="Q2268" t="s">
        <v>72</v>
      </c>
      <c r="R2268" t="s">
        <v>327</v>
      </c>
      <c r="S2268" t="s">
        <v>327</v>
      </c>
      <c r="T2268" t="s">
        <v>336</v>
      </c>
      <c r="U2268" t="s">
        <v>336</v>
      </c>
      <c r="V2268" t="s">
        <v>336</v>
      </c>
      <c r="W2268" t="s">
        <v>336</v>
      </c>
      <c r="X2268" t="s">
        <v>353</v>
      </c>
      <c r="AK2268" t="s">
        <v>358</v>
      </c>
    </row>
    <row r="2269" spans="1:37">
      <c r="B2269" t="s">
        <v>67</v>
      </c>
      <c r="C2269" t="s">
        <v>89</v>
      </c>
      <c r="D2269" t="s">
        <v>107</v>
      </c>
      <c r="AK2269" t="s">
        <v>358</v>
      </c>
    </row>
    <row r="2270" spans="1:37">
      <c r="B2270" t="s">
        <v>68</v>
      </c>
      <c r="C2270" t="s">
        <v>90</v>
      </c>
      <c r="D2270" t="s">
        <v>108</v>
      </c>
      <c r="AK2270" t="s">
        <v>358</v>
      </c>
    </row>
    <row r="2271" spans="1:37">
      <c r="A2271" t="s">
        <v>47</v>
      </c>
      <c r="B2271" t="s">
        <v>69</v>
      </c>
      <c r="C2271" t="s">
        <v>91</v>
      </c>
      <c r="D2271" t="s">
        <v>109</v>
      </c>
      <c r="E2271" t="s">
        <v>109</v>
      </c>
      <c r="F2271" t="s">
        <v>109</v>
      </c>
      <c r="G2271" t="s">
        <v>109</v>
      </c>
      <c r="H2271" t="s">
        <v>109</v>
      </c>
      <c r="I2271" t="s">
        <v>239</v>
      </c>
      <c r="AK2271" t="s">
        <v>358</v>
      </c>
    </row>
    <row r="2272" spans="1:37">
      <c r="B2272" t="s">
        <v>70</v>
      </c>
      <c r="C2272" t="s">
        <v>92</v>
      </c>
      <c r="D2272" t="s">
        <v>110</v>
      </c>
      <c r="E2272" t="s">
        <v>127</v>
      </c>
      <c r="F2272" t="s">
        <v>161</v>
      </c>
      <c r="G2272" t="s">
        <v>187</v>
      </c>
      <c r="H2272" t="s">
        <v>218</v>
      </c>
      <c r="AK2272" t="s">
        <v>358</v>
      </c>
    </row>
    <row r="2273" spans="1:37">
      <c r="B2273" t="s">
        <v>71</v>
      </c>
      <c r="C2273" t="s">
        <v>93</v>
      </c>
      <c r="D2273" t="s">
        <v>111</v>
      </c>
      <c r="E2273" t="s">
        <v>128</v>
      </c>
      <c r="F2273" t="s">
        <v>162</v>
      </c>
      <c r="G2273" t="s">
        <v>188</v>
      </c>
      <c r="H2273" t="s">
        <v>219</v>
      </c>
      <c r="I2273" t="s">
        <v>240</v>
      </c>
      <c r="J2273" t="s">
        <v>257</v>
      </c>
      <c r="K2273" t="s">
        <v>269</v>
      </c>
      <c r="L2273" t="s">
        <v>109</v>
      </c>
      <c r="M2273" t="s">
        <v>109</v>
      </c>
      <c r="N2273" t="s">
        <v>109</v>
      </c>
      <c r="O2273" t="s">
        <v>109</v>
      </c>
      <c r="P2273" t="s">
        <v>109</v>
      </c>
      <c r="Q2273" t="s">
        <v>321</v>
      </c>
      <c r="AK2273" t="s">
        <v>358</v>
      </c>
    </row>
    <row r="2274" spans="1:37">
      <c r="A2274" t="s">
        <v>48</v>
      </c>
      <c r="B2274" t="s">
        <v>71</v>
      </c>
      <c r="C2274" t="s">
        <v>93</v>
      </c>
      <c r="D2274" t="s">
        <v>111</v>
      </c>
      <c r="E2274" t="s">
        <v>128</v>
      </c>
      <c r="F2274" t="s">
        <v>163</v>
      </c>
      <c r="G2274" t="s">
        <v>189</v>
      </c>
      <c r="H2274" t="s">
        <v>220</v>
      </c>
      <c r="I2274" t="s">
        <v>241</v>
      </c>
      <c r="J2274" t="s">
        <v>258</v>
      </c>
      <c r="K2274" t="s">
        <v>270</v>
      </c>
      <c r="AK2274" t="s">
        <v>358</v>
      </c>
    </row>
    <row r="2275" spans="1:37">
      <c r="B2275" t="s">
        <v>72</v>
      </c>
      <c r="C2275" t="s">
        <v>72</v>
      </c>
      <c r="D2275" t="s">
        <v>72</v>
      </c>
      <c r="E2275" t="s">
        <v>139</v>
      </c>
      <c r="F2275" t="s">
        <v>137</v>
      </c>
      <c r="G2275" t="s">
        <v>195</v>
      </c>
      <c r="H2275" t="s">
        <v>225</v>
      </c>
      <c r="I2275" t="s">
        <v>221</v>
      </c>
      <c r="J2275" t="s">
        <v>192</v>
      </c>
      <c r="K2275" t="s">
        <v>272</v>
      </c>
      <c r="AK2275" t="s">
        <v>358</v>
      </c>
    </row>
    <row r="2276" spans="1:37">
      <c r="A2276" t="s">
        <v>37</v>
      </c>
      <c r="B2276" t="s">
        <v>49</v>
      </c>
      <c r="C2276" t="s">
        <v>73</v>
      </c>
      <c r="D2276" t="s">
        <v>94</v>
      </c>
      <c r="E2276" t="s">
        <v>112</v>
      </c>
      <c r="F2276" t="s">
        <v>146</v>
      </c>
      <c r="G2276" t="s">
        <v>172</v>
      </c>
      <c r="H2276" t="s">
        <v>207</v>
      </c>
      <c r="I2276" t="s">
        <v>226</v>
      </c>
      <c r="J2276" t="s">
        <v>246</v>
      </c>
      <c r="K2276" t="s">
        <v>259</v>
      </c>
      <c r="AK2276" t="s">
        <v>358</v>
      </c>
    </row>
    <row r="2277" spans="1:37">
      <c r="A2277" t="s">
        <v>38</v>
      </c>
      <c r="B2277" t="s">
        <v>50</v>
      </c>
      <c r="C2277" t="s">
        <v>74</v>
      </c>
      <c r="D2277" t="s">
        <v>95</v>
      </c>
      <c r="E2277" t="s">
        <v>113</v>
      </c>
      <c r="F2277" t="s">
        <v>147</v>
      </c>
      <c r="G2277" t="s">
        <v>173</v>
      </c>
      <c r="H2277" t="s">
        <v>208</v>
      </c>
      <c r="I2277" t="s">
        <v>227</v>
      </c>
      <c r="J2277" t="s">
        <v>115</v>
      </c>
      <c r="K2277" t="s">
        <v>260</v>
      </c>
      <c r="L2277" t="s">
        <v>273</v>
      </c>
      <c r="M2277" t="s">
        <v>282</v>
      </c>
      <c r="N2277" t="s">
        <v>291</v>
      </c>
      <c r="AK2277" t="s">
        <v>358</v>
      </c>
    </row>
    <row r="2278" spans="1:37">
      <c r="B2278" t="s">
        <v>51</v>
      </c>
      <c r="C2278" t="s">
        <v>75</v>
      </c>
      <c r="D2278" t="s">
        <v>52</v>
      </c>
      <c r="E2278" t="s">
        <v>114</v>
      </c>
      <c r="F2278" t="s">
        <v>148</v>
      </c>
      <c r="G2278" t="s">
        <v>148</v>
      </c>
      <c r="H2278" t="s">
        <v>209</v>
      </c>
      <c r="I2278" t="s">
        <v>228</v>
      </c>
      <c r="J2278" t="s">
        <v>247</v>
      </c>
      <c r="K2278" t="s">
        <v>261</v>
      </c>
      <c r="L2278" t="s">
        <v>274</v>
      </c>
      <c r="M2278" t="s">
        <v>283</v>
      </c>
      <c r="N2278" t="s">
        <v>292</v>
      </c>
      <c r="O2278" t="s">
        <v>300</v>
      </c>
      <c r="AK2278" t="s">
        <v>358</v>
      </c>
    </row>
    <row r="2279" spans="1:37">
      <c r="B2279" t="s">
        <v>52</v>
      </c>
      <c r="C2279" t="s">
        <v>76</v>
      </c>
      <c r="D2279" t="s">
        <v>96</v>
      </c>
      <c r="E2279" t="s">
        <v>115</v>
      </c>
      <c r="F2279" t="s">
        <v>149</v>
      </c>
      <c r="G2279" t="s">
        <v>174</v>
      </c>
      <c r="H2279" t="s">
        <v>96</v>
      </c>
      <c r="I2279" t="s">
        <v>229</v>
      </c>
      <c r="J2279" t="s">
        <v>248</v>
      </c>
      <c r="K2279" t="s">
        <v>262</v>
      </c>
      <c r="L2279" t="s">
        <v>52</v>
      </c>
      <c r="M2279" t="s">
        <v>76</v>
      </c>
      <c r="N2279" t="s">
        <v>293</v>
      </c>
      <c r="O2279" t="s">
        <v>301</v>
      </c>
      <c r="P2279" t="s">
        <v>309</v>
      </c>
      <c r="Q2279" t="s">
        <v>315</v>
      </c>
      <c r="R2279" t="s">
        <v>228</v>
      </c>
      <c r="S2279" t="s">
        <v>328</v>
      </c>
      <c r="T2279" t="s">
        <v>149</v>
      </c>
      <c r="U2279" t="s">
        <v>337</v>
      </c>
      <c r="V2279" t="s">
        <v>341</v>
      </c>
      <c r="W2279" t="s">
        <v>345</v>
      </c>
      <c r="X2279" t="s">
        <v>350</v>
      </c>
      <c r="AK2279" t="s">
        <v>358</v>
      </c>
    </row>
    <row r="2280" spans="1:37">
      <c r="B2280" t="s">
        <v>53</v>
      </c>
      <c r="C2280" t="s">
        <v>77</v>
      </c>
      <c r="D2280" t="s">
        <v>97</v>
      </c>
      <c r="E2280" t="s">
        <v>116</v>
      </c>
      <c r="F2280" t="s">
        <v>150</v>
      </c>
      <c r="G2280" t="s">
        <v>175</v>
      </c>
      <c r="H2280" t="s">
        <v>210</v>
      </c>
      <c r="I2280" t="s">
        <v>230</v>
      </c>
      <c r="J2280" t="s">
        <v>249</v>
      </c>
      <c r="K2280" t="s">
        <v>263</v>
      </c>
      <c r="L2280" t="s">
        <v>275</v>
      </c>
      <c r="M2280" t="s">
        <v>284</v>
      </c>
      <c r="N2280" t="s">
        <v>294</v>
      </c>
      <c r="O2280" t="s">
        <v>302</v>
      </c>
      <c r="P2280" t="s">
        <v>310</v>
      </c>
      <c r="Q2280" t="s">
        <v>316</v>
      </c>
      <c r="R2280" t="s">
        <v>322</v>
      </c>
      <c r="S2280" t="s">
        <v>329</v>
      </c>
      <c r="AK2280" t="s">
        <v>358</v>
      </c>
    </row>
    <row r="2281" spans="1:37">
      <c r="A2281" t="s">
        <v>39</v>
      </c>
      <c r="B2281" t="s">
        <v>54</v>
      </c>
      <c r="C2281" t="s">
        <v>54</v>
      </c>
      <c r="D2281" t="s">
        <v>54</v>
      </c>
      <c r="E2281" t="s">
        <v>54</v>
      </c>
      <c r="F2281" t="s">
        <v>54</v>
      </c>
      <c r="G2281" t="s">
        <v>54</v>
      </c>
      <c r="H2281" t="s">
        <v>54</v>
      </c>
      <c r="I2281" t="s">
        <v>54</v>
      </c>
      <c r="J2281" t="s">
        <v>54</v>
      </c>
      <c r="K2281" t="s">
        <v>54</v>
      </c>
      <c r="L2281" t="s">
        <v>54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323</v>
      </c>
      <c r="S2281" t="s">
        <v>330</v>
      </c>
      <c r="AK2281" t="s">
        <v>358</v>
      </c>
    </row>
    <row r="2282" spans="1:37">
      <c r="B2282" t="s">
        <v>55</v>
      </c>
      <c r="C2282" t="s">
        <v>78</v>
      </c>
      <c r="D2282" t="s">
        <v>55</v>
      </c>
      <c r="E2282" t="s">
        <v>78</v>
      </c>
      <c r="F2282" t="s">
        <v>55</v>
      </c>
      <c r="G2282" t="s">
        <v>78</v>
      </c>
      <c r="H2282" t="s">
        <v>55</v>
      </c>
      <c r="I2282" t="s">
        <v>78</v>
      </c>
      <c r="J2282" t="s">
        <v>55</v>
      </c>
      <c r="K2282" t="s">
        <v>78</v>
      </c>
      <c r="L2282" t="s">
        <v>55</v>
      </c>
      <c r="M2282" t="s">
        <v>78</v>
      </c>
      <c r="N2282" t="s">
        <v>55</v>
      </c>
      <c r="O2282" t="s">
        <v>78</v>
      </c>
      <c r="P2282" t="s">
        <v>55</v>
      </c>
      <c r="Q2282" t="s">
        <v>78</v>
      </c>
      <c r="R2282" t="s">
        <v>55</v>
      </c>
      <c r="S2282" t="s">
        <v>78</v>
      </c>
      <c r="T2282" t="s">
        <v>55</v>
      </c>
      <c r="U2282" t="s">
        <v>78</v>
      </c>
      <c r="V2282" t="s">
        <v>55</v>
      </c>
      <c r="W2282" t="s">
        <v>78</v>
      </c>
      <c r="X2282" t="s">
        <v>55</v>
      </c>
      <c r="Y2282" t="s">
        <v>78</v>
      </c>
      <c r="Z2282" t="s">
        <v>55</v>
      </c>
      <c r="AA2282" t="s">
        <v>78</v>
      </c>
      <c r="AB2282" t="s">
        <v>55</v>
      </c>
      <c r="AC2282" t="s">
        <v>78</v>
      </c>
      <c r="AD2282" t="s">
        <v>55</v>
      </c>
      <c r="AE2282" t="s">
        <v>78</v>
      </c>
      <c r="AF2282" t="s">
        <v>55</v>
      </c>
      <c r="AG2282" t="s">
        <v>78</v>
      </c>
      <c r="AH2282" t="s">
        <v>55</v>
      </c>
      <c r="AI2282" t="s">
        <v>78</v>
      </c>
      <c r="AK2282" t="s">
        <v>358</v>
      </c>
    </row>
    <row r="2283" spans="1:37">
      <c r="B2283" t="s">
        <v>56</v>
      </c>
      <c r="C2283" t="s">
        <v>56</v>
      </c>
      <c r="D2283" t="s">
        <v>56</v>
      </c>
      <c r="E2283" t="s">
        <v>56</v>
      </c>
      <c r="F2283" t="s">
        <v>56</v>
      </c>
      <c r="G2283" t="s">
        <v>176</v>
      </c>
      <c r="H2283" t="s">
        <v>211</v>
      </c>
      <c r="I2283" t="s">
        <v>231</v>
      </c>
      <c r="J2283" t="s">
        <v>250</v>
      </c>
      <c r="K2283" t="s">
        <v>264</v>
      </c>
      <c r="L2283" t="s">
        <v>276</v>
      </c>
      <c r="M2283" t="s">
        <v>285</v>
      </c>
      <c r="N2283" t="s">
        <v>295</v>
      </c>
      <c r="O2283" t="s">
        <v>303</v>
      </c>
      <c r="P2283" t="s">
        <v>56</v>
      </c>
      <c r="Q2283" t="s">
        <v>317</v>
      </c>
      <c r="R2283" t="s">
        <v>324</v>
      </c>
      <c r="S2283" t="s">
        <v>331</v>
      </c>
      <c r="T2283" t="s">
        <v>334</v>
      </c>
      <c r="U2283" t="s">
        <v>338</v>
      </c>
      <c r="V2283" t="s">
        <v>342</v>
      </c>
      <c r="W2283" t="s">
        <v>346</v>
      </c>
      <c r="X2283" t="s">
        <v>351</v>
      </c>
      <c r="AK2283" t="s">
        <v>358</v>
      </c>
    </row>
    <row r="2284" spans="1:37">
      <c r="B2284" t="s">
        <v>57</v>
      </c>
      <c r="C2284" t="s">
        <v>79</v>
      </c>
      <c r="D2284" t="s">
        <v>98</v>
      </c>
      <c r="E2284" t="s">
        <v>117</v>
      </c>
      <c r="F2284" t="s">
        <v>151</v>
      </c>
      <c r="G2284" t="s">
        <v>177</v>
      </c>
      <c r="H2284" t="s">
        <v>212</v>
      </c>
      <c r="I2284" t="s">
        <v>232</v>
      </c>
      <c r="J2284" t="s">
        <v>251</v>
      </c>
      <c r="K2284" t="s">
        <v>265</v>
      </c>
      <c r="L2284" t="s">
        <v>277</v>
      </c>
      <c r="M2284" t="s">
        <v>286</v>
      </c>
      <c r="N2284" t="s">
        <v>296</v>
      </c>
      <c r="O2284" t="s">
        <v>304</v>
      </c>
      <c r="P2284" t="s">
        <v>311</v>
      </c>
      <c r="Q2284" t="s">
        <v>318</v>
      </c>
      <c r="R2284" t="s">
        <v>185</v>
      </c>
      <c r="S2284" t="s">
        <v>159</v>
      </c>
      <c r="T2284" t="s">
        <v>185</v>
      </c>
      <c r="U2284" t="s">
        <v>339</v>
      </c>
      <c r="V2284" t="s">
        <v>72</v>
      </c>
      <c r="W2284" t="s">
        <v>347</v>
      </c>
      <c r="X2284" t="s">
        <v>72</v>
      </c>
      <c r="Y2284" t="s">
        <v>96</v>
      </c>
      <c r="AK2284" t="s">
        <v>358</v>
      </c>
    </row>
    <row r="2285" spans="1:37">
      <c r="B2285" t="s">
        <v>58</v>
      </c>
      <c r="C2285" t="s">
        <v>80</v>
      </c>
      <c r="D2285" t="s">
        <v>99</v>
      </c>
      <c r="E2285" t="s">
        <v>118</v>
      </c>
      <c r="F2285" t="s">
        <v>152</v>
      </c>
      <c r="G2285" t="s">
        <v>178</v>
      </c>
      <c r="H2285" t="s">
        <v>213</v>
      </c>
      <c r="I2285" t="s">
        <v>233</v>
      </c>
      <c r="J2285" t="s">
        <v>252</v>
      </c>
      <c r="K2285" t="s">
        <v>266</v>
      </c>
      <c r="L2285" t="s">
        <v>278</v>
      </c>
      <c r="M2285" t="s">
        <v>287</v>
      </c>
      <c r="N2285" t="s">
        <v>297</v>
      </c>
      <c r="O2285" t="s">
        <v>305</v>
      </c>
      <c r="P2285" t="s">
        <v>312</v>
      </c>
      <c r="Q2285" t="s">
        <v>319</v>
      </c>
      <c r="R2285">
        <f>&gt;10       ветра      4.9     22  25</f>
        <v>0</v>
      </c>
      <c r="AK2285" t="s">
        <v>358</v>
      </c>
    </row>
    <row r="2286" spans="1:37">
      <c r="A2286" t="s">
        <v>40</v>
      </c>
      <c r="B2286" t="s">
        <v>59</v>
      </c>
      <c r="C2286" t="s">
        <v>81</v>
      </c>
      <c r="D2286" t="s">
        <v>100</v>
      </c>
      <c r="E2286" t="s">
        <v>119</v>
      </c>
      <c r="F2286" t="s">
        <v>153</v>
      </c>
      <c r="G2286" t="s">
        <v>179</v>
      </c>
      <c r="H2286" t="s">
        <v>214</v>
      </c>
      <c r="I2286" t="s">
        <v>234</v>
      </c>
      <c r="AK2286" t="s">
        <v>358</v>
      </c>
    </row>
    <row r="2287" spans="1:37">
      <c r="A2287" t="s">
        <v>40</v>
      </c>
      <c r="B2287" t="s">
        <v>60</v>
      </c>
      <c r="C2287" t="s">
        <v>82</v>
      </c>
      <c r="D2287" t="s">
        <v>101</v>
      </c>
      <c r="E2287" t="s">
        <v>120</v>
      </c>
      <c r="F2287" t="s">
        <v>154</v>
      </c>
      <c r="G2287" t="s">
        <v>180</v>
      </c>
      <c r="H2287" t="s">
        <v>215</v>
      </c>
      <c r="I2287" t="s">
        <v>235</v>
      </c>
      <c r="J2287" t="s">
        <v>253</v>
      </c>
      <c r="K2287" t="s">
        <v>267</v>
      </c>
      <c r="L2287" t="s">
        <v>279</v>
      </c>
      <c r="M2287" t="s">
        <v>288</v>
      </c>
      <c r="N2287" t="s">
        <v>100</v>
      </c>
      <c r="O2287" t="s">
        <v>306</v>
      </c>
      <c r="P2287" t="s">
        <v>313</v>
      </c>
      <c r="Q2287" t="s">
        <v>320</v>
      </c>
      <c r="R2287" t="s">
        <v>325</v>
      </c>
      <c r="S2287" t="s">
        <v>332</v>
      </c>
      <c r="T2287" t="s">
        <v>119</v>
      </c>
      <c r="U2287" t="s">
        <v>234</v>
      </c>
      <c r="V2287" t="s">
        <v>343</v>
      </c>
      <c r="W2287" t="s">
        <v>348</v>
      </c>
      <c r="X2287" t="s">
        <v>352</v>
      </c>
      <c r="Y2287" t="s">
        <v>354</v>
      </c>
      <c r="AK2287" t="s">
        <v>358</v>
      </c>
    </row>
    <row r="2288" spans="1:37">
      <c r="A2288" t="s">
        <v>41</v>
      </c>
      <c r="B2288" t="s">
        <v>61</v>
      </c>
      <c r="C2288" t="s">
        <v>83</v>
      </c>
      <c r="D2288" t="s">
        <v>102</v>
      </c>
      <c r="E2288" t="s">
        <v>121</v>
      </c>
      <c r="F2288" t="s">
        <v>155</v>
      </c>
      <c r="G2288" t="s">
        <v>181</v>
      </c>
      <c r="H2288" t="s">
        <v>216</v>
      </c>
      <c r="I2288" t="s">
        <v>236</v>
      </c>
      <c r="AK2288" t="s">
        <v>358</v>
      </c>
    </row>
    <row r="2289" spans="1:37">
      <c r="A2289" t="s">
        <v>42</v>
      </c>
      <c r="B2289" t="s">
        <v>62</v>
      </c>
      <c r="C2289" t="s">
        <v>84</v>
      </c>
      <c r="D2289" t="s">
        <v>103</v>
      </c>
      <c r="E2289" t="s">
        <v>122</v>
      </c>
      <c r="F2289" t="s">
        <v>156</v>
      </c>
      <c r="G2289" t="s">
        <v>182</v>
      </c>
      <c r="H2289" t="s">
        <v>83</v>
      </c>
      <c r="I2289" t="s">
        <v>237</v>
      </c>
      <c r="J2289" t="s">
        <v>254</v>
      </c>
      <c r="K2289" t="s">
        <v>268</v>
      </c>
      <c r="L2289" t="s">
        <v>280</v>
      </c>
      <c r="M2289" t="s">
        <v>289</v>
      </c>
      <c r="N2289" t="s">
        <v>298</v>
      </c>
      <c r="O2289" t="s">
        <v>307</v>
      </c>
      <c r="P2289" t="s">
        <v>314</v>
      </c>
      <c r="Q2289" t="s">
        <v>216</v>
      </c>
      <c r="R2289" t="s">
        <v>326</v>
      </c>
      <c r="S2289" t="s">
        <v>333</v>
      </c>
      <c r="T2289" t="s">
        <v>335</v>
      </c>
      <c r="U2289" t="s">
        <v>340</v>
      </c>
      <c r="V2289" t="s">
        <v>344</v>
      </c>
      <c r="W2289" t="s">
        <v>349</v>
      </c>
      <c r="AK2289" t="s">
        <v>358</v>
      </c>
    </row>
    <row r="2290" spans="1:37">
      <c r="A2290" t="s">
        <v>43</v>
      </c>
      <c r="B2290" t="s">
        <v>63</v>
      </c>
      <c r="C2290" t="s">
        <v>85</v>
      </c>
      <c r="D2290" t="s">
        <v>104</v>
      </c>
      <c r="E2290" t="s">
        <v>123</v>
      </c>
      <c r="F2290" t="s">
        <v>157</v>
      </c>
      <c r="G2290" t="s">
        <v>183</v>
      </c>
      <c r="AK2290" t="s">
        <v>358</v>
      </c>
    </row>
    <row r="2291" spans="1:37">
      <c r="A2291" t="s">
        <v>44</v>
      </c>
      <c r="B2291" t="s">
        <v>64</v>
      </c>
      <c r="C2291" t="s">
        <v>86</v>
      </c>
      <c r="D2291" t="s">
        <v>105</v>
      </c>
      <c r="E2291" t="s">
        <v>124</v>
      </c>
      <c r="F2291" t="s">
        <v>158</v>
      </c>
      <c r="G2291" t="s">
        <v>184</v>
      </c>
      <c r="AK2291" t="s">
        <v>358</v>
      </c>
    </row>
    <row r="2292" spans="1:37">
      <c r="A2292" t="s">
        <v>45</v>
      </c>
      <c r="B2292" t="s">
        <v>65</v>
      </c>
      <c r="C2292" t="s">
        <v>87</v>
      </c>
      <c r="D2292" t="s">
        <v>106</v>
      </c>
      <c r="E2292" t="s">
        <v>125</v>
      </c>
      <c r="F2292" t="s">
        <v>159</v>
      </c>
      <c r="G2292" t="s">
        <v>185</v>
      </c>
      <c r="H2292" t="s">
        <v>159</v>
      </c>
      <c r="I2292" t="s">
        <v>185</v>
      </c>
      <c r="J2292" t="s">
        <v>255</v>
      </c>
      <c r="AK2292" t="s">
        <v>358</v>
      </c>
    </row>
    <row r="2293" spans="1:37">
      <c r="A2293" t="s">
        <v>46</v>
      </c>
      <c r="B2293" t="s">
        <v>66</v>
      </c>
      <c r="C2293" t="s">
        <v>88</v>
      </c>
      <c r="D2293" t="s">
        <v>76</v>
      </c>
      <c r="E2293" t="s">
        <v>126</v>
      </c>
      <c r="F2293" t="s">
        <v>160</v>
      </c>
      <c r="G2293" t="s">
        <v>186</v>
      </c>
      <c r="H2293" t="s">
        <v>217</v>
      </c>
      <c r="I2293" t="s">
        <v>238</v>
      </c>
      <c r="J2293" t="s">
        <v>256</v>
      </c>
      <c r="K2293" t="s">
        <v>265</v>
      </c>
      <c r="L2293" t="s">
        <v>281</v>
      </c>
      <c r="M2293" t="s">
        <v>290</v>
      </c>
      <c r="N2293" t="s">
        <v>299</v>
      </c>
      <c r="O2293" t="s">
        <v>308</v>
      </c>
      <c r="P2293" t="s">
        <v>228</v>
      </c>
      <c r="Q2293" t="s">
        <v>72</v>
      </c>
      <c r="R2293" t="s">
        <v>327</v>
      </c>
      <c r="S2293" t="s">
        <v>327</v>
      </c>
      <c r="T2293" t="s">
        <v>336</v>
      </c>
      <c r="U2293" t="s">
        <v>336</v>
      </c>
      <c r="V2293" t="s">
        <v>336</v>
      </c>
      <c r="W2293" t="s">
        <v>336</v>
      </c>
      <c r="X2293" t="s">
        <v>353</v>
      </c>
      <c r="AK2293" t="s">
        <v>358</v>
      </c>
    </row>
    <row r="2294" spans="1:37">
      <c r="B2294" t="s">
        <v>67</v>
      </c>
      <c r="C2294" t="s">
        <v>89</v>
      </c>
      <c r="D2294" t="s">
        <v>107</v>
      </c>
      <c r="AK2294" t="s">
        <v>358</v>
      </c>
    </row>
    <row r="2295" spans="1:37">
      <c r="B2295" t="s">
        <v>68</v>
      </c>
      <c r="C2295" t="s">
        <v>90</v>
      </c>
      <c r="D2295" t="s">
        <v>108</v>
      </c>
      <c r="AK2295" t="s">
        <v>358</v>
      </c>
    </row>
    <row r="2296" spans="1:37">
      <c r="A2296" t="s">
        <v>47</v>
      </c>
      <c r="B2296" t="s">
        <v>69</v>
      </c>
      <c r="C2296" t="s">
        <v>91</v>
      </c>
      <c r="D2296" t="s">
        <v>109</v>
      </c>
      <c r="E2296" t="s">
        <v>109</v>
      </c>
      <c r="F2296" t="s">
        <v>109</v>
      </c>
      <c r="G2296" t="s">
        <v>109</v>
      </c>
      <c r="H2296" t="s">
        <v>109</v>
      </c>
      <c r="I2296" t="s">
        <v>239</v>
      </c>
      <c r="AK2296" t="s">
        <v>358</v>
      </c>
    </row>
    <row r="2297" spans="1:37">
      <c r="B2297" t="s">
        <v>70</v>
      </c>
      <c r="C2297" t="s">
        <v>92</v>
      </c>
      <c r="D2297" t="s">
        <v>110</v>
      </c>
      <c r="E2297" t="s">
        <v>127</v>
      </c>
      <c r="F2297" t="s">
        <v>161</v>
      </c>
      <c r="G2297" t="s">
        <v>187</v>
      </c>
      <c r="H2297" t="s">
        <v>218</v>
      </c>
      <c r="AK2297" t="s">
        <v>358</v>
      </c>
    </row>
    <row r="2298" spans="1:37">
      <c r="B2298" t="s">
        <v>71</v>
      </c>
      <c r="C2298" t="s">
        <v>93</v>
      </c>
      <c r="D2298" t="s">
        <v>111</v>
      </c>
      <c r="E2298" t="s">
        <v>128</v>
      </c>
      <c r="F2298" t="s">
        <v>162</v>
      </c>
      <c r="G2298" t="s">
        <v>188</v>
      </c>
      <c r="H2298" t="s">
        <v>219</v>
      </c>
      <c r="I2298" t="s">
        <v>240</v>
      </c>
      <c r="J2298" t="s">
        <v>257</v>
      </c>
      <c r="K2298" t="s">
        <v>269</v>
      </c>
      <c r="L2298" t="s">
        <v>109</v>
      </c>
      <c r="M2298" t="s">
        <v>109</v>
      </c>
      <c r="N2298" t="s">
        <v>109</v>
      </c>
      <c r="O2298" t="s">
        <v>109</v>
      </c>
      <c r="P2298" t="s">
        <v>109</v>
      </c>
      <c r="Q2298" t="s">
        <v>321</v>
      </c>
      <c r="AK2298" t="s">
        <v>358</v>
      </c>
    </row>
    <row r="2299" spans="1:37">
      <c r="A2299" t="s">
        <v>48</v>
      </c>
      <c r="B2299" t="s">
        <v>71</v>
      </c>
      <c r="C2299" t="s">
        <v>93</v>
      </c>
      <c r="D2299" t="s">
        <v>111</v>
      </c>
      <c r="E2299" t="s">
        <v>128</v>
      </c>
      <c r="F2299" t="s">
        <v>163</v>
      </c>
      <c r="G2299" t="s">
        <v>189</v>
      </c>
      <c r="H2299" t="s">
        <v>220</v>
      </c>
      <c r="I2299" t="s">
        <v>241</v>
      </c>
      <c r="J2299" t="s">
        <v>258</v>
      </c>
      <c r="K2299" t="s">
        <v>270</v>
      </c>
      <c r="AK2299" t="s">
        <v>358</v>
      </c>
    </row>
    <row r="2300" spans="1:37">
      <c r="B2300" t="s">
        <v>72</v>
      </c>
      <c r="C2300" t="s">
        <v>72</v>
      </c>
      <c r="D2300" t="s">
        <v>72</v>
      </c>
      <c r="E2300" t="s">
        <v>139</v>
      </c>
      <c r="F2300" t="s">
        <v>139</v>
      </c>
      <c r="G2300" t="s">
        <v>192</v>
      </c>
      <c r="H2300" t="s">
        <v>192</v>
      </c>
      <c r="I2300" t="s">
        <v>192</v>
      </c>
      <c r="J2300" t="s">
        <v>192</v>
      </c>
      <c r="K2300" t="s">
        <v>271</v>
      </c>
      <c r="AK2300" t="s">
        <v>358</v>
      </c>
    </row>
    <row r="2301" spans="1:37">
      <c r="A2301" t="s">
        <v>37</v>
      </c>
      <c r="B2301" t="s">
        <v>49</v>
      </c>
      <c r="C2301" t="s">
        <v>73</v>
      </c>
      <c r="D2301" t="s">
        <v>94</v>
      </c>
      <c r="E2301" t="s">
        <v>112</v>
      </c>
      <c r="F2301" t="s">
        <v>146</v>
      </c>
      <c r="G2301" t="s">
        <v>172</v>
      </c>
      <c r="H2301" t="s">
        <v>207</v>
      </c>
      <c r="I2301" t="s">
        <v>226</v>
      </c>
      <c r="J2301" t="s">
        <v>246</v>
      </c>
      <c r="K2301" t="s">
        <v>259</v>
      </c>
      <c r="AK2301" t="s">
        <v>358</v>
      </c>
    </row>
    <row r="2302" spans="1:37">
      <c r="A2302" t="s">
        <v>38</v>
      </c>
      <c r="B2302" t="s">
        <v>50</v>
      </c>
      <c r="C2302" t="s">
        <v>74</v>
      </c>
      <c r="D2302" t="s">
        <v>95</v>
      </c>
      <c r="E2302" t="s">
        <v>113</v>
      </c>
      <c r="F2302" t="s">
        <v>147</v>
      </c>
      <c r="G2302" t="s">
        <v>173</v>
      </c>
      <c r="H2302" t="s">
        <v>208</v>
      </c>
      <c r="I2302" t="s">
        <v>227</v>
      </c>
      <c r="J2302" t="s">
        <v>115</v>
      </c>
      <c r="K2302" t="s">
        <v>260</v>
      </c>
      <c r="L2302" t="s">
        <v>273</v>
      </c>
      <c r="M2302" t="s">
        <v>282</v>
      </c>
      <c r="N2302" t="s">
        <v>291</v>
      </c>
      <c r="AK2302" t="s">
        <v>358</v>
      </c>
    </row>
    <row r="2303" spans="1:37">
      <c r="B2303" t="s">
        <v>51</v>
      </c>
      <c r="C2303" t="s">
        <v>75</v>
      </c>
      <c r="D2303" t="s">
        <v>52</v>
      </c>
      <c r="E2303" t="s">
        <v>114</v>
      </c>
      <c r="F2303" t="s">
        <v>148</v>
      </c>
      <c r="G2303" t="s">
        <v>148</v>
      </c>
      <c r="H2303" t="s">
        <v>209</v>
      </c>
      <c r="I2303" t="s">
        <v>228</v>
      </c>
      <c r="J2303" t="s">
        <v>247</v>
      </c>
      <c r="K2303" t="s">
        <v>261</v>
      </c>
      <c r="L2303" t="s">
        <v>274</v>
      </c>
      <c r="M2303" t="s">
        <v>283</v>
      </c>
      <c r="N2303" t="s">
        <v>292</v>
      </c>
      <c r="O2303" t="s">
        <v>300</v>
      </c>
      <c r="AK2303" t="s">
        <v>358</v>
      </c>
    </row>
    <row r="2304" spans="1:37">
      <c r="B2304" t="s">
        <v>52</v>
      </c>
      <c r="C2304" t="s">
        <v>76</v>
      </c>
      <c r="D2304" t="s">
        <v>96</v>
      </c>
      <c r="E2304" t="s">
        <v>115</v>
      </c>
      <c r="F2304" t="s">
        <v>149</v>
      </c>
      <c r="G2304" t="s">
        <v>174</v>
      </c>
      <c r="H2304" t="s">
        <v>96</v>
      </c>
      <c r="I2304" t="s">
        <v>229</v>
      </c>
      <c r="J2304" t="s">
        <v>248</v>
      </c>
      <c r="K2304" t="s">
        <v>262</v>
      </c>
      <c r="L2304" t="s">
        <v>52</v>
      </c>
      <c r="M2304" t="s">
        <v>76</v>
      </c>
      <c r="N2304" t="s">
        <v>293</v>
      </c>
      <c r="O2304" t="s">
        <v>301</v>
      </c>
      <c r="P2304" t="s">
        <v>309</v>
      </c>
      <c r="Q2304" t="s">
        <v>315</v>
      </c>
      <c r="R2304" t="s">
        <v>228</v>
      </c>
      <c r="S2304" t="s">
        <v>328</v>
      </c>
      <c r="T2304" t="s">
        <v>149</v>
      </c>
      <c r="U2304" t="s">
        <v>337</v>
      </c>
      <c r="V2304" t="s">
        <v>341</v>
      </c>
      <c r="W2304" t="s">
        <v>345</v>
      </c>
      <c r="X2304" t="s">
        <v>350</v>
      </c>
      <c r="AK2304" t="s">
        <v>358</v>
      </c>
    </row>
    <row r="2305" spans="1:37">
      <c r="B2305" t="s">
        <v>53</v>
      </c>
      <c r="C2305" t="s">
        <v>77</v>
      </c>
      <c r="D2305" t="s">
        <v>97</v>
      </c>
      <c r="E2305" t="s">
        <v>116</v>
      </c>
      <c r="F2305" t="s">
        <v>150</v>
      </c>
      <c r="G2305" t="s">
        <v>175</v>
      </c>
      <c r="H2305" t="s">
        <v>210</v>
      </c>
      <c r="I2305" t="s">
        <v>230</v>
      </c>
      <c r="J2305" t="s">
        <v>249</v>
      </c>
      <c r="K2305" t="s">
        <v>263</v>
      </c>
      <c r="L2305" t="s">
        <v>275</v>
      </c>
      <c r="M2305" t="s">
        <v>284</v>
      </c>
      <c r="N2305" t="s">
        <v>294</v>
      </c>
      <c r="O2305" t="s">
        <v>302</v>
      </c>
      <c r="P2305" t="s">
        <v>310</v>
      </c>
      <c r="Q2305" t="s">
        <v>316</v>
      </c>
      <c r="R2305" t="s">
        <v>322</v>
      </c>
      <c r="S2305" t="s">
        <v>329</v>
      </c>
      <c r="AK2305" t="s">
        <v>358</v>
      </c>
    </row>
    <row r="2306" spans="1:37">
      <c r="A2306" t="s">
        <v>39</v>
      </c>
      <c r="B2306" t="s">
        <v>54</v>
      </c>
      <c r="C2306" t="s">
        <v>54</v>
      </c>
      <c r="D2306" t="s">
        <v>54</v>
      </c>
      <c r="E2306" t="s">
        <v>54</v>
      </c>
      <c r="F2306" t="s">
        <v>54</v>
      </c>
      <c r="G2306" t="s">
        <v>54</v>
      </c>
      <c r="H2306" t="s">
        <v>54</v>
      </c>
      <c r="I2306" t="s">
        <v>54</v>
      </c>
      <c r="J2306" t="s">
        <v>54</v>
      </c>
      <c r="K2306" t="s">
        <v>54</v>
      </c>
      <c r="L2306" t="s">
        <v>54</v>
      </c>
      <c r="M2306" t="s">
        <v>54</v>
      </c>
      <c r="N2306" t="s">
        <v>54</v>
      </c>
      <c r="O2306" t="s">
        <v>54</v>
      </c>
      <c r="P2306" t="s">
        <v>54</v>
      </c>
      <c r="Q2306" t="s">
        <v>54</v>
      </c>
      <c r="R2306" t="s">
        <v>323</v>
      </c>
      <c r="S2306" t="s">
        <v>330</v>
      </c>
      <c r="AK2306" t="s">
        <v>358</v>
      </c>
    </row>
    <row r="2307" spans="1:37">
      <c r="B2307" t="s">
        <v>55</v>
      </c>
      <c r="C2307" t="s">
        <v>78</v>
      </c>
      <c r="D2307" t="s">
        <v>55</v>
      </c>
      <c r="E2307" t="s">
        <v>78</v>
      </c>
      <c r="F2307" t="s">
        <v>55</v>
      </c>
      <c r="G2307" t="s">
        <v>78</v>
      </c>
      <c r="H2307" t="s">
        <v>55</v>
      </c>
      <c r="I2307" t="s">
        <v>78</v>
      </c>
      <c r="J2307" t="s">
        <v>55</v>
      </c>
      <c r="K2307" t="s">
        <v>78</v>
      </c>
      <c r="L2307" t="s">
        <v>55</v>
      </c>
      <c r="M2307" t="s">
        <v>78</v>
      </c>
      <c r="N2307" t="s">
        <v>55</v>
      </c>
      <c r="O2307" t="s">
        <v>78</v>
      </c>
      <c r="P2307" t="s">
        <v>55</v>
      </c>
      <c r="Q2307" t="s">
        <v>78</v>
      </c>
      <c r="R2307" t="s">
        <v>55</v>
      </c>
      <c r="S2307" t="s">
        <v>78</v>
      </c>
      <c r="T2307" t="s">
        <v>55</v>
      </c>
      <c r="U2307" t="s">
        <v>78</v>
      </c>
      <c r="V2307" t="s">
        <v>55</v>
      </c>
      <c r="W2307" t="s">
        <v>78</v>
      </c>
      <c r="X2307" t="s">
        <v>55</v>
      </c>
      <c r="Y2307" t="s">
        <v>78</v>
      </c>
      <c r="Z2307" t="s">
        <v>55</v>
      </c>
      <c r="AA2307" t="s">
        <v>78</v>
      </c>
      <c r="AB2307" t="s">
        <v>55</v>
      </c>
      <c r="AC2307" t="s">
        <v>78</v>
      </c>
      <c r="AD2307" t="s">
        <v>55</v>
      </c>
      <c r="AE2307" t="s">
        <v>78</v>
      </c>
      <c r="AF2307" t="s">
        <v>55</v>
      </c>
      <c r="AG2307" t="s">
        <v>78</v>
      </c>
      <c r="AH2307" t="s">
        <v>55</v>
      </c>
      <c r="AI2307" t="s">
        <v>78</v>
      </c>
      <c r="AK2307" t="s">
        <v>358</v>
      </c>
    </row>
    <row r="2308" spans="1:37">
      <c r="B2308" t="s">
        <v>56</v>
      </c>
      <c r="C2308" t="s">
        <v>56</v>
      </c>
      <c r="D2308" t="s">
        <v>56</v>
      </c>
      <c r="E2308" t="s">
        <v>56</v>
      </c>
      <c r="F2308" t="s">
        <v>56</v>
      </c>
      <c r="G2308" t="s">
        <v>176</v>
      </c>
      <c r="H2308" t="s">
        <v>211</v>
      </c>
      <c r="I2308" t="s">
        <v>231</v>
      </c>
      <c r="J2308" t="s">
        <v>250</v>
      </c>
      <c r="K2308" t="s">
        <v>264</v>
      </c>
      <c r="L2308" t="s">
        <v>276</v>
      </c>
      <c r="M2308" t="s">
        <v>285</v>
      </c>
      <c r="N2308" t="s">
        <v>295</v>
      </c>
      <c r="O2308" t="s">
        <v>303</v>
      </c>
      <c r="P2308" t="s">
        <v>56</v>
      </c>
      <c r="Q2308" t="s">
        <v>317</v>
      </c>
      <c r="R2308" t="s">
        <v>324</v>
      </c>
      <c r="S2308" t="s">
        <v>331</v>
      </c>
      <c r="T2308" t="s">
        <v>334</v>
      </c>
      <c r="U2308" t="s">
        <v>338</v>
      </c>
      <c r="V2308" t="s">
        <v>342</v>
      </c>
      <c r="W2308" t="s">
        <v>346</v>
      </c>
      <c r="X2308" t="s">
        <v>351</v>
      </c>
      <c r="AK2308" t="s">
        <v>358</v>
      </c>
    </row>
    <row r="2309" spans="1:37">
      <c r="B2309" t="s">
        <v>57</v>
      </c>
      <c r="C2309" t="s">
        <v>79</v>
      </c>
      <c r="D2309" t="s">
        <v>98</v>
      </c>
      <c r="E2309" t="s">
        <v>117</v>
      </c>
      <c r="F2309" t="s">
        <v>151</v>
      </c>
      <c r="G2309" t="s">
        <v>177</v>
      </c>
      <c r="H2309" t="s">
        <v>212</v>
      </c>
      <c r="I2309" t="s">
        <v>232</v>
      </c>
      <c r="J2309" t="s">
        <v>251</v>
      </c>
      <c r="K2309" t="s">
        <v>265</v>
      </c>
      <c r="L2309" t="s">
        <v>277</v>
      </c>
      <c r="M2309" t="s">
        <v>286</v>
      </c>
      <c r="N2309" t="s">
        <v>296</v>
      </c>
      <c r="O2309" t="s">
        <v>304</v>
      </c>
      <c r="P2309" t="s">
        <v>311</v>
      </c>
      <c r="Q2309" t="s">
        <v>318</v>
      </c>
      <c r="R2309" t="s">
        <v>185</v>
      </c>
      <c r="S2309" t="s">
        <v>159</v>
      </c>
      <c r="T2309" t="s">
        <v>185</v>
      </c>
      <c r="U2309" t="s">
        <v>339</v>
      </c>
      <c r="V2309" t="s">
        <v>72</v>
      </c>
      <c r="W2309" t="s">
        <v>347</v>
      </c>
      <c r="X2309" t="s">
        <v>72</v>
      </c>
      <c r="Y2309" t="s">
        <v>96</v>
      </c>
      <c r="AK2309" t="s">
        <v>358</v>
      </c>
    </row>
    <row r="2310" spans="1:37">
      <c r="B2310" t="s">
        <v>58</v>
      </c>
      <c r="C2310" t="s">
        <v>80</v>
      </c>
      <c r="D2310" t="s">
        <v>99</v>
      </c>
      <c r="E2310" t="s">
        <v>118</v>
      </c>
      <c r="F2310" t="s">
        <v>152</v>
      </c>
      <c r="G2310" t="s">
        <v>178</v>
      </c>
      <c r="H2310" t="s">
        <v>213</v>
      </c>
      <c r="I2310" t="s">
        <v>233</v>
      </c>
      <c r="J2310" t="s">
        <v>252</v>
      </c>
      <c r="K2310" t="s">
        <v>266</v>
      </c>
      <c r="L2310" t="s">
        <v>278</v>
      </c>
      <c r="M2310" t="s">
        <v>287</v>
      </c>
      <c r="N2310" t="s">
        <v>297</v>
      </c>
      <c r="O2310" t="s">
        <v>305</v>
      </c>
      <c r="P2310" t="s">
        <v>312</v>
      </c>
      <c r="Q2310" t="s">
        <v>319</v>
      </c>
      <c r="R2310">
        <f>&gt;10       ветра      3.1     23  14</f>
        <v>0</v>
      </c>
      <c r="AK2310" t="s">
        <v>358</v>
      </c>
    </row>
    <row r="2311" spans="1:37">
      <c r="A2311" t="s">
        <v>40</v>
      </c>
      <c r="B2311" t="s">
        <v>59</v>
      </c>
      <c r="C2311" t="s">
        <v>81</v>
      </c>
      <c r="D2311" t="s">
        <v>100</v>
      </c>
      <c r="E2311" t="s">
        <v>119</v>
      </c>
      <c r="F2311" t="s">
        <v>153</v>
      </c>
      <c r="G2311" t="s">
        <v>179</v>
      </c>
      <c r="H2311" t="s">
        <v>214</v>
      </c>
      <c r="I2311" t="s">
        <v>234</v>
      </c>
      <c r="AK2311" t="s">
        <v>358</v>
      </c>
    </row>
    <row r="2312" spans="1:37">
      <c r="A2312" t="s">
        <v>40</v>
      </c>
      <c r="B2312" t="s">
        <v>60</v>
      </c>
      <c r="C2312" t="s">
        <v>82</v>
      </c>
      <c r="D2312" t="s">
        <v>101</v>
      </c>
      <c r="E2312" t="s">
        <v>120</v>
      </c>
      <c r="F2312" t="s">
        <v>154</v>
      </c>
      <c r="G2312" t="s">
        <v>180</v>
      </c>
      <c r="H2312" t="s">
        <v>215</v>
      </c>
      <c r="I2312" t="s">
        <v>235</v>
      </c>
      <c r="J2312" t="s">
        <v>253</v>
      </c>
      <c r="K2312" t="s">
        <v>267</v>
      </c>
      <c r="L2312" t="s">
        <v>279</v>
      </c>
      <c r="M2312" t="s">
        <v>288</v>
      </c>
      <c r="N2312" t="s">
        <v>100</v>
      </c>
      <c r="O2312" t="s">
        <v>306</v>
      </c>
      <c r="P2312" t="s">
        <v>313</v>
      </c>
      <c r="Q2312" t="s">
        <v>320</v>
      </c>
      <c r="R2312" t="s">
        <v>325</v>
      </c>
      <c r="S2312" t="s">
        <v>332</v>
      </c>
      <c r="T2312" t="s">
        <v>119</v>
      </c>
      <c r="U2312" t="s">
        <v>234</v>
      </c>
      <c r="V2312" t="s">
        <v>343</v>
      </c>
      <c r="W2312" t="s">
        <v>348</v>
      </c>
      <c r="X2312" t="s">
        <v>352</v>
      </c>
      <c r="Y2312" t="s">
        <v>354</v>
      </c>
      <c r="AK2312" t="s">
        <v>358</v>
      </c>
    </row>
    <row r="2313" spans="1:37">
      <c r="A2313" t="s">
        <v>41</v>
      </c>
      <c r="B2313" t="s">
        <v>61</v>
      </c>
      <c r="C2313" t="s">
        <v>83</v>
      </c>
      <c r="D2313" t="s">
        <v>102</v>
      </c>
      <c r="E2313" t="s">
        <v>121</v>
      </c>
      <c r="F2313" t="s">
        <v>155</v>
      </c>
      <c r="G2313" t="s">
        <v>181</v>
      </c>
      <c r="H2313" t="s">
        <v>216</v>
      </c>
      <c r="I2313" t="s">
        <v>236</v>
      </c>
      <c r="AK2313" t="s">
        <v>358</v>
      </c>
    </row>
    <row r="2314" spans="1:37">
      <c r="A2314" t="s">
        <v>42</v>
      </c>
      <c r="B2314" t="s">
        <v>62</v>
      </c>
      <c r="C2314" t="s">
        <v>84</v>
      </c>
      <c r="D2314" t="s">
        <v>103</v>
      </c>
      <c r="E2314" t="s">
        <v>122</v>
      </c>
      <c r="F2314" t="s">
        <v>156</v>
      </c>
      <c r="G2314" t="s">
        <v>182</v>
      </c>
      <c r="H2314" t="s">
        <v>83</v>
      </c>
      <c r="I2314" t="s">
        <v>237</v>
      </c>
      <c r="J2314" t="s">
        <v>254</v>
      </c>
      <c r="K2314" t="s">
        <v>268</v>
      </c>
      <c r="L2314" t="s">
        <v>280</v>
      </c>
      <c r="M2314" t="s">
        <v>289</v>
      </c>
      <c r="N2314" t="s">
        <v>298</v>
      </c>
      <c r="O2314" t="s">
        <v>307</v>
      </c>
      <c r="P2314" t="s">
        <v>314</v>
      </c>
      <c r="Q2314" t="s">
        <v>216</v>
      </c>
      <c r="R2314" t="s">
        <v>326</v>
      </c>
      <c r="S2314" t="s">
        <v>333</v>
      </c>
      <c r="T2314" t="s">
        <v>335</v>
      </c>
      <c r="U2314" t="s">
        <v>340</v>
      </c>
      <c r="V2314" t="s">
        <v>344</v>
      </c>
      <c r="W2314" t="s">
        <v>349</v>
      </c>
      <c r="AK2314" t="s">
        <v>358</v>
      </c>
    </row>
    <row r="2315" spans="1:37">
      <c r="A2315" t="s">
        <v>43</v>
      </c>
      <c r="B2315" t="s">
        <v>63</v>
      </c>
      <c r="C2315" t="s">
        <v>85</v>
      </c>
      <c r="D2315" t="s">
        <v>104</v>
      </c>
      <c r="E2315" t="s">
        <v>123</v>
      </c>
      <c r="F2315" t="s">
        <v>157</v>
      </c>
      <c r="G2315" t="s">
        <v>183</v>
      </c>
      <c r="AK2315" t="s">
        <v>358</v>
      </c>
    </row>
    <row r="2316" spans="1:37">
      <c r="A2316" t="s">
        <v>44</v>
      </c>
      <c r="B2316" t="s">
        <v>64</v>
      </c>
      <c r="C2316" t="s">
        <v>86</v>
      </c>
      <c r="D2316" t="s">
        <v>105</v>
      </c>
      <c r="E2316" t="s">
        <v>124</v>
      </c>
      <c r="F2316" t="s">
        <v>158</v>
      </c>
      <c r="G2316" t="s">
        <v>184</v>
      </c>
      <c r="AK2316" t="s">
        <v>358</v>
      </c>
    </row>
    <row r="2317" spans="1:37">
      <c r="A2317" t="s">
        <v>45</v>
      </c>
      <c r="B2317" t="s">
        <v>65</v>
      </c>
      <c r="C2317" t="s">
        <v>87</v>
      </c>
      <c r="D2317" t="s">
        <v>106</v>
      </c>
      <c r="E2317" t="s">
        <v>125</v>
      </c>
      <c r="F2317" t="s">
        <v>159</v>
      </c>
      <c r="G2317" t="s">
        <v>185</v>
      </c>
      <c r="H2317" t="s">
        <v>159</v>
      </c>
      <c r="I2317" t="s">
        <v>185</v>
      </c>
      <c r="J2317" t="s">
        <v>255</v>
      </c>
      <c r="AK2317" t="s">
        <v>358</v>
      </c>
    </row>
    <row r="2318" spans="1:37">
      <c r="A2318" t="s">
        <v>46</v>
      </c>
      <c r="B2318" t="s">
        <v>66</v>
      </c>
      <c r="C2318" t="s">
        <v>88</v>
      </c>
      <c r="D2318" t="s">
        <v>76</v>
      </c>
      <c r="E2318" t="s">
        <v>126</v>
      </c>
      <c r="F2318" t="s">
        <v>160</v>
      </c>
      <c r="G2318" t="s">
        <v>186</v>
      </c>
      <c r="H2318" t="s">
        <v>217</v>
      </c>
      <c r="I2318" t="s">
        <v>238</v>
      </c>
      <c r="J2318" t="s">
        <v>256</v>
      </c>
      <c r="K2318" t="s">
        <v>265</v>
      </c>
      <c r="L2318" t="s">
        <v>281</v>
      </c>
      <c r="M2318" t="s">
        <v>290</v>
      </c>
      <c r="N2318" t="s">
        <v>299</v>
      </c>
      <c r="O2318" t="s">
        <v>308</v>
      </c>
      <c r="P2318" t="s">
        <v>228</v>
      </c>
      <c r="Q2318" t="s">
        <v>72</v>
      </c>
      <c r="R2318" t="s">
        <v>327</v>
      </c>
      <c r="S2318" t="s">
        <v>327</v>
      </c>
      <c r="T2318" t="s">
        <v>336</v>
      </c>
      <c r="U2318" t="s">
        <v>336</v>
      </c>
      <c r="V2318" t="s">
        <v>336</v>
      </c>
      <c r="W2318" t="s">
        <v>336</v>
      </c>
      <c r="X2318" t="s">
        <v>353</v>
      </c>
      <c r="AK2318" t="s">
        <v>358</v>
      </c>
    </row>
    <row r="2319" spans="1:37">
      <c r="B2319" t="s">
        <v>67</v>
      </c>
      <c r="C2319" t="s">
        <v>89</v>
      </c>
      <c r="D2319" t="s">
        <v>107</v>
      </c>
      <c r="AK2319" t="s">
        <v>358</v>
      </c>
    </row>
    <row r="2320" spans="1:37">
      <c r="B2320" t="s">
        <v>68</v>
      </c>
      <c r="C2320" t="s">
        <v>90</v>
      </c>
      <c r="D2320" t="s">
        <v>108</v>
      </c>
      <c r="AK2320" t="s">
        <v>358</v>
      </c>
    </row>
    <row r="2321" spans="1:37">
      <c r="A2321" t="s">
        <v>47</v>
      </c>
      <c r="B2321" t="s">
        <v>69</v>
      </c>
      <c r="C2321" t="s">
        <v>91</v>
      </c>
      <c r="D2321" t="s">
        <v>109</v>
      </c>
      <c r="E2321" t="s">
        <v>109</v>
      </c>
      <c r="F2321" t="s">
        <v>109</v>
      </c>
      <c r="G2321" t="s">
        <v>109</v>
      </c>
      <c r="H2321" t="s">
        <v>109</v>
      </c>
      <c r="I2321" t="s">
        <v>239</v>
      </c>
      <c r="AK2321" t="s">
        <v>358</v>
      </c>
    </row>
    <row r="2322" spans="1:37">
      <c r="B2322" t="s">
        <v>70</v>
      </c>
      <c r="C2322" t="s">
        <v>92</v>
      </c>
      <c r="D2322" t="s">
        <v>110</v>
      </c>
      <c r="E2322" t="s">
        <v>127</v>
      </c>
      <c r="F2322" t="s">
        <v>161</v>
      </c>
      <c r="G2322" t="s">
        <v>187</v>
      </c>
      <c r="H2322" t="s">
        <v>218</v>
      </c>
      <c r="AK2322" t="s">
        <v>358</v>
      </c>
    </row>
    <row r="2323" spans="1:37">
      <c r="B2323" t="s">
        <v>71</v>
      </c>
      <c r="C2323" t="s">
        <v>93</v>
      </c>
      <c r="D2323" t="s">
        <v>111</v>
      </c>
      <c r="E2323" t="s">
        <v>128</v>
      </c>
      <c r="F2323" t="s">
        <v>162</v>
      </c>
      <c r="G2323" t="s">
        <v>188</v>
      </c>
      <c r="H2323" t="s">
        <v>219</v>
      </c>
      <c r="I2323" t="s">
        <v>240</v>
      </c>
      <c r="J2323" t="s">
        <v>257</v>
      </c>
      <c r="K2323" t="s">
        <v>269</v>
      </c>
      <c r="L2323" t="s">
        <v>109</v>
      </c>
      <c r="M2323" t="s">
        <v>109</v>
      </c>
      <c r="N2323" t="s">
        <v>109</v>
      </c>
      <c r="O2323" t="s">
        <v>109</v>
      </c>
      <c r="P2323" t="s">
        <v>109</v>
      </c>
      <c r="Q2323" t="s">
        <v>321</v>
      </c>
      <c r="AK2323" t="s">
        <v>358</v>
      </c>
    </row>
    <row r="2324" spans="1:37">
      <c r="A2324" t="s">
        <v>48</v>
      </c>
      <c r="B2324" t="s">
        <v>71</v>
      </c>
      <c r="C2324" t="s">
        <v>93</v>
      </c>
      <c r="D2324" t="s">
        <v>111</v>
      </c>
      <c r="E2324" t="s">
        <v>128</v>
      </c>
      <c r="F2324" t="s">
        <v>163</v>
      </c>
      <c r="G2324" t="s">
        <v>189</v>
      </c>
      <c r="H2324" t="s">
        <v>220</v>
      </c>
      <c r="I2324" t="s">
        <v>241</v>
      </c>
      <c r="J2324" t="s">
        <v>258</v>
      </c>
      <c r="K2324" t="s">
        <v>270</v>
      </c>
      <c r="AK2324" t="s">
        <v>358</v>
      </c>
    </row>
    <row r="2325" spans="1:37">
      <c r="B2325" t="s">
        <v>72</v>
      </c>
      <c r="C2325" t="s">
        <v>72</v>
      </c>
      <c r="D2325" t="s">
        <v>72</v>
      </c>
      <c r="E2325" t="s">
        <v>72</v>
      </c>
      <c r="F2325" t="s">
        <v>72</v>
      </c>
      <c r="G2325" t="s">
        <v>72</v>
      </c>
      <c r="H2325" t="s">
        <v>72</v>
      </c>
      <c r="I2325" t="s">
        <v>72</v>
      </c>
      <c r="J2325" t="s">
        <v>72</v>
      </c>
      <c r="K2325" t="s">
        <v>272</v>
      </c>
      <c r="AK2325" t="s">
        <v>358</v>
      </c>
    </row>
    <row r="2326" spans="1:37">
      <c r="A2326" t="s">
        <v>37</v>
      </c>
      <c r="B2326" t="s">
        <v>49</v>
      </c>
      <c r="C2326" t="s">
        <v>73</v>
      </c>
      <c r="D2326" t="s">
        <v>94</v>
      </c>
      <c r="E2326" t="s">
        <v>112</v>
      </c>
      <c r="F2326" t="s">
        <v>146</v>
      </c>
      <c r="G2326" t="s">
        <v>172</v>
      </c>
      <c r="H2326" t="s">
        <v>207</v>
      </c>
      <c r="I2326" t="s">
        <v>226</v>
      </c>
      <c r="J2326" t="s">
        <v>246</v>
      </c>
      <c r="K2326" t="s">
        <v>259</v>
      </c>
      <c r="AK2326" t="s">
        <v>358</v>
      </c>
    </row>
    <row r="2327" spans="1:37">
      <c r="A2327" t="s">
        <v>38</v>
      </c>
      <c r="B2327" t="s">
        <v>50</v>
      </c>
      <c r="C2327" t="s">
        <v>74</v>
      </c>
      <c r="D2327" t="s">
        <v>95</v>
      </c>
      <c r="E2327" t="s">
        <v>113</v>
      </c>
      <c r="F2327" t="s">
        <v>147</v>
      </c>
      <c r="G2327" t="s">
        <v>173</v>
      </c>
      <c r="H2327" t="s">
        <v>208</v>
      </c>
      <c r="I2327" t="s">
        <v>227</v>
      </c>
      <c r="J2327" t="s">
        <v>115</v>
      </c>
      <c r="K2327" t="s">
        <v>260</v>
      </c>
      <c r="L2327" t="s">
        <v>273</v>
      </c>
      <c r="M2327" t="s">
        <v>282</v>
      </c>
      <c r="N2327" t="s">
        <v>291</v>
      </c>
      <c r="AK2327" t="s">
        <v>358</v>
      </c>
    </row>
    <row r="2328" spans="1:37">
      <c r="B2328" t="s">
        <v>51</v>
      </c>
      <c r="C2328" t="s">
        <v>75</v>
      </c>
      <c r="D2328" t="s">
        <v>52</v>
      </c>
      <c r="E2328" t="s">
        <v>114</v>
      </c>
      <c r="F2328" t="s">
        <v>148</v>
      </c>
      <c r="G2328" t="s">
        <v>148</v>
      </c>
      <c r="H2328" t="s">
        <v>209</v>
      </c>
      <c r="I2328" t="s">
        <v>228</v>
      </c>
      <c r="J2328" t="s">
        <v>247</v>
      </c>
      <c r="K2328" t="s">
        <v>261</v>
      </c>
      <c r="L2328" t="s">
        <v>274</v>
      </c>
      <c r="M2328" t="s">
        <v>283</v>
      </c>
      <c r="N2328" t="s">
        <v>292</v>
      </c>
      <c r="O2328" t="s">
        <v>300</v>
      </c>
      <c r="AK2328" t="s">
        <v>358</v>
      </c>
    </row>
    <row r="2329" spans="1:37">
      <c r="B2329" t="s">
        <v>52</v>
      </c>
      <c r="C2329" t="s">
        <v>76</v>
      </c>
      <c r="D2329" t="s">
        <v>96</v>
      </c>
      <c r="E2329" t="s">
        <v>115</v>
      </c>
      <c r="F2329" t="s">
        <v>149</v>
      </c>
      <c r="G2329" t="s">
        <v>174</v>
      </c>
      <c r="H2329" t="s">
        <v>96</v>
      </c>
      <c r="I2329" t="s">
        <v>229</v>
      </c>
      <c r="J2329" t="s">
        <v>248</v>
      </c>
      <c r="K2329" t="s">
        <v>262</v>
      </c>
      <c r="L2329" t="s">
        <v>52</v>
      </c>
      <c r="M2329" t="s">
        <v>76</v>
      </c>
      <c r="N2329" t="s">
        <v>293</v>
      </c>
      <c r="O2329" t="s">
        <v>301</v>
      </c>
      <c r="P2329" t="s">
        <v>309</v>
      </c>
      <c r="Q2329" t="s">
        <v>315</v>
      </c>
      <c r="R2329" t="s">
        <v>228</v>
      </c>
      <c r="S2329" t="s">
        <v>328</v>
      </c>
      <c r="T2329" t="s">
        <v>149</v>
      </c>
      <c r="U2329" t="s">
        <v>337</v>
      </c>
      <c r="V2329" t="s">
        <v>341</v>
      </c>
      <c r="W2329" t="s">
        <v>345</v>
      </c>
      <c r="X2329" t="s">
        <v>350</v>
      </c>
      <c r="AK2329" t="s">
        <v>358</v>
      </c>
    </row>
    <row r="2330" spans="1:37">
      <c r="B2330" t="s">
        <v>53</v>
      </c>
      <c r="C2330" t="s">
        <v>77</v>
      </c>
      <c r="D2330" t="s">
        <v>97</v>
      </c>
      <c r="E2330" t="s">
        <v>116</v>
      </c>
      <c r="F2330" t="s">
        <v>150</v>
      </c>
      <c r="G2330" t="s">
        <v>175</v>
      </c>
      <c r="H2330" t="s">
        <v>210</v>
      </c>
      <c r="I2330" t="s">
        <v>230</v>
      </c>
      <c r="J2330" t="s">
        <v>249</v>
      </c>
      <c r="K2330" t="s">
        <v>263</v>
      </c>
      <c r="L2330" t="s">
        <v>275</v>
      </c>
      <c r="M2330" t="s">
        <v>284</v>
      </c>
      <c r="N2330" t="s">
        <v>294</v>
      </c>
      <c r="O2330" t="s">
        <v>302</v>
      </c>
      <c r="P2330" t="s">
        <v>310</v>
      </c>
      <c r="Q2330" t="s">
        <v>316</v>
      </c>
      <c r="R2330" t="s">
        <v>322</v>
      </c>
      <c r="S2330" t="s">
        <v>329</v>
      </c>
      <c r="AK2330" t="s">
        <v>358</v>
      </c>
    </row>
    <row r="2331" spans="1:37">
      <c r="A2331" t="s">
        <v>39</v>
      </c>
      <c r="B2331" t="s">
        <v>54</v>
      </c>
      <c r="C2331" t="s">
        <v>54</v>
      </c>
      <c r="D2331" t="s">
        <v>54</v>
      </c>
      <c r="E2331" t="s">
        <v>54</v>
      </c>
      <c r="F2331" t="s">
        <v>54</v>
      </c>
      <c r="G2331" t="s">
        <v>54</v>
      </c>
      <c r="H2331" t="s">
        <v>54</v>
      </c>
      <c r="I2331" t="s">
        <v>54</v>
      </c>
      <c r="J2331" t="s">
        <v>54</v>
      </c>
      <c r="K2331" t="s">
        <v>54</v>
      </c>
      <c r="L2331" t="s">
        <v>54</v>
      </c>
      <c r="M2331" t="s">
        <v>54</v>
      </c>
      <c r="N2331" t="s">
        <v>54</v>
      </c>
      <c r="O2331" t="s">
        <v>54</v>
      </c>
      <c r="P2331" t="s">
        <v>54</v>
      </c>
      <c r="Q2331" t="s">
        <v>54</v>
      </c>
      <c r="R2331" t="s">
        <v>323</v>
      </c>
      <c r="S2331" t="s">
        <v>330</v>
      </c>
      <c r="AK2331" t="s">
        <v>358</v>
      </c>
    </row>
    <row r="2332" spans="1:37">
      <c r="B2332" t="s">
        <v>55</v>
      </c>
      <c r="C2332" t="s">
        <v>78</v>
      </c>
      <c r="D2332" t="s">
        <v>55</v>
      </c>
      <c r="E2332" t="s">
        <v>78</v>
      </c>
      <c r="F2332" t="s">
        <v>55</v>
      </c>
      <c r="G2332" t="s">
        <v>78</v>
      </c>
      <c r="H2332" t="s">
        <v>55</v>
      </c>
      <c r="I2332" t="s">
        <v>78</v>
      </c>
      <c r="J2332" t="s">
        <v>55</v>
      </c>
      <c r="K2332" t="s">
        <v>78</v>
      </c>
      <c r="L2332" t="s">
        <v>55</v>
      </c>
      <c r="M2332" t="s">
        <v>78</v>
      </c>
      <c r="N2332" t="s">
        <v>55</v>
      </c>
      <c r="O2332" t="s">
        <v>78</v>
      </c>
      <c r="P2332" t="s">
        <v>55</v>
      </c>
      <c r="Q2332" t="s">
        <v>78</v>
      </c>
      <c r="R2332" t="s">
        <v>55</v>
      </c>
      <c r="S2332" t="s">
        <v>78</v>
      </c>
      <c r="T2332" t="s">
        <v>55</v>
      </c>
      <c r="U2332" t="s">
        <v>78</v>
      </c>
      <c r="V2332" t="s">
        <v>55</v>
      </c>
      <c r="W2332" t="s">
        <v>78</v>
      </c>
      <c r="X2332" t="s">
        <v>55</v>
      </c>
      <c r="Y2332" t="s">
        <v>78</v>
      </c>
      <c r="Z2332" t="s">
        <v>55</v>
      </c>
      <c r="AA2332" t="s">
        <v>78</v>
      </c>
      <c r="AB2332" t="s">
        <v>55</v>
      </c>
      <c r="AC2332" t="s">
        <v>78</v>
      </c>
      <c r="AD2332" t="s">
        <v>55</v>
      </c>
      <c r="AE2332" t="s">
        <v>78</v>
      </c>
      <c r="AF2332" t="s">
        <v>55</v>
      </c>
      <c r="AG2332" t="s">
        <v>78</v>
      </c>
      <c r="AH2332" t="s">
        <v>55</v>
      </c>
      <c r="AI2332" t="s">
        <v>78</v>
      </c>
      <c r="AK2332" t="s">
        <v>358</v>
      </c>
    </row>
    <row r="2333" spans="1:37">
      <c r="B2333" t="s">
        <v>56</v>
      </c>
      <c r="C2333" t="s">
        <v>56</v>
      </c>
      <c r="D2333" t="s">
        <v>56</v>
      </c>
      <c r="E2333" t="s">
        <v>56</v>
      </c>
      <c r="F2333" t="s">
        <v>56</v>
      </c>
      <c r="G2333" t="s">
        <v>176</v>
      </c>
      <c r="H2333" t="s">
        <v>211</v>
      </c>
      <c r="I2333" t="s">
        <v>231</v>
      </c>
      <c r="J2333" t="s">
        <v>250</v>
      </c>
      <c r="K2333" t="s">
        <v>264</v>
      </c>
      <c r="L2333" t="s">
        <v>276</v>
      </c>
      <c r="M2333" t="s">
        <v>285</v>
      </c>
      <c r="N2333" t="s">
        <v>295</v>
      </c>
      <c r="O2333" t="s">
        <v>303</v>
      </c>
      <c r="P2333" t="s">
        <v>56</v>
      </c>
      <c r="Q2333" t="s">
        <v>317</v>
      </c>
      <c r="R2333" t="s">
        <v>324</v>
      </c>
      <c r="S2333" t="s">
        <v>331</v>
      </c>
      <c r="T2333" t="s">
        <v>334</v>
      </c>
      <c r="U2333" t="s">
        <v>338</v>
      </c>
      <c r="V2333" t="s">
        <v>342</v>
      </c>
      <c r="W2333" t="s">
        <v>346</v>
      </c>
      <c r="X2333" t="s">
        <v>351</v>
      </c>
      <c r="AK2333" t="s">
        <v>358</v>
      </c>
    </row>
    <row r="2334" spans="1:37">
      <c r="B2334" t="s">
        <v>57</v>
      </c>
      <c r="C2334" t="s">
        <v>79</v>
      </c>
      <c r="D2334" t="s">
        <v>98</v>
      </c>
      <c r="E2334" t="s">
        <v>117</v>
      </c>
      <c r="F2334" t="s">
        <v>151</v>
      </c>
      <c r="G2334" t="s">
        <v>177</v>
      </c>
      <c r="H2334" t="s">
        <v>212</v>
      </c>
      <c r="I2334" t="s">
        <v>232</v>
      </c>
      <c r="J2334" t="s">
        <v>251</v>
      </c>
      <c r="K2334" t="s">
        <v>265</v>
      </c>
      <c r="L2334" t="s">
        <v>277</v>
      </c>
      <c r="M2334" t="s">
        <v>286</v>
      </c>
      <c r="N2334" t="s">
        <v>296</v>
      </c>
      <c r="O2334" t="s">
        <v>304</v>
      </c>
      <c r="P2334" t="s">
        <v>311</v>
      </c>
      <c r="Q2334" t="s">
        <v>318</v>
      </c>
      <c r="R2334" t="s">
        <v>185</v>
      </c>
      <c r="S2334" t="s">
        <v>159</v>
      </c>
      <c r="T2334" t="s">
        <v>185</v>
      </c>
      <c r="U2334" t="s">
        <v>339</v>
      </c>
      <c r="V2334" t="s">
        <v>72</v>
      </c>
      <c r="W2334" t="s">
        <v>347</v>
      </c>
      <c r="X2334" t="s">
        <v>72</v>
      </c>
      <c r="Y2334" t="s">
        <v>96</v>
      </c>
      <c r="AK2334" t="s">
        <v>358</v>
      </c>
    </row>
    <row r="2335" spans="1:37">
      <c r="B2335" t="s">
        <v>58</v>
      </c>
      <c r="C2335" t="s">
        <v>80</v>
      </c>
      <c r="D2335" t="s">
        <v>99</v>
      </c>
      <c r="E2335" t="s">
        <v>118</v>
      </c>
      <c r="F2335" t="s">
        <v>152</v>
      </c>
      <c r="G2335" t="s">
        <v>178</v>
      </c>
      <c r="H2335" t="s">
        <v>213</v>
      </c>
      <c r="I2335" t="s">
        <v>233</v>
      </c>
      <c r="J2335" t="s">
        <v>252</v>
      </c>
      <c r="K2335" t="s">
        <v>266</v>
      </c>
      <c r="L2335" t="s">
        <v>278</v>
      </c>
      <c r="M2335" t="s">
        <v>287</v>
      </c>
      <c r="N2335" t="s">
        <v>297</v>
      </c>
      <c r="O2335" t="s">
        <v>305</v>
      </c>
      <c r="P2335" t="s">
        <v>312</v>
      </c>
      <c r="Q2335" t="s">
        <v>319</v>
      </c>
      <c r="R2335">
        <f>&gt;10       ветра      2.9     19  28</f>
        <v>0</v>
      </c>
      <c r="AK2335" t="s">
        <v>358</v>
      </c>
    </row>
    <row r="2336" spans="1:37">
      <c r="A2336" t="s">
        <v>40</v>
      </c>
      <c r="B2336" t="s">
        <v>59</v>
      </c>
      <c r="C2336" t="s">
        <v>81</v>
      </c>
      <c r="D2336" t="s">
        <v>100</v>
      </c>
      <c r="E2336" t="s">
        <v>119</v>
      </c>
      <c r="F2336" t="s">
        <v>153</v>
      </c>
      <c r="G2336" t="s">
        <v>179</v>
      </c>
      <c r="H2336" t="s">
        <v>214</v>
      </c>
      <c r="I2336" t="s">
        <v>234</v>
      </c>
      <c r="AK2336" t="s">
        <v>358</v>
      </c>
    </row>
    <row r="2337" spans="1:37">
      <c r="A2337" t="s">
        <v>40</v>
      </c>
      <c r="B2337" t="s">
        <v>60</v>
      </c>
      <c r="C2337" t="s">
        <v>82</v>
      </c>
      <c r="D2337" t="s">
        <v>101</v>
      </c>
      <c r="E2337" t="s">
        <v>120</v>
      </c>
      <c r="F2337" t="s">
        <v>154</v>
      </c>
      <c r="G2337" t="s">
        <v>180</v>
      </c>
      <c r="H2337" t="s">
        <v>215</v>
      </c>
      <c r="I2337" t="s">
        <v>235</v>
      </c>
      <c r="J2337" t="s">
        <v>253</v>
      </c>
      <c r="K2337" t="s">
        <v>267</v>
      </c>
      <c r="L2337" t="s">
        <v>279</v>
      </c>
      <c r="M2337" t="s">
        <v>288</v>
      </c>
      <c r="N2337" t="s">
        <v>100</v>
      </c>
      <c r="O2337" t="s">
        <v>306</v>
      </c>
      <c r="P2337" t="s">
        <v>313</v>
      </c>
      <c r="Q2337" t="s">
        <v>320</v>
      </c>
      <c r="R2337" t="s">
        <v>325</v>
      </c>
      <c r="S2337" t="s">
        <v>332</v>
      </c>
      <c r="T2337" t="s">
        <v>119</v>
      </c>
      <c r="U2337" t="s">
        <v>234</v>
      </c>
      <c r="V2337" t="s">
        <v>343</v>
      </c>
      <c r="W2337" t="s">
        <v>348</v>
      </c>
      <c r="X2337" t="s">
        <v>352</v>
      </c>
      <c r="Y2337" t="s">
        <v>354</v>
      </c>
      <c r="AK2337" t="s">
        <v>358</v>
      </c>
    </row>
    <row r="2338" spans="1:37">
      <c r="A2338" t="s">
        <v>41</v>
      </c>
      <c r="B2338" t="s">
        <v>61</v>
      </c>
      <c r="C2338" t="s">
        <v>83</v>
      </c>
      <c r="D2338" t="s">
        <v>102</v>
      </c>
      <c r="E2338" t="s">
        <v>121</v>
      </c>
      <c r="F2338" t="s">
        <v>155</v>
      </c>
      <c r="G2338" t="s">
        <v>181</v>
      </c>
      <c r="H2338" t="s">
        <v>216</v>
      </c>
      <c r="I2338" t="s">
        <v>236</v>
      </c>
      <c r="AK2338" t="s">
        <v>358</v>
      </c>
    </row>
    <row r="2339" spans="1:37">
      <c r="A2339" t="s">
        <v>42</v>
      </c>
      <c r="B2339" t="s">
        <v>62</v>
      </c>
      <c r="C2339" t="s">
        <v>84</v>
      </c>
      <c r="D2339" t="s">
        <v>103</v>
      </c>
      <c r="E2339" t="s">
        <v>122</v>
      </c>
      <c r="F2339" t="s">
        <v>156</v>
      </c>
      <c r="G2339" t="s">
        <v>182</v>
      </c>
      <c r="H2339" t="s">
        <v>83</v>
      </c>
      <c r="I2339" t="s">
        <v>237</v>
      </c>
      <c r="J2339" t="s">
        <v>254</v>
      </c>
      <c r="K2339" t="s">
        <v>268</v>
      </c>
      <c r="L2339" t="s">
        <v>280</v>
      </c>
      <c r="M2339" t="s">
        <v>289</v>
      </c>
      <c r="N2339" t="s">
        <v>298</v>
      </c>
      <c r="O2339" t="s">
        <v>307</v>
      </c>
      <c r="P2339" t="s">
        <v>314</v>
      </c>
      <c r="Q2339" t="s">
        <v>216</v>
      </c>
      <c r="R2339" t="s">
        <v>326</v>
      </c>
      <c r="S2339" t="s">
        <v>333</v>
      </c>
      <c r="T2339" t="s">
        <v>335</v>
      </c>
      <c r="U2339" t="s">
        <v>340</v>
      </c>
      <c r="V2339" t="s">
        <v>344</v>
      </c>
      <c r="W2339" t="s">
        <v>349</v>
      </c>
      <c r="AK2339" t="s">
        <v>358</v>
      </c>
    </row>
    <row r="2340" spans="1:37">
      <c r="A2340" t="s">
        <v>43</v>
      </c>
      <c r="B2340" t="s">
        <v>63</v>
      </c>
      <c r="C2340" t="s">
        <v>85</v>
      </c>
      <c r="D2340" t="s">
        <v>104</v>
      </c>
      <c r="E2340" t="s">
        <v>123</v>
      </c>
      <c r="F2340" t="s">
        <v>157</v>
      </c>
      <c r="G2340" t="s">
        <v>183</v>
      </c>
      <c r="AK2340" t="s">
        <v>358</v>
      </c>
    </row>
    <row r="2341" spans="1:37">
      <c r="A2341" t="s">
        <v>44</v>
      </c>
      <c r="B2341" t="s">
        <v>64</v>
      </c>
      <c r="C2341" t="s">
        <v>86</v>
      </c>
      <c r="D2341" t="s">
        <v>105</v>
      </c>
      <c r="E2341" t="s">
        <v>124</v>
      </c>
      <c r="F2341" t="s">
        <v>158</v>
      </c>
      <c r="G2341" t="s">
        <v>184</v>
      </c>
      <c r="AK2341" t="s">
        <v>358</v>
      </c>
    </row>
    <row r="2342" spans="1:37">
      <c r="A2342" t="s">
        <v>45</v>
      </c>
      <c r="B2342" t="s">
        <v>65</v>
      </c>
      <c r="C2342" t="s">
        <v>87</v>
      </c>
      <c r="D2342" t="s">
        <v>106</v>
      </c>
      <c r="E2342" t="s">
        <v>125</v>
      </c>
      <c r="F2342" t="s">
        <v>159</v>
      </c>
      <c r="G2342" t="s">
        <v>185</v>
      </c>
      <c r="H2342" t="s">
        <v>159</v>
      </c>
      <c r="I2342" t="s">
        <v>185</v>
      </c>
      <c r="J2342" t="s">
        <v>255</v>
      </c>
      <c r="AK2342" t="s">
        <v>358</v>
      </c>
    </row>
    <row r="2343" spans="1:37">
      <c r="A2343" t="s">
        <v>46</v>
      </c>
      <c r="B2343" t="s">
        <v>66</v>
      </c>
      <c r="C2343" t="s">
        <v>88</v>
      </c>
      <c r="D2343" t="s">
        <v>76</v>
      </c>
      <c r="E2343" t="s">
        <v>126</v>
      </c>
      <c r="F2343" t="s">
        <v>160</v>
      </c>
      <c r="G2343" t="s">
        <v>186</v>
      </c>
      <c r="H2343" t="s">
        <v>217</v>
      </c>
      <c r="I2343" t="s">
        <v>238</v>
      </c>
      <c r="J2343" t="s">
        <v>256</v>
      </c>
      <c r="K2343" t="s">
        <v>265</v>
      </c>
      <c r="L2343" t="s">
        <v>281</v>
      </c>
      <c r="M2343" t="s">
        <v>290</v>
      </c>
      <c r="N2343" t="s">
        <v>299</v>
      </c>
      <c r="O2343" t="s">
        <v>308</v>
      </c>
      <c r="P2343" t="s">
        <v>228</v>
      </c>
      <c r="Q2343" t="s">
        <v>72</v>
      </c>
      <c r="R2343" t="s">
        <v>327</v>
      </c>
      <c r="S2343" t="s">
        <v>327</v>
      </c>
      <c r="T2343" t="s">
        <v>336</v>
      </c>
      <c r="U2343" t="s">
        <v>336</v>
      </c>
      <c r="V2343" t="s">
        <v>336</v>
      </c>
      <c r="W2343" t="s">
        <v>336</v>
      </c>
      <c r="X2343" t="s">
        <v>353</v>
      </c>
      <c r="AK2343" t="s">
        <v>358</v>
      </c>
    </row>
    <row r="2344" spans="1:37">
      <c r="B2344" t="s">
        <v>67</v>
      </c>
      <c r="C2344" t="s">
        <v>89</v>
      </c>
      <c r="D2344" t="s">
        <v>107</v>
      </c>
      <c r="AK2344" t="s">
        <v>358</v>
      </c>
    </row>
    <row r="2345" spans="1:37">
      <c r="B2345" t="s">
        <v>68</v>
      </c>
      <c r="C2345" t="s">
        <v>90</v>
      </c>
      <c r="D2345" t="s">
        <v>108</v>
      </c>
      <c r="AK2345" t="s">
        <v>358</v>
      </c>
    </row>
    <row r="2346" spans="1:37">
      <c r="A2346" t="s">
        <v>47</v>
      </c>
      <c r="B2346" t="s">
        <v>69</v>
      </c>
      <c r="C2346" t="s">
        <v>91</v>
      </c>
      <c r="D2346" t="s">
        <v>109</v>
      </c>
      <c r="E2346" t="s">
        <v>109</v>
      </c>
      <c r="F2346" t="s">
        <v>109</v>
      </c>
      <c r="G2346" t="s">
        <v>109</v>
      </c>
      <c r="H2346" t="s">
        <v>109</v>
      </c>
      <c r="I2346" t="s">
        <v>239</v>
      </c>
      <c r="AK2346" t="s">
        <v>358</v>
      </c>
    </row>
    <row r="2347" spans="1:37">
      <c r="B2347" t="s">
        <v>70</v>
      </c>
      <c r="C2347" t="s">
        <v>92</v>
      </c>
      <c r="D2347" t="s">
        <v>110</v>
      </c>
      <c r="E2347" t="s">
        <v>127</v>
      </c>
      <c r="F2347" t="s">
        <v>161</v>
      </c>
      <c r="G2347" t="s">
        <v>187</v>
      </c>
      <c r="H2347" t="s">
        <v>218</v>
      </c>
      <c r="AK2347" t="s">
        <v>358</v>
      </c>
    </row>
    <row r="2348" spans="1:37">
      <c r="B2348" t="s">
        <v>71</v>
      </c>
      <c r="C2348" t="s">
        <v>93</v>
      </c>
      <c r="D2348" t="s">
        <v>111</v>
      </c>
      <c r="E2348" t="s">
        <v>128</v>
      </c>
      <c r="F2348" t="s">
        <v>162</v>
      </c>
      <c r="G2348" t="s">
        <v>188</v>
      </c>
      <c r="H2348" t="s">
        <v>219</v>
      </c>
      <c r="I2348" t="s">
        <v>240</v>
      </c>
      <c r="J2348" t="s">
        <v>257</v>
      </c>
      <c r="K2348" t="s">
        <v>269</v>
      </c>
      <c r="L2348" t="s">
        <v>109</v>
      </c>
      <c r="M2348" t="s">
        <v>109</v>
      </c>
      <c r="N2348" t="s">
        <v>109</v>
      </c>
      <c r="O2348" t="s">
        <v>109</v>
      </c>
      <c r="P2348" t="s">
        <v>109</v>
      </c>
      <c r="Q2348" t="s">
        <v>321</v>
      </c>
      <c r="AK2348" t="s">
        <v>358</v>
      </c>
    </row>
    <row r="2349" spans="1:37">
      <c r="A2349" t="s">
        <v>48</v>
      </c>
      <c r="B2349" t="s">
        <v>71</v>
      </c>
      <c r="C2349" t="s">
        <v>93</v>
      </c>
      <c r="D2349" t="s">
        <v>111</v>
      </c>
      <c r="E2349" t="s">
        <v>128</v>
      </c>
      <c r="F2349" t="s">
        <v>163</v>
      </c>
      <c r="G2349" t="s">
        <v>189</v>
      </c>
      <c r="H2349" t="s">
        <v>220</v>
      </c>
      <c r="I2349" t="s">
        <v>241</v>
      </c>
      <c r="J2349" t="s">
        <v>258</v>
      </c>
      <c r="K2349" t="s">
        <v>270</v>
      </c>
      <c r="AK2349" t="s">
        <v>358</v>
      </c>
    </row>
    <row r="2350" spans="1:37">
      <c r="B2350" t="s">
        <v>72</v>
      </c>
      <c r="C2350" t="s">
        <v>72</v>
      </c>
      <c r="D2350" t="s">
        <v>72</v>
      </c>
      <c r="E2350" t="s">
        <v>72</v>
      </c>
      <c r="F2350" t="s">
        <v>72</v>
      </c>
      <c r="G2350" t="s">
        <v>72</v>
      </c>
      <c r="H2350" t="s">
        <v>72</v>
      </c>
      <c r="I2350" t="s">
        <v>72</v>
      </c>
      <c r="J2350" t="s">
        <v>72</v>
      </c>
      <c r="K2350" t="s">
        <v>272</v>
      </c>
      <c r="AK2350" t="s">
        <v>358</v>
      </c>
    </row>
    <row r="2351" spans="1:37">
      <c r="A2351" t="s">
        <v>37</v>
      </c>
      <c r="B2351" t="s">
        <v>49</v>
      </c>
      <c r="C2351" t="s">
        <v>73</v>
      </c>
      <c r="D2351" t="s">
        <v>94</v>
      </c>
      <c r="E2351" t="s">
        <v>112</v>
      </c>
      <c r="F2351" t="s">
        <v>146</v>
      </c>
      <c r="G2351" t="s">
        <v>172</v>
      </c>
      <c r="H2351" t="s">
        <v>207</v>
      </c>
      <c r="I2351" t="s">
        <v>226</v>
      </c>
      <c r="J2351" t="s">
        <v>246</v>
      </c>
      <c r="K2351" t="s">
        <v>259</v>
      </c>
      <c r="AK2351" t="s">
        <v>358</v>
      </c>
    </row>
    <row r="2352" spans="1:37">
      <c r="A2352" t="s">
        <v>38</v>
      </c>
      <c r="B2352" t="s">
        <v>50</v>
      </c>
      <c r="C2352" t="s">
        <v>74</v>
      </c>
      <c r="D2352" t="s">
        <v>95</v>
      </c>
      <c r="E2352" t="s">
        <v>113</v>
      </c>
      <c r="F2352" t="s">
        <v>147</v>
      </c>
      <c r="G2352" t="s">
        <v>173</v>
      </c>
      <c r="H2352" t="s">
        <v>208</v>
      </c>
      <c r="I2352" t="s">
        <v>227</v>
      </c>
      <c r="J2352" t="s">
        <v>115</v>
      </c>
      <c r="K2352" t="s">
        <v>260</v>
      </c>
      <c r="L2352" t="s">
        <v>273</v>
      </c>
      <c r="M2352" t="s">
        <v>282</v>
      </c>
      <c r="N2352" t="s">
        <v>291</v>
      </c>
      <c r="AK2352" t="s">
        <v>358</v>
      </c>
    </row>
    <row r="2353" spans="1:37">
      <c r="B2353" t="s">
        <v>51</v>
      </c>
      <c r="C2353" t="s">
        <v>75</v>
      </c>
      <c r="D2353" t="s">
        <v>52</v>
      </c>
      <c r="E2353" t="s">
        <v>114</v>
      </c>
      <c r="F2353" t="s">
        <v>148</v>
      </c>
      <c r="G2353" t="s">
        <v>148</v>
      </c>
      <c r="H2353" t="s">
        <v>209</v>
      </c>
      <c r="I2353" t="s">
        <v>228</v>
      </c>
      <c r="J2353" t="s">
        <v>247</v>
      </c>
      <c r="K2353" t="s">
        <v>261</v>
      </c>
      <c r="L2353" t="s">
        <v>274</v>
      </c>
      <c r="M2353" t="s">
        <v>283</v>
      </c>
      <c r="N2353" t="s">
        <v>292</v>
      </c>
      <c r="O2353" t="s">
        <v>300</v>
      </c>
      <c r="AK2353" t="s">
        <v>358</v>
      </c>
    </row>
    <row r="2354" spans="1:37">
      <c r="B2354" t="s">
        <v>52</v>
      </c>
      <c r="C2354" t="s">
        <v>76</v>
      </c>
      <c r="D2354" t="s">
        <v>96</v>
      </c>
      <c r="E2354" t="s">
        <v>115</v>
      </c>
      <c r="F2354" t="s">
        <v>149</v>
      </c>
      <c r="G2354" t="s">
        <v>174</v>
      </c>
      <c r="H2354" t="s">
        <v>96</v>
      </c>
      <c r="I2354" t="s">
        <v>229</v>
      </c>
      <c r="J2354" t="s">
        <v>248</v>
      </c>
      <c r="K2354" t="s">
        <v>262</v>
      </c>
      <c r="L2354" t="s">
        <v>52</v>
      </c>
      <c r="M2354" t="s">
        <v>76</v>
      </c>
      <c r="N2354" t="s">
        <v>293</v>
      </c>
      <c r="O2354" t="s">
        <v>301</v>
      </c>
      <c r="P2354" t="s">
        <v>309</v>
      </c>
      <c r="Q2354" t="s">
        <v>315</v>
      </c>
      <c r="R2354" t="s">
        <v>228</v>
      </c>
      <c r="S2354" t="s">
        <v>328</v>
      </c>
      <c r="T2354" t="s">
        <v>149</v>
      </c>
      <c r="U2354" t="s">
        <v>337</v>
      </c>
      <c r="V2354" t="s">
        <v>341</v>
      </c>
      <c r="W2354" t="s">
        <v>345</v>
      </c>
      <c r="X2354" t="s">
        <v>350</v>
      </c>
      <c r="AK2354" t="s">
        <v>358</v>
      </c>
    </row>
    <row r="2355" spans="1:37">
      <c r="B2355" t="s">
        <v>53</v>
      </c>
      <c r="C2355" t="s">
        <v>77</v>
      </c>
      <c r="D2355" t="s">
        <v>97</v>
      </c>
      <c r="E2355" t="s">
        <v>116</v>
      </c>
      <c r="F2355" t="s">
        <v>150</v>
      </c>
      <c r="G2355" t="s">
        <v>175</v>
      </c>
      <c r="H2355" t="s">
        <v>210</v>
      </c>
      <c r="I2355" t="s">
        <v>230</v>
      </c>
      <c r="J2355" t="s">
        <v>249</v>
      </c>
      <c r="K2355" t="s">
        <v>263</v>
      </c>
      <c r="L2355" t="s">
        <v>275</v>
      </c>
      <c r="M2355" t="s">
        <v>284</v>
      </c>
      <c r="N2355" t="s">
        <v>294</v>
      </c>
      <c r="O2355" t="s">
        <v>302</v>
      </c>
      <c r="P2355" t="s">
        <v>310</v>
      </c>
      <c r="Q2355" t="s">
        <v>316</v>
      </c>
      <c r="R2355" t="s">
        <v>322</v>
      </c>
      <c r="S2355" t="s">
        <v>329</v>
      </c>
      <c r="AK2355" t="s">
        <v>358</v>
      </c>
    </row>
    <row r="2356" spans="1:37">
      <c r="A2356" t="s">
        <v>39</v>
      </c>
      <c r="B2356" t="s">
        <v>54</v>
      </c>
      <c r="C2356" t="s">
        <v>54</v>
      </c>
      <c r="D2356" t="s">
        <v>54</v>
      </c>
      <c r="E2356" t="s">
        <v>54</v>
      </c>
      <c r="F2356" t="s">
        <v>54</v>
      </c>
      <c r="G2356" t="s">
        <v>54</v>
      </c>
      <c r="H2356" t="s">
        <v>54</v>
      </c>
      <c r="I2356" t="s">
        <v>54</v>
      </c>
      <c r="J2356" t="s">
        <v>54</v>
      </c>
      <c r="K2356" t="s">
        <v>54</v>
      </c>
      <c r="L2356" t="s">
        <v>54</v>
      </c>
      <c r="M2356" t="s">
        <v>54</v>
      </c>
      <c r="N2356" t="s">
        <v>54</v>
      </c>
      <c r="O2356" t="s">
        <v>54</v>
      </c>
      <c r="P2356" t="s">
        <v>54</v>
      </c>
      <c r="Q2356" t="s">
        <v>54</v>
      </c>
      <c r="R2356" t="s">
        <v>323</v>
      </c>
      <c r="S2356" t="s">
        <v>330</v>
      </c>
      <c r="AK2356" t="s">
        <v>358</v>
      </c>
    </row>
    <row r="2357" spans="1:37">
      <c r="B2357" t="s">
        <v>55</v>
      </c>
      <c r="C2357" t="s">
        <v>78</v>
      </c>
      <c r="D2357" t="s">
        <v>55</v>
      </c>
      <c r="E2357" t="s">
        <v>78</v>
      </c>
      <c r="F2357" t="s">
        <v>55</v>
      </c>
      <c r="G2357" t="s">
        <v>78</v>
      </c>
      <c r="H2357" t="s">
        <v>55</v>
      </c>
      <c r="I2357" t="s">
        <v>78</v>
      </c>
      <c r="J2357" t="s">
        <v>55</v>
      </c>
      <c r="K2357" t="s">
        <v>78</v>
      </c>
      <c r="L2357" t="s">
        <v>55</v>
      </c>
      <c r="M2357" t="s">
        <v>78</v>
      </c>
      <c r="N2357" t="s">
        <v>55</v>
      </c>
      <c r="O2357" t="s">
        <v>78</v>
      </c>
      <c r="P2357" t="s">
        <v>55</v>
      </c>
      <c r="Q2357" t="s">
        <v>78</v>
      </c>
      <c r="R2357" t="s">
        <v>55</v>
      </c>
      <c r="S2357" t="s">
        <v>78</v>
      </c>
      <c r="T2357" t="s">
        <v>55</v>
      </c>
      <c r="U2357" t="s">
        <v>78</v>
      </c>
      <c r="V2357" t="s">
        <v>55</v>
      </c>
      <c r="W2357" t="s">
        <v>78</v>
      </c>
      <c r="X2357" t="s">
        <v>55</v>
      </c>
      <c r="Y2357" t="s">
        <v>78</v>
      </c>
      <c r="Z2357" t="s">
        <v>55</v>
      </c>
      <c r="AA2357" t="s">
        <v>78</v>
      </c>
      <c r="AB2357" t="s">
        <v>55</v>
      </c>
      <c r="AC2357" t="s">
        <v>78</v>
      </c>
      <c r="AD2357" t="s">
        <v>55</v>
      </c>
      <c r="AE2357" t="s">
        <v>78</v>
      </c>
      <c r="AF2357" t="s">
        <v>55</v>
      </c>
      <c r="AG2357" t="s">
        <v>78</v>
      </c>
      <c r="AH2357" t="s">
        <v>55</v>
      </c>
      <c r="AI2357" t="s">
        <v>78</v>
      </c>
      <c r="AK2357" t="s">
        <v>358</v>
      </c>
    </row>
    <row r="2358" spans="1:37">
      <c r="B2358" t="s">
        <v>56</v>
      </c>
      <c r="C2358" t="s">
        <v>56</v>
      </c>
      <c r="D2358" t="s">
        <v>56</v>
      </c>
      <c r="E2358" t="s">
        <v>56</v>
      </c>
      <c r="F2358" t="s">
        <v>56</v>
      </c>
      <c r="G2358" t="s">
        <v>176</v>
      </c>
      <c r="H2358" t="s">
        <v>211</v>
      </c>
      <c r="I2358" t="s">
        <v>231</v>
      </c>
      <c r="J2358" t="s">
        <v>250</v>
      </c>
      <c r="K2358" t="s">
        <v>264</v>
      </c>
      <c r="L2358" t="s">
        <v>276</v>
      </c>
      <c r="M2358" t="s">
        <v>285</v>
      </c>
      <c r="N2358" t="s">
        <v>295</v>
      </c>
      <c r="O2358" t="s">
        <v>303</v>
      </c>
      <c r="P2358" t="s">
        <v>56</v>
      </c>
      <c r="Q2358" t="s">
        <v>317</v>
      </c>
      <c r="R2358" t="s">
        <v>324</v>
      </c>
      <c r="S2358" t="s">
        <v>331</v>
      </c>
      <c r="T2358" t="s">
        <v>334</v>
      </c>
      <c r="U2358" t="s">
        <v>338</v>
      </c>
      <c r="V2358" t="s">
        <v>342</v>
      </c>
      <c r="W2358" t="s">
        <v>346</v>
      </c>
      <c r="X2358" t="s">
        <v>351</v>
      </c>
      <c r="AK2358" t="s">
        <v>358</v>
      </c>
    </row>
    <row r="2359" spans="1:37">
      <c r="B2359" t="s">
        <v>57</v>
      </c>
      <c r="C2359" t="s">
        <v>79</v>
      </c>
      <c r="D2359" t="s">
        <v>98</v>
      </c>
      <c r="E2359" t="s">
        <v>117</v>
      </c>
      <c r="F2359" t="s">
        <v>151</v>
      </c>
      <c r="G2359" t="s">
        <v>177</v>
      </c>
      <c r="H2359" t="s">
        <v>212</v>
      </c>
      <c r="I2359" t="s">
        <v>232</v>
      </c>
      <c r="J2359" t="s">
        <v>251</v>
      </c>
      <c r="K2359" t="s">
        <v>265</v>
      </c>
      <c r="L2359" t="s">
        <v>277</v>
      </c>
      <c r="M2359" t="s">
        <v>286</v>
      </c>
      <c r="N2359" t="s">
        <v>296</v>
      </c>
      <c r="O2359" t="s">
        <v>304</v>
      </c>
      <c r="P2359" t="s">
        <v>311</v>
      </c>
      <c r="Q2359" t="s">
        <v>318</v>
      </c>
      <c r="R2359" t="s">
        <v>185</v>
      </c>
      <c r="S2359" t="s">
        <v>159</v>
      </c>
      <c r="T2359" t="s">
        <v>185</v>
      </c>
      <c r="U2359" t="s">
        <v>339</v>
      </c>
      <c r="V2359" t="s">
        <v>72</v>
      </c>
      <c r="W2359" t="s">
        <v>347</v>
      </c>
      <c r="X2359" t="s">
        <v>72</v>
      </c>
      <c r="Y2359" t="s">
        <v>96</v>
      </c>
      <c r="AK2359" t="s">
        <v>358</v>
      </c>
    </row>
    <row r="2360" spans="1:37">
      <c r="B2360" t="s">
        <v>58</v>
      </c>
      <c r="C2360" t="s">
        <v>80</v>
      </c>
      <c r="D2360" t="s">
        <v>99</v>
      </c>
      <c r="E2360" t="s">
        <v>118</v>
      </c>
      <c r="F2360" t="s">
        <v>152</v>
      </c>
      <c r="G2360" t="s">
        <v>178</v>
      </c>
      <c r="H2360" t="s">
        <v>213</v>
      </c>
      <c r="I2360" t="s">
        <v>233</v>
      </c>
      <c r="J2360" t="s">
        <v>252</v>
      </c>
      <c r="K2360" t="s">
        <v>266</v>
      </c>
      <c r="L2360" t="s">
        <v>278</v>
      </c>
      <c r="M2360" t="s">
        <v>287</v>
      </c>
      <c r="N2360" t="s">
        <v>297</v>
      </c>
      <c r="O2360" t="s">
        <v>305</v>
      </c>
      <c r="P2360" t="s">
        <v>312</v>
      </c>
      <c r="Q2360" t="s">
        <v>319</v>
      </c>
      <c r="R2360">
        <f>&gt;10       ветра      3.0     20  26</f>
        <v>0</v>
      </c>
      <c r="AK2360" t="s">
        <v>358</v>
      </c>
    </row>
    <row r="2361" spans="1:37">
      <c r="A2361" t="s">
        <v>40</v>
      </c>
      <c r="B2361" t="s">
        <v>59</v>
      </c>
      <c r="C2361" t="s">
        <v>81</v>
      </c>
      <c r="D2361" t="s">
        <v>100</v>
      </c>
      <c r="E2361" t="s">
        <v>119</v>
      </c>
      <c r="F2361" t="s">
        <v>153</v>
      </c>
      <c r="G2361" t="s">
        <v>179</v>
      </c>
      <c r="H2361" t="s">
        <v>214</v>
      </c>
      <c r="I2361" t="s">
        <v>234</v>
      </c>
      <c r="AK2361" t="s">
        <v>358</v>
      </c>
    </row>
    <row r="2362" spans="1:37">
      <c r="A2362" t="s">
        <v>40</v>
      </c>
      <c r="B2362" t="s">
        <v>60</v>
      </c>
      <c r="C2362" t="s">
        <v>82</v>
      </c>
      <c r="D2362" t="s">
        <v>101</v>
      </c>
      <c r="E2362" t="s">
        <v>120</v>
      </c>
      <c r="F2362" t="s">
        <v>154</v>
      </c>
      <c r="G2362" t="s">
        <v>180</v>
      </c>
      <c r="H2362" t="s">
        <v>215</v>
      </c>
      <c r="I2362" t="s">
        <v>235</v>
      </c>
      <c r="J2362" t="s">
        <v>253</v>
      </c>
      <c r="K2362" t="s">
        <v>267</v>
      </c>
      <c r="L2362" t="s">
        <v>279</v>
      </c>
      <c r="M2362" t="s">
        <v>288</v>
      </c>
      <c r="N2362" t="s">
        <v>100</v>
      </c>
      <c r="O2362" t="s">
        <v>306</v>
      </c>
      <c r="P2362" t="s">
        <v>313</v>
      </c>
      <c r="Q2362" t="s">
        <v>320</v>
      </c>
      <c r="R2362" t="s">
        <v>325</v>
      </c>
      <c r="S2362" t="s">
        <v>332</v>
      </c>
      <c r="T2362" t="s">
        <v>119</v>
      </c>
      <c r="U2362" t="s">
        <v>234</v>
      </c>
      <c r="V2362" t="s">
        <v>343</v>
      </c>
      <c r="W2362" t="s">
        <v>348</v>
      </c>
      <c r="X2362" t="s">
        <v>352</v>
      </c>
      <c r="Y2362" t="s">
        <v>354</v>
      </c>
      <c r="AK2362" t="s">
        <v>358</v>
      </c>
    </row>
    <row r="2363" spans="1:37">
      <c r="A2363" t="s">
        <v>41</v>
      </c>
      <c r="B2363" t="s">
        <v>61</v>
      </c>
      <c r="C2363" t="s">
        <v>83</v>
      </c>
      <c r="D2363" t="s">
        <v>102</v>
      </c>
      <c r="E2363" t="s">
        <v>121</v>
      </c>
      <c r="F2363" t="s">
        <v>155</v>
      </c>
      <c r="G2363" t="s">
        <v>181</v>
      </c>
      <c r="H2363" t="s">
        <v>216</v>
      </c>
      <c r="I2363" t="s">
        <v>236</v>
      </c>
      <c r="AK2363" t="s">
        <v>358</v>
      </c>
    </row>
    <row r="2364" spans="1:37">
      <c r="A2364" t="s">
        <v>42</v>
      </c>
      <c r="B2364" t="s">
        <v>62</v>
      </c>
      <c r="C2364" t="s">
        <v>84</v>
      </c>
      <c r="D2364" t="s">
        <v>103</v>
      </c>
      <c r="E2364" t="s">
        <v>122</v>
      </c>
      <c r="F2364" t="s">
        <v>156</v>
      </c>
      <c r="G2364" t="s">
        <v>182</v>
      </c>
      <c r="H2364" t="s">
        <v>83</v>
      </c>
      <c r="I2364" t="s">
        <v>237</v>
      </c>
      <c r="J2364" t="s">
        <v>254</v>
      </c>
      <c r="K2364" t="s">
        <v>268</v>
      </c>
      <c r="L2364" t="s">
        <v>280</v>
      </c>
      <c r="M2364" t="s">
        <v>289</v>
      </c>
      <c r="N2364" t="s">
        <v>298</v>
      </c>
      <c r="O2364" t="s">
        <v>307</v>
      </c>
      <c r="P2364" t="s">
        <v>314</v>
      </c>
      <c r="Q2364" t="s">
        <v>216</v>
      </c>
      <c r="R2364" t="s">
        <v>326</v>
      </c>
      <c r="S2364" t="s">
        <v>333</v>
      </c>
      <c r="T2364" t="s">
        <v>335</v>
      </c>
      <c r="U2364" t="s">
        <v>340</v>
      </c>
      <c r="V2364" t="s">
        <v>344</v>
      </c>
      <c r="W2364" t="s">
        <v>349</v>
      </c>
      <c r="AK2364" t="s">
        <v>358</v>
      </c>
    </row>
    <row r="2365" spans="1:37">
      <c r="A2365" t="s">
        <v>43</v>
      </c>
      <c r="B2365" t="s">
        <v>63</v>
      </c>
      <c r="C2365" t="s">
        <v>85</v>
      </c>
      <c r="D2365" t="s">
        <v>104</v>
      </c>
      <c r="E2365" t="s">
        <v>123</v>
      </c>
      <c r="F2365" t="s">
        <v>157</v>
      </c>
      <c r="G2365" t="s">
        <v>183</v>
      </c>
      <c r="AK2365" t="s">
        <v>358</v>
      </c>
    </row>
    <row r="2366" spans="1:37">
      <c r="A2366" t="s">
        <v>44</v>
      </c>
      <c r="B2366" t="s">
        <v>64</v>
      </c>
      <c r="C2366" t="s">
        <v>86</v>
      </c>
      <c r="D2366" t="s">
        <v>105</v>
      </c>
      <c r="E2366" t="s">
        <v>124</v>
      </c>
      <c r="F2366" t="s">
        <v>158</v>
      </c>
      <c r="G2366" t="s">
        <v>184</v>
      </c>
      <c r="AK2366" t="s">
        <v>358</v>
      </c>
    </row>
    <row r="2367" spans="1:37">
      <c r="A2367" t="s">
        <v>45</v>
      </c>
      <c r="B2367" t="s">
        <v>65</v>
      </c>
      <c r="C2367" t="s">
        <v>87</v>
      </c>
      <c r="D2367" t="s">
        <v>106</v>
      </c>
      <c r="E2367" t="s">
        <v>125</v>
      </c>
      <c r="F2367" t="s">
        <v>159</v>
      </c>
      <c r="G2367" t="s">
        <v>185</v>
      </c>
      <c r="H2367" t="s">
        <v>159</v>
      </c>
      <c r="I2367" t="s">
        <v>185</v>
      </c>
      <c r="J2367" t="s">
        <v>255</v>
      </c>
      <c r="AK2367" t="s">
        <v>358</v>
      </c>
    </row>
    <row r="2368" spans="1:37">
      <c r="A2368" t="s">
        <v>46</v>
      </c>
      <c r="B2368" t="s">
        <v>66</v>
      </c>
      <c r="C2368" t="s">
        <v>88</v>
      </c>
      <c r="D2368" t="s">
        <v>76</v>
      </c>
      <c r="E2368" t="s">
        <v>126</v>
      </c>
      <c r="F2368" t="s">
        <v>160</v>
      </c>
      <c r="G2368" t="s">
        <v>186</v>
      </c>
      <c r="H2368" t="s">
        <v>217</v>
      </c>
      <c r="I2368" t="s">
        <v>238</v>
      </c>
      <c r="J2368" t="s">
        <v>256</v>
      </c>
      <c r="K2368" t="s">
        <v>265</v>
      </c>
      <c r="L2368" t="s">
        <v>281</v>
      </c>
      <c r="M2368" t="s">
        <v>290</v>
      </c>
      <c r="N2368" t="s">
        <v>299</v>
      </c>
      <c r="O2368" t="s">
        <v>308</v>
      </c>
      <c r="P2368" t="s">
        <v>228</v>
      </c>
      <c r="Q2368" t="s">
        <v>72</v>
      </c>
      <c r="R2368" t="s">
        <v>327</v>
      </c>
      <c r="S2368" t="s">
        <v>327</v>
      </c>
      <c r="T2368" t="s">
        <v>336</v>
      </c>
      <c r="U2368" t="s">
        <v>336</v>
      </c>
      <c r="V2368" t="s">
        <v>336</v>
      </c>
      <c r="W2368" t="s">
        <v>336</v>
      </c>
      <c r="X2368" t="s">
        <v>353</v>
      </c>
      <c r="AK2368" t="s">
        <v>358</v>
      </c>
    </row>
    <row r="2369" spans="1:37">
      <c r="B2369" t="s">
        <v>67</v>
      </c>
      <c r="C2369" t="s">
        <v>89</v>
      </c>
      <c r="D2369" t="s">
        <v>107</v>
      </c>
      <c r="AK2369" t="s">
        <v>358</v>
      </c>
    </row>
    <row r="2370" spans="1:37">
      <c r="B2370" t="s">
        <v>68</v>
      </c>
      <c r="C2370" t="s">
        <v>90</v>
      </c>
      <c r="D2370" t="s">
        <v>108</v>
      </c>
      <c r="AK2370" t="s">
        <v>358</v>
      </c>
    </row>
    <row r="2371" spans="1:37">
      <c r="A2371" t="s">
        <v>47</v>
      </c>
      <c r="B2371" t="s">
        <v>69</v>
      </c>
      <c r="C2371" t="s">
        <v>91</v>
      </c>
      <c r="D2371" t="s">
        <v>109</v>
      </c>
      <c r="E2371" t="s">
        <v>109</v>
      </c>
      <c r="F2371" t="s">
        <v>109</v>
      </c>
      <c r="G2371" t="s">
        <v>109</v>
      </c>
      <c r="H2371" t="s">
        <v>109</v>
      </c>
      <c r="I2371" t="s">
        <v>239</v>
      </c>
      <c r="AK2371" t="s">
        <v>358</v>
      </c>
    </row>
    <row r="2372" spans="1:37">
      <c r="B2372" t="s">
        <v>70</v>
      </c>
      <c r="C2372" t="s">
        <v>92</v>
      </c>
      <c r="D2372" t="s">
        <v>110</v>
      </c>
      <c r="E2372" t="s">
        <v>127</v>
      </c>
      <c r="F2372" t="s">
        <v>161</v>
      </c>
      <c r="G2372" t="s">
        <v>187</v>
      </c>
      <c r="H2372" t="s">
        <v>218</v>
      </c>
      <c r="AK2372" t="s">
        <v>358</v>
      </c>
    </row>
    <row r="2373" spans="1:37">
      <c r="B2373" t="s">
        <v>71</v>
      </c>
      <c r="C2373" t="s">
        <v>93</v>
      </c>
      <c r="D2373" t="s">
        <v>111</v>
      </c>
      <c r="E2373" t="s">
        <v>128</v>
      </c>
      <c r="F2373" t="s">
        <v>162</v>
      </c>
      <c r="G2373" t="s">
        <v>188</v>
      </c>
      <c r="H2373" t="s">
        <v>219</v>
      </c>
      <c r="I2373" t="s">
        <v>240</v>
      </c>
      <c r="J2373" t="s">
        <v>257</v>
      </c>
      <c r="K2373" t="s">
        <v>269</v>
      </c>
      <c r="L2373" t="s">
        <v>109</v>
      </c>
      <c r="M2373" t="s">
        <v>109</v>
      </c>
      <c r="N2373" t="s">
        <v>109</v>
      </c>
      <c r="O2373" t="s">
        <v>109</v>
      </c>
      <c r="P2373" t="s">
        <v>109</v>
      </c>
      <c r="Q2373" t="s">
        <v>321</v>
      </c>
      <c r="AK2373" t="s">
        <v>358</v>
      </c>
    </row>
    <row r="2374" spans="1:37">
      <c r="A2374" t="s">
        <v>48</v>
      </c>
      <c r="B2374" t="s">
        <v>71</v>
      </c>
      <c r="C2374" t="s">
        <v>93</v>
      </c>
      <c r="D2374" t="s">
        <v>111</v>
      </c>
      <c r="E2374" t="s">
        <v>128</v>
      </c>
      <c r="F2374" t="s">
        <v>163</v>
      </c>
      <c r="G2374" t="s">
        <v>189</v>
      </c>
      <c r="H2374" t="s">
        <v>220</v>
      </c>
      <c r="I2374" t="s">
        <v>241</v>
      </c>
      <c r="J2374" t="s">
        <v>258</v>
      </c>
      <c r="K2374" t="s">
        <v>270</v>
      </c>
      <c r="AK2374" t="s">
        <v>358</v>
      </c>
    </row>
    <row r="2375" spans="1:37">
      <c r="B2375" t="s">
        <v>72</v>
      </c>
      <c r="C2375" t="s">
        <v>72</v>
      </c>
      <c r="D2375" t="s">
        <v>72</v>
      </c>
      <c r="E2375" t="s">
        <v>72</v>
      </c>
      <c r="F2375" t="s">
        <v>72</v>
      </c>
      <c r="G2375" t="s">
        <v>72</v>
      </c>
      <c r="H2375" t="s">
        <v>72</v>
      </c>
      <c r="I2375" t="s">
        <v>72</v>
      </c>
      <c r="J2375" t="s">
        <v>72</v>
      </c>
      <c r="K2375" t="s">
        <v>272</v>
      </c>
      <c r="AK2375" t="s">
        <v>358</v>
      </c>
    </row>
    <row r="2376" spans="1:37">
      <c r="A2376" t="s">
        <v>37</v>
      </c>
      <c r="B2376" t="s">
        <v>49</v>
      </c>
      <c r="C2376" t="s">
        <v>73</v>
      </c>
      <c r="D2376" t="s">
        <v>94</v>
      </c>
      <c r="E2376" t="s">
        <v>112</v>
      </c>
      <c r="F2376" t="s">
        <v>146</v>
      </c>
      <c r="G2376" t="s">
        <v>172</v>
      </c>
      <c r="H2376" t="s">
        <v>207</v>
      </c>
      <c r="I2376" t="s">
        <v>226</v>
      </c>
      <c r="J2376" t="s">
        <v>246</v>
      </c>
      <c r="K2376" t="s">
        <v>259</v>
      </c>
      <c r="AK2376" t="s">
        <v>358</v>
      </c>
    </row>
    <row r="2377" spans="1:37">
      <c r="A2377" t="s">
        <v>38</v>
      </c>
      <c r="B2377" t="s">
        <v>50</v>
      </c>
      <c r="C2377" t="s">
        <v>74</v>
      </c>
      <c r="D2377" t="s">
        <v>95</v>
      </c>
      <c r="E2377" t="s">
        <v>113</v>
      </c>
      <c r="F2377" t="s">
        <v>147</v>
      </c>
      <c r="G2377" t="s">
        <v>173</v>
      </c>
      <c r="H2377" t="s">
        <v>208</v>
      </c>
      <c r="I2377" t="s">
        <v>227</v>
      </c>
      <c r="J2377" t="s">
        <v>115</v>
      </c>
      <c r="K2377" t="s">
        <v>260</v>
      </c>
      <c r="L2377" t="s">
        <v>273</v>
      </c>
      <c r="M2377" t="s">
        <v>282</v>
      </c>
      <c r="N2377" t="s">
        <v>291</v>
      </c>
      <c r="AK2377" t="s">
        <v>358</v>
      </c>
    </row>
    <row r="2378" spans="1:37">
      <c r="B2378" t="s">
        <v>51</v>
      </c>
      <c r="C2378" t="s">
        <v>75</v>
      </c>
      <c r="D2378" t="s">
        <v>52</v>
      </c>
      <c r="E2378" t="s">
        <v>114</v>
      </c>
      <c r="F2378" t="s">
        <v>148</v>
      </c>
      <c r="G2378" t="s">
        <v>148</v>
      </c>
      <c r="H2378" t="s">
        <v>209</v>
      </c>
      <c r="I2378" t="s">
        <v>228</v>
      </c>
      <c r="J2378" t="s">
        <v>247</v>
      </c>
      <c r="K2378" t="s">
        <v>261</v>
      </c>
      <c r="L2378" t="s">
        <v>274</v>
      </c>
      <c r="M2378" t="s">
        <v>283</v>
      </c>
      <c r="N2378" t="s">
        <v>292</v>
      </c>
      <c r="O2378" t="s">
        <v>300</v>
      </c>
      <c r="AK2378" t="s">
        <v>358</v>
      </c>
    </row>
    <row r="2379" spans="1:37">
      <c r="B2379" t="s">
        <v>52</v>
      </c>
      <c r="C2379" t="s">
        <v>76</v>
      </c>
      <c r="D2379" t="s">
        <v>96</v>
      </c>
      <c r="E2379" t="s">
        <v>115</v>
      </c>
      <c r="F2379" t="s">
        <v>149</v>
      </c>
      <c r="G2379" t="s">
        <v>174</v>
      </c>
      <c r="H2379" t="s">
        <v>96</v>
      </c>
      <c r="I2379" t="s">
        <v>229</v>
      </c>
      <c r="J2379" t="s">
        <v>248</v>
      </c>
      <c r="K2379" t="s">
        <v>262</v>
      </c>
      <c r="L2379" t="s">
        <v>52</v>
      </c>
      <c r="M2379" t="s">
        <v>76</v>
      </c>
      <c r="N2379" t="s">
        <v>293</v>
      </c>
      <c r="O2379" t="s">
        <v>301</v>
      </c>
      <c r="P2379" t="s">
        <v>309</v>
      </c>
      <c r="Q2379" t="s">
        <v>315</v>
      </c>
      <c r="R2379" t="s">
        <v>228</v>
      </c>
      <c r="S2379" t="s">
        <v>328</v>
      </c>
      <c r="T2379" t="s">
        <v>149</v>
      </c>
      <c r="U2379" t="s">
        <v>337</v>
      </c>
      <c r="V2379" t="s">
        <v>341</v>
      </c>
      <c r="W2379" t="s">
        <v>345</v>
      </c>
      <c r="X2379" t="s">
        <v>350</v>
      </c>
      <c r="AK2379" t="s">
        <v>358</v>
      </c>
    </row>
    <row r="2380" spans="1:37">
      <c r="B2380" t="s">
        <v>53</v>
      </c>
      <c r="C2380" t="s">
        <v>77</v>
      </c>
      <c r="D2380" t="s">
        <v>97</v>
      </c>
      <c r="E2380" t="s">
        <v>116</v>
      </c>
      <c r="F2380" t="s">
        <v>150</v>
      </c>
      <c r="G2380" t="s">
        <v>175</v>
      </c>
      <c r="H2380" t="s">
        <v>210</v>
      </c>
      <c r="I2380" t="s">
        <v>230</v>
      </c>
      <c r="J2380" t="s">
        <v>249</v>
      </c>
      <c r="K2380" t="s">
        <v>263</v>
      </c>
      <c r="L2380" t="s">
        <v>275</v>
      </c>
      <c r="M2380" t="s">
        <v>284</v>
      </c>
      <c r="N2380" t="s">
        <v>294</v>
      </c>
      <c r="O2380" t="s">
        <v>302</v>
      </c>
      <c r="P2380" t="s">
        <v>310</v>
      </c>
      <c r="Q2380" t="s">
        <v>316</v>
      </c>
      <c r="R2380" t="s">
        <v>322</v>
      </c>
      <c r="S2380" t="s">
        <v>329</v>
      </c>
      <c r="AK2380" t="s">
        <v>358</v>
      </c>
    </row>
    <row r="2381" spans="1:37">
      <c r="A2381" t="s">
        <v>39</v>
      </c>
      <c r="B2381" t="s">
        <v>54</v>
      </c>
      <c r="C2381" t="s">
        <v>54</v>
      </c>
      <c r="D2381" t="s">
        <v>54</v>
      </c>
      <c r="E2381" t="s">
        <v>54</v>
      </c>
      <c r="F2381" t="s">
        <v>54</v>
      </c>
      <c r="G2381" t="s">
        <v>54</v>
      </c>
      <c r="H2381" t="s">
        <v>54</v>
      </c>
      <c r="I2381" t="s">
        <v>54</v>
      </c>
      <c r="J2381" t="s">
        <v>54</v>
      </c>
      <c r="K2381" t="s">
        <v>54</v>
      </c>
      <c r="L2381" t="s">
        <v>54</v>
      </c>
      <c r="M2381" t="s">
        <v>54</v>
      </c>
      <c r="N2381" t="s">
        <v>54</v>
      </c>
      <c r="O2381" t="s">
        <v>54</v>
      </c>
      <c r="P2381" t="s">
        <v>54</v>
      </c>
      <c r="Q2381" t="s">
        <v>54</v>
      </c>
      <c r="R2381" t="s">
        <v>323</v>
      </c>
      <c r="S2381" t="s">
        <v>330</v>
      </c>
      <c r="AK2381" t="s">
        <v>358</v>
      </c>
    </row>
    <row r="2382" spans="1:37">
      <c r="B2382" t="s">
        <v>55</v>
      </c>
      <c r="C2382" t="s">
        <v>78</v>
      </c>
      <c r="D2382" t="s">
        <v>55</v>
      </c>
      <c r="E2382" t="s">
        <v>78</v>
      </c>
      <c r="F2382" t="s">
        <v>55</v>
      </c>
      <c r="G2382" t="s">
        <v>78</v>
      </c>
      <c r="H2382" t="s">
        <v>55</v>
      </c>
      <c r="I2382" t="s">
        <v>78</v>
      </c>
      <c r="J2382" t="s">
        <v>55</v>
      </c>
      <c r="K2382" t="s">
        <v>78</v>
      </c>
      <c r="L2382" t="s">
        <v>55</v>
      </c>
      <c r="M2382" t="s">
        <v>78</v>
      </c>
      <c r="N2382" t="s">
        <v>55</v>
      </c>
      <c r="O2382" t="s">
        <v>78</v>
      </c>
      <c r="P2382" t="s">
        <v>55</v>
      </c>
      <c r="Q2382" t="s">
        <v>78</v>
      </c>
      <c r="R2382" t="s">
        <v>55</v>
      </c>
      <c r="S2382" t="s">
        <v>78</v>
      </c>
      <c r="T2382" t="s">
        <v>55</v>
      </c>
      <c r="U2382" t="s">
        <v>78</v>
      </c>
      <c r="V2382" t="s">
        <v>55</v>
      </c>
      <c r="W2382" t="s">
        <v>78</v>
      </c>
      <c r="X2382" t="s">
        <v>55</v>
      </c>
      <c r="Y2382" t="s">
        <v>78</v>
      </c>
      <c r="Z2382" t="s">
        <v>55</v>
      </c>
      <c r="AA2382" t="s">
        <v>78</v>
      </c>
      <c r="AB2382" t="s">
        <v>55</v>
      </c>
      <c r="AC2382" t="s">
        <v>78</v>
      </c>
      <c r="AD2382" t="s">
        <v>55</v>
      </c>
      <c r="AE2382" t="s">
        <v>78</v>
      </c>
      <c r="AF2382" t="s">
        <v>55</v>
      </c>
      <c r="AG2382" t="s">
        <v>78</v>
      </c>
      <c r="AH2382" t="s">
        <v>55</v>
      </c>
      <c r="AI2382" t="s">
        <v>78</v>
      </c>
      <c r="AK2382" t="s">
        <v>358</v>
      </c>
    </row>
    <row r="2383" spans="1:37">
      <c r="B2383" t="s">
        <v>56</v>
      </c>
      <c r="C2383" t="s">
        <v>56</v>
      </c>
      <c r="D2383" t="s">
        <v>56</v>
      </c>
      <c r="E2383" t="s">
        <v>56</v>
      </c>
      <c r="F2383" t="s">
        <v>56</v>
      </c>
      <c r="G2383" t="s">
        <v>176</v>
      </c>
      <c r="H2383" t="s">
        <v>211</v>
      </c>
      <c r="I2383" t="s">
        <v>231</v>
      </c>
      <c r="J2383" t="s">
        <v>250</v>
      </c>
      <c r="K2383" t="s">
        <v>264</v>
      </c>
      <c r="L2383" t="s">
        <v>276</v>
      </c>
      <c r="M2383" t="s">
        <v>285</v>
      </c>
      <c r="N2383" t="s">
        <v>295</v>
      </c>
      <c r="O2383" t="s">
        <v>303</v>
      </c>
      <c r="P2383" t="s">
        <v>56</v>
      </c>
      <c r="Q2383" t="s">
        <v>317</v>
      </c>
      <c r="R2383" t="s">
        <v>324</v>
      </c>
      <c r="S2383" t="s">
        <v>331</v>
      </c>
      <c r="T2383" t="s">
        <v>334</v>
      </c>
      <c r="U2383" t="s">
        <v>338</v>
      </c>
      <c r="V2383" t="s">
        <v>342</v>
      </c>
      <c r="W2383" t="s">
        <v>346</v>
      </c>
      <c r="X2383" t="s">
        <v>351</v>
      </c>
      <c r="AK2383" t="s">
        <v>358</v>
      </c>
    </row>
    <row r="2384" spans="1:37">
      <c r="B2384" t="s">
        <v>57</v>
      </c>
      <c r="C2384" t="s">
        <v>79</v>
      </c>
      <c r="D2384" t="s">
        <v>98</v>
      </c>
      <c r="E2384" t="s">
        <v>117</v>
      </c>
      <c r="F2384" t="s">
        <v>151</v>
      </c>
      <c r="G2384" t="s">
        <v>177</v>
      </c>
      <c r="H2384" t="s">
        <v>212</v>
      </c>
      <c r="I2384" t="s">
        <v>232</v>
      </c>
      <c r="J2384" t="s">
        <v>251</v>
      </c>
      <c r="K2384" t="s">
        <v>265</v>
      </c>
      <c r="L2384" t="s">
        <v>277</v>
      </c>
      <c r="M2384" t="s">
        <v>286</v>
      </c>
      <c r="N2384" t="s">
        <v>296</v>
      </c>
      <c r="O2384" t="s">
        <v>304</v>
      </c>
      <c r="P2384" t="s">
        <v>311</v>
      </c>
      <c r="Q2384" t="s">
        <v>318</v>
      </c>
      <c r="R2384" t="s">
        <v>185</v>
      </c>
      <c r="S2384" t="s">
        <v>159</v>
      </c>
      <c r="T2384" t="s">
        <v>185</v>
      </c>
      <c r="U2384" t="s">
        <v>339</v>
      </c>
      <c r="V2384" t="s">
        <v>72</v>
      </c>
      <c r="W2384" t="s">
        <v>347</v>
      </c>
      <c r="X2384" t="s">
        <v>72</v>
      </c>
      <c r="Y2384" t="s">
        <v>96</v>
      </c>
      <c r="AK2384" t="s">
        <v>358</v>
      </c>
    </row>
    <row r="2385" spans="1:37">
      <c r="B2385" t="s">
        <v>58</v>
      </c>
      <c r="C2385" t="s">
        <v>80</v>
      </c>
      <c r="D2385" t="s">
        <v>99</v>
      </c>
      <c r="E2385" t="s">
        <v>118</v>
      </c>
      <c r="F2385" t="s">
        <v>152</v>
      </c>
      <c r="G2385" t="s">
        <v>178</v>
      </c>
      <c r="H2385" t="s">
        <v>213</v>
      </c>
      <c r="I2385" t="s">
        <v>233</v>
      </c>
      <c r="J2385" t="s">
        <v>252</v>
      </c>
      <c r="K2385" t="s">
        <v>266</v>
      </c>
      <c r="L2385" t="s">
        <v>278</v>
      </c>
      <c r="M2385" t="s">
        <v>287</v>
      </c>
      <c r="N2385" t="s">
        <v>297</v>
      </c>
      <c r="O2385" t="s">
        <v>305</v>
      </c>
      <c r="P2385" t="s">
        <v>312</v>
      </c>
      <c r="Q2385" t="s">
        <v>319</v>
      </c>
      <c r="R2385">
        <f>&gt;10       ветра      3.8     20  14</f>
        <v>0</v>
      </c>
      <c r="AK2385" t="s">
        <v>358</v>
      </c>
    </row>
    <row r="2386" spans="1:37">
      <c r="A2386" t="s">
        <v>40</v>
      </c>
      <c r="B2386" t="s">
        <v>59</v>
      </c>
      <c r="C2386" t="s">
        <v>81</v>
      </c>
      <c r="D2386" t="s">
        <v>100</v>
      </c>
      <c r="E2386" t="s">
        <v>119</v>
      </c>
      <c r="F2386" t="s">
        <v>153</v>
      </c>
      <c r="G2386" t="s">
        <v>179</v>
      </c>
      <c r="H2386" t="s">
        <v>214</v>
      </c>
      <c r="I2386" t="s">
        <v>234</v>
      </c>
      <c r="AK2386" t="s">
        <v>358</v>
      </c>
    </row>
    <row r="2387" spans="1:37">
      <c r="A2387" t="s">
        <v>40</v>
      </c>
      <c r="B2387" t="s">
        <v>60</v>
      </c>
      <c r="C2387" t="s">
        <v>82</v>
      </c>
      <c r="D2387" t="s">
        <v>101</v>
      </c>
      <c r="E2387" t="s">
        <v>120</v>
      </c>
      <c r="F2387" t="s">
        <v>154</v>
      </c>
      <c r="G2387" t="s">
        <v>180</v>
      </c>
      <c r="H2387" t="s">
        <v>215</v>
      </c>
      <c r="I2387" t="s">
        <v>235</v>
      </c>
      <c r="J2387" t="s">
        <v>253</v>
      </c>
      <c r="K2387" t="s">
        <v>267</v>
      </c>
      <c r="L2387" t="s">
        <v>279</v>
      </c>
      <c r="M2387" t="s">
        <v>288</v>
      </c>
      <c r="N2387" t="s">
        <v>100</v>
      </c>
      <c r="O2387" t="s">
        <v>306</v>
      </c>
      <c r="P2387" t="s">
        <v>313</v>
      </c>
      <c r="Q2387" t="s">
        <v>320</v>
      </c>
      <c r="R2387" t="s">
        <v>325</v>
      </c>
      <c r="S2387" t="s">
        <v>332</v>
      </c>
      <c r="T2387" t="s">
        <v>119</v>
      </c>
      <c r="U2387" t="s">
        <v>234</v>
      </c>
      <c r="V2387" t="s">
        <v>343</v>
      </c>
      <c r="W2387" t="s">
        <v>348</v>
      </c>
      <c r="X2387" t="s">
        <v>352</v>
      </c>
      <c r="Y2387" t="s">
        <v>354</v>
      </c>
      <c r="AK2387" t="s">
        <v>358</v>
      </c>
    </row>
    <row r="2388" spans="1:37">
      <c r="A2388" t="s">
        <v>41</v>
      </c>
      <c r="B2388" t="s">
        <v>61</v>
      </c>
      <c r="C2388" t="s">
        <v>83</v>
      </c>
      <c r="D2388" t="s">
        <v>102</v>
      </c>
      <c r="E2388" t="s">
        <v>121</v>
      </c>
      <c r="F2388" t="s">
        <v>155</v>
      </c>
      <c r="G2388" t="s">
        <v>181</v>
      </c>
      <c r="H2388" t="s">
        <v>216</v>
      </c>
      <c r="I2388" t="s">
        <v>236</v>
      </c>
      <c r="AK2388" t="s">
        <v>358</v>
      </c>
    </row>
    <row r="2389" spans="1:37">
      <c r="A2389" t="s">
        <v>42</v>
      </c>
      <c r="B2389" t="s">
        <v>62</v>
      </c>
      <c r="C2389" t="s">
        <v>84</v>
      </c>
      <c r="D2389" t="s">
        <v>103</v>
      </c>
      <c r="E2389" t="s">
        <v>122</v>
      </c>
      <c r="F2389" t="s">
        <v>156</v>
      </c>
      <c r="G2389" t="s">
        <v>182</v>
      </c>
      <c r="H2389" t="s">
        <v>83</v>
      </c>
      <c r="I2389" t="s">
        <v>237</v>
      </c>
      <c r="J2389" t="s">
        <v>254</v>
      </c>
      <c r="K2389" t="s">
        <v>268</v>
      </c>
      <c r="L2389" t="s">
        <v>280</v>
      </c>
      <c r="M2389" t="s">
        <v>289</v>
      </c>
      <c r="N2389" t="s">
        <v>298</v>
      </c>
      <c r="O2389" t="s">
        <v>307</v>
      </c>
      <c r="P2389" t="s">
        <v>314</v>
      </c>
      <c r="Q2389" t="s">
        <v>216</v>
      </c>
      <c r="R2389" t="s">
        <v>326</v>
      </c>
      <c r="S2389" t="s">
        <v>333</v>
      </c>
      <c r="T2389" t="s">
        <v>335</v>
      </c>
      <c r="U2389" t="s">
        <v>340</v>
      </c>
      <c r="V2389" t="s">
        <v>344</v>
      </c>
      <c r="W2389" t="s">
        <v>349</v>
      </c>
      <c r="AK2389" t="s">
        <v>358</v>
      </c>
    </row>
    <row r="2390" spans="1:37">
      <c r="A2390" t="s">
        <v>43</v>
      </c>
      <c r="B2390" t="s">
        <v>63</v>
      </c>
      <c r="C2390" t="s">
        <v>85</v>
      </c>
      <c r="D2390" t="s">
        <v>104</v>
      </c>
      <c r="E2390" t="s">
        <v>123</v>
      </c>
      <c r="F2390" t="s">
        <v>157</v>
      </c>
      <c r="G2390" t="s">
        <v>183</v>
      </c>
      <c r="AK2390" t="s">
        <v>358</v>
      </c>
    </row>
    <row r="2391" spans="1:37">
      <c r="A2391" t="s">
        <v>44</v>
      </c>
      <c r="B2391" t="s">
        <v>64</v>
      </c>
      <c r="C2391" t="s">
        <v>86</v>
      </c>
      <c r="D2391" t="s">
        <v>105</v>
      </c>
      <c r="E2391" t="s">
        <v>124</v>
      </c>
      <c r="F2391" t="s">
        <v>158</v>
      </c>
      <c r="G2391" t="s">
        <v>184</v>
      </c>
      <c r="AK2391" t="s">
        <v>358</v>
      </c>
    </row>
    <row r="2392" spans="1:37">
      <c r="A2392" t="s">
        <v>45</v>
      </c>
      <c r="B2392" t="s">
        <v>65</v>
      </c>
      <c r="C2392" t="s">
        <v>87</v>
      </c>
      <c r="D2392" t="s">
        <v>106</v>
      </c>
      <c r="E2392" t="s">
        <v>125</v>
      </c>
      <c r="F2392" t="s">
        <v>159</v>
      </c>
      <c r="G2392" t="s">
        <v>185</v>
      </c>
      <c r="H2392" t="s">
        <v>159</v>
      </c>
      <c r="I2392" t="s">
        <v>185</v>
      </c>
      <c r="J2392" t="s">
        <v>255</v>
      </c>
      <c r="AK2392" t="s">
        <v>358</v>
      </c>
    </row>
    <row r="2393" spans="1:37">
      <c r="A2393" t="s">
        <v>46</v>
      </c>
      <c r="B2393" t="s">
        <v>66</v>
      </c>
      <c r="C2393" t="s">
        <v>88</v>
      </c>
      <c r="D2393" t="s">
        <v>76</v>
      </c>
      <c r="E2393" t="s">
        <v>126</v>
      </c>
      <c r="F2393" t="s">
        <v>160</v>
      </c>
      <c r="G2393" t="s">
        <v>186</v>
      </c>
      <c r="H2393" t="s">
        <v>217</v>
      </c>
      <c r="I2393" t="s">
        <v>238</v>
      </c>
      <c r="J2393" t="s">
        <v>256</v>
      </c>
      <c r="K2393" t="s">
        <v>265</v>
      </c>
      <c r="L2393" t="s">
        <v>281</v>
      </c>
      <c r="M2393" t="s">
        <v>290</v>
      </c>
      <c r="N2393" t="s">
        <v>299</v>
      </c>
      <c r="O2393" t="s">
        <v>308</v>
      </c>
      <c r="P2393" t="s">
        <v>228</v>
      </c>
      <c r="Q2393" t="s">
        <v>72</v>
      </c>
      <c r="R2393" t="s">
        <v>327</v>
      </c>
      <c r="S2393" t="s">
        <v>327</v>
      </c>
      <c r="T2393" t="s">
        <v>336</v>
      </c>
      <c r="U2393" t="s">
        <v>336</v>
      </c>
      <c r="V2393" t="s">
        <v>336</v>
      </c>
      <c r="W2393" t="s">
        <v>336</v>
      </c>
      <c r="X2393" t="s">
        <v>353</v>
      </c>
      <c r="AK2393" t="s">
        <v>358</v>
      </c>
    </row>
    <row r="2394" spans="1:37">
      <c r="A2394" t="s">
        <v>37</v>
      </c>
      <c r="B2394" t="s">
        <v>49</v>
      </c>
      <c r="C2394" t="s">
        <v>73</v>
      </c>
      <c r="D2394" t="s">
        <v>94</v>
      </c>
      <c r="E2394" t="s">
        <v>112</v>
      </c>
      <c r="F2394" t="s">
        <v>146</v>
      </c>
      <c r="G2394" t="s">
        <v>172</v>
      </c>
      <c r="H2394" t="s">
        <v>207</v>
      </c>
      <c r="I2394" t="s">
        <v>226</v>
      </c>
      <c r="J2394" t="s">
        <v>246</v>
      </c>
      <c r="K2394" t="s">
        <v>259</v>
      </c>
      <c r="AK2394" t="s">
        <v>358</v>
      </c>
    </row>
    <row r="2395" spans="1:37">
      <c r="A2395" t="s">
        <v>38</v>
      </c>
      <c r="B2395" t="s">
        <v>50</v>
      </c>
      <c r="C2395" t="s">
        <v>74</v>
      </c>
      <c r="D2395" t="s">
        <v>95</v>
      </c>
      <c r="E2395" t="s">
        <v>113</v>
      </c>
      <c r="F2395" t="s">
        <v>147</v>
      </c>
      <c r="G2395" t="s">
        <v>173</v>
      </c>
      <c r="H2395" t="s">
        <v>208</v>
      </c>
      <c r="I2395" t="s">
        <v>227</v>
      </c>
      <c r="J2395" t="s">
        <v>115</v>
      </c>
      <c r="K2395" t="s">
        <v>260</v>
      </c>
      <c r="L2395" t="s">
        <v>273</v>
      </c>
      <c r="M2395" t="s">
        <v>282</v>
      </c>
      <c r="N2395" t="s">
        <v>291</v>
      </c>
      <c r="AK2395" t="s">
        <v>358</v>
      </c>
    </row>
    <row r="2396" spans="1:37">
      <c r="B2396" t="s">
        <v>51</v>
      </c>
      <c r="C2396" t="s">
        <v>75</v>
      </c>
      <c r="D2396" t="s">
        <v>52</v>
      </c>
      <c r="E2396" t="s">
        <v>114</v>
      </c>
      <c r="F2396" t="s">
        <v>148</v>
      </c>
      <c r="G2396" t="s">
        <v>148</v>
      </c>
      <c r="H2396" t="s">
        <v>209</v>
      </c>
      <c r="I2396" t="s">
        <v>228</v>
      </c>
      <c r="J2396" t="s">
        <v>247</v>
      </c>
      <c r="K2396" t="s">
        <v>261</v>
      </c>
      <c r="L2396" t="s">
        <v>274</v>
      </c>
      <c r="M2396" t="s">
        <v>283</v>
      </c>
      <c r="N2396" t="s">
        <v>292</v>
      </c>
      <c r="O2396" t="s">
        <v>300</v>
      </c>
      <c r="AK2396" t="s">
        <v>358</v>
      </c>
    </row>
    <row r="2397" spans="1:37">
      <c r="B2397" t="s">
        <v>52</v>
      </c>
      <c r="C2397" t="s">
        <v>76</v>
      </c>
      <c r="D2397" t="s">
        <v>96</v>
      </c>
      <c r="E2397" t="s">
        <v>115</v>
      </c>
      <c r="F2397" t="s">
        <v>149</v>
      </c>
      <c r="G2397" t="s">
        <v>174</v>
      </c>
      <c r="H2397" t="s">
        <v>96</v>
      </c>
      <c r="I2397" t="s">
        <v>229</v>
      </c>
      <c r="J2397" t="s">
        <v>248</v>
      </c>
      <c r="K2397" t="s">
        <v>262</v>
      </c>
      <c r="L2397" t="s">
        <v>52</v>
      </c>
      <c r="M2397" t="s">
        <v>76</v>
      </c>
      <c r="N2397" t="s">
        <v>293</v>
      </c>
      <c r="O2397" t="s">
        <v>301</v>
      </c>
      <c r="P2397" t="s">
        <v>309</v>
      </c>
      <c r="Q2397" t="s">
        <v>315</v>
      </c>
      <c r="R2397" t="s">
        <v>228</v>
      </c>
      <c r="S2397" t="s">
        <v>328</v>
      </c>
      <c r="T2397" t="s">
        <v>149</v>
      </c>
      <c r="U2397" t="s">
        <v>337</v>
      </c>
      <c r="V2397" t="s">
        <v>341</v>
      </c>
      <c r="W2397" t="s">
        <v>345</v>
      </c>
      <c r="X2397" t="s">
        <v>350</v>
      </c>
      <c r="AK2397" t="s">
        <v>358</v>
      </c>
    </row>
    <row r="2398" spans="1:37">
      <c r="B2398" t="s">
        <v>53</v>
      </c>
      <c r="C2398" t="s">
        <v>77</v>
      </c>
      <c r="D2398" t="s">
        <v>97</v>
      </c>
      <c r="E2398" t="s">
        <v>116</v>
      </c>
      <c r="F2398" t="s">
        <v>150</v>
      </c>
      <c r="G2398" t="s">
        <v>175</v>
      </c>
      <c r="H2398" t="s">
        <v>210</v>
      </c>
      <c r="I2398" t="s">
        <v>230</v>
      </c>
      <c r="J2398" t="s">
        <v>249</v>
      </c>
      <c r="K2398" t="s">
        <v>263</v>
      </c>
      <c r="L2398" t="s">
        <v>275</v>
      </c>
      <c r="M2398" t="s">
        <v>284</v>
      </c>
      <c r="N2398" t="s">
        <v>294</v>
      </c>
      <c r="O2398" t="s">
        <v>302</v>
      </c>
      <c r="P2398" t="s">
        <v>310</v>
      </c>
      <c r="Q2398" t="s">
        <v>316</v>
      </c>
      <c r="R2398" t="s">
        <v>322</v>
      </c>
      <c r="S2398" t="s">
        <v>329</v>
      </c>
      <c r="AK2398" t="s">
        <v>358</v>
      </c>
    </row>
    <row r="2399" spans="1:37">
      <c r="A2399" t="s">
        <v>39</v>
      </c>
      <c r="B2399" t="s">
        <v>54</v>
      </c>
      <c r="C2399" t="s">
        <v>54</v>
      </c>
      <c r="D2399" t="s">
        <v>54</v>
      </c>
      <c r="E2399" t="s">
        <v>54</v>
      </c>
      <c r="F2399" t="s">
        <v>54</v>
      </c>
      <c r="G2399" t="s">
        <v>54</v>
      </c>
      <c r="H2399" t="s">
        <v>54</v>
      </c>
      <c r="I2399" t="s">
        <v>54</v>
      </c>
      <c r="J2399" t="s">
        <v>54</v>
      </c>
      <c r="K2399" t="s">
        <v>54</v>
      </c>
      <c r="L2399" t="s">
        <v>54</v>
      </c>
      <c r="M2399" t="s">
        <v>54</v>
      </c>
      <c r="N2399" t="s">
        <v>54</v>
      </c>
      <c r="O2399" t="s">
        <v>54</v>
      </c>
      <c r="P2399" t="s">
        <v>54</v>
      </c>
      <c r="Q2399" t="s">
        <v>54</v>
      </c>
      <c r="R2399" t="s">
        <v>323</v>
      </c>
      <c r="S2399" t="s">
        <v>330</v>
      </c>
      <c r="AK2399" t="s">
        <v>358</v>
      </c>
    </row>
    <row r="2400" spans="1:37">
      <c r="B2400" t="s">
        <v>55</v>
      </c>
      <c r="C2400" t="s">
        <v>78</v>
      </c>
      <c r="D2400" t="s">
        <v>55</v>
      </c>
      <c r="E2400" t="s">
        <v>78</v>
      </c>
      <c r="F2400" t="s">
        <v>55</v>
      </c>
      <c r="G2400" t="s">
        <v>78</v>
      </c>
      <c r="H2400" t="s">
        <v>55</v>
      </c>
      <c r="I2400" t="s">
        <v>78</v>
      </c>
      <c r="J2400" t="s">
        <v>55</v>
      </c>
      <c r="K2400" t="s">
        <v>78</v>
      </c>
      <c r="L2400" t="s">
        <v>55</v>
      </c>
      <c r="M2400" t="s">
        <v>78</v>
      </c>
      <c r="N2400" t="s">
        <v>55</v>
      </c>
      <c r="O2400" t="s">
        <v>78</v>
      </c>
      <c r="P2400" t="s">
        <v>55</v>
      </c>
      <c r="Q2400" t="s">
        <v>78</v>
      </c>
      <c r="R2400" t="s">
        <v>55</v>
      </c>
      <c r="S2400" t="s">
        <v>78</v>
      </c>
      <c r="T2400" t="s">
        <v>55</v>
      </c>
      <c r="U2400" t="s">
        <v>78</v>
      </c>
      <c r="V2400" t="s">
        <v>55</v>
      </c>
      <c r="W2400" t="s">
        <v>78</v>
      </c>
      <c r="X2400" t="s">
        <v>55</v>
      </c>
      <c r="Y2400" t="s">
        <v>78</v>
      </c>
      <c r="Z2400" t="s">
        <v>55</v>
      </c>
      <c r="AA2400" t="s">
        <v>78</v>
      </c>
      <c r="AB2400" t="s">
        <v>55</v>
      </c>
      <c r="AC2400" t="s">
        <v>78</v>
      </c>
      <c r="AD2400" t="s">
        <v>55</v>
      </c>
      <c r="AE2400" t="s">
        <v>78</v>
      </c>
      <c r="AF2400" t="s">
        <v>55</v>
      </c>
      <c r="AG2400" t="s">
        <v>78</v>
      </c>
      <c r="AH2400" t="s">
        <v>55</v>
      </c>
      <c r="AI2400" t="s">
        <v>78</v>
      </c>
      <c r="AK2400" t="s">
        <v>358</v>
      </c>
    </row>
    <row r="2401" spans="1:37">
      <c r="B2401" t="s">
        <v>56</v>
      </c>
      <c r="C2401" t="s">
        <v>56</v>
      </c>
      <c r="D2401" t="s">
        <v>56</v>
      </c>
      <c r="E2401" t="s">
        <v>56</v>
      </c>
      <c r="F2401" t="s">
        <v>56</v>
      </c>
      <c r="G2401" t="s">
        <v>176</v>
      </c>
      <c r="H2401" t="s">
        <v>211</v>
      </c>
      <c r="I2401" t="s">
        <v>231</v>
      </c>
      <c r="J2401" t="s">
        <v>250</v>
      </c>
      <c r="K2401" t="s">
        <v>264</v>
      </c>
      <c r="L2401" t="s">
        <v>276</v>
      </c>
      <c r="M2401" t="s">
        <v>285</v>
      </c>
      <c r="N2401" t="s">
        <v>295</v>
      </c>
      <c r="O2401" t="s">
        <v>303</v>
      </c>
      <c r="P2401" t="s">
        <v>56</v>
      </c>
      <c r="Q2401" t="s">
        <v>317</v>
      </c>
      <c r="R2401" t="s">
        <v>324</v>
      </c>
      <c r="S2401" t="s">
        <v>331</v>
      </c>
      <c r="T2401" t="s">
        <v>334</v>
      </c>
      <c r="U2401" t="s">
        <v>338</v>
      </c>
      <c r="V2401" t="s">
        <v>342</v>
      </c>
      <c r="W2401" t="s">
        <v>346</v>
      </c>
      <c r="X2401" t="s">
        <v>351</v>
      </c>
      <c r="AK2401" t="s">
        <v>358</v>
      </c>
    </row>
    <row r="2402" spans="1:37">
      <c r="B2402" t="s">
        <v>57</v>
      </c>
      <c r="C2402" t="s">
        <v>79</v>
      </c>
      <c r="D2402" t="s">
        <v>98</v>
      </c>
      <c r="E2402" t="s">
        <v>117</v>
      </c>
      <c r="F2402" t="s">
        <v>151</v>
      </c>
      <c r="G2402" t="s">
        <v>177</v>
      </c>
      <c r="H2402" t="s">
        <v>212</v>
      </c>
      <c r="I2402" t="s">
        <v>232</v>
      </c>
      <c r="J2402" t="s">
        <v>251</v>
      </c>
      <c r="K2402" t="s">
        <v>265</v>
      </c>
      <c r="L2402" t="s">
        <v>277</v>
      </c>
      <c r="M2402" t="s">
        <v>286</v>
      </c>
      <c r="N2402" t="s">
        <v>296</v>
      </c>
      <c r="O2402" t="s">
        <v>304</v>
      </c>
      <c r="P2402" t="s">
        <v>311</v>
      </c>
      <c r="Q2402" t="s">
        <v>318</v>
      </c>
      <c r="R2402" t="s">
        <v>185</v>
      </c>
      <c r="S2402" t="s">
        <v>159</v>
      </c>
      <c r="T2402" t="s">
        <v>185</v>
      </c>
      <c r="U2402" t="s">
        <v>339</v>
      </c>
      <c r="V2402" t="s">
        <v>72</v>
      </c>
      <c r="W2402" t="s">
        <v>347</v>
      </c>
      <c r="X2402" t="s">
        <v>72</v>
      </c>
      <c r="Y2402" t="s">
        <v>96</v>
      </c>
      <c r="AK2402" t="s">
        <v>358</v>
      </c>
    </row>
    <row r="2403" spans="1:37">
      <c r="B2403" t="s">
        <v>58</v>
      </c>
      <c r="C2403" t="s">
        <v>80</v>
      </c>
      <c r="D2403" t="s">
        <v>99</v>
      </c>
      <c r="E2403" t="s">
        <v>118</v>
      </c>
      <c r="F2403" t="s">
        <v>152</v>
      </c>
      <c r="G2403" t="s">
        <v>178</v>
      </c>
      <c r="H2403" t="s">
        <v>213</v>
      </c>
      <c r="I2403" t="s">
        <v>233</v>
      </c>
      <c r="J2403" t="s">
        <v>252</v>
      </c>
      <c r="K2403" t="s">
        <v>266</v>
      </c>
      <c r="L2403" t="s">
        <v>278</v>
      </c>
      <c r="M2403" t="s">
        <v>287</v>
      </c>
      <c r="N2403" t="s">
        <v>297</v>
      </c>
      <c r="O2403" t="s">
        <v>305</v>
      </c>
      <c r="P2403" t="s">
        <v>312</v>
      </c>
      <c r="Q2403" t="s">
        <v>319</v>
      </c>
      <c r="R2403">
        <f>&gt;10       ветра      4.4     22  25</f>
        <v>0</v>
      </c>
      <c r="AK2403" t="s">
        <v>358</v>
      </c>
    </row>
    <row r="2404" spans="1:37">
      <c r="A2404" t="s">
        <v>40</v>
      </c>
      <c r="B2404" t="s">
        <v>59</v>
      </c>
      <c r="C2404" t="s">
        <v>81</v>
      </c>
      <c r="D2404" t="s">
        <v>100</v>
      </c>
      <c r="E2404" t="s">
        <v>119</v>
      </c>
      <c r="F2404" t="s">
        <v>153</v>
      </c>
      <c r="G2404" t="s">
        <v>179</v>
      </c>
      <c r="H2404" t="s">
        <v>214</v>
      </c>
      <c r="I2404" t="s">
        <v>234</v>
      </c>
      <c r="AK2404" t="s">
        <v>358</v>
      </c>
    </row>
    <row r="2405" spans="1:37">
      <c r="A2405" t="s">
        <v>40</v>
      </c>
      <c r="B2405" t="s">
        <v>60</v>
      </c>
      <c r="C2405" t="s">
        <v>82</v>
      </c>
      <c r="D2405" t="s">
        <v>101</v>
      </c>
      <c r="E2405" t="s">
        <v>120</v>
      </c>
      <c r="F2405" t="s">
        <v>154</v>
      </c>
      <c r="G2405" t="s">
        <v>180</v>
      </c>
      <c r="H2405" t="s">
        <v>215</v>
      </c>
      <c r="I2405" t="s">
        <v>235</v>
      </c>
      <c r="J2405" t="s">
        <v>253</v>
      </c>
      <c r="K2405" t="s">
        <v>267</v>
      </c>
      <c r="L2405" t="s">
        <v>279</v>
      </c>
      <c r="M2405" t="s">
        <v>288</v>
      </c>
      <c r="N2405" t="s">
        <v>100</v>
      </c>
      <c r="O2405" t="s">
        <v>306</v>
      </c>
      <c r="P2405" t="s">
        <v>313</v>
      </c>
      <c r="Q2405" t="s">
        <v>320</v>
      </c>
      <c r="R2405" t="s">
        <v>325</v>
      </c>
      <c r="S2405" t="s">
        <v>332</v>
      </c>
      <c r="T2405" t="s">
        <v>119</v>
      </c>
      <c r="U2405" t="s">
        <v>234</v>
      </c>
      <c r="V2405" t="s">
        <v>343</v>
      </c>
      <c r="W2405" t="s">
        <v>348</v>
      </c>
      <c r="X2405" t="s">
        <v>352</v>
      </c>
      <c r="Y2405" t="s">
        <v>354</v>
      </c>
      <c r="AK2405" t="s">
        <v>358</v>
      </c>
    </row>
    <row r="2406" spans="1:37">
      <c r="A2406" t="s">
        <v>41</v>
      </c>
      <c r="B2406" t="s">
        <v>61</v>
      </c>
      <c r="C2406" t="s">
        <v>83</v>
      </c>
      <c r="D2406" t="s">
        <v>102</v>
      </c>
      <c r="E2406" t="s">
        <v>121</v>
      </c>
      <c r="F2406" t="s">
        <v>155</v>
      </c>
      <c r="G2406" t="s">
        <v>181</v>
      </c>
      <c r="H2406" t="s">
        <v>216</v>
      </c>
      <c r="I2406" t="s">
        <v>236</v>
      </c>
      <c r="AK2406" t="s">
        <v>358</v>
      </c>
    </row>
    <row r="2407" spans="1:37">
      <c r="A2407" t="s">
        <v>42</v>
      </c>
      <c r="B2407" t="s">
        <v>62</v>
      </c>
      <c r="C2407" t="s">
        <v>84</v>
      </c>
      <c r="D2407" t="s">
        <v>103</v>
      </c>
      <c r="E2407" t="s">
        <v>122</v>
      </c>
      <c r="F2407" t="s">
        <v>156</v>
      </c>
      <c r="G2407" t="s">
        <v>182</v>
      </c>
      <c r="H2407" t="s">
        <v>83</v>
      </c>
      <c r="I2407" t="s">
        <v>237</v>
      </c>
      <c r="J2407" t="s">
        <v>254</v>
      </c>
      <c r="K2407" t="s">
        <v>268</v>
      </c>
      <c r="L2407" t="s">
        <v>280</v>
      </c>
      <c r="M2407" t="s">
        <v>289</v>
      </c>
      <c r="N2407" t="s">
        <v>298</v>
      </c>
      <c r="O2407" t="s">
        <v>307</v>
      </c>
      <c r="P2407" t="s">
        <v>314</v>
      </c>
      <c r="Q2407" t="s">
        <v>216</v>
      </c>
      <c r="R2407" t="s">
        <v>326</v>
      </c>
      <c r="S2407" t="s">
        <v>333</v>
      </c>
      <c r="T2407" t="s">
        <v>335</v>
      </c>
      <c r="U2407" t="s">
        <v>340</v>
      </c>
      <c r="V2407" t="s">
        <v>344</v>
      </c>
      <c r="W2407" t="s">
        <v>349</v>
      </c>
      <c r="AK2407" t="s">
        <v>358</v>
      </c>
    </row>
    <row r="2408" spans="1:37">
      <c r="A2408" t="s">
        <v>43</v>
      </c>
      <c r="B2408" t="s">
        <v>63</v>
      </c>
      <c r="C2408" t="s">
        <v>85</v>
      </c>
      <c r="D2408" t="s">
        <v>104</v>
      </c>
      <c r="E2408" t="s">
        <v>123</v>
      </c>
      <c r="F2408" t="s">
        <v>157</v>
      </c>
      <c r="G2408" t="s">
        <v>183</v>
      </c>
      <c r="AK2408" t="s">
        <v>358</v>
      </c>
    </row>
    <row r="2409" spans="1:37">
      <c r="A2409" t="s">
        <v>44</v>
      </c>
      <c r="B2409" t="s">
        <v>64</v>
      </c>
      <c r="C2409" t="s">
        <v>86</v>
      </c>
      <c r="D2409" t="s">
        <v>105</v>
      </c>
      <c r="E2409" t="s">
        <v>124</v>
      </c>
      <c r="F2409" t="s">
        <v>158</v>
      </c>
      <c r="G2409" t="s">
        <v>184</v>
      </c>
      <c r="AK2409" t="s">
        <v>358</v>
      </c>
    </row>
    <row r="2410" spans="1:37">
      <c r="A2410" t="s">
        <v>45</v>
      </c>
      <c r="B2410" t="s">
        <v>65</v>
      </c>
      <c r="C2410" t="s">
        <v>87</v>
      </c>
      <c r="D2410" t="s">
        <v>106</v>
      </c>
      <c r="E2410" t="s">
        <v>125</v>
      </c>
      <c r="F2410" t="s">
        <v>159</v>
      </c>
      <c r="G2410" t="s">
        <v>185</v>
      </c>
      <c r="H2410" t="s">
        <v>159</v>
      </c>
      <c r="I2410" t="s">
        <v>185</v>
      </c>
      <c r="J2410" t="s">
        <v>255</v>
      </c>
      <c r="AK2410" t="s">
        <v>358</v>
      </c>
    </row>
    <row r="2411" spans="1:37">
      <c r="A2411" t="s">
        <v>46</v>
      </c>
      <c r="B2411" t="s">
        <v>66</v>
      </c>
      <c r="C2411" t="s">
        <v>88</v>
      </c>
      <c r="D2411" t="s">
        <v>76</v>
      </c>
      <c r="E2411" t="s">
        <v>126</v>
      </c>
      <c r="F2411" t="s">
        <v>160</v>
      </c>
      <c r="G2411" t="s">
        <v>186</v>
      </c>
      <c r="H2411" t="s">
        <v>217</v>
      </c>
      <c r="I2411" t="s">
        <v>238</v>
      </c>
      <c r="J2411" t="s">
        <v>256</v>
      </c>
      <c r="K2411" t="s">
        <v>265</v>
      </c>
      <c r="L2411" t="s">
        <v>281</v>
      </c>
      <c r="M2411" t="s">
        <v>290</v>
      </c>
      <c r="N2411" t="s">
        <v>299</v>
      </c>
      <c r="O2411" t="s">
        <v>308</v>
      </c>
      <c r="P2411" t="s">
        <v>228</v>
      </c>
      <c r="Q2411" t="s">
        <v>72</v>
      </c>
      <c r="R2411" t="s">
        <v>327</v>
      </c>
      <c r="S2411" t="s">
        <v>327</v>
      </c>
      <c r="T2411" t="s">
        <v>336</v>
      </c>
      <c r="U2411" t="s">
        <v>336</v>
      </c>
      <c r="V2411" t="s">
        <v>336</v>
      </c>
      <c r="W2411" t="s">
        <v>336</v>
      </c>
      <c r="X2411" t="s">
        <v>353</v>
      </c>
      <c r="AK2411" t="s">
        <v>358</v>
      </c>
    </row>
    <row r="2412" spans="1:37">
      <c r="A2412" t="s">
        <v>37</v>
      </c>
      <c r="B2412" t="s">
        <v>49</v>
      </c>
      <c r="C2412" t="s">
        <v>73</v>
      </c>
      <c r="D2412" t="s">
        <v>94</v>
      </c>
      <c r="E2412" t="s">
        <v>112</v>
      </c>
      <c r="F2412" t="s">
        <v>146</v>
      </c>
      <c r="G2412" t="s">
        <v>172</v>
      </c>
      <c r="H2412" t="s">
        <v>207</v>
      </c>
      <c r="I2412" t="s">
        <v>226</v>
      </c>
      <c r="J2412" t="s">
        <v>246</v>
      </c>
      <c r="K2412" t="s">
        <v>259</v>
      </c>
      <c r="AK2412" t="s">
        <v>358</v>
      </c>
    </row>
    <row r="2413" spans="1:37">
      <c r="A2413" t="s">
        <v>38</v>
      </c>
      <c r="B2413" t="s">
        <v>50</v>
      </c>
      <c r="C2413" t="s">
        <v>74</v>
      </c>
      <c r="D2413" t="s">
        <v>95</v>
      </c>
      <c r="E2413" t="s">
        <v>113</v>
      </c>
      <c r="F2413" t="s">
        <v>147</v>
      </c>
      <c r="G2413" t="s">
        <v>173</v>
      </c>
      <c r="H2413" t="s">
        <v>208</v>
      </c>
      <c r="I2413" t="s">
        <v>227</v>
      </c>
      <c r="J2413" t="s">
        <v>115</v>
      </c>
      <c r="K2413" t="s">
        <v>260</v>
      </c>
      <c r="L2413" t="s">
        <v>273</v>
      </c>
      <c r="M2413" t="s">
        <v>282</v>
      </c>
      <c r="N2413" t="s">
        <v>291</v>
      </c>
      <c r="AK2413" t="s">
        <v>358</v>
      </c>
    </row>
    <row r="2414" spans="1:37">
      <c r="B2414" t="s">
        <v>51</v>
      </c>
      <c r="C2414" t="s">
        <v>75</v>
      </c>
      <c r="D2414" t="s">
        <v>52</v>
      </c>
      <c r="E2414" t="s">
        <v>114</v>
      </c>
      <c r="F2414" t="s">
        <v>148</v>
      </c>
      <c r="G2414" t="s">
        <v>148</v>
      </c>
      <c r="H2414" t="s">
        <v>209</v>
      </c>
      <c r="I2414" t="s">
        <v>228</v>
      </c>
      <c r="J2414" t="s">
        <v>247</v>
      </c>
      <c r="K2414" t="s">
        <v>261</v>
      </c>
      <c r="L2414" t="s">
        <v>274</v>
      </c>
      <c r="M2414" t="s">
        <v>283</v>
      </c>
      <c r="N2414" t="s">
        <v>292</v>
      </c>
      <c r="O2414" t="s">
        <v>300</v>
      </c>
      <c r="AK2414" t="s">
        <v>358</v>
      </c>
    </row>
    <row r="2415" spans="1:37">
      <c r="B2415" t="s">
        <v>52</v>
      </c>
      <c r="C2415" t="s">
        <v>76</v>
      </c>
      <c r="D2415" t="s">
        <v>96</v>
      </c>
      <c r="E2415" t="s">
        <v>115</v>
      </c>
      <c r="F2415" t="s">
        <v>149</v>
      </c>
      <c r="G2415" t="s">
        <v>174</v>
      </c>
      <c r="H2415" t="s">
        <v>96</v>
      </c>
      <c r="I2415" t="s">
        <v>229</v>
      </c>
      <c r="J2415" t="s">
        <v>248</v>
      </c>
      <c r="K2415" t="s">
        <v>262</v>
      </c>
      <c r="L2415" t="s">
        <v>52</v>
      </c>
      <c r="M2415" t="s">
        <v>76</v>
      </c>
      <c r="N2415" t="s">
        <v>293</v>
      </c>
      <c r="O2415" t="s">
        <v>301</v>
      </c>
      <c r="P2415" t="s">
        <v>309</v>
      </c>
      <c r="Q2415" t="s">
        <v>315</v>
      </c>
      <c r="R2415" t="s">
        <v>228</v>
      </c>
      <c r="S2415" t="s">
        <v>328</v>
      </c>
      <c r="T2415" t="s">
        <v>149</v>
      </c>
      <c r="U2415" t="s">
        <v>337</v>
      </c>
      <c r="V2415" t="s">
        <v>341</v>
      </c>
      <c r="W2415" t="s">
        <v>345</v>
      </c>
      <c r="X2415" t="s">
        <v>350</v>
      </c>
      <c r="AK2415" t="s">
        <v>358</v>
      </c>
    </row>
    <row r="2416" spans="1:37">
      <c r="B2416" t="s">
        <v>53</v>
      </c>
      <c r="C2416" t="s">
        <v>77</v>
      </c>
      <c r="D2416" t="s">
        <v>97</v>
      </c>
      <c r="E2416" t="s">
        <v>116</v>
      </c>
      <c r="F2416" t="s">
        <v>150</v>
      </c>
      <c r="G2416" t="s">
        <v>175</v>
      </c>
      <c r="H2416" t="s">
        <v>210</v>
      </c>
      <c r="I2416" t="s">
        <v>230</v>
      </c>
      <c r="J2416" t="s">
        <v>249</v>
      </c>
      <c r="K2416" t="s">
        <v>263</v>
      </c>
      <c r="L2416" t="s">
        <v>275</v>
      </c>
      <c r="M2416" t="s">
        <v>284</v>
      </c>
      <c r="N2416" t="s">
        <v>294</v>
      </c>
      <c r="O2416" t="s">
        <v>302</v>
      </c>
      <c r="P2416" t="s">
        <v>310</v>
      </c>
      <c r="Q2416" t="s">
        <v>316</v>
      </c>
      <c r="R2416" t="s">
        <v>322</v>
      </c>
      <c r="S2416" t="s">
        <v>329</v>
      </c>
      <c r="AK2416" t="s">
        <v>358</v>
      </c>
    </row>
    <row r="2417" spans="1:37">
      <c r="A2417" t="s">
        <v>39</v>
      </c>
      <c r="B2417" t="s">
        <v>54</v>
      </c>
      <c r="C2417" t="s">
        <v>54</v>
      </c>
      <c r="D2417" t="s">
        <v>54</v>
      </c>
      <c r="E2417" t="s">
        <v>54</v>
      </c>
      <c r="F2417" t="s">
        <v>54</v>
      </c>
      <c r="G2417" t="s">
        <v>54</v>
      </c>
      <c r="H2417" t="s">
        <v>54</v>
      </c>
      <c r="I2417" t="s">
        <v>54</v>
      </c>
      <c r="J2417" t="s">
        <v>54</v>
      </c>
      <c r="K2417" t="s">
        <v>54</v>
      </c>
      <c r="L2417" t="s">
        <v>54</v>
      </c>
      <c r="M2417" t="s">
        <v>54</v>
      </c>
      <c r="N2417" t="s">
        <v>54</v>
      </c>
      <c r="O2417" t="s">
        <v>54</v>
      </c>
      <c r="P2417" t="s">
        <v>54</v>
      </c>
      <c r="Q2417" t="s">
        <v>54</v>
      </c>
      <c r="R2417" t="s">
        <v>323</v>
      </c>
      <c r="S2417" t="s">
        <v>330</v>
      </c>
      <c r="AK2417" t="s">
        <v>358</v>
      </c>
    </row>
    <row r="2418" spans="1:37">
      <c r="B2418" t="s">
        <v>55</v>
      </c>
      <c r="C2418" t="s">
        <v>78</v>
      </c>
      <c r="D2418" t="s">
        <v>55</v>
      </c>
      <c r="E2418" t="s">
        <v>78</v>
      </c>
      <c r="F2418" t="s">
        <v>55</v>
      </c>
      <c r="G2418" t="s">
        <v>78</v>
      </c>
      <c r="H2418" t="s">
        <v>55</v>
      </c>
      <c r="I2418" t="s">
        <v>78</v>
      </c>
      <c r="J2418" t="s">
        <v>55</v>
      </c>
      <c r="K2418" t="s">
        <v>78</v>
      </c>
      <c r="L2418" t="s">
        <v>55</v>
      </c>
      <c r="M2418" t="s">
        <v>78</v>
      </c>
      <c r="N2418" t="s">
        <v>55</v>
      </c>
      <c r="O2418" t="s">
        <v>78</v>
      </c>
      <c r="P2418" t="s">
        <v>55</v>
      </c>
      <c r="Q2418" t="s">
        <v>78</v>
      </c>
      <c r="R2418" t="s">
        <v>55</v>
      </c>
      <c r="S2418" t="s">
        <v>78</v>
      </c>
      <c r="T2418" t="s">
        <v>55</v>
      </c>
      <c r="U2418" t="s">
        <v>78</v>
      </c>
      <c r="V2418" t="s">
        <v>55</v>
      </c>
      <c r="W2418" t="s">
        <v>78</v>
      </c>
      <c r="X2418" t="s">
        <v>55</v>
      </c>
      <c r="Y2418" t="s">
        <v>78</v>
      </c>
      <c r="Z2418" t="s">
        <v>55</v>
      </c>
      <c r="AA2418" t="s">
        <v>78</v>
      </c>
      <c r="AB2418" t="s">
        <v>55</v>
      </c>
      <c r="AC2418" t="s">
        <v>78</v>
      </c>
      <c r="AD2418" t="s">
        <v>55</v>
      </c>
      <c r="AE2418" t="s">
        <v>78</v>
      </c>
      <c r="AF2418" t="s">
        <v>55</v>
      </c>
      <c r="AG2418" t="s">
        <v>78</v>
      </c>
      <c r="AH2418" t="s">
        <v>55</v>
      </c>
      <c r="AI2418" t="s">
        <v>78</v>
      </c>
      <c r="AK2418" t="s">
        <v>358</v>
      </c>
    </row>
    <row r="2419" spans="1:37">
      <c r="B2419" t="s">
        <v>56</v>
      </c>
      <c r="C2419" t="s">
        <v>56</v>
      </c>
      <c r="D2419" t="s">
        <v>56</v>
      </c>
      <c r="E2419" t="s">
        <v>56</v>
      </c>
      <c r="F2419" t="s">
        <v>56</v>
      </c>
      <c r="G2419" t="s">
        <v>176</v>
      </c>
      <c r="H2419" t="s">
        <v>211</v>
      </c>
      <c r="I2419" t="s">
        <v>231</v>
      </c>
      <c r="J2419" t="s">
        <v>250</v>
      </c>
      <c r="K2419" t="s">
        <v>264</v>
      </c>
      <c r="L2419" t="s">
        <v>276</v>
      </c>
      <c r="M2419" t="s">
        <v>285</v>
      </c>
      <c r="N2419" t="s">
        <v>295</v>
      </c>
      <c r="O2419" t="s">
        <v>303</v>
      </c>
      <c r="P2419" t="s">
        <v>56</v>
      </c>
      <c r="Q2419" t="s">
        <v>317</v>
      </c>
      <c r="R2419" t="s">
        <v>324</v>
      </c>
      <c r="S2419" t="s">
        <v>331</v>
      </c>
      <c r="T2419" t="s">
        <v>334</v>
      </c>
      <c r="U2419" t="s">
        <v>338</v>
      </c>
      <c r="V2419" t="s">
        <v>342</v>
      </c>
      <c r="W2419" t="s">
        <v>346</v>
      </c>
      <c r="X2419" t="s">
        <v>351</v>
      </c>
      <c r="AK2419" t="s">
        <v>358</v>
      </c>
    </row>
    <row r="2420" spans="1:37">
      <c r="B2420" t="s">
        <v>57</v>
      </c>
      <c r="C2420" t="s">
        <v>79</v>
      </c>
      <c r="D2420" t="s">
        <v>98</v>
      </c>
      <c r="E2420" t="s">
        <v>117</v>
      </c>
      <c r="F2420" t="s">
        <v>151</v>
      </c>
      <c r="G2420" t="s">
        <v>177</v>
      </c>
      <c r="H2420" t="s">
        <v>212</v>
      </c>
      <c r="I2420" t="s">
        <v>232</v>
      </c>
      <c r="J2420" t="s">
        <v>251</v>
      </c>
      <c r="K2420" t="s">
        <v>265</v>
      </c>
      <c r="L2420" t="s">
        <v>277</v>
      </c>
      <c r="M2420" t="s">
        <v>286</v>
      </c>
      <c r="N2420" t="s">
        <v>296</v>
      </c>
      <c r="O2420" t="s">
        <v>304</v>
      </c>
      <c r="P2420" t="s">
        <v>311</v>
      </c>
      <c r="Q2420" t="s">
        <v>318</v>
      </c>
      <c r="R2420" t="s">
        <v>185</v>
      </c>
      <c r="S2420" t="s">
        <v>159</v>
      </c>
      <c r="T2420" t="s">
        <v>185</v>
      </c>
      <c r="U2420" t="s">
        <v>339</v>
      </c>
      <c r="V2420" t="s">
        <v>72</v>
      </c>
      <c r="W2420" t="s">
        <v>347</v>
      </c>
      <c r="X2420" t="s">
        <v>72</v>
      </c>
      <c r="Y2420" t="s">
        <v>96</v>
      </c>
      <c r="AK2420" t="s">
        <v>358</v>
      </c>
    </row>
    <row r="2421" spans="1:37">
      <c r="B2421" t="s">
        <v>58</v>
      </c>
      <c r="C2421" t="s">
        <v>80</v>
      </c>
      <c r="D2421" t="s">
        <v>99</v>
      </c>
      <c r="E2421" t="s">
        <v>118</v>
      </c>
      <c r="F2421" t="s">
        <v>152</v>
      </c>
      <c r="G2421" t="s">
        <v>178</v>
      </c>
      <c r="H2421" t="s">
        <v>213</v>
      </c>
      <c r="I2421" t="s">
        <v>233</v>
      </c>
      <c r="J2421" t="s">
        <v>252</v>
      </c>
      <c r="K2421" t="s">
        <v>266</v>
      </c>
      <c r="L2421" t="s">
        <v>278</v>
      </c>
      <c r="M2421" t="s">
        <v>287</v>
      </c>
      <c r="N2421" t="s">
        <v>297</v>
      </c>
      <c r="O2421" t="s">
        <v>305</v>
      </c>
      <c r="P2421" t="s">
        <v>312</v>
      </c>
      <c r="Q2421" t="s">
        <v>319</v>
      </c>
      <c r="R2421">
        <f>&gt;10       ветра      2.9     18  25</f>
        <v>0</v>
      </c>
      <c r="AK2421" t="s">
        <v>358</v>
      </c>
    </row>
    <row r="2422" spans="1:37">
      <c r="A2422" t="s">
        <v>40</v>
      </c>
      <c r="B2422" t="s">
        <v>59</v>
      </c>
      <c r="C2422" t="s">
        <v>81</v>
      </c>
      <c r="D2422" t="s">
        <v>100</v>
      </c>
      <c r="E2422" t="s">
        <v>119</v>
      </c>
      <c r="F2422" t="s">
        <v>153</v>
      </c>
      <c r="G2422" t="s">
        <v>179</v>
      </c>
      <c r="H2422" t="s">
        <v>214</v>
      </c>
      <c r="I2422" t="s">
        <v>234</v>
      </c>
      <c r="AK2422" t="s">
        <v>358</v>
      </c>
    </row>
    <row r="2423" spans="1:37">
      <c r="A2423" t="s">
        <v>40</v>
      </c>
      <c r="B2423" t="s">
        <v>60</v>
      </c>
      <c r="C2423" t="s">
        <v>82</v>
      </c>
      <c r="D2423" t="s">
        <v>101</v>
      </c>
      <c r="E2423" t="s">
        <v>120</v>
      </c>
      <c r="F2423" t="s">
        <v>154</v>
      </c>
      <c r="G2423" t="s">
        <v>180</v>
      </c>
      <c r="H2423" t="s">
        <v>215</v>
      </c>
      <c r="I2423" t="s">
        <v>235</v>
      </c>
      <c r="J2423" t="s">
        <v>253</v>
      </c>
      <c r="K2423" t="s">
        <v>267</v>
      </c>
      <c r="L2423" t="s">
        <v>279</v>
      </c>
      <c r="M2423" t="s">
        <v>288</v>
      </c>
      <c r="N2423" t="s">
        <v>100</v>
      </c>
      <c r="O2423" t="s">
        <v>306</v>
      </c>
      <c r="P2423" t="s">
        <v>313</v>
      </c>
      <c r="Q2423" t="s">
        <v>320</v>
      </c>
      <c r="R2423" t="s">
        <v>325</v>
      </c>
      <c r="S2423" t="s">
        <v>332</v>
      </c>
      <c r="T2423" t="s">
        <v>119</v>
      </c>
      <c r="U2423" t="s">
        <v>234</v>
      </c>
      <c r="V2423" t="s">
        <v>343</v>
      </c>
      <c r="W2423" t="s">
        <v>348</v>
      </c>
      <c r="X2423" t="s">
        <v>352</v>
      </c>
      <c r="Y2423" t="s">
        <v>354</v>
      </c>
      <c r="AK2423" t="s">
        <v>358</v>
      </c>
    </row>
    <row r="2424" spans="1:37">
      <c r="A2424" t="s">
        <v>41</v>
      </c>
      <c r="B2424" t="s">
        <v>61</v>
      </c>
      <c r="C2424" t="s">
        <v>83</v>
      </c>
      <c r="D2424" t="s">
        <v>102</v>
      </c>
      <c r="E2424" t="s">
        <v>121</v>
      </c>
      <c r="F2424" t="s">
        <v>155</v>
      </c>
      <c r="G2424" t="s">
        <v>181</v>
      </c>
      <c r="H2424" t="s">
        <v>216</v>
      </c>
      <c r="I2424" t="s">
        <v>236</v>
      </c>
      <c r="AK2424" t="s">
        <v>358</v>
      </c>
    </row>
    <row r="2425" spans="1:37">
      <c r="A2425" t="s">
        <v>42</v>
      </c>
      <c r="B2425" t="s">
        <v>62</v>
      </c>
      <c r="C2425" t="s">
        <v>84</v>
      </c>
      <c r="D2425" t="s">
        <v>103</v>
      </c>
      <c r="E2425" t="s">
        <v>122</v>
      </c>
      <c r="F2425" t="s">
        <v>156</v>
      </c>
      <c r="G2425" t="s">
        <v>182</v>
      </c>
      <c r="H2425" t="s">
        <v>83</v>
      </c>
      <c r="I2425" t="s">
        <v>237</v>
      </c>
      <c r="J2425" t="s">
        <v>254</v>
      </c>
      <c r="K2425" t="s">
        <v>268</v>
      </c>
      <c r="L2425" t="s">
        <v>280</v>
      </c>
      <c r="M2425" t="s">
        <v>289</v>
      </c>
      <c r="N2425" t="s">
        <v>298</v>
      </c>
      <c r="O2425" t="s">
        <v>307</v>
      </c>
      <c r="P2425" t="s">
        <v>314</v>
      </c>
      <c r="Q2425" t="s">
        <v>216</v>
      </c>
      <c r="R2425" t="s">
        <v>326</v>
      </c>
      <c r="S2425" t="s">
        <v>333</v>
      </c>
      <c r="T2425" t="s">
        <v>335</v>
      </c>
      <c r="U2425" t="s">
        <v>340</v>
      </c>
      <c r="V2425" t="s">
        <v>344</v>
      </c>
      <c r="W2425" t="s">
        <v>349</v>
      </c>
      <c r="AK2425" t="s">
        <v>358</v>
      </c>
    </row>
    <row r="2426" spans="1:37">
      <c r="A2426" t="s">
        <v>43</v>
      </c>
      <c r="B2426" t="s">
        <v>63</v>
      </c>
      <c r="C2426" t="s">
        <v>85</v>
      </c>
      <c r="D2426" t="s">
        <v>104</v>
      </c>
      <c r="E2426" t="s">
        <v>123</v>
      </c>
      <c r="F2426" t="s">
        <v>157</v>
      </c>
      <c r="G2426" t="s">
        <v>183</v>
      </c>
      <c r="AK2426" t="s">
        <v>358</v>
      </c>
    </row>
    <row r="2427" spans="1:37">
      <c r="A2427" t="s">
        <v>44</v>
      </c>
      <c r="B2427" t="s">
        <v>64</v>
      </c>
      <c r="C2427" t="s">
        <v>86</v>
      </c>
      <c r="D2427" t="s">
        <v>105</v>
      </c>
      <c r="E2427" t="s">
        <v>124</v>
      </c>
      <c r="F2427" t="s">
        <v>158</v>
      </c>
      <c r="G2427" t="s">
        <v>184</v>
      </c>
      <c r="AK2427" t="s">
        <v>358</v>
      </c>
    </row>
    <row r="2428" spans="1:37">
      <c r="A2428" t="s">
        <v>45</v>
      </c>
      <c r="B2428" t="s">
        <v>65</v>
      </c>
      <c r="C2428" t="s">
        <v>87</v>
      </c>
      <c r="D2428" t="s">
        <v>106</v>
      </c>
      <c r="E2428" t="s">
        <v>125</v>
      </c>
      <c r="F2428" t="s">
        <v>159</v>
      </c>
      <c r="G2428" t="s">
        <v>185</v>
      </c>
      <c r="H2428" t="s">
        <v>159</v>
      </c>
      <c r="I2428" t="s">
        <v>185</v>
      </c>
      <c r="J2428" t="s">
        <v>255</v>
      </c>
      <c r="AK2428" t="s">
        <v>358</v>
      </c>
    </row>
    <row r="2429" spans="1:37">
      <c r="A2429" t="s">
        <v>46</v>
      </c>
      <c r="B2429" t="s">
        <v>66</v>
      </c>
      <c r="C2429" t="s">
        <v>88</v>
      </c>
      <c r="D2429" t="s">
        <v>76</v>
      </c>
      <c r="E2429" t="s">
        <v>126</v>
      </c>
      <c r="F2429" t="s">
        <v>160</v>
      </c>
      <c r="G2429" t="s">
        <v>186</v>
      </c>
      <c r="H2429" t="s">
        <v>217</v>
      </c>
      <c r="I2429" t="s">
        <v>238</v>
      </c>
      <c r="J2429" t="s">
        <v>256</v>
      </c>
      <c r="K2429" t="s">
        <v>265</v>
      </c>
      <c r="L2429" t="s">
        <v>281</v>
      </c>
      <c r="M2429" t="s">
        <v>290</v>
      </c>
      <c r="N2429" t="s">
        <v>299</v>
      </c>
      <c r="O2429" t="s">
        <v>308</v>
      </c>
      <c r="P2429" t="s">
        <v>228</v>
      </c>
      <c r="Q2429" t="s">
        <v>72</v>
      </c>
      <c r="R2429" t="s">
        <v>327</v>
      </c>
      <c r="S2429" t="s">
        <v>327</v>
      </c>
      <c r="T2429" t="s">
        <v>336</v>
      </c>
      <c r="U2429" t="s">
        <v>336</v>
      </c>
      <c r="V2429" t="s">
        <v>336</v>
      </c>
      <c r="W2429" t="s">
        <v>336</v>
      </c>
      <c r="X2429" t="s">
        <v>353</v>
      </c>
      <c r="AK2429" t="s">
        <v>358</v>
      </c>
    </row>
    <row r="2430" spans="1:37">
      <c r="A2430" t="s">
        <v>37</v>
      </c>
      <c r="B2430" t="s">
        <v>49</v>
      </c>
      <c r="C2430" t="s">
        <v>73</v>
      </c>
      <c r="D2430" t="s">
        <v>94</v>
      </c>
      <c r="E2430" t="s">
        <v>112</v>
      </c>
      <c r="F2430" t="s">
        <v>146</v>
      </c>
      <c r="G2430" t="s">
        <v>172</v>
      </c>
      <c r="H2430" t="s">
        <v>207</v>
      </c>
      <c r="I2430" t="s">
        <v>226</v>
      </c>
      <c r="J2430" t="s">
        <v>246</v>
      </c>
      <c r="K2430" t="s">
        <v>259</v>
      </c>
      <c r="AK2430" t="s">
        <v>358</v>
      </c>
    </row>
    <row r="2431" spans="1:37">
      <c r="A2431" t="s">
        <v>38</v>
      </c>
      <c r="B2431" t="s">
        <v>50</v>
      </c>
      <c r="C2431" t="s">
        <v>74</v>
      </c>
      <c r="D2431" t="s">
        <v>95</v>
      </c>
      <c r="E2431" t="s">
        <v>113</v>
      </c>
      <c r="F2431" t="s">
        <v>147</v>
      </c>
      <c r="G2431" t="s">
        <v>173</v>
      </c>
      <c r="H2431" t="s">
        <v>208</v>
      </c>
      <c r="I2431" t="s">
        <v>227</v>
      </c>
      <c r="J2431" t="s">
        <v>115</v>
      </c>
      <c r="K2431" t="s">
        <v>260</v>
      </c>
      <c r="L2431" t="s">
        <v>273</v>
      </c>
      <c r="M2431" t="s">
        <v>282</v>
      </c>
      <c r="N2431" t="s">
        <v>291</v>
      </c>
      <c r="AK2431" t="s">
        <v>358</v>
      </c>
    </row>
    <row r="2432" spans="1:37">
      <c r="B2432" t="s">
        <v>51</v>
      </c>
      <c r="C2432" t="s">
        <v>75</v>
      </c>
      <c r="D2432" t="s">
        <v>52</v>
      </c>
      <c r="E2432" t="s">
        <v>114</v>
      </c>
      <c r="F2432" t="s">
        <v>148</v>
      </c>
      <c r="G2432" t="s">
        <v>148</v>
      </c>
      <c r="H2432" t="s">
        <v>209</v>
      </c>
      <c r="I2432" t="s">
        <v>228</v>
      </c>
      <c r="J2432" t="s">
        <v>247</v>
      </c>
      <c r="K2432" t="s">
        <v>261</v>
      </c>
      <c r="L2432" t="s">
        <v>274</v>
      </c>
      <c r="M2432" t="s">
        <v>283</v>
      </c>
      <c r="N2432" t="s">
        <v>292</v>
      </c>
      <c r="O2432" t="s">
        <v>300</v>
      </c>
      <c r="AK2432" t="s">
        <v>358</v>
      </c>
    </row>
    <row r="2433" spans="1:37">
      <c r="B2433" t="s">
        <v>52</v>
      </c>
      <c r="C2433" t="s">
        <v>76</v>
      </c>
      <c r="D2433" t="s">
        <v>96</v>
      </c>
      <c r="E2433" t="s">
        <v>115</v>
      </c>
      <c r="F2433" t="s">
        <v>149</v>
      </c>
      <c r="G2433" t="s">
        <v>174</v>
      </c>
      <c r="H2433" t="s">
        <v>96</v>
      </c>
      <c r="I2433" t="s">
        <v>229</v>
      </c>
      <c r="J2433" t="s">
        <v>248</v>
      </c>
      <c r="K2433" t="s">
        <v>262</v>
      </c>
      <c r="L2433" t="s">
        <v>52</v>
      </c>
      <c r="M2433" t="s">
        <v>76</v>
      </c>
      <c r="N2433" t="s">
        <v>293</v>
      </c>
      <c r="O2433" t="s">
        <v>301</v>
      </c>
      <c r="P2433" t="s">
        <v>309</v>
      </c>
      <c r="Q2433" t="s">
        <v>315</v>
      </c>
      <c r="R2433" t="s">
        <v>228</v>
      </c>
      <c r="S2433" t="s">
        <v>328</v>
      </c>
      <c r="T2433" t="s">
        <v>149</v>
      </c>
      <c r="U2433" t="s">
        <v>337</v>
      </c>
      <c r="V2433" t="s">
        <v>341</v>
      </c>
      <c r="W2433" t="s">
        <v>345</v>
      </c>
      <c r="X2433" t="s">
        <v>350</v>
      </c>
      <c r="AK2433" t="s">
        <v>358</v>
      </c>
    </row>
    <row r="2434" spans="1:37">
      <c r="B2434" t="s">
        <v>53</v>
      </c>
      <c r="C2434" t="s">
        <v>77</v>
      </c>
      <c r="D2434" t="s">
        <v>97</v>
      </c>
      <c r="E2434" t="s">
        <v>116</v>
      </c>
      <c r="F2434" t="s">
        <v>150</v>
      </c>
      <c r="G2434" t="s">
        <v>175</v>
      </c>
      <c r="H2434" t="s">
        <v>210</v>
      </c>
      <c r="I2434" t="s">
        <v>230</v>
      </c>
      <c r="J2434" t="s">
        <v>249</v>
      </c>
      <c r="K2434" t="s">
        <v>263</v>
      </c>
      <c r="L2434" t="s">
        <v>275</v>
      </c>
      <c r="M2434" t="s">
        <v>284</v>
      </c>
      <c r="N2434" t="s">
        <v>294</v>
      </c>
      <c r="O2434" t="s">
        <v>302</v>
      </c>
      <c r="P2434" t="s">
        <v>310</v>
      </c>
      <c r="Q2434" t="s">
        <v>316</v>
      </c>
      <c r="R2434" t="s">
        <v>322</v>
      </c>
      <c r="S2434" t="s">
        <v>329</v>
      </c>
      <c r="AK2434" t="s">
        <v>358</v>
      </c>
    </row>
    <row r="2435" spans="1:37">
      <c r="A2435" t="s">
        <v>39</v>
      </c>
      <c r="B2435" t="s">
        <v>54</v>
      </c>
      <c r="C2435" t="s">
        <v>54</v>
      </c>
      <c r="D2435" t="s">
        <v>54</v>
      </c>
      <c r="E2435" t="s">
        <v>54</v>
      </c>
      <c r="F2435" t="s">
        <v>54</v>
      </c>
      <c r="G2435" t="s">
        <v>54</v>
      </c>
      <c r="H2435" t="s">
        <v>54</v>
      </c>
      <c r="I2435" t="s">
        <v>54</v>
      </c>
      <c r="J2435" t="s">
        <v>54</v>
      </c>
      <c r="K2435" t="s">
        <v>54</v>
      </c>
      <c r="L2435" t="s">
        <v>54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323</v>
      </c>
      <c r="S2435" t="s">
        <v>330</v>
      </c>
      <c r="AK2435" t="s">
        <v>358</v>
      </c>
    </row>
    <row r="2436" spans="1:37">
      <c r="B2436" t="s">
        <v>55</v>
      </c>
      <c r="C2436" t="s">
        <v>78</v>
      </c>
      <c r="D2436" t="s">
        <v>55</v>
      </c>
      <c r="E2436" t="s">
        <v>78</v>
      </c>
      <c r="F2436" t="s">
        <v>55</v>
      </c>
      <c r="G2436" t="s">
        <v>78</v>
      </c>
      <c r="H2436" t="s">
        <v>55</v>
      </c>
      <c r="I2436" t="s">
        <v>78</v>
      </c>
      <c r="J2436" t="s">
        <v>55</v>
      </c>
      <c r="K2436" t="s">
        <v>78</v>
      </c>
      <c r="L2436" t="s">
        <v>55</v>
      </c>
      <c r="M2436" t="s">
        <v>78</v>
      </c>
      <c r="N2436" t="s">
        <v>55</v>
      </c>
      <c r="O2436" t="s">
        <v>78</v>
      </c>
      <c r="P2436" t="s">
        <v>55</v>
      </c>
      <c r="Q2436" t="s">
        <v>78</v>
      </c>
      <c r="R2436" t="s">
        <v>55</v>
      </c>
      <c r="S2436" t="s">
        <v>78</v>
      </c>
      <c r="T2436" t="s">
        <v>55</v>
      </c>
      <c r="U2436" t="s">
        <v>78</v>
      </c>
      <c r="V2436" t="s">
        <v>55</v>
      </c>
      <c r="W2436" t="s">
        <v>78</v>
      </c>
      <c r="X2436" t="s">
        <v>55</v>
      </c>
      <c r="Y2436" t="s">
        <v>78</v>
      </c>
      <c r="Z2436" t="s">
        <v>55</v>
      </c>
      <c r="AA2436" t="s">
        <v>78</v>
      </c>
      <c r="AB2436" t="s">
        <v>55</v>
      </c>
      <c r="AC2436" t="s">
        <v>78</v>
      </c>
      <c r="AD2436" t="s">
        <v>55</v>
      </c>
      <c r="AE2436" t="s">
        <v>78</v>
      </c>
      <c r="AF2436" t="s">
        <v>55</v>
      </c>
      <c r="AG2436" t="s">
        <v>78</v>
      </c>
      <c r="AH2436" t="s">
        <v>55</v>
      </c>
      <c r="AI2436" t="s">
        <v>78</v>
      </c>
      <c r="AK2436" t="s">
        <v>358</v>
      </c>
    </row>
    <row r="2437" spans="1:37">
      <c r="B2437" t="s">
        <v>56</v>
      </c>
      <c r="C2437" t="s">
        <v>56</v>
      </c>
      <c r="D2437" t="s">
        <v>56</v>
      </c>
      <c r="E2437" t="s">
        <v>56</v>
      </c>
      <c r="F2437" t="s">
        <v>56</v>
      </c>
      <c r="G2437" t="s">
        <v>176</v>
      </c>
      <c r="H2437" t="s">
        <v>211</v>
      </c>
      <c r="I2437" t="s">
        <v>231</v>
      </c>
      <c r="J2437" t="s">
        <v>250</v>
      </c>
      <c r="K2437" t="s">
        <v>264</v>
      </c>
      <c r="L2437" t="s">
        <v>276</v>
      </c>
      <c r="M2437" t="s">
        <v>285</v>
      </c>
      <c r="N2437" t="s">
        <v>295</v>
      </c>
      <c r="O2437" t="s">
        <v>303</v>
      </c>
      <c r="P2437" t="s">
        <v>56</v>
      </c>
      <c r="Q2437" t="s">
        <v>317</v>
      </c>
      <c r="R2437" t="s">
        <v>324</v>
      </c>
      <c r="S2437" t="s">
        <v>331</v>
      </c>
      <c r="T2437" t="s">
        <v>334</v>
      </c>
      <c r="U2437" t="s">
        <v>338</v>
      </c>
      <c r="V2437" t="s">
        <v>342</v>
      </c>
      <c r="W2437" t="s">
        <v>346</v>
      </c>
      <c r="X2437" t="s">
        <v>351</v>
      </c>
      <c r="AK2437" t="s">
        <v>358</v>
      </c>
    </row>
    <row r="2438" spans="1:37">
      <c r="B2438" t="s">
        <v>57</v>
      </c>
      <c r="C2438" t="s">
        <v>79</v>
      </c>
      <c r="D2438" t="s">
        <v>98</v>
      </c>
      <c r="E2438" t="s">
        <v>117</v>
      </c>
      <c r="F2438" t="s">
        <v>151</v>
      </c>
      <c r="G2438" t="s">
        <v>177</v>
      </c>
      <c r="H2438" t="s">
        <v>212</v>
      </c>
      <c r="I2438" t="s">
        <v>232</v>
      </c>
      <c r="J2438" t="s">
        <v>251</v>
      </c>
      <c r="K2438" t="s">
        <v>265</v>
      </c>
      <c r="L2438" t="s">
        <v>277</v>
      </c>
      <c r="M2438" t="s">
        <v>286</v>
      </c>
      <c r="N2438" t="s">
        <v>296</v>
      </c>
      <c r="O2438" t="s">
        <v>304</v>
      </c>
      <c r="P2438" t="s">
        <v>311</v>
      </c>
      <c r="Q2438" t="s">
        <v>318</v>
      </c>
      <c r="R2438" t="s">
        <v>185</v>
      </c>
      <c r="S2438" t="s">
        <v>159</v>
      </c>
      <c r="T2438" t="s">
        <v>185</v>
      </c>
      <c r="U2438" t="s">
        <v>339</v>
      </c>
      <c r="V2438" t="s">
        <v>72</v>
      </c>
      <c r="W2438" t="s">
        <v>347</v>
      </c>
      <c r="X2438" t="s">
        <v>72</v>
      </c>
      <c r="Y2438" t="s">
        <v>96</v>
      </c>
      <c r="AK2438" t="s">
        <v>358</v>
      </c>
    </row>
    <row r="2439" spans="1:37">
      <c r="B2439" t="s">
        <v>58</v>
      </c>
      <c r="C2439" t="s">
        <v>80</v>
      </c>
      <c r="D2439" t="s">
        <v>99</v>
      </c>
      <c r="E2439" t="s">
        <v>118</v>
      </c>
      <c r="F2439" t="s">
        <v>152</v>
      </c>
      <c r="G2439" t="s">
        <v>178</v>
      </c>
      <c r="H2439" t="s">
        <v>213</v>
      </c>
      <c r="I2439" t="s">
        <v>233</v>
      </c>
      <c r="J2439" t="s">
        <v>252</v>
      </c>
      <c r="K2439" t="s">
        <v>266</v>
      </c>
      <c r="L2439" t="s">
        <v>278</v>
      </c>
      <c r="M2439" t="s">
        <v>287</v>
      </c>
      <c r="N2439" t="s">
        <v>297</v>
      </c>
      <c r="O2439" t="s">
        <v>305</v>
      </c>
      <c r="P2439" t="s">
        <v>312</v>
      </c>
      <c r="Q2439" t="s">
        <v>319</v>
      </c>
      <c r="R2439">
        <f>&gt;10       ветра      2.0     22  26</f>
        <v>0</v>
      </c>
      <c r="AK2439" t="s">
        <v>358</v>
      </c>
    </row>
    <row r="2440" spans="1:37">
      <c r="A2440" t="s">
        <v>40</v>
      </c>
      <c r="B2440" t="s">
        <v>59</v>
      </c>
      <c r="C2440" t="s">
        <v>81</v>
      </c>
      <c r="D2440" t="s">
        <v>100</v>
      </c>
      <c r="E2440" t="s">
        <v>119</v>
      </c>
      <c r="F2440" t="s">
        <v>153</v>
      </c>
      <c r="G2440" t="s">
        <v>179</v>
      </c>
      <c r="H2440" t="s">
        <v>214</v>
      </c>
      <c r="I2440" t="s">
        <v>234</v>
      </c>
      <c r="AK2440" t="s">
        <v>358</v>
      </c>
    </row>
    <row r="2441" spans="1:37">
      <c r="A2441" t="s">
        <v>40</v>
      </c>
      <c r="B2441" t="s">
        <v>60</v>
      </c>
      <c r="C2441" t="s">
        <v>82</v>
      </c>
      <c r="D2441" t="s">
        <v>101</v>
      </c>
      <c r="E2441" t="s">
        <v>120</v>
      </c>
      <c r="F2441" t="s">
        <v>154</v>
      </c>
      <c r="G2441" t="s">
        <v>180</v>
      </c>
      <c r="H2441" t="s">
        <v>215</v>
      </c>
      <c r="I2441" t="s">
        <v>235</v>
      </c>
      <c r="J2441" t="s">
        <v>253</v>
      </c>
      <c r="K2441" t="s">
        <v>267</v>
      </c>
      <c r="L2441" t="s">
        <v>279</v>
      </c>
      <c r="M2441" t="s">
        <v>288</v>
      </c>
      <c r="N2441" t="s">
        <v>100</v>
      </c>
      <c r="O2441" t="s">
        <v>306</v>
      </c>
      <c r="P2441" t="s">
        <v>313</v>
      </c>
      <c r="Q2441" t="s">
        <v>320</v>
      </c>
      <c r="R2441" t="s">
        <v>325</v>
      </c>
      <c r="S2441" t="s">
        <v>332</v>
      </c>
      <c r="T2441" t="s">
        <v>119</v>
      </c>
      <c r="U2441" t="s">
        <v>234</v>
      </c>
      <c r="V2441" t="s">
        <v>343</v>
      </c>
      <c r="W2441" t="s">
        <v>348</v>
      </c>
      <c r="X2441" t="s">
        <v>352</v>
      </c>
      <c r="Y2441" t="s">
        <v>354</v>
      </c>
      <c r="AK2441" t="s">
        <v>358</v>
      </c>
    </row>
    <row r="2442" spans="1:37">
      <c r="A2442" t="s">
        <v>41</v>
      </c>
      <c r="B2442" t="s">
        <v>61</v>
      </c>
      <c r="C2442" t="s">
        <v>83</v>
      </c>
      <c r="D2442" t="s">
        <v>102</v>
      </c>
      <c r="E2442" t="s">
        <v>121</v>
      </c>
      <c r="F2442" t="s">
        <v>155</v>
      </c>
      <c r="G2442" t="s">
        <v>181</v>
      </c>
      <c r="H2442" t="s">
        <v>216</v>
      </c>
      <c r="I2442" t="s">
        <v>236</v>
      </c>
      <c r="AK2442" t="s">
        <v>358</v>
      </c>
    </row>
    <row r="2443" spans="1:37">
      <c r="A2443" t="s">
        <v>42</v>
      </c>
      <c r="B2443" t="s">
        <v>62</v>
      </c>
      <c r="C2443" t="s">
        <v>84</v>
      </c>
      <c r="D2443" t="s">
        <v>103</v>
      </c>
      <c r="E2443" t="s">
        <v>122</v>
      </c>
      <c r="F2443" t="s">
        <v>156</v>
      </c>
      <c r="G2443" t="s">
        <v>182</v>
      </c>
      <c r="H2443" t="s">
        <v>83</v>
      </c>
      <c r="I2443" t="s">
        <v>237</v>
      </c>
      <c r="J2443" t="s">
        <v>254</v>
      </c>
      <c r="K2443" t="s">
        <v>268</v>
      </c>
      <c r="L2443" t="s">
        <v>280</v>
      </c>
      <c r="M2443" t="s">
        <v>289</v>
      </c>
      <c r="N2443" t="s">
        <v>298</v>
      </c>
      <c r="O2443" t="s">
        <v>307</v>
      </c>
      <c r="P2443" t="s">
        <v>314</v>
      </c>
      <c r="Q2443" t="s">
        <v>216</v>
      </c>
      <c r="R2443" t="s">
        <v>326</v>
      </c>
      <c r="S2443" t="s">
        <v>333</v>
      </c>
      <c r="T2443" t="s">
        <v>335</v>
      </c>
      <c r="U2443" t="s">
        <v>340</v>
      </c>
      <c r="V2443" t="s">
        <v>344</v>
      </c>
      <c r="W2443" t="s">
        <v>349</v>
      </c>
      <c r="AK2443" t="s">
        <v>358</v>
      </c>
    </row>
    <row r="2444" spans="1:37">
      <c r="A2444" t="s">
        <v>43</v>
      </c>
      <c r="B2444" t="s">
        <v>63</v>
      </c>
      <c r="C2444" t="s">
        <v>85</v>
      </c>
      <c r="D2444" t="s">
        <v>104</v>
      </c>
      <c r="E2444" t="s">
        <v>123</v>
      </c>
      <c r="F2444" t="s">
        <v>157</v>
      </c>
      <c r="G2444" t="s">
        <v>183</v>
      </c>
      <c r="AK2444" t="s">
        <v>358</v>
      </c>
    </row>
    <row r="2445" spans="1:37">
      <c r="A2445" t="s">
        <v>44</v>
      </c>
      <c r="B2445" t="s">
        <v>64</v>
      </c>
      <c r="C2445" t="s">
        <v>86</v>
      </c>
      <c r="D2445" t="s">
        <v>105</v>
      </c>
      <c r="E2445" t="s">
        <v>124</v>
      </c>
      <c r="F2445" t="s">
        <v>158</v>
      </c>
      <c r="G2445" t="s">
        <v>184</v>
      </c>
      <c r="AK2445" t="s">
        <v>358</v>
      </c>
    </row>
    <row r="2446" spans="1:37">
      <c r="A2446" t="s">
        <v>45</v>
      </c>
      <c r="B2446" t="s">
        <v>65</v>
      </c>
      <c r="C2446" t="s">
        <v>87</v>
      </c>
      <c r="D2446" t="s">
        <v>106</v>
      </c>
      <c r="E2446" t="s">
        <v>125</v>
      </c>
      <c r="F2446" t="s">
        <v>159</v>
      </c>
      <c r="G2446" t="s">
        <v>185</v>
      </c>
      <c r="H2446" t="s">
        <v>159</v>
      </c>
      <c r="I2446" t="s">
        <v>185</v>
      </c>
      <c r="J2446" t="s">
        <v>255</v>
      </c>
      <c r="AK2446" t="s">
        <v>358</v>
      </c>
    </row>
    <row r="2447" spans="1:37">
      <c r="A2447" t="s">
        <v>46</v>
      </c>
      <c r="B2447" t="s">
        <v>66</v>
      </c>
      <c r="C2447" t="s">
        <v>88</v>
      </c>
      <c r="D2447" t="s">
        <v>76</v>
      </c>
      <c r="E2447" t="s">
        <v>126</v>
      </c>
      <c r="F2447" t="s">
        <v>160</v>
      </c>
      <c r="G2447" t="s">
        <v>186</v>
      </c>
      <c r="H2447" t="s">
        <v>217</v>
      </c>
      <c r="I2447" t="s">
        <v>238</v>
      </c>
      <c r="J2447" t="s">
        <v>256</v>
      </c>
      <c r="K2447" t="s">
        <v>265</v>
      </c>
      <c r="L2447" t="s">
        <v>281</v>
      </c>
      <c r="M2447" t="s">
        <v>290</v>
      </c>
      <c r="N2447" t="s">
        <v>299</v>
      </c>
      <c r="O2447" t="s">
        <v>308</v>
      </c>
      <c r="P2447" t="s">
        <v>228</v>
      </c>
      <c r="Q2447" t="s">
        <v>72</v>
      </c>
      <c r="R2447" t="s">
        <v>327</v>
      </c>
      <c r="S2447" t="s">
        <v>327</v>
      </c>
      <c r="T2447" t="s">
        <v>336</v>
      </c>
      <c r="U2447" t="s">
        <v>336</v>
      </c>
      <c r="V2447" t="s">
        <v>336</v>
      </c>
      <c r="W2447" t="s">
        <v>336</v>
      </c>
      <c r="X2447" t="s">
        <v>353</v>
      </c>
      <c r="AK2447" t="s">
        <v>358</v>
      </c>
    </row>
    <row r="2448" spans="1:37">
      <c r="A2448" t="s">
        <v>37</v>
      </c>
      <c r="B2448" t="s">
        <v>49</v>
      </c>
      <c r="C2448" t="s">
        <v>73</v>
      </c>
      <c r="D2448" t="s">
        <v>94</v>
      </c>
      <c r="E2448" t="s">
        <v>112</v>
      </c>
      <c r="F2448" t="s">
        <v>146</v>
      </c>
      <c r="G2448" t="s">
        <v>172</v>
      </c>
      <c r="H2448" t="s">
        <v>207</v>
      </c>
      <c r="I2448" t="s">
        <v>226</v>
      </c>
      <c r="J2448" t="s">
        <v>246</v>
      </c>
      <c r="K2448" t="s">
        <v>259</v>
      </c>
      <c r="AK2448" t="s">
        <v>358</v>
      </c>
    </row>
    <row r="2449" spans="1:37">
      <c r="A2449" t="s">
        <v>38</v>
      </c>
      <c r="B2449" t="s">
        <v>50</v>
      </c>
      <c r="C2449" t="s">
        <v>74</v>
      </c>
      <c r="D2449" t="s">
        <v>95</v>
      </c>
      <c r="E2449" t="s">
        <v>113</v>
      </c>
      <c r="F2449" t="s">
        <v>147</v>
      </c>
      <c r="G2449" t="s">
        <v>173</v>
      </c>
      <c r="H2449" t="s">
        <v>208</v>
      </c>
      <c r="I2449" t="s">
        <v>227</v>
      </c>
      <c r="J2449" t="s">
        <v>115</v>
      </c>
      <c r="K2449" t="s">
        <v>260</v>
      </c>
      <c r="L2449" t="s">
        <v>273</v>
      </c>
      <c r="M2449" t="s">
        <v>282</v>
      </c>
      <c r="N2449" t="s">
        <v>291</v>
      </c>
      <c r="AK2449" t="s">
        <v>358</v>
      </c>
    </row>
    <row r="2450" spans="1:37">
      <c r="B2450" t="s">
        <v>51</v>
      </c>
      <c r="C2450" t="s">
        <v>75</v>
      </c>
      <c r="D2450" t="s">
        <v>52</v>
      </c>
      <c r="E2450" t="s">
        <v>114</v>
      </c>
      <c r="F2450" t="s">
        <v>148</v>
      </c>
      <c r="G2450" t="s">
        <v>148</v>
      </c>
      <c r="H2450" t="s">
        <v>209</v>
      </c>
      <c r="I2450" t="s">
        <v>228</v>
      </c>
      <c r="J2450" t="s">
        <v>247</v>
      </c>
      <c r="K2450" t="s">
        <v>261</v>
      </c>
      <c r="L2450" t="s">
        <v>274</v>
      </c>
      <c r="M2450" t="s">
        <v>283</v>
      </c>
      <c r="N2450" t="s">
        <v>292</v>
      </c>
      <c r="O2450" t="s">
        <v>300</v>
      </c>
      <c r="AK2450" t="s">
        <v>358</v>
      </c>
    </row>
    <row r="2451" spans="1:37">
      <c r="B2451" t="s">
        <v>52</v>
      </c>
      <c r="C2451" t="s">
        <v>76</v>
      </c>
      <c r="D2451" t="s">
        <v>96</v>
      </c>
      <c r="E2451" t="s">
        <v>115</v>
      </c>
      <c r="F2451" t="s">
        <v>149</v>
      </c>
      <c r="G2451" t="s">
        <v>174</v>
      </c>
      <c r="H2451" t="s">
        <v>96</v>
      </c>
      <c r="I2451" t="s">
        <v>229</v>
      </c>
      <c r="J2451" t="s">
        <v>248</v>
      </c>
      <c r="K2451" t="s">
        <v>262</v>
      </c>
      <c r="L2451" t="s">
        <v>52</v>
      </c>
      <c r="M2451" t="s">
        <v>76</v>
      </c>
      <c r="N2451" t="s">
        <v>293</v>
      </c>
      <c r="O2451" t="s">
        <v>301</v>
      </c>
      <c r="P2451" t="s">
        <v>309</v>
      </c>
      <c r="Q2451" t="s">
        <v>315</v>
      </c>
      <c r="R2451" t="s">
        <v>228</v>
      </c>
      <c r="S2451" t="s">
        <v>328</v>
      </c>
      <c r="T2451" t="s">
        <v>149</v>
      </c>
      <c r="U2451" t="s">
        <v>337</v>
      </c>
      <c r="V2451" t="s">
        <v>341</v>
      </c>
      <c r="W2451" t="s">
        <v>345</v>
      </c>
      <c r="X2451" t="s">
        <v>350</v>
      </c>
      <c r="AK2451" t="s">
        <v>358</v>
      </c>
    </row>
    <row r="2452" spans="1:37">
      <c r="B2452" t="s">
        <v>53</v>
      </c>
      <c r="C2452" t="s">
        <v>77</v>
      </c>
      <c r="D2452" t="s">
        <v>97</v>
      </c>
      <c r="E2452" t="s">
        <v>116</v>
      </c>
      <c r="F2452" t="s">
        <v>150</v>
      </c>
      <c r="G2452" t="s">
        <v>175</v>
      </c>
      <c r="H2452" t="s">
        <v>210</v>
      </c>
      <c r="I2452" t="s">
        <v>230</v>
      </c>
      <c r="J2452" t="s">
        <v>249</v>
      </c>
      <c r="K2452" t="s">
        <v>263</v>
      </c>
      <c r="L2452" t="s">
        <v>275</v>
      </c>
      <c r="M2452" t="s">
        <v>284</v>
      </c>
      <c r="N2452" t="s">
        <v>294</v>
      </c>
      <c r="O2452" t="s">
        <v>302</v>
      </c>
      <c r="P2452" t="s">
        <v>310</v>
      </c>
      <c r="Q2452" t="s">
        <v>316</v>
      </c>
      <c r="R2452" t="s">
        <v>322</v>
      </c>
      <c r="S2452" t="s">
        <v>329</v>
      </c>
      <c r="AK2452" t="s">
        <v>358</v>
      </c>
    </row>
    <row r="2453" spans="1:37">
      <c r="A2453" t="s">
        <v>39</v>
      </c>
      <c r="B2453" t="s">
        <v>54</v>
      </c>
      <c r="C2453" t="s">
        <v>54</v>
      </c>
      <c r="D2453" t="s">
        <v>54</v>
      </c>
      <c r="E2453" t="s">
        <v>54</v>
      </c>
      <c r="F2453" t="s">
        <v>54</v>
      </c>
      <c r="G2453" t="s">
        <v>54</v>
      </c>
      <c r="H2453" t="s">
        <v>54</v>
      </c>
      <c r="I2453" t="s">
        <v>54</v>
      </c>
      <c r="J2453" t="s">
        <v>54</v>
      </c>
      <c r="K2453" t="s">
        <v>54</v>
      </c>
      <c r="L2453" t="s">
        <v>54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323</v>
      </c>
      <c r="S2453" t="s">
        <v>330</v>
      </c>
      <c r="AK2453" t="s">
        <v>358</v>
      </c>
    </row>
    <row r="2454" spans="1:37">
      <c r="B2454" t="s">
        <v>55</v>
      </c>
      <c r="C2454" t="s">
        <v>78</v>
      </c>
      <c r="D2454" t="s">
        <v>55</v>
      </c>
      <c r="E2454" t="s">
        <v>78</v>
      </c>
      <c r="F2454" t="s">
        <v>55</v>
      </c>
      <c r="G2454" t="s">
        <v>78</v>
      </c>
      <c r="H2454" t="s">
        <v>55</v>
      </c>
      <c r="I2454" t="s">
        <v>78</v>
      </c>
      <c r="J2454" t="s">
        <v>55</v>
      </c>
      <c r="K2454" t="s">
        <v>78</v>
      </c>
      <c r="L2454" t="s">
        <v>55</v>
      </c>
      <c r="M2454" t="s">
        <v>78</v>
      </c>
      <c r="N2454" t="s">
        <v>55</v>
      </c>
      <c r="O2454" t="s">
        <v>78</v>
      </c>
      <c r="P2454" t="s">
        <v>55</v>
      </c>
      <c r="Q2454" t="s">
        <v>78</v>
      </c>
      <c r="R2454" t="s">
        <v>55</v>
      </c>
      <c r="S2454" t="s">
        <v>78</v>
      </c>
      <c r="T2454" t="s">
        <v>55</v>
      </c>
      <c r="U2454" t="s">
        <v>78</v>
      </c>
      <c r="V2454" t="s">
        <v>55</v>
      </c>
      <c r="W2454" t="s">
        <v>78</v>
      </c>
      <c r="X2454" t="s">
        <v>55</v>
      </c>
      <c r="Y2454" t="s">
        <v>78</v>
      </c>
      <c r="Z2454" t="s">
        <v>55</v>
      </c>
      <c r="AA2454" t="s">
        <v>78</v>
      </c>
      <c r="AB2454" t="s">
        <v>55</v>
      </c>
      <c r="AC2454" t="s">
        <v>78</v>
      </c>
      <c r="AD2454" t="s">
        <v>55</v>
      </c>
      <c r="AE2454" t="s">
        <v>78</v>
      </c>
      <c r="AF2454" t="s">
        <v>55</v>
      </c>
      <c r="AG2454" t="s">
        <v>78</v>
      </c>
      <c r="AH2454" t="s">
        <v>55</v>
      </c>
      <c r="AI2454" t="s">
        <v>78</v>
      </c>
      <c r="AK2454" t="s">
        <v>358</v>
      </c>
    </row>
    <row r="2455" spans="1:37">
      <c r="B2455" t="s">
        <v>56</v>
      </c>
      <c r="C2455" t="s">
        <v>56</v>
      </c>
      <c r="D2455" t="s">
        <v>56</v>
      </c>
      <c r="E2455" t="s">
        <v>56</v>
      </c>
      <c r="F2455" t="s">
        <v>56</v>
      </c>
      <c r="G2455" t="s">
        <v>176</v>
      </c>
      <c r="H2455" t="s">
        <v>211</v>
      </c>
      <c r="I2455" t="s">
        <v>231</v>
      </c>
      <c r="J2455" t="s">
        <v>250</v>
      </c>
      <c r="K2455" t="s">
        <v>264</v>
      </c>
      <c r="L2455" t="s">
        <v>276</v>
      </c>
      <c r="M2455" t="s">
        <v>285</v>
      </c>
      <c r="N2455" t="s">
        <v>295</v>
      </c>
      <c r="O2455" t="s">
        <v>303</v>
      </c>
      <c r="P2455" t="s">
        <v>56</v>
      </c>
      <c r="Q2455" t="s">
        <v>317</v>
      </c>
      <c r="R2455" t="s">
        <v>324</v>
      </c>
      <c r="S2455" t="s">
        <v>331</v>
      </c>
      <c r="T2455" t="s">
        <v>334</v>
      </c>
      <c r="U2455" t="s">
        <v>338</v>
      </c>
      <c r="V2455" t="s">
        <v>342</v>
      </c>
      <c r="W2455" t="s">
        <v>346</v>
      </c>
      <c r="X2455" t="s">
        <v>351</v>
      </c>
      <c r="AK2455" t="s">
        <v>358</v>
      </c>
    </row>
    <row r="2456" spans="1:37">
      <c r="B2456" t="s">
        <v>57</v>
      </c>
      <c r="C2456" t="s">
        <v>79</v>
      </c>
      <c r="D2456" t="s">
        <v>98</v>
      </c>
      <c r="E2456" t="s">
        <v>117</v>
      </c>
      <c r="F2456" t="s">
        <v>151</v>
      </c>
      <c r="G2456" t="s">
        <v>177</v>
      </c>
      <c r="H2456" t="s">
        <v>212</v>
      </c>
      <c r="I2456" t="s">
        <v>232</v>
      </c>
      <c r="J2456" t="s">
        <v>251</v>
      </c>
      <c r="K2456" t="s">
        <v>265</v>
      </c>
      <c r="L2456" t="s">
        <v>277</v>
      </c>
      <c r="M2456" t="s">
        <v>286</v>
      </c>
      <c r="N2456" t="s">
        <v>296</v>
      </c>
      <c r="O2456" t="s">
        <v>304</v>
      </c>
      <c r="P2456" t="s">
        <v>311</v>
      </c>
      <c r="Q2456" t="s">
        <v>318</v>
      </c>
      <c r="R2456" t="s">
        <v>185</v>
      </c>
      <c r="S2456" t="s">
        <v>159</v>
      </c>
      <c r="T2456" t="s">
        <v>185</v>
      </c>
      <c r="U2456" t="s">
        <v>339</v>
      </c>
      <c r="V2456" t="s">
        <v>72</v>
      </c>
      <c r="W2456" t="s">
        <v>347</v>
      </c>
      <c r="X2456" t="s">
        <v>72</v>
      </c>
      <c r="Y2456" t="s">
        <v>96</v>
      </c>
      <c r="AK2456" t="s">
        <v>358</v>
      </c>
    </row>
    <row r="2457" spans="1:37">
      <c r="B2457" t="s">
        <v>58</v>
      </c>
      <c r="C2457" t="s">
        <v>80</v>
      </c>
      <c r="D2457" t="s">
        <v>99</v>
      </c>
      <c r="E2457" t="s">
        <v>118</v>
      </c>
      <c r="F2457" t="s">
        <v>152</v>
      </c>
      <c r="G2457" t="s">
        <v>178</v>
      </c>
      <c r="H2457" t="s">
        <v>213</v>
      </c>
      <c r="I2457" t="s">
        <v>233</v>
      </c>
      <c r="J2457" t="s">
        <v>252</v>
      </c>
      <c r="K2457" t="s">
        <v>266</v>
      </c>
      <c r="L2457" t="s">
        <v>278</v>
      </c>
      <c r="M2457" t="s">
        <v>287</v>
      </c>
      <c r="N2457" t="s">
        <v>297</v>
      </c>
      <c r="O2457" t="s">
        <v>305</v>
      </c>
      <c r="P2457" t="s">
        <v>312</v>
      </c>
      <c r="Q2457" t="s">
        <v>319</v>
      </c>
      <c r="R2457">
        <f>&gt;10       ветра      2.9     20  14</f>
        <v>0</v>
      </c>
      <c r="AK2457" t="s">
        <v>358</v>
      </c>
    </row>
    <row r="2458" spans="1:37">
      <c r="A2458" t="s">
        <v>40</v>
      </c>
      <c r="B2458" t="s">
        <v>59</v>
      </c>
      <c r="C2458" t="s">
        <v>81</v>
      </c>
      <c r="D2458" t="s">
        <v>100</v>
      </c>
      <c r="E2458" t="s">
        <v>119</v>
      </c>
      <c r="F2458" t="s">
        <v>153</v>
      </c>
      <c r="G2458" t="s">
        <v>179</v>
      </c>
      <c r="H2458" t="s">
        <v>214</v>
      </c>
      <c r="I2458" t="s">
        <v>234</v>
      </c>
      <c r="AK2458" t="s">
        <v>358</v>
      </c>
    </row>
    <row r="2459" spans="1:37">
      <c r="A2459" t="s">
        <v>40</v>
      </c>
      <c r="B2459" t="s">
        <v>60</v>
      </c>
      <c r="C2459" t="s">
        <v>82</v>
      </c>
      <c r="D2459" t="s">
        <v>101</v>
      </c>
      <c r="E2459" t="s">
        <v>120</v>
      </c>
      <c r="F2459" t="s">
        <v>154</v>
      </c>
      <c r="G2459" t="s">
        <v>180</v>
      </c>
      <c r="H2459" t="s">
        <v>215</v>
      </c>
      <c r="I2459" t="s">
        <v>235</v>
      </c>
      <c r="J2459" t="s">
        <v>253</v>
      </c>
      <c r="K2459" t="s">
        <v>267</v>
      </c>
      <c r="L2459" t="s">
        <v>279</v>
      </c>
      <c r="M2459" t="s">
        <v>288</v>
      </c>
      <c r="N2459" t="s">
        <v>100</v>
      </c>
      <c r="O2459" t="s">
        <v>306</v>
      </c>
      <c r="P2459" t="s">
        <v>313</v>
      </c>
      <c r="Q2459" t="s">
        <v>320</v>
      </c>
      <c r="R2459" t="s">
        <v>325</v>
      </c>
      <c r="S2459" t="s">
        <v>332</v>
      </c>
      <c r="T2459" t="s">
        <v>119</v>
      </c>
      <c r="U2459" t="s">
        <v>234</v>
      </c>
      <c r="V2459" t="s">
        <v>343</v>
      </c>
      <c r="W2459" t="s">
        <v>348</v>
      </c>
      <c r="X2459" t="s">
        <v>352</v>
      </c>
      <c r="Y2459" t="s">
        <v>354</v>
      </c>
      <c r="AK2459" t="s">
        <v>358</v>
      </c>
    </row>
    <row r="2460" spans="1:37">
      <c r="A2460" t="s">
        <v>41</v>
      </c>
      <c r="B2460" t="s">
        <v>61</v>
      </c>
      <c r="C2460" t="s">
        <v>83</v>
      </c>
      <c r="D2460" t="s">
        <v>102</v>
      </c>
      <c r="E2460" t="s">
        <v>121</v>
      </c>
      <c r="F2460" t="s">
        <v>155</v>
      </c>
      <c r="G2460" t="s">
        <v>181</v>
      </c>
      <c r="H2460" t="s">
        <v>216</v>
      </c>
      <c r="I2460" t="s">
        <v>236</v>
      </c>
      <c r="AK2460" t="s">
        <v>358</v>
      </c>
    </row>
    <row r="2461" spans="1:37">
      <c r="A2461" t="s">
        <v>42</v>
      </c>
      <c r="B2461" t="s">
        <v>62</v>
      </c>
      <c r="C2461" t="s">
        <v>84</v>
      </c>
      <c r="D2461" t="s">
        <v>103</v>
      </c>
      <c r="E2461" t="s">
        <v>122</v>
      </c>
      <c r="F2461" t="s">
        <v>156</v>
      </c>
      <c r="G2461" t="s">
        <v>182</v>
      </c>
      <c r="H2461" t="s">
        <v>83</v>
      </c>
      <c r="I2461" t="s">
        <v>237</v>
      </c>
      <c r="J2461" t="s">
        <v>254</v>
      </c>
      <c r="K2461" t="s">
        <v>268</v>
      </c>
      <c r="L2461" t="s">
        <v>280</v>
      </c>
      <c r="M2461" t="s">
        <v>289</v>
      </c>
      <c r="N2461" t="s">
        <v>298</v>
      </c>
      <c r="O2461" t="s">
        <v>307</v>
      </c>
      <c r="P2461" t="s">
        <v>314</v>
      </c>
      <c r="Q2461" t="s">
        <v>216</v>
      </c>
      <c r="R2461" t="s">
        <v>326</v>
      </c>
      <c r="S2461" t="s">
        <v>333</v>
      </c>
      <c r="T2461" t="s">
        <v>335</v>
      </c>
      <c r="U2461" t="s">
        <v>340</v>
      </c>
      <c r="V2461" t="s">
        <v>344</v>
      </c>
      <c r="W2461" t="s">
        <v>349</v>
      </c>
      <c r="AK2461" t="s">
        <v>358</v>
      </c>
    </row>
    <row r="2462" spans="1:37">
      <c r="A2462" t="s">
        <v>43</v>
      </c>
      <c r="B2462" t="s">
        <v>63</v>
      </c>
      <c r="C2462" t="s">
        <v>85</v>
      </c>
      <c r="D2462" t="s">
        <v>104</v>
      </c>
      <c r="E2462" t="s">
        <v>123</v>
      </c>
      <c r="F2462" t="s">
        <v>157</v>
      </c>
      <c r="G2462" t="s">
        <v>183</v>
      </c>
      <c r="AK2462" t="s">
        <v>358</v>
      </c>
    </row>
    <row r="2463" spans="1:37">
      <c r="A2463" t="s">
        <v>44</v>
      </c>
      <c r="B2463" t="s">
        <v>64</v>
      </c>
      <c r="C2463" t="s">
        <v>86</v>
      </c>
      <c r="D2463" t="s">
        <v>105</v>
      </c>
      <c r="E2463" t="s">
        <v>124</v>
      </c>
      <c r="F2463" t="s">
        <v>158</v>
      </c>
      <c r="G2463" t="s">
        <v>184</v>
      </c>
      <c r="AK2463" t="s">
        <v>358</v>
      </c>
    </row>
    <row r="2464" spans="1:37">
      <c r="A2464" t="s">
        <v>45</v>
      </c>
      <c r="B2464" t="s">
        <v>65</v>
      </c>
      <c r="C2464" t="s">
        <v>87</v>
      </c>
      <c r="D2464" t="s">
        <v>106</v>
      </c>
      <c r="E2464" t="s">
        <v>125</v>
      </c>
      <c r="F2464" t="s">
        <v>159</v>
      </c>
      <c r="G2464" t="s">
        <v>185</v>
      </c>
      <c r="H2464" t="s">
        <v>159</v>
      </c>
      <c r="I2464" t="s">
        <v>185</v>
      </c>
      <c r="J2464" t="s">
        <v>255</v>
      </c>
      <c r="AK2464" t="s">
        <v>358</v>
      </c>
    </row>
    <row r="2465" spans="1:37">
      <c r="A2465" t="s">
        <v>46</v>
      </c>
      <c r="B2465" t="s">
        <v>66</v>
      </c>
      <c r="C2465" t="s">
        <v>88</v>
      </c>
      <c r="D2465" t="s">
        <v>76</v>
      </c>
      <c r="E2465" t="s">
        <v>126</v>
      </c>
      <c r="F2465" t="s">
        <v>160</v>
      </c>
      <c r="G2465" t="s">
        <v>186</v>
      </c>
      <c r="H2465" t="s">
        <v>217</v>
      </c>
      <c r="I2465" t="s">
        <v>238</v>
      </c>
      <c r="J2465" t="s">
        <v>256</v>
      </c>
      <c r="K2465" t="s">
        <v>265</v>
      </c>
      <c r="L2465" t="s">
        <v>281</v>
      </c>
      <c r="M2465" t="s">
        <v>290</v>
      </c>
      <c r="N2465" t="s">
        <v>299</v>
      </c>
      <c r="O2465" t="s">
        <v>308</v>
      </c>
      <c r="P2465" t="s">
        <v>228</v>
      </c>
      <c r="Q2465" t="s">
        <v>72</v>
      </c>
      <c r="R2465" t="s">
        <v>327</v>
      </c>
      <c r="S2465" t="s">
        <v>327</v>
      </c>
      <c r="T2465" t="s">
        <v>336</v>
      </c>
      <c r="U2465" t="s">
        <v>336</v>
      </c>
      <c r="V2465" t="s">
        <v>336</v>
      </c>
      <c r="W2465" t="s">
        <v>336</v>
      </c>
      <c r="X2465" t="s">
        <v>353</v>
      </c>
      <c r="AK2465" t="s">
        <v>358</v>
      </c>
    </row>
    <row r="2466" spans="1:37">
      <c r="B2466" t="s">
        <v>67</v>
      </c>
      <c r="C2466" t="s">
        <v>89</v>
      </c>
      <c r="D2466" t="s">
        <v>107</v>
      </c>
      <c r="AK2466" t="s">
        <v>358</v>
      </c>
    </row>
    <row r="2467" spans="1:37">
      <c r="B2467" t="s">
        <v>68</v>
      </c>
      <c r="C2467" t="s">
        <v>90</v>
      </c>
      <c r="D2467" t="s">
        <v>108</v>
      </c>
      <c r="AK2467" t="s">
        <v>358</v>
      </c>
    </row>
    <row r="2468" spans="1:37">
      <c r="A2468" t="s">
        <v>47</v>
      </c>
      <c r="B2468" t="s">
        <v>69</v>
      </c>
      <c r="C2468" t="s">
        <v>91</v>
      </c>
      <c r="D2468" t="s">
        <v>109</v>
      </c>
      <c r="E2468" t="s">
        <v>109</v>
      </c>
      <c r="F2468" t="s">
        <v>109</v>
      </c>
      <c r="G2468" t="s">
        <v>109</v>
      </c>
      <c r="H2468" t="s">
        <v>109</v>
      </c>
      <c r="I2468" t="s">
        <v>239</v>
      </c>
      <c r="AK2468" t="s">
        <v>358</v>
      </c>
    </row>
    <row r="2469" spans="1:37">
      <c r="B2469" t="s">
        <v>70</v>
      </c>
      <c r="C2469" t="s">
        <v>92</v>
      </c>
      <c r="D2469" t="s">
        <v>110</v>
      </c>
      <c r="E2469" t="s">
        <v>127</v>
      </c>
      <c r="F2469" t="s">
        <v>161</v>
      </c>
      <c r="G2469" t="s">
        <v>187</v>
      </c>
      <c r="H2469" t="s">
        <v>218</v>
      </c>
      <c r="AK2469" t="s">
        <v>358</v>
      </c>
    </row>
    <row r="2470" spans="1:37">
      <c r="B2470" t="s">
        <v>71</v>
      </c>
      <c r="C2470" t="s">
        <v>93</v>
      </c>
      <c r="D2470" t="s">
        <v>111</v>
      </c>
      <c r="E2470" t="s">
        <v>128</v>
      </c>
      <c r="F2470" t="s">
        <v>162</v>
      </c>
      <c r="G2470" t="s">
        <v>188</v>
      </c>
      <c r="H2470" t="s">
        <v>219</v>
      </c>
      <c r="I2470" t="s">
        <v>240</v>
      </c>
      <c r="J2470" t="s">
        <v>257</v>
      </c>
      <c r="K2470" t="s">
        <v>269</v>
      </c>
      <c r="L2470" t="s">
        <v>109</v>
      </c>
      <c r="M2470" t="s">
        <v>109</v>
      </c>
      <c r="N2470" t="s">
        <v>109</v>
      </c>
      <c r="O2470" t="s">
        <v>109</v>
      </c>
      <c r="P2470" t="s">
        <v>109</v>
      </c>
      <c r="Q2470" t="s">
        <v>321</v>
      </c>
      <c r="AK2470" t="s">
        <v>358</v>
      </c>
    </row>
    <row r="2471" spans="1:37">
      <c r="A2471" t="s">
        <v>48</v>
      </c>
      <c r="B2471" t="s">
        <v>71</v>
      </c>
      <c r="C2471" t="s">
        <v>93</v>
      </c>
      <c r="D2471" t="s">
        <v>111</v>
      </c>
      <c r="E2471" t="s">
        <v>128</v>
      </c>
      <c r="F2471" t="s">
        <v>163</v>
      </c>
      <c r="G2471" t="s">
        <v>189</v>
      </c>
      <c r="H2471" t="s">
        <v>220</v>
      </c>
      <c r="I2471" t="s">
        <v>241</v>
      </c>
      <c r="J2471" t="s">
        <v>258</v>
      </c>
      <c r="K2471" t="s">
        <v>270</v>
      </c>
      <c r="AK2471" t="s">
        <v>358</v>
      </c>
    </row>
    <row r="2472" spans="1:37">
      <c r="B2472" t="s">
        <v>72</v>
      </c>
      <c r="C2472" t="s">
        <v>72</v>
      </c>
      <c r="D2472" t="s">
        <v>72</v>
      </c>
      <c r="E2472" t="s">
        <v>139</v>
      </c>
      <c r="F2472" t="s">
        <v>139</v>
      </c>
      <c r="G2472" t="s">
        <v>192</v>
      </c>
      <c r="H2472" t="s">
        <v>192</v>
      </c>
      <c r="I2472" t="s">
        <v>192</v>
      </c>
      <c r="J2472" t="s">
        <v>192</v>
      </c>
      <c r="K2472" t="s">
        <v>271</v>
      </c>
      <c r="AK2472" t="s">
        <v>358</v>
      </c>
    </row>
    <row r="2473" spans="1:37">
      <c r="A2473" t="s">
        <v>37</v>
      </c>
      <c r="B2473" t="s">
        <v>49</v>
      </c>
      <c r="C2473" t="s">
        <v>73</v>
      </c>
      <c r="D2473" t="s">
        <v>94</v>
      </c>
      <c r="E2473" t="s">
        <v>112</v>
      </c>
      <c r="F2473" t="s">
        <v>146</v>
      </c>
      <c r="G2473" t="s">
        <v>172</v>
      </c>
      <c r="H2473" t="s">
        <v>207</v>
      </c>
      <c r="I2473" t="s">
        <v>226</v>
      </c>
      <c r="J2473" t="s">
        <v>246</v>
      </c>
      <c r="K2473" t="s">
        <v>259</v>
      </c>
      <c r="AK2473" t="s">
        <v>358</v>
      </c>
    </row>
    <row r="2474" spans="1:37">
      <c r="A2474" t="s">
        <v>38</v>
      </c>
      <c r="B2474" t="s">
        <v>50</v>
      </c>
      <c r="C2474" t="s">
        <v>74</v>
      </c>
      <c r="D2474" t="s">
        <v>95</v>
      </c>
      <c r="E2474" t="s">
        <v>113</v>
      </c>
      <c r="F2474" t="s">
        <v>147</v>
      </c>
      <c r="G2474" t="s">
        <v>173</v>
      </c>
      <c r="H2474" t="s">
        <v>208</v>
      </c>
      <c r="I2474" t="s">
        <v>227</v>
      </c>
      <c r="J2474" t="s">
        <v>115</v>
      </c>
      <c r="K2474" t="s">
        <v>260</v>
      </c>
      <c r="L2474" t="s">
        <v>273</v>
      </c>
      <c r="M2474" t="s">
        <v>282</v>
      </c>
      <c r="N2474" t="s">
        <v>291</v>
      </c>
      <c r="AK2474" t="s">
        <v>358</v>
      </c>
    </row>
    <row r="2475" spans="1:37">
      <c r="B2475" t="s">
        <v>51</v>
      </c>
      <c r="C2475" t="s">
        <v>75</v>
      </c>
      <c r="D2475" t="s">
        <v>52</v>
      </c>
      <c r="E2475" t="s">
        <v>114</v>
      </c>
      <c r="F2475" t="s">
        <v>148</v>
      </c>
      <c r="G2475" t="s">
        <v>148</v>
      </c>
      <c r="H2475" t="s">
        <v>209</v>
      </c>
      <c r="I2475" t="s">
        <v>228</v>
      </c>
      <c r="J2475" t="s">
        <v>247</v>
      </c>
      <c r="K2475" t="s">
        <v>261</v>
      </c>
      <c r="L2475" t="s">
        <v>274</v>
      </c>
      <c r="M2475" t="s">
        <v>283</v>
      </c>
      <c r="N2475" t="s">
        <v>292</v>
      </c>
      <c r="O2475" t="s">
        <v>300</v>
      </c>
      <c r="AK2475" t="s">
        <v>358</v>
      </c>
    </row>
    <row r="2476" spans="1:37">
      <c r="B2476" t="s">
        <v>52</v>
      </c>
      <c r="C2476" t="s">
        <v>76</v>
      </c>
      <c r="D2476" t="s">
        <v>96</v>
      </c>
      <c r="E2476" t="s">
        <v>115</v>
      </c>
      <c r="F2476" t="s">
        <v>149</v>
      </c>
      <c r="G2476" t="s">
        <v>174</v>
      </c>
      <c r="H2476" t="s">
        <v>96</v>
      </c>
      <c r="I2476" t="s">
        <v>229</v>
      </c>
      <c r="J2476" t="s">
        <v>248</v>
      </c>
      <c r="K2476" t="s">
        <v>262</v>
      </c>
      <c r="L2476" t="s">
        <v>52</v>
      </c>
      <c r="M2476" t="s">
        <v>76</v>
      </c>
      <c r="N2476" t="s">
        <v>293</v>
      </c>
      <c r="O2476" t="s">
        <v>301</v>
      </c>
      <c r="P2476" t="s">
        <v>309</v>
      </c>
      <c r="Q2476" t="s">
        <v>315</v>
      </c>
      <c r="R2476" t="s">
        <v>228</v>
      </c>
      <c r="S2476" t="s">
        <v>328</v>
      </c>
      <c r="T2476" t="s">
        <v>149</v>
      </c>
      <c r="U2476" t="s">
        <v>337</v>
      </c>
      <c r="V2476" t="s">
        <v>341</v>
      </c>
      <c r="W2476" t="s">
        <v>345</v>
      </c>
      <c r="X2476" t="s">
        <v>350</v>
      </c>
      <c r="AK2476" t="s">
        <v>358</v>
      </c>
    </row>
    <row r="2477" spans="1:37">
      <c r="B2477" t="s">
        <v>53</v>
      </c>
      <c r="C2477" t="s">
        <v>77</v>
      </c>
      <c r="D2477" t="s">
        <v>97</v>
      </c>
      <c r="E2477" t="s">
        <v>116</v>
      </c>
      <c r="F2477" t="s">
        <v>150</v>
      </c>
      <c r="G2477" t="s">
        <v>175</v>
      </c>
      <c r="H2477" t="s">
        <v>210</v>
      </c>
      <c r="I2477" t="s">
        <v>230</v>
      </c>
      <c r="J2477" t="s">
        <v>249</v>
      </c>
      <c r="K2477" t="s">
        <v>263</v>
      </c>
      <c r="L2477" t="s">
        <v>275</v>
      </c>
      <c r="M2477" t="s">
        <v>284</v>
      </c>
      <c r="N2477" t="s">
        <v>294</v>
      </c>
      <c r="O2477" t="s">
        <v>302</v>
      </c>
      <c r="P2477" t="s">
        <v>310</v>
      </c>
      <c r="Q2477" t="s">
        <v>316</v>
      </c>
      <c r="R2477" t="s">
        <v>322</v>
      </c>
      <c r="S2477" t="s">
        <v>329</v>
      </c>
      <c r="AK2477" t="s">
        <v>358</v>
      </c>
    </row>
    <row r="2478" spans="1:37">
      <c r="A2478" t="s">
        <v>39</v>
      </c>
      <c r="B2478" t="s">
        <v>54</v>
      </c>
      <c r="C2478" t="s">
        <v>54</v>
      </c>
      <c r="D2478" t="s">
        <v>54</v>
      </c>
      <c r="E2478" t="s">
        <v>54</v>
      </c>
      <c r="F2478" t="s">
        <v>54</v>
      </c>
      <c r="G2478" t="s">
        <v>54</v>
      </c>
      <c r="H2478" t="s">
        <v>54</v>
      </c>
      <c r="I2478" t="s">
        <v>54</v>
      </c>
      <c r="J2478" t="s">
        <v>54</v>
      </c>
      <c r="K2478" t="s">
        <v>54</v>
      </c>
      <c r="L2478" t="s">
        <v>54</v>
      </c>
      <c r="M2478" t="s">
        <v>54</v>
      </c>
      <c r="N2478" t="s">
        <v>54</v>
      </c>
      <c r="O2478" t="s">
        <v>54</v>
      </c>
      <c r="P2478" t="s">
        <v>54</v>
      </c>
      <c r="Q2478" t="s">
        <v>54</v>
      </c>
      <c r="R2478" t="s">
        <v>323</v>
      </c>
      <c r="S2478" t="s">
        <v>330</v>
      </c>
      <c r="AK2478" t="s">
        <v>358</v>
      </c>
    </row>
    <row r="2479" spans="1:37">
      <c r="B2479" t="s">
        <v>55</v>
      </c>
      <c r="C2479" t="s">
        <v>78</v>
      </c>
      <c r="D2479" t="s">
        <v>55</v>
      </c>
      <c r="E2479" t="s">
        <v>78</v>
      </c>
      <c r="F2479" t="s">
        <v>55</v>
      </c>
      <c r="G2479" t="s">
        <v>78</v>
      </c>
      <c r="H2479" t="s">
        <v>55</v>
      </c>
      <c r="I2479" t="s">
        <v>78</v>
      </c>
      <c r="J2479" t="s">
        <v>55</v>
      </c>
      <c r="K2479" t="s">
        <v>78</v>
      </c>
      <c r="L2479" t="s">
        <v>55</v>
      </c>
      <c r="M2479" t="s">
        <v>78</v>
      </c>
      <c r="N2479" t="s">
        <v>55</v>
      </c>
      <c r="O2479" t="s">
        <v>78</v>
      </c>
      <c r="P2479" t="s">
        <v>55</v>
      </c>
      <c r="Q2479" t="s">
        <v>78</v>
      </c>
      <c r="R2479" t="s">
        <v>55</v>
      </c>
      <c r="S2479" t="s">
        <v>78</v>
      </c>
      <c r="T2479" t="s">
        <v>55</v>
      </c>
      <c r="U2479" t="s">
        <v>78</v>
      </c>
      <c r="V2479" t="s">
        <v>55</v>
      </c>
      <c r="W2479" t="s">
        <v>78</v>
      </c>
      <c r="X2479" t="s">
        <v>55</v>
      </c>
      <c r="Y2479" t="s">
        <v>78</v>
      </c>
      <c r="Z2479" t="s">
        <v>55</v>
      </c>
      <c r="AA2479" t="s">
        <v>78</v>
      </c>
      <c r="AB2479" t="s">
        <v>55</v>
      </c>
      <c r="AC2479" t="s">
        <v>78</v>
      </c>
      <c r="AD2479" t="s">
        <v>55</v>
      </c>
      <c r="AE2479" t="s">
        <v>78</v>
      </c>
      <c r="AF2479" t="s">
        <v>55</v>
      </c>
      <c r="AG2479" t="s">
        <v>78</v>
      </c>
      <c r="AH2479" t="s">
        <v>55</v>
      </c>
      <c r="AI2479" t="s">
        <v>78</v>
      </c>
      <c r="AK2479" t="s">
        <v>358</v>
      </c>
    </row>
    <row r="2480" spans="1:37">
      <c r="B2480" t="s">
        <v>56</v>
      </c>
      <c r="C2480" t="s">
        <v>56</v>
      </c>
      <c r="D2480" t="s">
        <v>56</v>
      </c>
      <c r="E2480" t="s">
        <v>56</v>
      </c>
      <c r="F2480" t="s">
        <v>56</v>
      </c>
      <c r="G2480" t="s">
        <v>176</v>
      </c>
      <c r="H2480" t="s">
        <v>211</v>
      </c>
      <c r="I2480" t="s">
        <v>231</v>
      </c>
      <c r="J2480" t="s">
        <v>250</v>
      </c>
      <c r="K2480" t="s">
        <v>264</v>
      </c>
      <c r="L2480" t="s">
        <v>276</v>
      </c>
      <c r="M2480" t="s">
        <v>285</v>
      </c>
      <c r="N2480" t="s">
        <v>295</v>
      </c>
      <c r="O2480" t="s">
        <v>303</v>
      </c>
      <c r="P2480" t="s">
        <v>56</v>
      </c>
      <c r="Q2480" t="s">
        <v>317</v>
      </c>
      <c r="R2480" t="s">
        <v>324</v>
      </c>
      <c r="S2480" t="s">
        <v>331</v>
      </c>
      <c r="T2480" t="s">
        <v>334</v>
      </c>
      <c r="U2480" t="s">
        <v>338</v>
      </c>
      <c r="V2480" t="s">
        <v>342</v>
      </c>
      <c r="W2480" t="s">
        <v>346</v>
      </c>
      <c r="X2480" t="s">
        <v>351</v>
      </c>
      <c r="AK2480" t="s">
        <v>358</v>
      </c>
    </row>
    <row r="2481" spans="1:37">
      <c r="B2481" t="s">
        <v>57</v>
      </c>
      <c r="C2481" t="s">
        <v>79</v>
      </c>
      <c r="D2481" t="s">
        <v>98</v>
      </c>
      <c r="E2481" t="s">
        <v>117</v>
      </c>
      <c r="F2481" t="s">
        <v>151</v>
      </c>
      <c r="G2481" t="s">
        <v>177</v>
      </c>
      <c r="H2481" t="s">
        <v>212</v>
      </c>
      <c r="I2481" t="s">
        <v>232</v>
      </c>
      <c r="J2481" t="s">
        <v>251</v>
      </c>
      <c r="K2481" t="s">
        <v>265</v>
      </c>
      <c r="L2481" t="s">
        <v>277</v>
      </c>
      <c r="M2481" t="s">
        <v>286</v>
      </c>
      <c r="N2481" t="s">
        <v>296</v>
      </c>
      <c r="O2481" t="s">
        <v>304</v>
      </c>
      <c r="P2481" t="s">
        <v>311</v>
      </c>
      <c r="Q2481" t="s">
        <v>318</v>
      </c>
      <c r="R2481" t="s">
        <v>185</v>
      </c>
      <c r="S2481" t="s">
        <v>159</v>
      </c>
      <c r="T2481" t="s">
        <v>185</v>
      </c>
      <c r="U2481" t="s">
        <v>339</v>
      </c>
      <c r="V2481" t="s">
        <v>72</v>
      </c>
      <c r="W2481" t="s">
        <v>347</v>
      </c>
      <c r="X2481" t="s">
        <v>72</v>
      </c>
      <c r="Y2481" t="s">
        <v>96</v>
      </c>
      <c r="AK2481" t="s">
        <v>358</v>
      </c>
    </row>
    <row r="2482" spans="1:37">
      <c r="B2482" t="s">
        <v>58</v>
      </c>
      <c r="C2482" t="s">
        <v>80</v>
      </c>
      <c r="D2482" t="s">
        <v>99</v>
      </c>
      <c r="E2482" t="s">
        <v>118</v>
      </c>
      <c r="F2482" t="s">
        <v>152</v>
      </c>
      <c r="G2482" t="s">
        <v>178</v>
      </c>
      <c r="H2482" t="s">
        <v>213</v>
      </c>
      <c r="I2482" t="s">
        <v>233</v>
      </c>
      <c r="J2482" t="s">
        <v>252</v>
      </c>
      <c r="K2482" t="s">
        <v>266</v>
      </c>
      <c r="L2482" t="s">
        <v>278</v>
      </c>
      <c r="M2482" t="s">
        <v>287</v>
      </c>
      <c r="N2482" t="s">
        <v>297</v>
      </c>
      <c r="O2482" t="s">
        <v>305</v>
      </c>
      <c r="P2482" t="s">
        <v>312</v>
      </c>
      <c r="Q2482" t="s">
        <v>319</v>
      </c>
      <c r="R2482">
        <f>&gt;10       ветра      4.5     23  26</f>
        <v>0</v>
      </c>
      <c r="AK2482" t="s">
        <v>358</v>
      </c>
    </row>
    <row r="2483" spans="1:37">
      <c r="A2483" t="s">
        <v>40</v>
      </c>
      <c r="B2483" t="s">
        <v>59</v>
      </c>
      <c r="C2483" t="s">
        <v>81</v>
      </c>
      <c r="D2483" t="s">
        <v>100</v>
      </c>
      <c r="E2483" t="s">
        <v>119</v>
      </c>
      <c r="F2483" t="s">
        <v>153</v>
      </c>
      <c r="G2483" t="s">
        <v>179</v>
      </c>
      <c r="H2483" t="s">
        <v>214</v>
      </c>
      <c r="I2483" t="s">
        <v>234</v>
      </c>
      <c r="AK2483" t="s">
        <v>358</v>
      </c>
    </row>
    <row r="2484" spans="1:37">
      <c r="A2484" t="s">
        <v>40</v>
      </c>
      <c r="B2484" t="s">
        <v>60</v>
      </c>
      <c r="C2484" t="s">
        <v>82</v>
      </c>
      <c r="D2484" t="s">
        <v>101</v>
      </c>
      <c r="E2484" t="s">
        <v>120</v>
      </c>
      <c r="F2484" t="s">
        <v>154</v>
      </c>
      <c r="G2484" t="s">
        <v>180</v>
      </c>
      <c r="H2484" t="s">
        <v>215</v>
      </c>
      <c r="I2484" t="s">
        <v>235</v>
      </c>
      <c r="J2484" t="s">
        <v>253</v>
      </c>
      <c r="K2484" t="s">
        <v>267</v>
      </c>
      <c r="L2484" t="s">
        <v>279</v>
      </c>
      <c r="M2484" t="s">
        <v>288</v>
      </c>
      <c r="N2484" t="s">
        <v>100</v>
      </c>
      <c r="O2484" t="s">
        <v>306</v>
      </c>
      <c r="P2484" t="s">
        <v>313</v>
      </c>
      <c r="Q2484" t="s">
        <v>320</v>
      </c>
      <c r="R2484" t="s">
        <v>325</v>
      </c>
      <c r="S2484" t="s">
        <v>332</v>
      </c>
      <c r="T2484" t="s">
        <v>119</v>
      </c>
      <c r="U2484" t="s">
        <v>234</v>
      </c>
      <c r="V2484" t="s">
        <v>343</v>
      </c>
      <c r="W2484" t="s">
        <v>348</v>
      </c>
      <c r="X2484" t="s">
        <v>352</v>
      </c>
      <c r="Y2484" t="s">
        <v>354</v>
      </c>
      <c r="AK2484" t="s">
        <v>358</v>
      </c>
    </row>
    <row r="2485" spans="1:37">
      <c r="A2485" t="s">
        <v>41</v>
      </c>
      <c r="B2485" t="s">
        <v>61</v>
      </c>
      <c r="C2485" t="s">
        <v>83</v>
      </c>
      <c r="D2485" t="s">
        <v>102</v>
      </c>
      <c r="E2485" t="s">
        <v>121</v>
      </c>
      <c r="F2485" t="s">
        <v>155</v>
      </c>
      <c r="G2485" t="s">
        <v>181</v>
      </c>
      <c r="H2485" t="s">
        <v>216</v>
      </c>
      <c r="I2485" t="s">
        <v>236</v>
      </c>
      <c r="AK2485" t="s">
        <v>358</v>
      </c>
    </row>
    <row r="2486" spans="1:37">
      <c r="A2486" t="s">
        <v>42</v>
      </c>
      <c r="B2486" t="s">
        <v>62</v>
      </c>
      <c r="C2486" t="s">
        <v>84</v>
      </c>
      <c r="D2486" t="s">
        <v>103</v>
      </c>
      <c r="E2486" t="s">
        <v>122</v>
      </c>
      <c r="F2486" t="s">
        <v>156</v>
      </c>
      <c r="G2486" t="s">
        <v>182</v>
      </c>
      <c r="H2486" t="s">
        <v>83</v>
      </c>
      <c r="I2486" t="s">
        <v>237</v>
      </c>
      <c r="J2486" t="s">
        <v>254</v>
      </c>
      <c r="K2486" t="s">
        <v>268</v>
      </c>
      <c r="L2486" t="s">
        <v>280</v>
      </c>
      <c r="M2486" t="s">
        <v>289</v>
      </c>
      <c r="N2486" t="s">
        <v>298</v>
      </c>
      <c r="O2486" t="s">
        <v>307</v>
      </c>
      <c r="P2486" t="s">
        <v>314</v>
      </c>
      <c r="Q2486" t="s">
        <v>216</v>
      </c>
      <c r="R2486" t="s">
        <v>326</v>
      </c>
      <c r="S2486" t="s">
        <v>333</v>
      </c>
      <c r="T2486" t="s">
        <v>335</v>
      </c>
      <c r="U2486" t="s">
        <v>340</v>
      </c>
      <c r="V2486" t="s">
        <v>344</v>
      </c>
      <c r="W2486" t="s">
        <v>349</v>
      </c>
      <c r="AK2486" t="s">
        <v>358</v>
      </c>
    </row>
    <row r="2487" spans="1:37">
      <c r="A2487" t="s">
        <v>43</v>
      </c>
      <c r="B2487" t="s">
        <v>63</v>
      </c>
      <c r="C2487" t="s">
        <v>85</v>
      </c>
      <c r="D2487" t="s">
        <v>104</v>
      </c>
      <c r="E2487" t="s">
        <v>123</v>
      </c>
      <c r="F2487" t="s">
        <v>157</v>
      </c>
      <c r="G2487" t="s">
        <v>183</v>
      </c>
      <c r="AK2487" t="s">
        <v>358</v>
      </c>
    </row>
    <row r="2488" spans="1:37">
      <c r="A2488" t="s">
        <v>44</v>
      </c>
      <c r="B2488" t="s">
        <v>64</v>
      </c>
      <c r="C2488" t="s">
        <v>86</v>
      </c>
      <c r="D2488" t="s">
        <v>105</v>
      </c>
      <c r="E2488" t="s">
        <v>124</v>
      </c>
      <c r="F2488" t="s">
        <v>158</v>
      </c>
      <c r="G2488" t="s">
        <v>184</v>
      </c>
      <c r="AK2488" t="s">
        <v>358</v>
      </c>
    </row>
    <row r="2489" spans="1:37">
      <c r="A2489" t="s">
        <v>45</v>
      </c>
      <c r="B2489" t="s">
        <v>65</v>
      </c>
      <c r="C2489" t="s">
        <v>87</v>
      </c>
      <c r="D2489" t="s">
        <v>106</v>
      </c>
      <c r="E2489" t="s">
        <v>125</v>
      </c>
      <c r="F2489" t="s">
        <v>159</v>
      </c>
      <c r="G2489" t="s">
        <v>185</v>
      </c>
      <c r="H2489" t="s">
        <v>159</v>
      </c>
      <c r="I2489" t="s">
        <v>185</v>
      </c>
      <c r="J2489" t="s">
        <v>255</v>
      </c>
      <c r="AK2489" t="s">
        <v>358</v>
      </c>
    </row>
    <row r="2490" spans="1:37">
      <c r="A2490" t="s">
        <v>46</v>
      </c>
      <c r="B2490" t="s">
        <v>66</v>
      </c>
      <c r="C2490" t="s">
        <v>88</v>
      </c>
      <c r="D2490" t="s">
        <v>76</v>
      </c>
      <c r="E2490" t="s">
        <v>126</v>
      </c>
      <c r="F2490" t="s">
        <v>160</v>
      </c>
      <c r="G2490" t="s">
        <v>186</v>
      </c>
      <c r="H2490" t="s">
        <v>217</v>
      </c>
      <c r="I2490" t="s">
        <v>238</v>
      </c>
      <c r="J2490" t="s">
        <v>256</v>
      </c>
      <c r="K2490" t="s">
        <v>265</v>
      </c>
      <c r="L2490" t="s">
        <v>281</v>
      </c>
      <c r="M2490" t="s">
        <v>290</v>
      </c>
      <c r="N2490" t="s">
        <v>299</v>
      </c>
      <c r="O2490" t="s">
        <v>308</v>
      </c>
      <c r="P2490" t="s">
        <v>228</v>
      </c>
      <c r="Q2490" t="s">
        <v>72</v>
      </c>
      <c r="R2490" t="s">
        <v>327</v>
      </c>
      <c r="S2490" t="s">
        <v>327</v>
      </c>
      <c r="T2490" t="s">
        <v>336</v>
      </c>
      <c r="U2490" t="s">
        <v>336</v>
      </c>
      <c r="V2490" t="s">
        <v>336</v>
      </c>
      <c r="W2490" t="s">
        <v>336</v>
      </c>
      <c r="X2490" t="s">
        <v>353</v>
      </c>
      <c r="AK2490" t="s">
        <v>358</v>
      </c>
    </row>
    <row r="2491" spans="1:37">
      <c r="B2491" t="s">
        <v>67</v>
      </c>
      <c r="C2491" t="s">
        <v>89</v>
      </c>
      <c r="D2491" t="s">
        <v>107</v>
      </c>
      <c r="AK2491" t="s">
        <v>358</v>
      </c>
    </row>
    <row r="2492" spans="1:37">
      <c r="B2492" t="s">
        <v>68</v>
      </c>
      <c r="C2492" t="s">
        <v>90</v>
      </c>
      <c r="D2492" t="s">
        <v>108</v>
      </c>
      <c r="AK2492" t="s">
        <v>358</v>
      </c>
    </row>
    <row r="2493" spans="1:37">
      <c r="A2493" t="s">
        <v>47</v>
      </c>
      <c r="B2493" t="s">
        <v>69</v>
      </c>
      <c r="C2493" t="s">
        <v>91</v>
      </c>
      <c r="D2493" t="s">
        <v>109</v>
      </c>
      <c r="E2493" t="s">
        <v>109</v>
      </c>
      <c r="F2493" t="s">
        <v>109</v>
      </c>
      <c r="G2493" t="s">
        <v>109</v>
      </c>
      <c r="H2493" t="s">
        <v>109</v>
      </c>
      <c r="I2493" t="s">
        <v>239</v>
      </c>
      <c r="AK2493" t="s">
        <v>358</v>
      </c>
    </row>
    <row r="2494" spans="1:37">
      <c r="B2494" t="s">
        <v>70</v>
      </c>
      <c r="C2494" t="s">
        <v>92</v>
      </c>
      <c r="D2494" t="s">
        <v>110</v>
      </c>
      <c r="E2494" t="s">
        <v>127</v>
      </c>
      <c r="F2494" t="s">
        <v>161</v>
      </c>
      <c r="G2494" t="s">
        <v>187</v>
      </c>
      <c r="H2494" t="s">
        <v>218</v>
      </c>
      <c r="AK2494" t="s">
        <v>358</v>
      </c>
    </row>
    <row r="2495" spans="1:37">
      <c r="B2495" t="s">
        <v>71</v>
      </c>
      <c r="C2495" t="s">
        <v>93</v>
      </c>
      <c r="D2495" t="s">
        <v>111</v>
      </c>
      <c r="E2495" t="s">
        <v>128</v>
      </c>
      <c r="F2495" t="s">
        <v>162</v>
      </c>
      <c r="G2495" t="s">
        <v>188</v>
      </c>
      <c r="H2495" t="s">
        <v>219</v>
      </c>
      <c r="I2495" t="s">
        <v>240</v>
      </c>
      <c r="J2495" t="s">
        <v>257</v>
      </c>
      <c r="K2495" t="s">
        <v>269</v>
      </c>
      <c r="L2495" t="s">
        <v>109</v>
      </c>
      <c r="M2495" t="s">
        <v>109</v>
      </c>
      <c r="N2495" t="s">
        <v>109</v>
      </c>
      <c r="O2495" t="s">
        <v>109</v>
      </c>
      <c r="P2495" t="s">
        <v>109</v>
      </c>
      <c r="Q2495" t="s">
        <v>321</v>
      </c>
      <c r="AK2495" t="s">
        <v>358</v>
      </c>
    </row>
    <row r="2496" spans="1:37">
      <c r="A2496" t="s">
        <v>48</v>
      </c>
      <c r="B2496" t="s">
        <v>71</v>
      </c>
      <c r="C2496" t="s">
        <v>93</v>
      </c>
      <c r="D2496" t="s">
        <v>111</v>
      </c>
      <c r="E2496" t="s">
        <v>128</v>
      </c>
      <c r="F2496" t="s">
        <v>163</v>
      </c>
      <c r="G2496" t="s">
        <v>189</v>
      </c>
      <c r="H2496" t="s">
        <v>220</v>
      </c>
      <c r="I2496" t="s">
        <v>241</v>
      </c>
      <c r="J2496" t="s">
        <v>258</v>
      </c>
      <c r="K2496" t="s">
        <v>270</v>
      </c>
      <c r="AK2496" t="s">
        <v>358</v>
      </c>
    </row>
    <row r="2497" spans="1:37">
      <c r="B2497" t="s">
        <v>72</v>
      </c>
      <c r="C2497" t="s">
        <v>72</v>
      </c>
      <c r="D2497" t="s">
        <v>72</v>
      </c>
      <c r="E2497" t="s">
        <v>139</v>
      </c>
      <c r="F2497" t="s">
        <v>137</v>
      </c>
      <c r="G2497" t="s">
        <v>203</v>
      </c>
      <c r="H2497" t="s">
        <v>204</v>
      </c>
      <c r="I2497" t="s">
        <v>192</v>
      </c>
      <c r="J2497" t="s">
        <v>192</v>
      </c>
      <c r="K2497" t="s">
        <v>271</v>
      </c>
      <c r="AK2497" t="s">
        <v>358</v>
      </c>
    </row>
    <row r="2498" spans="1:37">
      <c r="A2498" t="s">
        <v>37</v>
      </c>
      <c r="B2498" t="s">
        <v>49</v>
      </c>
      <c r="C2498" t="s">
        <v>73</v>
      </c>
      <c r="D2498" t="s">
        <v>94</v>
      </c>
      <c r="E2498" t="s">
        <v>112</v>
      </c>
      <c r="F2498" t="s">
        <v>146</v>
      </c>
      <c r="G2498" t="s">
        <v>172</v>
      </c>
      <c r="H2498" t="s">
        <v>207</v>
      </c>
      <c r="I2498" t="s">
        <v>226</v>
      </c>
      <c r="J2498" t="s">
        <v>246</v>
      </c>
      <c r="K2498" t="s">
        <v>259</v>
      </c>
      <c r="AK2498" t="s">
        <v>358</v>
      </c>
    </row>
    <row r="2499" spans="1:37">
      <c r="A2499" t="s">
        <v>38</v>
      </c>
      <c r="B2499" t="s">
        <v>50</v>
      </c>
      <c r="C2499" t="s">
        <v>74</v>
      </c>
      <c r="D2499" t="s">
        <v>95</v>
      </c>
      <c r="E2499" t="s">
        <v>113</v>
      </c>
      <c r="F2499" t="s">
        <v>147</v>
      </c>
      <c r="G2499" t="s">
        <v>173</v>
      </c>
      <c r="H2499" t="s">
        <v>208</v>
      </c>
      <c r="I2499" t="s">
        <v>227</v>
      </c>
      <c r="J2499" t="s">
        <v>115</v>
      </c>
      <c r="K2499" t="s">
        <v>260</v>
      </c>
      <c r="L2499" t="s">
        <v>273</v>
      </c>
      <c r="M2499" t="s">
        <v>282</v>
      </c>
      <c r="N2499" t="s">
        <v>291</v>
      </c>
      <c r="AK2499" t="s">
        <v>358</v>
      </c>
    </row>
    <row r="2500" spans="1:37">
      <c r="B2500" t="s">
        <v>51</v>
      </c>
      <c r="C2500" t="s">
        <v>75</v>
      </c>
      <c r="D2500" t="s">
        <v>52</v>
      </c>
      <c r="E2500" t="s">
        <v>114</v>
      </c>
      <c r="F2500" t="s">
        <v>148</v>
      </c>
      <c r="G2500" t="s">
        <v>148</v>
      </c>
      <c r="H2500" t="s">
        <v>209</v>
      </c>
      <c r="I2500" t="s">
        <v>228</v>
      </c>
      <c r="J2500" t="s">
        <v>247</v>
      </c>
      <c r="K2500" t="s">
        <v>261</v>
      </c>
      <c r="L2500" t="s">
        <v>274</v>
      </c>
      <c r="M2500" t="s">
        <v>283</v>
      </c>
      <c r="N2500" t="s">
        <v>292</v>
      </c>
      <c r="O2500" t="s">
        <v>300</v>
      </c>
      <c r="AK2500" t="s">
        <v>358</v>
      </c>
    </row>
    <row r="2501" spans="1:37">
      <c r="B2501" t="s">
        <v>52</v>
      </c>
      <c r="C2501" t="s">
        <v>76</v>
      </c>
      <c r="D2501" t="s">
        <v>96</v>
      </c>
      <c r="E2501" t="s">
        <v>115</v>
      </c>
      <c r="F2501" t="s">
        <v>149</v>
      </c>
      <c r="G2501" t="s">
        <v>174</v>
      </c>
      <c r="H2501" t="s">
        <v>96</v>
      </c>
      <c r="I2501" t="s">
        <v>229</v>
      </c>
      <c r="J2501" t="s">
        <v>248</v>
      </c>
      <c r="K2501" t="s">
        <v>262</v>
      </c>
      <c r="L2501" t="s">
        <v>52</v>
      </c>
      <c r="M2501" t="s">
        <v>76</v>
      </c>
      <c r="N2501" t="s">
        <v>293</v>
      </c>
      <c r="O2501" t="s">
        <v>301</v>
      </c>
      <c r="P2501" t="s">
        <v>309</v>
      </c>
      <c r="Q2501" t="s">
        <v>315</v>
      </c>
      <c r="R2501" t="s">
        <v>228</v>
      </c>
      <c r="S2501" t="s">
        <v>328</v>
      </c>
      <c r="T2501" t="s">
        <v>149</v>
      </c>
      <c r="U2501" t="s">
        <v>337</v>
      </c>
      <c r="V2501" t="s">
        <v>341</v>
      </c>
      <c r="W2501" t="s">
        <v>345</v>
      </c>
      <c r="X2501" t="s">
        <v>350</v>
      </c>
      <c r="AK2501" t="s">
        <v>358</v>
      </c>
    </row>
    <row r="2502" spans="1:37">
      <c r="B2502" t="s">
        <v>53</v>
      </c>
      <c r="C2502" t="s">
        <v>77</v>
      </c>
      <c r="D2502" t="s">
        <v>97</v>
      </c>
      <c r="E2502" t="s">
        <v>116</v>
      </c>
      <c r="F2502" t="s">
        <v>150</v>
      </c>
      <c r="G2502" t="s">
        <v>175</v>
      </c>
      <c r="H2502" t="s">
        <v>210</v>
      </c>
      <c r="I2502" t="s">
        <v>230</v>
      </c>
      <c r="J2502" t="s">
        <v>249</v>
      </c>
      <c r="K2502" t="s">
        <v>263</v>
      </c>
      <c r="L2502" t="s">
        <v>275</v>
      </c>
      <c r="M2502" t="s">
        <v>284</v>
      </c>
      <c r="N2502" t="s">
        <v>294</v>
      </c>
      <c r="O2502" t="s">
        <v>302</v>
      </c>
      <c r="P2502" t="s">
        <v>310</v>
      </c>
      <c r="Q2502" t="s">
        <v>316</v>
      </c>
      <c r="R2502" t="s">
        <v>322</v>
      </c>
      <c r="S2502" t="s">
        <v>329</v>
      </c>
      <c r="AK2502" t="s">
        <v>358</v>
      </c>
    </row>
    <row r="2503" spans="1:37">
      <c r="A2503" t="s">
        <v>39</v>
      </c>
      <c r="B2503" t="s">
        <v>54</v>
      </c>
      <c r="C2503" t="s">
        <v>54</v>
      </c>
      <c r="D2503" t="s">
        <v>54</v>
      </c>
      <c r="E2503" t="s">
        <v>54</v>
      </c>
      <c r="F2503" t="s">
        <v>54</v>
      </c>
      <c r="G2503" t="s">
        <v>54</v>
      </c>
      <c r="H2503" t="s">
        <v>54</v>
      </c>
      <c r="I2503" t="s">
        <v>54</v>
      </c>
      <c r="J2503" t="s">
        <v>54</v>
      </c>
      <c r="K2503" t="s">
        <v>54</v>
      </c>
      <c r="L2503" t="s">
        <v>54</v>
      </c>
      <c r="M2503" t="s">
        <v>54</v>
      </c>
      <c r="N2503" t="s">
        <v>54</v>
      </c>
      <c r="O2503" t="s">
        <v>54</v>
      </c>
      <c r="P2503" t="s">
        <v>54</v>
      </c>
      <c r="Q2503" t="s">
        <v>54</v>
      </c>
      <c r="R2503" t="s">
        <v>323</v>
      </c>
      <c r="S2503" t="s">
        <v>330</v>
      </c>
      <c r="AK2503" t="s">
        <v>358</v>
      </c>
    </row>
    <row r="2504" spans="1:37">
      <c r="B2504" t="s">
        <v>55</v>
      </c>
      <c r="C2504" t="s">
        <v>78</v>
      </c>
      <c r="D2504" t="s">
        <v>55</v>
      </c>
      <c r="E2504" t="s">
        <v>78</v>
      </c>
      <c r="F2504" t="s">
        <v>55</v>
      </c>
      <c r="G2504" t="s">
        <v>78</v>
      </c>
      <c r="H2504" t="s">
        <v>55</v>
      </c>
      <c r="I2504" t="s">
        <v>78</v>
      </c>
      <c r="J2504" t="s">
        <v>55</v>
      </c>
      <c r="K2504" t="s">
        <v>78</v>
      </c>
      <c r="L2504" t="s">
        <v>55</v>
      </c>
      <c r="M2504" t="s">
        <v>78</v>
      </c>
      <c r="N2504" t="s">
        <v>55</v>
      </c>
      <c r="O2504" t="s">
        <v>78</v>
      </c>
      <c r="P2504" t="s">
        <v>55</v>
      </c>
      <c r="Q2504" t="s">
        <v>78</v>
      </c>
      <c r="R2504" t="s">
        <v>55</v>
      </c>
      <c r="S2504" t="s">
        <v>78</v>
      </c>
      <c r="T2504" t="s">
        <v>55</v>
      </c>
      <c r="U2504" t="s">
        <v>78</v>
      </c>
      <c r="V2504" t="s">
        <v>55</v>
      </c>
      <c r="W2504" t="s">
        <v>78</v>
      </c>
      <c r="X2504" t="s">
        <v>55</v>
      </c>
      <c r="Y2504" t="s">
        <v>78</v>
      </c>
      <c r="Z2504" t="s">
        <v>55</v>
      </c>
      <c r="AA2504" t="s">
        <v>78</v>
      </c>
      <c r="AB2504" t="s">
        <v>55</v>
      </c>
      <c r="AC2504" t="s">
        <v>78</v>
      </c>
      <c r="AD2504" t="s">
        <v>55</v>
      </c>
      <c r="AE2504" t="s">
        <v>78</v>
      </c>
      <c r="AF2504" t="s">
        <v>55</v>
      </c>
      <c r="AG2504" t="s">
        <v>78</v>
      </c>
      <c r="AH2504" t="s">
        <v>55</v>
      </c>
      <c r="AI2504" t="s">
        <v>78</v>
      </c>
      <c r="AK2504" t="s">
        <v>358</v>
      </c>
    </row>
    <row r="2505" spans="1:37">
      <c r="B2505" t="s">
        <v>56</v>
      </c>
      <c r="C2505" t="s">
        <v>56</v>
      </c>
      <c r="D2505" t="s">
        <v>56</v>
      </c>
      <c r="E2505" t="s">
        <v>56</v>
      </c>
      <c r="F2505" t="s">
        <v>56</v>
      </c>
      <c r="G2505" t="s">
        <v>176</v>
      </c>
      <c r="H2505" t="s">
        <v>211</v>
      </c>
      <c r="I2505" t="s">
        <v>231</v>
      </c>
      <c r="J2505" t="s">
        <v>250</v>
      </c>
      <c r="K2505" t="s">
        <v>264</v>
      </c>
      <c r="L2505" t="s">
        <v>276</v>
      </c>
      <c r="M2505" t="s">
        <v>285</v>
      </c>
      <c r="N2505" t="s">
        <v>295</v>
      </c>
      <c r="O2505" t="s">
        <v>303</v>
      </c>
      <c r="P2505" t="s">
        <v>56</v>
      </c>
      <c r="Q2505" t="s">
        <v>317</v>
      </c>
      <c r="R2505" t="s">
        <v>324</v>
      </c>
      <c r="S2505" t="s">
        <v>331</v>
      </c>
      <c r="T2505" t="s">
        <v>334</v>
      </c>
      <c r="U2505" t="s">
        <v>338</v>
      </c>
      <c r="V2505" t="s">
        <v>342</v>
      </c>
      <c r="W2505" t="s">
        <v>346</v>
      </c>
      <c r="X2505" t="s">
        <v>351</v>
      </c>
      <c r="AK2505" t="s">
        <v>358</v>
      </c>
    </row>
    <row r="2506" spans="1:37">
      <c r="B2506" t="s">
        <v>57</v>
      </c>
      <c r="C2506" t="s">
        <v>79</v>
      </c>
      <c r="D2506" t="s">
        <v>98</v>
      </c>
      <c r="E2506" t="s">
        <v>117</v>
      </c>
      <c r="F2506" t="s">
        <v>151</v>
      </c>
      <c r="G2506" t="s">
        <v>177</v>
      </c>
      <c r="H2506" t="s">
        <v>212</v>
      </c>
      <c r="I2506" t="s">
        <v>232</v>
      </c>
      <c r="J2506" t="s">
        <v>251</v>
      </c>
      <c r="K2506" t="s">
        <v>265</v>
      </c>
      <c r="L2506" t="s">
        <v>277</v>
      </c>
      <c r="M2506" t="s">
        <v>286</v>
      </c>
      <c r="N2506" t="s">
        <v>296</v>
      </c>
      <c r="O2506" t="s">
        <v>304</v>
      </c>
      <c r="P2506" t="s">
        <v>311</v>
      </c>
      <c r="Q2506" t="s">
        <v>318</v>
      </c>
      <c r="R2506" t="s">
        <v>185</v>
      </c>
      <c r="S2506" t="s">
        <v>159</v>
      </c>
      <c r="T2506" t="s">
        <v>185</v>
      </c>
      <c r="U2506" t="s">
        <v>339</v>
      </c>
      <c r="V2506" t="s">
        <v>72</v>
      </c>
      <c r="W2506" t="s">
        <v>347</v>
      </c>
      <c r="X2506" t="s">
        <v>72</v>
      </c>
      <c r="Y2506" t="s">
        <v>96</v>
      </c>
      <c r="AK2506" t="s">
        <v>358</v>
      </c>
    </row>
    <row r="2507" spans="1:37">
      <c r="B2507" t="s">
        <v>58</v>
      </c>
      <c r="C2507" t="s">
        <v>80</v>
      </c>
      <c r="D2507" t="s">
        <v>99</v>
      </c>
      <c r="E2507" t="s">
        <v>118</v>
      </c>
      <c r="F2507" t="s">
        <v>152</v>
      </c>
      <c r="G2507" t="s">
        <v>178</v>
      </c>
      <c r="H2507" t="s">
        <v>213</v>
      </c>
      <c r="I2507" t="s">
        <v>233</v>
      </c>
      <c r="J2507" t="s">
        <v>252</v>
      </c>
      <c r="K2507" t="s">
        <v>266</v>
      </c>
      <c r="L2507" t="s">
        <v>278</v>
      </c>
      <c r="M2507" t="s">
        <v>287</v>
      </c>
      <c r="N2507" t="s">
        <v>297</v>
      </c>
      <c r="O2507" t="s">
        <v>305</v>
      </c>
      <c r="P2507" t="s">
        <v>312</v>
      </c>
      <c r="Q2507" t="s">
        <v>319</v>
      </c>
      <c r="R2507">
        <f>&gt;10       ветра      4.0     24  25</f>
        <v>0</v>
      </c>
      <c r="AK2507" t="s">
        <v>358</v>
      </c>
    </row>
    <row r="2508" spans="1:37">
      <c r="A2508" t="s">
        <v>40</v>
      </c>
      <c r="B2508" t="s">
        <v>59</v>
      </c>
      <c r="C2508" t="s">
        <v>81</v>
      </c>
      <c r="D2508" t="s">
        <v>100</v>
      </c>
      <c r="E2508" t="s">
        <v>119</v>
      </c>
      <c r="F2508" t="s">
        <v>153</v>
      </c>
      <c r="G2508" t="s">
        <v>179</v>
      </c>
      <c r="H2508" t="s">
        <v>214</v>
      </c>
      <c r="I2508" t="s">
        <v>234</v>
      </c>
      <c r="AK2508" t="s">
        <v>358</v>
      </c>
    </row>
    <row r="2509" spans="1:37">
      <c r="A2509" t="s">
        <v>40</v>
      </c>
      <c r="B2509" t="s">
        <v>60</v>
      </c>
      <c r="C2509" t="s">
        <v>82</v>
      </c>
      <c r="D2509" t="s">
        <v>101</v>
      </c>
      <c r="E2509" t="s">
        <v>120</v>
      </c>
      <c r="F2509" t="s">
        <v>154</v>
      </c>
      <c r="G2509" t="s">
        <v>180</v>
      </c>
      <c r="H2509" t="s">
        <v>215</v>
      </c>
      <c r="I2509" t="s">
        <v>235</v>
      </c>
      <c r="J2509" t="s">
        <v>253</v>
      </c>
      <c r="K2509" t="s">
        <v>267</v>
      </c>
      <c r="L2509" t="s">
        <v>279</v>
      </c>
      <c r="M2509" t="s">
        <v>288</v>
      </c>
      <c r="N2509" t="s">
        <v>100</v>
      </c>
      <c r="O2509" t="s">
        <v>306</v>
      </c>
      <c r="P2509" t="s">
        <v>313</v>
      </c>
      <c r="Q2509" t="s">
        <v>320</v>
      </c>
      <c r="R2509" t="s">
        <v>325</v>
      </c>
      <c r="S2509" t="s">
        <v>332</v>
      </c>
      <c r="T2509" t="s">
        <v>119</v>
      </c>
      <c r="U2509" t="s">
        <v>234</v>
      </c>
      <c r="V2509" t="s">
        <v>343</v>
      </c>
      <c r="W2509" t="s">
        <v>348</v>
      </c>
      <c r="X2509" t="s">
        <v>352</v>
      </c>
      <c r="Y2509" t="s">
        <v>354</v>
      </c>
      <c r="AK2509" t="s">
        <v>358</v>
      </c>
    </row>
    <row r="2510" spans="1:37">
      <c r="A2510" t="s">
        <v>41</v>
      </c>
      <c r="B2510" t="s">
        <v>61</v>
      </c>
      <c r="C2510" t="s">
        <v>83</v>
      </c>
      <c r="D2510" t="s">
        <v>102</v>
      </c>
      <c r="E2510" t="s">
        <v>121</v>
      </c>
      <c r="F2510" t="s">
        <v>155</v>
      </c>
      <c r="G2510" t="s">
        <v>181</v>
      </c>
      <c r="H2510" t="s">
        <v>216</v>
      </c>
      <c r="I2510" t="s">
        <v>236</v>
      </c>
      <c r="AK2510" t="s">
        <v>358</v>
      </c>
    </row>
    <row r="2511" spans="1:37">
      <c r="A2511" t="s">
        <v>42</v>
      </c>
      <c r="B2511" t="s">
        <v>62</v>
      </c>
      <c r="C2511" t="s">
        <v>84</v>
      </c>
      <c r="D2511" t="s">
        <v>103</v>
      </c>
      <c r="E2511" t="s">
        <v>122</v>
      </c>
      <c r="F2511" t="s">
        <v>156</v>
      </c>
      <c r="G2511" t="s">
        <v>182</v>
      </c>
      <c r="H2511" t="s">
        <v>83</v>
      </c>
      <c r="I2511" t="s">
        <v>237</v>
      </c>
      <c r="J2511" t="s">
        <v>254</v>
      </c>
      <c r="K2511" t="s">
        <v>268</v>
      </c>
      <c r="L2511" t="s">
        <v>280</v>
      </c>
      <c r="M2511" t="s">
        <v>289</v>
      </c>
      <c r="N2511" t="s">
        <v>298</v>
      </c>
      <c r="O2511" t="s">
        <v>307</v>
      </c>
      <c r="P2511" t="s">
        <v>314</v>
      </c>
      <c r="Q2511" t="s">
        <v>216</v>
      </c>
      <c r="R2511" t="s">
        <v>326</v>
      </c>
      <c r="S2511" t="s">
        <v>333</v>
      </c>
      <c r="T2511" t="s">
        <v>335</v>
      </c>
      <c r="U2511" t="s">
        <v>340</v>
      </c>
      <c r="V2511" t="s">
        <v>344</v>
      </c>
      <c r="W2511" t="s">
        <v>349</v>
      </c>
      <c r="AK2511" t="s">
        <v>358</v>
      </c>
    </row>
    <row r="2512" spans="1:37">
      <c r="A2512" t="s">
        <v>43</v>
      </c>
      <c r="B2512" t="s">
        <v>63</v>
      </c>
      <c r="C2512" t="s">
        <v>85</v>
      </c>
      <c r="D2512" t="s">
        <v>104</v>
      </c>
      <c r="E2512" t="s">
        <v>123</v>
      </c>
      <c r="F2512" t="s">
        <v>157</v>
      </c>
      <c r="G2512" t="s">
        <v>183</v>
      </c>
      <c r="AK2512" t="s">
        <v>358</v>
      </c>
    </row>
    <row r="2513" spans="1:37">
      <c r="A2513" t="s">
        <v>44</v>
      </c>
      <c r="B2513" t="s">
        <v>64</v>
      </c>
      <c r="C2513" t="s">
        <v>86</v>
      </c>
      <c r="D2513" t="s">
        <v>105</v>
      </c>
      <c r="E2513" t="s">
        <v>124</v>
      </c>
      <c r="F2513" t="s">
        <v>158</v>
      </c>
      <c r="G2513" t="s">
        <v>184</v>
      </c>
      <c r="AK2513" t="s">
        <v>358</v>
      </c>
    </row>
    <row r="2514" spans="1:37">
      <c r="A2514" t="s">
        <v>45</v>
      </c>
      <c r="B2514" t="s">
        <v>65</v>
      </c>
      <c r="C2514" t="s">
        <v>87</v>
      </c>
      <c r="D2514" t="s">
        <v>106</v>
      </c>
      <c r="E2514" t="s">
        <v>125</v>
      </c>
      <c r="F2514" t="s">
        <v>159</v>
      </c>
      <c r="G2514" t="s">
        <v>185</v>
      </c>
      <c r="H2514" t="s">
        <v>159</v>
      </c>
      <c r="I2514" t="s">
        <v>185</v>
      </c>
      <c r="J2514" t="s">
        <v>255</v>
      </c>
      <c r="AK2514" t="s">
        <v>358</v>
      </c>
    </row>
    <row r="2515" spans="1:37">
      <c r="A2515" t="s">
        <v>46</v>
      </c>
      <c r="B2515" t="s">
        <v>66</v>
      </c>
      <c r="C2515" t="s">
        <v>88</v>
      </c>
      <c r="D2515" t="s">
        <v>76</v>
      </c>
      <c r="E2515" t="s">
        <v>126</v>
      </c>
      <c r="F2515" t="s">
        <v>160</v>
      </c>
      <c r="G2515" t="s">
        <v>186</v>
      </c>
      <c r="H2515" t="s">
        <v>217</v>
      </c>
      <c r="I2515" t="s">
        <v>238</v>
      </c>
      <c r="J2515" t="s">
        <v>256</v>
      </c>
      <c r="K2515" t="s">
        <v>265</v>
      </c>
      <c r="L2515" t="s">
        <v>281</v>
      </c>
      <c r="M2515" t="s">
        <v>290</v>
      </c>
      <c r="N2515" t="s">
        <v>299</v>
      </c>
      <c r="O2515" t="s">
        <v>308</v>
      </c>
      <c r="P2515" t="s">
        <v>228</v>
      </c>
      <c r="Q2515" t="s">
        <v>72</v>
      </c>
      <c r="R2515" t="s">
        <v>327</v>
      </c>
      <c r="S2515" t="s">
        <v>327</v>
      </c>
      <c r="T2515" t="s">
        <v>336</v>
      </c>
      <c r="U2515" t="s">
        <v>336</v>
      </c>
      <c r="V2515" t="s">
        <v>336</v>
      </c>
      <c r="W2515" t="s">
        <v>336</v>
      </c>
      <c r="X2515" t="s">
        <v>353</v>
      </c>
      <c r="AK2515" t="s">
        <v>358</v>
      </c>
    </row>
    <row r="2516" spans="1:37">
      <c r="A2516" t="s">
        <v>37</v>
      </c>
      <c r="B2516" t="s">
        <v>49</v>
      </c>
      <c r="C2516" t="s">
        <v>73</v>
      </c>
      <c r="D2516" t="s">
        <v>94</v>
      </c>
      <c r="E2516" t="s">
        <v>112</v>
      </c>
      <c r="F2516" t="s">
        <v>146</v>
      </c>
      <c r="G2516" t="s">
        <v>172</v>
      </c>
      <c r="H2516" t="s">
        <v>207</v>
      </c>
      <c r="I2516" t="s">
        <v>226</v>
      </c>
      <c r="J2516" t="s">
        <v>246</v>
      </c>
      <c r="K2516" t="s">
        <v>259</v>
      </c>
      <c r="AK2516" t="s">
        <v>358</v>
      </c>
    </row>
    <row r="2517" spans="1:37">
      <c r="A2517" t="s">
        <v>38</v>
      </c>
      <c r="B2517" t="s">
        <v>50</v>
      </c>
      <c r="C2517" t="s">
        <v>74</v>
      </c>
      <c r="D2517" t="s">
        <v>95</v>
      </c>
      <c r="E2517" t="s">
        <v>113</v>
      </c>
      <c r="F2517" t="s">
        <v>147</v>
      </c>
      <c r="G2517" t="s">
        <v>173</v>
      </c>
      <c r="H2517" t="s">
        <v>208</v>
      </c>
      <c r="I2517" t="s">
        <v>227</v>
      </c>
      <c r="J2517" t="s">
        <v>115</v>
      </c>
      <c r="K2517" t="s">
        <v>260</v>
      </c>
      <c r="L2517" t="s">
        <v>273</v>
      </c>
      <c r="M2517" t="s">
        <v>282</v>
      </c>
      <c r="N2517" t="s">
        <v>291</v>
      </c>
      <c r="AK2517" t="s">
        <v>358</v>
      </c>
    </row>
    <row r="2518" spans="1:37">
      <c r="B2518" t="s">
        <v>51</v>
      </c>
      <c r="C2518" t="s">
        <v>75</v>
      </c>
      <c r="D2518" t="s">
        <v>52</v>
      </c>
      <c r="E2518" t="s">
        <v>114</v>
      </c>
      <c r="F2518" t="s">
        <v>148</v>
      </c>
      <c r="G2518" t="s">
        <v>148</v>
      </c>
      <c r="H2518" t="s">
        <v>209</v>
      </c>
      <c r="I2518" t="s">
        <v>228</v>
      </c>
      <c r="J2518" t="s">
        <v>247</v>
      </c>
      <c r="K2518" t="s">
        <v>261</v>
      </c>
      <c r="L2518" t="s">
        <v>274</v>
      </c>
      <c r="M2518" t="s">
        <v>283</v>
      </c>
      <c r="N2518" t="s">
        <v>292</v>
      </c>
      <c r="O2518" t="s">
        <v>300</v>
      </c>
      <c r="AK2518" t="s">
        <v>358</v>
      </c>
    </row>
    <row r="2519" spans="1:37">
      <c r="B2519" t="s">
        <v>52</v>
      </c>
      <c r="C2519" t="s">
        <v>76</v>
      </c>
      <c r="D2519" t="s">
        <v>96</v>
      </c>
      <c r="E2519" t="s">
        <v>115</v>
      </c>
      <c r="F2519" t="s">
        <v>149</v>
      </c>
      <c r="G2519" t="s">
        <v>174</v>
      </c>
      <c r="H2519" t="s">
        <v>96</v>
      </c>
      <c r="I2519" t="s">
        <v>229</v>
      </c>
      <c r="J2519" t="s">
        <v>248</v>
      </c>
      <c r="K2519" t="s">
        <v>262</v>
      </c>
      <c r="L2519" t="s">
        <v>52</v>
      </c>
      <c r="M2519" t="s">
        <v>76</v>
      </c>
      <c r="N2519" t="s">
        <v>293</v>
      </c>
      <c r="O2519" t="s">
        <v>301</v>
      </c>
      <c r="P2519" t="s">
        <v>309</v>
      </c>
      <c r="Q2519" t="s">
        <v>315</v>
      </c>
      <c r="R2519" t="s">
        <v>228</v>
      </c>
      <c r="S2519" t="s">
        <v>328</v>
      </c>
      <c r="T2519" t="s">
        <v>149</v>
      </c>
      <c r="U2519" t="s">
        <v>337</v>
      </c>
      <c r="V2519" t="s">
        <v>341</v>
      </c>
      <c r="W2519" t="s">
        <v>345</v>
      </c>
      <c r="X2519" t="s">
        <v>350</v>
      </c>
      <c r="AK2519" t="s">
        <v>358</v>
      </c>
    </row>
    <row r="2520" spans="1:37">
      <c r="B2520" t="s">
        <v>53</v>
      </c>
      <c r="C2520" t="s">
        <v>77</v>
      </c>
      <c r="D2520" t="s">
        <v>97</v>
      </c>
      <c r="E2520" t="s">
        <v>116</v>
      </c>
      <c r="F2520" t="s">
        <v>150</v>
      </c>
      <c r="G2520" t="s">
        <v>175</v>
      </c>
      <c r="H2520" t="s">
        <v>210</v>
      </c>
      <c r="I2520" t="s">
        <v>230</v>
      </c>
      <c r="J2520" t="s">
        <v>249</v>
      </c>
      <c r="K2520" t="s">
        <v>263</v>
      </c>
      <c r="L2520" t="s">
        <v>275</v>
      </c>
      <c r="M2520" t="s">
        <v>284</v>
      </c>
      <c r="N2520" t="s">
        <v>294</v>
      </c>
      <c r="O2520" t="s">
        <v>302</v>
      </c>
      <c r="P2520" t="s">
        <v>310</v>
      </c>
      <c r="Q2520" t="s">
        <v>316</v>
      </c>
      <c r="R2520" t="s">
        <v>322</v>
      </c>
      <c r="S2520" t="s">
        <v>329</v>
      </c>
      <c r="AK2520" t="s">
        <v>358</v>
      </c>
    </row>
    <row r="2521" spans="1:37">
      <c r="A2521" t="s">
        <v>39</v>
      </c>
      <c r="B2521" t="s">
        <v>54</v>
      </c>
      <c r="C2521" t="s">
        <v>54</v>
      </c>
      <c r="D2521" t="s">
        <v>54</v>
      </c>
      <c r="E2521" t="s">
        <v>54</v>
      </c>
      <c r="F2521" t="s">
        <v>54</v>
      </c>
      <c r="G2521" t="s">
        <v>54</v>
      </c>
      <c r="H2521" t="s">
        <v>54</v>
      </c>
      <c r="I2521" t="s">
        <v>54</v>
      </c>
      <c r="J2521" t="s">
        <v>54</v>
      </c>
      <c r="K2521" t="s">
        <v>54</v>
      </c>
      <c r="L2521" t="s">
        <v>54</v>
      </c>
      <c r="M2521" t="s">
        <v>54</v>
      </c>
      <c r="N2521" t="s">
        <v>54</v>
      </c>
      <c r="O2521" t="s">
        <v>54</v>
      </c>
      <c r="P2521" t="s">
        <v>54</v>
      </c>
      <c r="Q2521" t="s">
        <v>54</v>
      </c>
      <c r="R2521" t="s">
        <v>323</v>
      </c>
      <c r="S2521" t="s">
        <v>330</v>
      </c>
      <c r="AK2521" t="s">
        <v>358</v>
      </c>
    </row>
    <row r="2522" spans="1:37">
      <c r="B2522" t="s">
        <v>55</v>
      </c>
      <c r="C2522" t="s">
        <v>78</v>
      </c>
      <c r="D2522" t="s">
        <v>55</v>
      </c>
      <c r="E2522" t="s">
        <v>78</v>
      </c>
      <c r="F2522" t="s">
        <v>55</v>
      </c>
      <c r="G2522" t="s">
        <v>78</v>
      </c>
      <c r="H2522" t="s">
        <v>55</v>
      </c>
      <c r="I2522" t="s">
        <v>78</v>
      </c>
      <c r="J2522" t="s">
        <v>55</v>
      </c>
      <c r="K2522" t="s">
        <v>78</v>
      </c>
      <c r="L2522" t="s">
        <v>55</v>
      </c>
      <c r="M2522" t="s">
        <v>78</v>
      </c>
      <c r="N2522" t="s">
        <v>55</v>
      </c>
      <c r="O2522" t="s">
        <v>78</v>
      </c>
      <c r="P2522" t="s">
        <v>55</v>
      </c>
      <c r="Q2522" t="s">
        <v>78</v>
      </c>
      <c r="R2522" t="s">
        <v>55</v>
      </c>
      <c r="S2522" t="s">
        <v>78</v>
      </c>
      <c r="T2522" t="s">
        <v>55</v>
      </c>
      <c r="U2522" t="s">
        <v>78</v>
      </c>
      <c r="V2522" t="s">
        <v>55</v>
      </c>
      <c r="W2522" t="s">
        <v>78</v>
      </c>
      <c r="X2522" t="s">
        <v>55</v>
      </c>
      <c r="Y2522" t="s">
        <v>78</v>
      </c>
      <c r="Z2522" t="s">
        <v>55</v>
      </c>
      <c r="AA2522" t="s">
        <v>78</v>
      </c>
      <c r="AB2522" t="s">
        <v>55</v>
      </c>
      <c r="AC2522" t="s">
        <v>78</v>
      </c>
      <c r="AD2522" t="s">
        <v>55</v>
      </c>
      <c r="AE2522" t="s">
        <v>78</v>
      </c>
      <c r="AF2522" t="s">
        <v>55</v>
      </c>
      <c r="AG2522" t="s">
        <v>78</v>
      </c>
      <c r="AH2522" t="s">
        <v>55</v>
      </c>
      <c r="AI2522" t="s">
        <v>78</v>
      </c>
      <c r="AK2522" t="s">
        <v>358</v>
      </c>
    </row>
    <row r="2523" spans="1:37">
      <c r="B2523" t="s">
        <v>56</v>
      </c>
      <c r="C2523" t="s">
        <v>56</v>
      </c>
      <c r="D2523" t="s">
        <v>56</v>
      </c>
      <c r="E2523" t="s">
        <v>56</v>
      </c>
      <c r="F2523" t="s">
        <v>56</v>
      </c>
      <c r="G2523" t="s">
        <v>176</v>
      </c>
      <c r="H2523" t="s">
        <v>211</v>
      </c>
      <c r="I2523" t="s">
        <v>231</v>
      </c>
      <c r="J2523" t="s">
        <v>250</v>
      </c>
      <c r="K2523" t="s">
        <v>264</v>
      </c>
      <c r="L2523" t="s">
        <v>276</v>
      </c>
      <c r="M2523" t="s">
        <v>285</v>
      </c>
      <c r="N2523" t="s">
        <v>295</v>
      </c>
      <c r="O2523" t="s">
        <v>303</v>
      </c>
      <c r="P2523" t="s">
        <v>56</v>
      </c>
      <c r="Q2523" t="s">
        <v>317</v>
      </c>
      <c r="R2523" t="s">
        <v>324</v>
      </c>
      <c r="S2523" t="s">
        <v>331</v>
      </c>
      <c r="T2523" t="s">
        <v>334</v>
      </c>
      <c r="U2523" t="s">
        <v>338</v>
      </c>
      <c r="V2523" t="s">
        <v>342</v>
      </c>
      <c r="W2523" t="s">
        <v>346</v>
      </c>
      <c r="X2523" t="s">
        <v>351</v>
      </c>
      <c r="AK2523" t="s">
        <v>358</v>
      </c>
    </row>
    <row r="2524" spans="1:37">
      <c r="B2524" t="s">
        <v>57</v>
      </c>
      <c r="C2524" t="s">
        <v>79</v>
      </c>
      <c r="D2524" t="s">
        <v>98</v>
      </c>
      <c r="E2524" t="s">
        <v>117</v>
      </c>
      <c r="F2524" t="s">
        <v>151</v>
      </c>
      <c r="G2524" t="s">
        <v>177</v>
      </c>
      <c r="H2524" t="s">
        <v>212</v>
      </c>
      <c r="I2524" t="s">
        <v>232</v>
      </c>
      <c r="J2524" t="s">
        <v>251</v>
      </c>
      <c r="K2524" t="s">
        <v>265</v>
      </c>
      <c r="L2524" t="s">
        <v>277</v>
      </c>
      <c r="M2524" t="s">
        <v>286</v>
      </c>
      <c r="N2524" t="s">
        <v>296</v>
      </c>
      <c r="O2524" t="s">
        <v>304</v>
      </c>
      <c r="P2524" t="s">
        <v>311</v>
      </c>
      <c r="Q2524" t="s">
        <v>318</v>
      </c>
      <c r="R2524" t="s">
        <v>185</v>
      </c>
      <c r="S2524" t="s">
        <v>159</v>
      </c>
      <c r="T2524" t="s">
        <v>185</v>
      </c>
      <c r="U2524" t="s">
        <v>339</v>
      </c>
      <c r="V2524" t="s">
        <v>72</v>
      </c>
      <c r="W2524" t="s">
        <v>347</v>
      </c>
      <c r="X2524" t="s">
        <v>72</v>
      </c>
      <c r="Y2524" t="s">
        <v>96</v>
      </c>
      <c r="AK2524" t="s">
        <v>358</v>
      </c>
    </row>
    <row r="2525" spans="1:37">
      <c r="B2525" t="s">
        <v>58</v>
      </c>
      <c r="C2525" t="s">
        <v>80</v>
      </c>
      <c r="D2525" t="s">
        <v>99</v>
      </c>
      <c r="E2525" t="s">
        <v>118</v>
      </c>
      <c r="F2525" t="s">
        <v>152</v>
      </c>
      <c r="G2525" t="s">
        <v>178</v>
      </c>
      <c r="H2525" t="s">
        <v>213</v>
      </c>
      <c r="I2525" t="s">
        <v>233</v>
      </c>
      <c r="J2525" t="s">
        <v>252</v>
      </c>
      <c r="K2525" t="s">
        <v>266</v>
      </c>
      <c r="L2525" t="s">
        <v>278</v>
      </c>
      <c r="M2525" t="s">
        <v>287</v>
      </c>
      <c r="N2525" t="s">
        <v>297</v>
      </c>
      <c r="O2525" t="s">
        <v>305</v>
      </c>
      <c r="P2525" t="s">
        <v>312</v>
      </c>
      <c r="Q2525" t="s">
        <v>319</v>
      </c>
      <c r="R2525">
        <f>&gt;10       ветра      1.5     14  17 30</f>
        <v>0</v>
      </c>
      <c r="AK2525" t="s">
        <v>358</v>
      </c>
    </row>
    <row r="2526" spans="1:37">
      <c r="A2526" t="s">
        <v>40</v>
      </c>
      <c r="B2526" t="s">
        <v>59</v>
      </c>
      <c r="C2526" t="s">
        <v>81</v>
      </c>
      <c r="D2526" t="s">
        <v>100</v>
      </c>
      <c r="E2526" t="s">
        <v>119</v>
      </c>
      <c r="F2526" t="s">
        <v>153</v>
      </c>
      <c r="G2526" t="s">
        <v>179</v>
      </c>
      <c r="H2526" t="s">
        <v>214</v>
      </c>
      <c r="I2526" t="s">
        <v>234</v>
      </c>
      <c r="AK2526" t="s">
        <v>358</v>
      </c>
    </row>
    <row r="2527" spans="1:37">
      <c r="A2527" t="s">
        <v>40</v>
      </c>
      <c r="B2527" t="s">
        <v>60</v>
      </c>
      <c r="C2527" t="s">
        <v>82</v>
      </c>
      <c r="D2527" t="s">
        <v>101</v>
      </c>
      <c r="E2527" t="s">
        <v>120</v>
      </c>
      <c r="F2527" t="s">
        <v>154</v>
      </c>
      <c r="G2527" t="s">
        <v>180</v>
      </c>
      <c r="H2527" t="s">
        <v>215</v>
      </c>
      <c r="I2527" t="s">
        <v>235</v>
      </c>
      <c r="J2527" t="s">
        <v>253</v>
      </c>
      <c r="K2527" t="s">
        <v>267</v>
      </c>
      <c r="L2527" t="s">
        <v>279</v>
      </c>
      <c r="M2527" t="s">
        <v>288</v>
      </c>
      <c r="N2527" t="s">
        <v>100</v>
      </c>
      <c r="O2527" t="s">
        <v>306</v>
      </c>
      <c r="P2527" t="s">
        <v>313</v>
      </c>
      <c r="Q2527" t="s">
        <v>320</v>
      </c>
      <c r="R2527" t="s">
        <v>325</v>
      </c>
      <c r="S2527" t="s">
        <v>332</v>
      </c>
      <c r="T2527" t="s">
        <v>119</v>
      </c>
      <c r="U2527" t="s">
        <v>234</v>
      </c>
      <c r="V2527" t="s">
        <v>343</v>
      </c>
      <c r="W2527" t="s">
        <v>348</v>
      </c>
      <c r="X2527" t="s">
        <v>352</v>
      </c>
      <c r="Y2527" t="s">
        <v>354</v>
      </c>
      <c r="AK2527" t="s">
        <v>358</v>
      </c>
    </row>
    <row r="2528" spans="1:37">
      <c r="A2528" t="s">
        <v>41</v>
      </c>
      <c r="B2528" t="s">
        <v>61</v>
      </c>
      <c r="C2528" t="s">
        <v>83</v>
      </c>
      <c r="D2528" t="s">
        <v>102</v>
      </c>
      <c r="E2528" t="s">
        <v>121</v>
      </c>
      <c r="F2528" t="s">
        <v>155</v>
      </c>
      <c r="G2528" t="s">
        <v>181</v>
      </c>
      <c r="H2528" t="s">
        <v>216</v>
      </c>
      <c r="I2528" t="s">
        <v>236</v>
      </c>
      <c r="AK2528" t="s">
        <v>358</v>
      </c>
    </row>
    <row r="2529" spans="1:37">
      <c r="A2529" t="s">
        <v>42</v>
      </c>
      <c r="B2529" t="s">
        <v>62</v>
      </c>
      <c r="C2529" t="s">
        <v>84</v>
      </c>
      <c r="D2529" t="s">
        <v>103</v>
      </c>
      <c r="E2529" t="s">
        <v>122</v>
      </c>
      <c r="F2529" t="s">
        <v>156</v>
      </c>
      <c r="G2529" t="s">
        <v>182</v>
      </c>
      <c r="H2529" t="s">
        <v>83</v>
      </c>
      <c r="I2529" t="s">
        <v>237</v>
      </c>
      <c r="J2529" t="s">
        <v>254</v>
      </c>
      <c r="K2529" t="s">
        <v>268</v>
      </c>
      <c r="L2529" t="s">
        <v>280</v>
      </c>
      <c r="M2529" t="s">
        <v>289</v>
      </c>
      <c r="N2529" t="s">
        <v>298</v>
      </c>
      <c r="O2529" t="s">
        <v>307</v>
      </c>
      <c r="P2529" t="s">
        <v>314</v>
      </c>
      <c r="Q2529" t="s">
        <v>216</v>
      </c>
      <c r="R2529" t="s">
        <v>326</v>
      </c>
      <c r="S2529" t="s">
        <v>333</v>
      </c>
      <c r="T2529" t="s">
        <v>335</v>
      </c>
      <c r="U2529" t="s">
        <v>340</v>
      </c>
      <c r="V2529" t="s">
        <v>344</v>
      </c>
      <c r="W2529" t="s">
        <v>349</v>
      </c>
      <c r="AK2529" t="s">
        <v>358</v>
      </c>
    </row>
    <row r="2530" spans="1:37">
      <c r="A2530" t="s">
        <v>43</v>
      </c>
      <c r="B2530" t="s">
        <v>63</v>
      </c>
      <c r="C2530" t="s">
        <v>85</v>
      </c>
      <c r="D2530" t="s">
        <v>104</v>
      </c>
      <c r="E2530" t="s">
        <v>123</v>
      </c>
      <c r="F2530" t="s">
        <v>157</v>
      </c>
      <c r="G2530" t="s">
        <v>183</v>
      </c>
      <c r="AK2530" t="s">
        <v>358</v>
      </c>
    </row>
    <row r="2531" spans="1:37">
      <c r="A2531" t="s">
        <v>44</v>
      </c>
      <c r="B2531" t="s">
        <v>64</v>
      </c>
      <c r="C2531" t="s">
        <v>86</v>
      </c>
      <c r="D2531" t="s">
        <v>105</v>
      </c>
      <c r="E2531" t="s">
        <v>124</v>
      </c>
      <c r="F2531" t="s">
        <v>158</v>
      </c>
      <c r="G2531" t="s">
        <v>184</v>
      </c>
      <c r="AK2531" t="s">
        <v>358</v>
      </c>
    </row>
    <row r="2532" spans="1:37">
      <c r="A2532" t="s">
        <v>45</v>
      </c>
      <c r="B2532" t="s">
        <v>65</v>
      </c>
      <c r="C2532" t="s">
        <v>87</v>
      </c>
      <c r="D2532" t="s">
        <v>106</v>
      </c>
      <c r="E2532" t="s">
        <v>125</v>
      </c>
      <c r="F2532" t="s">
        <v>159</v>
      </c>
      <c r="G2532" t="s">
        <v>185</v>
      </c>
      <c r="H2532" t="s">
        <v>159</v>
      </c>
      <c r="I2532" t="s">
        <v>185</v>
      </c>
      <c r="J2532" t="s">
        <v>255</v>
      </c>
      <c r="AK2532" t="s">
        <v>358</v>
      </c>
    </row>
    <row r="2533" spans="1:37">
      <c r="A2533" t="s">
        <v>46</v>
      </c>
      <c r="B2533" t="s">
        <v>66</v>
      </c>
      <c r="C2533" t="s">
        <v>88</v>
      </c>
      <c r="D2533" t="s">
        <v>76</v>
      </c>
      <c r="E2533" t="s">
        <v>126</v>
      </c>
      <c r="F2533" t="s">
        <v>160</v>
      </c>
      <c r="G2533" t="s">
        <v>186</v>
      </c>
      <c r="H2533" t="s">
        <v>217</v>
      </c>
      <c r="I2533" t="s">
        <v>238</v>
      </c>
      <c r="J2533" t="s">
        <v>256</v>
      </c>
      <c r="K2533" t="s">
        <v>265</v>
      </c>
      <c r="L2533" t="s">
        <v>281</v>
      </c>
      <c r="M2533" t="s">
        <v>290</v>
      </c>
      <c r="N2533" t="s">
        <v>299</v>
      </c>
      <c r="O2533" t="s">
        <v>308</v>
      </c>
      <c r="P2533" t="s">
        <v>228</v>
      </c>
      <c r="Q2533" t="s">
        <v>72</v>
      </c>
      <c r="R2533" t="s">
        <v>327</v>
      </c>
      <c r="S2533" t="s">
        <v>327</v>
      </c>
      <c r="T2533" t="s">
        <v>336</v>
      </c>
      <c r="U2533" t="s">
        <v>336</v>
      </c>
      <c r="V2533" t="s">
        <v>336</v>
      </c>
      <c r="W2533" t="s">
        <v>336</v>
      </c>
      <c r="X2533" t="s">
        <v>353</v>
      </c>
      <c r="AK2533" t="s">
        <v>358</v>
      </c>
    </row>
    <row r="2534" spans="1:37">
      <c r="B2534" t="s">
        <v>67</v>
      </c>
      <c r="C2534" t="s">
        <v>89</v>
      </c>
      <c r="D2534" t="s">
        <v>107</v>
      </c>
      <c r="AK2534" t="s">
        <v>358</v>
      </c>
    </row>
    <row r="2535" spans="1:37">
      <c r="B2535" t="s">
        <v>68</v>
      </c>
      <c r="C2535" t="s">
        <v>90</v>
      </c>
      <c r="D2535" t="s">
        <v>108</v>
      </c>
      <c r="AK2535" t="s">
        <v>358</v>
      </c>
    </row>
    <row r="2536" spans="1:37">
      <c r="A2536" t="s">
        <v>47</v>
      </c>
      <c r="B2536" t="s">
        <v>69</v>
      </c>
      <c r="C2536" t="s">
        <v>91</v>
      </c>
      <c r="D2536" t="s">
        <v>109</v>
      </c>
      <c r="E2536" t="s">
        <v>109</v>
      </c>
      <c r="F2536" t="s">
        <v>109</v>
      </c>
      <c r="G2536" t="s">
        <v>109</v>
      </c>
      <c r="H2536" t="s">
        <v>109</v>
      </c>
      <c r="I2536" t="s">
        <v>239</v>
      </c>
      <c r="AK2536" t="s">
        <v>358</v>
      </c>
    </row>
    <row r="2537" spans="1:37">
      <c r="B2537" t="s">
        <v>70</v>
      </c>
      <c r="C2537" t="s">
        <v>92</v>
      </c>
      <c r="D2537" t="s">
        <v>110</v>
      </c>
      <c r="E2537" t="s">
        <v>127</v>
      </c>
      <c r="F2537" t="s">
        <v>161</v>
      </c>
      <c r="G2537" t="s">
        <v>187</v>
      </c>
      <c r="H2537" t="s">
        <v>218</v>
      </c>
      <c r="AK2537" t="s">
        <v>358</v>
      </c>
    </row>
    <row r="2538" spans="1:37">
      <c r="B2538" t="s">
        <v>71</v>
      </c>
      <c r="C2538" t="s">
        <v>93</v>
      </c>
      <c r="D2538" t="s">
        <v>111</v>
      </c>
      <c r="E2538" t="s">
        <v>128</v>
      </c>
      <c r="F2538" t="s">
        <v>162</v>
      </c>
      <c r="G2538" t="s">
        <v>188</v>
      </c>
      <c r="H2538" t="s">
        <v>219</v>
      </c>
      <c r="I2538" t="s">
        <v>240</v>
      </c>
      <c r="J2538" t="s">
        <v>257</v>
      </c>
      <c r="K2538" t="s">
        <v>269</v>
      </c>
      <c r="L2538" t="s">
        <v>109</v>
      </c>
      <c r="M2538" t="s">
        <v>109</v>
      </c>
      <c r="N2538" t="s">
        <v>109</v>
      </c>
      <c r="O2538" t="s">
        <v>109</v>
      </c>
      <c r="P2538" t="s">
        <v>109</v>
      </c>
      <c r="Q2538" t="s">
        <v>321</v>
      </c>
      <c r="AK2538" t="s">
        <v>358</v>
      </c>
    </row>
    <row r="2539" spans="1:37">
      <c r="A2539" t="s">
        <v>48</v>
      </c>
      <c r="B2539" t="s">
        <v>71</v>
      </c>
      <c r="C2539" t="s">
        <v>93</v>
      </c>
      <c r="D2539" t="s">
        <v>111</v>
      </c>
      <c r="E2539" t="s">
        <v>128</v>
      </c>
      <c r="F2539" t="s">
        <v>163</v>
      </c>
      <c r="G2539" t="s">
        <v>189</v>
      </c>
      <c r="H2539" t="s">
        <v>220</v>
      </c>
      <c r="I2539" t="s">
        <v>241</v>
      </c>
      <c r="J2539" t="s">
        <v>258</v>
      </c>
      <c r="K2539" t="s">
        <v>270</v>
      </c>
      <c r="AK2539" t="s">
        <v>358</v>
      </c>
    </row>
    <row r="2540" spans="1:37">
      <c r="B2540" t="s">
        <v>72</v>
      </c>
      <c r="C2540" t="s">
        <v>72</v>
      </c>
      <c r="D2540" t="s">
        <v>72</v>
      </c>
      <c r="E2540" t="s">
        <v>72</v>
      </c>
      <c r="F2540" t="s">
        <v>72</v>
      </c>
      <c r="G2540" t="s">
        <v>72</v>
      </c>
      <c r="H2540" t="s">
        <v>72</v>
      </c>
      <c r="I2540" t="s">
        <v>72</v>
      </c>
      <c r="J2540" t="s">
        <v>72</v>
      </c>
      <c r="K2540" t="s">
        <v>272</v>
      </c>
      <c r="AK2540" t="s">
        <v>358</v>
      </c>
    </row>
    <row r="2541" spans="1:37">
      <c r="A2541" t="s">
        <v>37</v>
      </c>
      <c r="B2541" t="s">
        <v>49</v>
      </c>
      <c r="C2541" t="s">
        <v>73</v>
      </c>
      <c r="D2541" t="s">
        <v>94</v>
      </c>
      <c r="E2541" t="s">
        <v>112</v>
      </c>
      <c r="F2541" t="s">
        <v>146</v>
      </c>
      <c r="G2541" t="s">
        <v>172</v>
      </c>
      <c r="H2541" t="s">
        <v>207</v>
      </c>
      <c r="I2541" t="s">
        <v>226</v>
      </c>
      <c r="J2541" t="s">
        <v>246</v>
      </c>
      <c r="K2541" t="s">
        <v>259</v>
      </c>
      <c r="AK2541" t="s">
        <v>358</v>
      </c>
    </row>
    <row r="2542" spans="1:37">
      <c r="A2542" t="s">
        <v>38</v>
      </c>
      <c r="B2542" t="s">
        <v>50</v>
      </c>
      <c r="C2542" t="s">
        <v>74</v>
      </c>
      <c r="D2542" t="s">
        <v>95</v>
      </c>
      <c r="E2542" t="s">
        <v>113</v>
      </c>
      <c r="F2542" t="s">
        <v>147</v>
      </c>
      <c r="G2542" t="s">
        <v>173</v>
      </c>
      <c r="H2542" t="s">
        <v>208</v>
      </c>
      <c r="I2542" t="s">
        <v>227</v>
      </c>
      <c r="J2542" t="s">
        <v>115</v>
      </c>
      <c r="K2542" t="s">
        <v>260</v>
      </c>
      <c r="L2542" t="s">
        <v>273</v>
      </c>
      <c r="M2542" t="s">
        <v>282</v>
      </c>
      <c r="N2542" t="s">
        <v>291</v>
      </c>
      <c r="AK2542" t="s">
        <v>358</v>
      </c>
    </row>
    <row r="2543" spans="1:37">
      <c r="B2543" t="s">
        <v>51</v>
      </c>
      <c r="C2543" t="s">
        <v>75</v>
      </c>
      <c r="D2543" t="s">
        <v>52</v>
      </c>
      <c r="E2543" t="s">
        <v>114</v>
      </c>
      <c r="F2543" t="s">
        <v>148</v>
      </c>
      <c r="G2543" t="s">
        <v>148</v>
      </c>
      <c r="H2543" t="s">
        <v>209</v>
      </c>
      <c r="I2543" t="s">
        <v>228</v>
      </c>
      <c r="J2543" t="s">
        <v>247</v>
      </c>
      <c r="K2543" t="s">
        <v>261</v>
      </c>
      <c r="L2543" t="s">
        <v>274</v>
      </c>
      <c r="M2543" t="s">
        <v>283</v>
      </c>
      <c r="N2543" t="s">
        <v>292</v>
      </c>
      <c r="O2543" t="s">
        <v>300</v>
      </c>
      <c r="AK2543" t="s">
        <v>358</v>
      </c>
    </row>
    <row r="2544" spans="1:37">
      <c r="B2544" t="s">
        <v>52</v>
      </c>
      <c r="C2544" t="s">
        <v>76</v>
      </c>
      <c r="D2544" t="s">
        <v>96</v>
      </c>
      <c r="E2544" t="s">
        <v>115</v>
      </c>
      <c r="F2544" t="s">
        <v>149</v>
      </c>
      <c r="G2544" t="s">
        <v>174</v>
      </c>
      <c r="H2544" t="s">
        <v>96</v>
      </c>
      <c r="I2544" t="s">
        <v>229</v>
      </c>
      <c r="J2544" t="s">
        <v>248</v>
      </c>
      <c r="K2544" t="s">
        <v>262</v>
      </c>
      <c r="L2544" t="s">
        <v>52</v>
      </c>
      <c r="M2544" t="s">
        <v>76</v>
      </c>
      <c r="N2544" t="s">
        <v>293</v>
      </c>
      <c r="O2544" t="s">
        <v>301</v>
      </c>
      <c r="P2544" t="s">
        <v>309</v>
      </c>
      <c r="Q2544" t="s">
        <v>315</v>
      </c>
      <c r="R2544" t="s">
        <v>228</v>
      </c>
      <c r="S2544" t="s">
        <v>328</v>
      </c>
      <c r="T2544" t="s">
        <v>149</v>
      </c>
      <c r="U2544" t="s">
        <v>337</v>
      </c>
      <c r="V2544" t="s">
        <v>341</v>
      </c>
      <c r="W2544" t="s">
        <v>345</v>
      </c>
      <c r="X2544" t="s">
        <v>350</v>
      </c>
      <c r="AK2544" t="s">
        <v>358</v>
      </c>
    </row>
    <row r="2545" spans="1:37">
      <c r="B2545" t="s">
        <v>53</v>
      </c>
      <c r="C2545" t="s">
        <v>77</v>
      </c>
      <c r="D2545" t="s">
        <v>97</v>
      </c>
      <c r="E2545" t="s">
        <v>116</v>
      </c>
      <c r="F2545" t="s">
        <v>150</v>
      </c>
      <c r="G2545" t="s">
        <v>175</v>
      </c>
      <c r="H2545" t="s">
        <v>210</v>
      </c>
      <c r="I2545" t="s">
        <v>230</v>
      </c>
      <c r="J2545" t="s">
        <v>249</v>
      </c>
      <c r="K2545" t="s">
        <v>263</v>
      </c>
      <c r="L2545" t="s">
        <v>275</v>
      </c>
      <c r="M2545" t="s">
        <v>284</v>
      </c>
      <c r="N2545" t="s">
        <v>294</v>
      </c>
      <c r="O2545" t="s">
        <v>302</v>
      </c>
      <c r="P2545" t="s">
        <v>310</v>
      </c>
      <c r="Q2545" t="s">
        <v>316</v>
      </c>
      <c r="R2545" t="s">
        <v>322</v>
      </c>
      <c r="S2545" t="s">
        <v>329</v>
      </c>
      <c r="AK2545" t="s">
        <v>358</v>
      </c>
    </row>
    <row r="2546" spans="1:37">
      <c r="A2546" t="s">
        <v>39</v>
      </c>
      <c r="B2546" t="s">
        <v>54</v>
      </c>
      <c r="C2546" t="s">
        <v>54</v>
      </c>
      <c r="D2546" t="s">
        <v>54</v>
      </c>
      <c r="E2546" t="s">
        <v>54</v>
      </c>
      <c r="F2546" t="s">
        <v>54</v>
      </c>
      <c r="G2546" t="s">
        <v>54</v>
      </c>
      <c r="H2546" t="s">
        <v>54</v>
      </c>
      <c r="I2546" t="s">
        <v>54</v>
      </c>
      <c r="J2546" t="s">
        <v>54</v>
      </c>
      <c r="K2546" t="s">
        <v>54</v>
      </c>
      <c r="L2546" t="s">
        <v>54</v>
      </c>
      <c r="M2546" t="s">
        <v>54</v>
      </c>
      <c r="N2546" t="s">
        <v>54</v>
      </c>
      <c r="O2546" t="s">
        <v>54</v>
      </c>
      <c r="P2546" t="s">
        <v>54</v>
      </c>
      <c r="Q2546" t="s">
        <v>54</v>
      </c>
      <c r="R2546" t="s">
        <v>323</v>
      </c>
      <c r="S2546" t="s">
        <v>330</v>
      </c>
      <c r="AK2546" t="s">
        <v>358</v>
      </c>
    </row>
    <row r="2547" spans="1:37">
      <c r="B2547" t="s">
        <v>55</v>
      </c>
      <c r="C2547" t="s">
        <v>78</v>
      </c>
      <c r="D2547" t="s">
        <v>55</v>
      </c>
      <c r="E2547" t="s">
        <v>78</v>
      </c>
      <c r="F2547" t="s">
        <v>55</v>
      </c>
      <c r="G2547" t="s">
        <v>78</v>
      </c>
      <c r="H2547" t="s">
        <v>55</v>
      </c>
      <c r="I2547" t="s">
        <v>78</v>
      </c>
      <c r="J2547" t="s">
        <v>55</v>
      </c>
      <c r="K2547" t="s">
        <v>78</v>
      </c>
      <c r="L2547" t="s">
        <v>55</v>
      </c>
      <c r="M2547" t="s">
        <v>78</v>
      </c>
      <c r="N2547" t="s">
        <v>55</v>
      </c>
      <c r="O2547" t="s">
        <v>78</v>
      </c>
      <c r="P2547" t="s">
        <v>55</v>
      </c>
      <c r="Q2547" t="s">
        <v>78</v>
      </c>
      <c r="R2547" t="s">
        <v>55</v>
      </c>
      <c r="S2547" t="s">
        <v>78</v>
      </c>
      <c r="T2547" t="s">
        <v>55</v>
      </c>
      <c r="U2547" t="s">
        <v>78</v>
      </c>
      <c r="V2547" t="s">
        <v>55</v>
      </c>
      <c r="W2547" t="s">
        <v>78</v>
      </c>
      <c r="X2547" t="s">
        <v>55</v>
      </c>
      <c r="Y2547" t="s">
        <v>78</v>
      </c>
      <c r="Z2547" t="s">
        <v>55</v>
      </c>
      <c r="AA2547" t="s">
        <v>78</v>
      </c>
      <c r="AB2547" t="s">
        <v>55</v>
      </c>
      <c r="AC2547" t="s">
        <v>78</v>
      </c>
      <c r="AD2547" t="s">
        <v>55</v>
      </c>
      <c r="AE2547" t="s">
        <v>78</v>
      </c>
      <c r="AF2547" t="s">
        <v>55</v>
      </c>
      <c r="AG2547" t="s">
        <v>78</v>
      </c>
      <c r="AH2547" t="s">
        <v>55</v>
      </c>
      <c r="AI2547" t="s">
        <v>78</v>
      </c>
      <c r="AK2547" t="s">
        <v>358</v>
      </c>
    </row>
    <row r="2548" spans="1:37">
      <c r="B2548" t="s">
        <v>56</v>
      </c>
      <c r="C2548" t="s">
        <v>56</v>
      </c>
      <c r="D2548" t="s">
        <v>56</v>
      </c>
      <c r="E2548" t="s">
        <v>56</v>
      </c>
      <c r="F2548" t="s">
        <v>56</v>
      </c>
      <c r="G2548" t="s">
        <v>176</v>
      </c>
      <c r="H2548" t="s">
        <v>211</v>
      </c>
      <c r="I2548" t="s">
        <v>231</v>
      </c>
      <c r="J2548" t="s">
        <v>250</v>
      </c>
      <c r="K2548" t="s">
        <v>264</v>
      </c>
      <c r="L2548" t="s">
        <v>276</v>
      </c>
      <c r="M2548" t="s">
        <v>285</v>
      </c>
      <c r="N2548" t="s">
        <v>295</v>
      </c>
      <c r="O2548" t="s">
        <v>303</v>
      </c>
      <c r="P2548" t="s">
        <v>56</v>
      </c>
      <c r="Q2548" t="s">
        <v>317</v>
      </c>
      <c r="R2548" t="s">
        <v>324</v>
      </c>
      <c r="S2548" t="s">
        <v>331</v>
      </c>
      <c r="T2548" t="s">
        <v>334</v>
      </c>
      <c r="U2548" t="s">
        <v>338</v>
      </c>
      <c r="V2548" t="s">
        <v>342</v>
      </c>
      <c r="W2548" t="s">
        <v>346</v>
      </c>
      <c r="X2548" t="s">
        <v>351</v>
      </c>
      <c r="AK2548" t="s">
        <v>358</v>
      </c>
    </row>
    <row r="2549" spans="1:37">
      <c r="B2549" t="s">
        <v>57</v>
      </c>
      <c r="C2549" t="s">
        <v>79</v>
      </c>
      <c r="D2549" t="s">
        <v>98</v>
      </c>
      <c r="E2549" t="s">
        <v>117</v>
      </c>
      <c r="F2549" t="s">
        <v>151</v>
      </c>
      <c r="G2549" t="s">
        <v>177</v>
      </c>
      <c r="H2549" t="s">
        <v>212</v>
      </c>
      <c r="I2549" t="s">
        <v>232</v>
      </c>
      <c r="J2549" t="s">
        <v>251</v>
      </c>
      <c r="K2549" t="s">
        <v>265</v>
      </c>
      <c r="L2549" t="s">
        <v>277</v>
      </c>
      <c r="M2549" t="s">
        <v>286</v>
      </c>
      <c r="N2549" t="s">
        <v>296</v>
      </c>
      <c r="O2549" t="s">
        <v>304</v>
      </c>
      <c r="P2549" t="s">
        <v>311</v>
      </c>
      <c r="Q2549" t="s">
        <v>318</v>
      </c>
      <c r="R2549" t="s">
        <v>185</v>
      </c>
      <c r="S2549" t="s">
        <v>159</v>
      </c>
      <c r="T2549" t="s">
        <v>185</v>
      </c>
      <c r="U2549" t="s">
        <v>339</v>
      </c>
      <c r="V2549" t="s">
        <v>72</v>
      </c>
      <c r="W2549" t="s">
        <v>347</v>
      </c>
      <c r="X2549" t="s">
        <v>72</v>
      </c>
      <c r="Y2549" t="s">
        <v>96</v>
      </c>
      <c r="AK2549" t="s">
        <v>358</v>
      </c>
    </row>
    <row r="2550" spans="1:37">
      <c r="B2550" t="s">
        <v>58</v>
      </c>
      <c r="C2550" t="s">
        <v>80</v>
      </c>
      <c r="D2550" t="s">
        <v>99</v>
      </c>
      <c r="E2550" t="s">
        <v>118</v>
      </c>
      <c r="F2550" t="s">
        <v>152</v>
      </c>
      <c r="G2550" t="s">
        <v>178</v>
      </c>
      <c r="H2550" t="s">
        <v>213</v>
      </c>
      <c r="I2550" t="s">
        <v>233</v>
      </c>
      <c r="J2550" t="s">
        <v>252</v>
      </c>
      <c r="K2550" t="s">
        <v>266</v>
      </c>
      <c r="L2550" t="s">
        <v>278</v>
      </c>
      <c r="M2550" t="s">
        <v>287</v>
      </c>
      <c r="N2550" t="s">
        <v>297</v>
      </c>
      <c r="O2550" t="s">
        <v>305</v>
      </c>
      <c r="P2550" t="s">
        <v>312</v>
      </c>
      <c r="Q2550" t="s">
        <v>319</v>
      </c>
      <c r="R2550">
        <f>&gt;10       ветра      2.5     20  14</f>
        <v>0</v>
      </c>
      <c r="AK2550" t="s">
        <v>358</v>
      </c>
    </row>
    <row r="2551" spans="1:37">
      <c r="A2551" t="s">
        <v>40</v>
      </c>
      <c r="B2551" t="s">
        <v>59</v>
      </c>
      <c r="C2551" t="s">
        <v>81</v>
      </c>
      <c r="D2551" t="s">
        <v>100</v>
      </c>
      <c r="E2551" t="s">
        <v>119</v>
      </c>
      <c r="F2551" t="s">
        <v>153</v>
      </c>
      <c r="G2551" t="s">
        <v>179</v>
      </c>
      <c r="H2551" t="s">
        <v>214</v>
      </c>
      <c r="I2551" t="s">
        <v>234</v>
      </c>
      <c r="AK2551" t="s">
        <v>358</v>
      </c>
    </row>
    <row r="2552" spans="1:37">
      <c r="A2552" t="s">
        <v>40</v>
      </c>
      <c r="B2552" t="s">
        <v>60</v>
      </c>
      <c r="C2552" t="s">
        <v>82</v>
      </c>
      <c r="D2552" t="s">
        <v>101</v>
      </c>
      <c r="E2552" t="s">
        <v>120</v>
      </c>
      <c r="F2552" t="s">
        <v>154</v>
      </c>
      <c r="G2552" t="s">
        <v>180</v>
      </c>
      <c r="H2552" t="s">
        <v>215</v>
      </c>
      <c r="I2552" t="s">
        <v>235</v>
      </c>
      <c r="J2552" t="s">
        <v>253</v>
      </c>
      <c r="K2552" t="s">
        <v>267</v>
      </c>
      <c r="L2552" t="s">
        <v>279</v>
      </c>
      <c r="M2552" t="s">
        <v>288</v>
      </c>
      <c r="N2552" t="s">
        <v>100</v>
      </c>
      <c r="O2552" t="s">
        <v>306</v>
      </c>
      <c r="P2552" t="s">
        <v>313</v>
      </c>
      <c r="Q2552" t="s">
        <v>320</v>
      </c>
      <c r="R2552" t="s">
        <v>325</v>
      </c>
      <c r="S2552" t="s">
        <v>332</v>
      </c>
      <c r="T2552" t="s">
        <v>119</v>
      </c>
      <c r="U2552" t="s">
        <v>234</v>
      </c>
      <c r="V2552" t="s">
        <v>343</v>
      </c>
      <c r="W2552" t="s">
        <v>348</v>
      </c>
      <c r="X2552" t="s">
        <v>352</v>
      </c>
      <c r="Y2552" t="s">
        <v>354</v>
      </c>
      <c r="AK2552" t="s">
        <v>358</v>
      </c>
    </row>
    <row r="2553" spans="1:37">
      <c r="A2553" t="s">
        <v>41</v>
      </c>
      <c r="B2553" t="s">
        <v>61</v>
      </c>
      <c r="C2553" t="s">
        <v>83</v>
      </c>
      <c r="D2553" t="s">
        <v>102</v>
      </c>
      <c r="E2553" t="s">
        <v>121</v>
      </c>
      <c r="F2553" t="s">
        <v>155</v>
      </c>
      <c r="G2553" t="s">
        <v>181</v>
      </c>
      <c r="H2553" t="s">
        <v>216</v>
      </c>
      <c r="I2553" t="s">
        <v>236</v>
      </c>
      <c r="AK2553" t="s">
        <v>358</v>
      </c>
    </row>
    <row r="2554" spans="1:37">
      <c r="A2554" t="s">
        <v>42</v>
      </c>
      <c r="B2554" t="s">
        <v>62</v>
      </c>
      <c r="C2554" t="s">
        <v>84</v>
      </c>
      <c r="D2554" t="s">
        <v>103</v>
      </c>
      <c r="E2554" t="s">
        <v>122</v>
      </c>
      <c r="F2554" t="s">
        <v>156</v>
      </c>
      <c r="G2554" t="s">
        <v>182</v>
      </c>
      <c r="H2554" t="s">
        <v>83</v>
      </c>
      <c r="I2554" t="s">
        <v>237</v>
      </c>
      <c r="J2554" t="s">
        <v>254</v>
      </c>
      <c r="K2554" t="s">
        <v>268</v>
      </c>
      <c r="L2554" t="s">
        <v>280</v>
      </c>
      <c r="M2554" t="s">
        <v>289</v>
      </c>
      <c r="N2554" t="s">
        <v>298</v>
      </c>
      <c r="O2554" t="s">
        <v>307</v>
      </c>
      <c r="P2554" t="s">
        <v>314</v>
      </c>
      <c r="Q2554" t="s">
        <v>216</v>
      </c>
      <c r="R2554" t="s">
        <v>326</v>
      </c>
      <c r="S2554" t="s">
        <v>333</v>
      </c>
      <c r="T2554" t="s">
        <v>335</v>
      </c>
      <c r="U2554" t="s">
        <v>340</v>
      </c>
      <c r="V2554" t="s">
        <v>344</v>
      </c>
      <c r="W2554" t="s">
        <v>349</v>
      </c>
      <c r="AK2554" t="s">
        <v>358</v>
      </c>
    </row>
    <row r="2555" spans="1:37">
      <c r="A2555" t="s">
        <v>43</v>
      </c>
      <c r="B2555" t="s">
        <v>63</v>
      </c>
      <c r="C2555" t="s">
        <v>85</v>
      </c>
      <c r="D2555" t="s">
        <v>104</v>
      </c>
      <c r="E2555" t="s">
        <v>123</v>
      </c>
      <c r="F2555" t="s">
        <v>157</v>
      </c>
      <c r="G2555" t="s">
        <v>183</v>
      </c>
      <c r="AK2555" t="s">
        <v>358</v>
      </c>
    </row>
    <row r="2556" spans="1:37">
      <c r="A2556" t="s">
        <v>44</v>
      </c>
      <c r="B2556" t="s">
        <v>64</v>
      </c>
      <c r="C2556" t="s">
        <v>86</v>
      </c>
      <c r="D2556" t="s">
        <v>105</v>
      </c>
      <c r="E2556" t="s">
        <v>124</v>
      </c>
      <c r="F2556" t="s">
        <v>158</v>
      </c>
      <c r="G2556" t="s">
        <v>184</v>
      </c>
      <c r="AK2556" t="s">
        <v>358</v>
      </c>
    </row>
    <row r="2557" spans="1:37">
      <c r="A2557" t="s">
        <v>45</v>
      </c>
      <c r="B2557" t="s">
        <v>65</v>
      </c>
      <c r="C2557" t="s">
        <v>87</v>
      </c>
      <c r="D2557" t="s">
        <v>106</v>
      </c>
      <c r="E2557" t="s">
        <v>125</v>
      </c>
      <c r="F2557" t="s">
        <v>159</v>
      </c>
      <c r="G2557" t="s">
        <v>185</v>
      </c>
      <c r="H2557" t="s">
        <v>159</v>
      </c>
      <c r="I2557" t="s">
        <v>185</v>
      </c>
      <c r="J2557" t="s">
        <v>255</v>
      </c>
      <c r="AK2557" t="s">
        <v>358</v>
      </c>
    </row>
    <row r="2558" spans="1:37">
      <c r="A2558" t="s">
        <v>46</v>
      </c>
      <c r="B2558" t="s">
        <v>66</v>
      </c>
      <c r="C2558" t="s">
        <v>88</v>
      </c>
      <c r="D2558" t="s">
        <v>76</v>
      </c>
      <c r="E2558" t="s">
        <v>126</v>
      </c>
      <c r="F2558" t="s">
        <v>160</v>
      </c>
      <c r="G2558" t="s">
        <v>186</v>
      </c>
      <c r="H2558" t="s">
        <v>217</v>
      </c>
      <c r="I2558" t="s">
        <v>238</v>
      </c>
      <c r="J2558" t="s">
        <v>256</v>
      </c>
      <c r="K2558" t="s">
        <v>265</v>
      </c>
      <c r="L2558" t="s">
        <v>281</v>
      </c>
      <c r="M2558" t="s">
        <v>290</v>
      </c>
      <c r="N2558" t="s">
        <v>299</v>
      </c>
      <c r="O2558" t="s">
        <v>308</v>
      </c>
      <c r="P2558" t="s">
        <v>228</v>
      </c>
      <c r="Q2558" t="s">
        <v>72</v>
      </c>
      <c r="R2558" t="s">
        <v>327</v>
      </c>
      <c r="S2558" t="s">
        <v>327</v>
      </c>
      <c r="T2558" t="s">
        <v>336</v>
      </c>
      <c r="U2558" t="s">
        <v>336</v>
      </c>
      <c r="V2558" t="s">
        <v>336</v>
      </c>
      <c r="W2558" t="s">
        <v>336</v>
      </c>
      <c r="X2558" t="s">
        <v>353</v>
      </c>
      <c r="AK2558" t="s">
        <v>358</v>
      </c>
    </row>
    <row r="2559" spans="1:37">
      <c r="B2559" t="s">
        <v>67</v>
      </c>
      <c r="C2559" t="s">
        <v>89</v>
      </c>
      <c r="D2559" t="s">
        <v>107</v>
      </c>
      <c r="AK2559" t="s">
        <v>358</v>
      </c>
    </row>
    <row r="2560" spans="1:37">
      <c r="B2560" t="s">
        <v>68</v>
      </c>
      <c r="C2560" t="s">
        <v>90</v>
      </c>
      <c r="D2560" t="s">
        <v>108</v>
      </c>
      <c r="AK2560" t="s">
        <v>358</v>
      </c>
    </row>
    <row r="2561" spans="1:37">
      <c r="A2561" t="s">
        <v>47</v>
      </c>
      <c r="B2561" t="s">
        <v>69</v>
      </c>
      <c r="C2561" t="s">
        <v>91</v>
      </c>
      <c r="D2561" t="s">
        <v>109</v>
      </c>
      <c r="E2561" t="s">
        <v>109</v>
      </c>
      <c r="F2561" t="s">
        <v>109</v>
      </c>
      <c r="G2561" t="s">
        <v>109</v>
      </c>
      <c r="H2561" t="s">
        <v>109</v>
      </c>
      <c r="I2561" t="s">
        <v>239</v>
      </c>
      <c r="AK2561" t="s">
        <v>358</v>
      </c>
    </row>
    <row r="2562" spans="1:37">
      <c r="B2562" t="s">
        <v>70</v>
      </c>
      <c r="C2562" t="s">
        <v>92</v>
      </c>
      <c r="D2562" t="s">
        <v>110</v>
      </c>
      <c r="E2562" t="s">
        <v>127</v>
      </c>
      <c r="F2562" t="s">
        <v>161</v>
      </c>
      <c r="G2562" t="s">
        <v>187</v>
      </c>
      <c r="H2562" t="s">
        <v>218</v>
      </c>
      <c r="AK2562" t="s">
        <v>358</v>
      </c>
    </row>
    <row r="2563" spans="1:37">
      <c r="B2563" t="s">
        <v>71</v>
      </c>
      <c r="C2563" t="s">
        <v>93</v>
      </c>
      <c r="D2563" t="s">
        <v>111</v>
      </c>
      <c r="E2563" t="s">
        <v>128</v>
      </c>
      <c r="F2563" t="s">
        <v>162</v>
      </c>
      <c r="G2563" t="s">
        <v>188</v>
      </c>
      <c r="H2563" t="s">
        <v>219</v>
      </c>
      <c r="I2563" t="s">
        <v>240</v>
      </c>
      <c r="J2563" t="s">
        <v>257</v>
      </c>
      <c r="K2563" t="s">
        <v>269</v>
      </c>
      <c r="L2563" t="s">
        <v>109</v>
      </c>
      <c r="M2563" t="s">
        <v>109</v>
      </c>
      <c r="N2563" t="s">
        <v>109</v>
      </c>
      <c r="O2563" t="s">
        <v>109</v>
      </c>
      <c r="P2563" t="s">
        <v>109</v>
      </c>
      <c r="Q2563" t="s">
        <v>321</v>
      </c>
      <c r="AK2563" t="s">
        <v>358</v>
      </c>
    </row>
    <row r="2564" spans="1:37">
      <c r="A2564" t="s">
        <v>48</v>
      </c>
      <c r="B2564" t="s">
        <v>71</v>
      </c>
      <c r="C2564" t="s">
        <v>93</v>
      </c>
      <c r="D2564" t="s">
        <v>111</v>
      </c>
      <c r="E2564" t="s">
        <v>128</v>
      </c>
      <c r="F2564" t="s">
        <v>163</v>
      </c>
      <c r="G2564" t="s">
        <v>189</v>
      </c>
      <c r="H2564" t="s">
        <v>220</v>
      </c>
      <c r="I2564" t="s">
        <v>241</v>
      </c>
      <c r="J2564" t="s">
        <v>258</v>
      </c>
      <c r="K2564" t="s">
        <v>270</v>
      </c>
      <c r="AK2564" t="s">
        <v>358</v>
      </c>
    </row>
    <row r="2565" spans="1:37">
      <c r="B2565" t="s">
        <v>72</v>
      </c>
      <c r="C2565" t="s">
        <v>72</v>
      </c>
      <c r="D2565" t="s">
        <v>72</v>
      </c>
      <c r="E2565" t="s">
        <v>139</v>
      </c>
      <c r="F2565" t="s">
        <v>139</v>
      </c>
      <c r="G2565" t="s">
        <v>192</v>
      </c>
      <c r="H2565" t="s">
        <v>192</v>
      </c>
      <c r="I2565" t="s">
        <v>192</v>
      </c>
      <c r="J2565" t="s">
        <v>192</v>
      </c>
      <c r="K2565" t="s">
        <v>271</v>
      </c>
      <c r="AK2565" t="s">
        <v>358</v>
      </c>
    </row>
    <row r="2566" spans="1:37">
      <c r="A2566" t="s">
        <v>37</v>
      </c>
      <c r="B2566" t="s">
        <v>49</v>
      </c>
      <c r="C2566" t="s">
        <v>73</v>
      </c>
      <c r="D2566" t="s">
        <v>94</v>
      </c>
      <c r="E2566" t="s">
        <v>112</v>
      </c>
      <c r="F2566" t="s">
        <v>146</v>
      </c>
      <c r="G2566" t="s">
        <v>172</v>
      </c>
      <c r="H2566" t="s">
        <v>207</v>
      </c>
      <c r="I2566" t="s">
        <v>226</v>
      </c>
      <c r="J2566" t="s">
        <v>246</v>
      </c>
      <c r="K2566" t="s">
        <v>259</v>
      </c>
      <c r="AK2566" t="s">
        <v>358</v>
      </c>
    </row>
    <row r="2567" spans="1:37">
      <c r="A2567" t="s">
        <v>38</v>
      </c>
      <c r="B2567" t="s">
        <v>50</v>
      </c>
      <c r="C2567" t="s">
        <v>74</v>
      </c>
      <c r="D2567" t="s">
        <v>95</v>
      </c>
      <c r="E2567" t="s">
        <v>113</v>
      </c>
      <c r="F2567" t="s">
        <v>147</v>
      </c>
      <c r="G2567" t="s">
        <v>173</v>
      </c>
      <c r="H2567" t="s">
        <v>208</v>
      </c>
      <c r="I2567" t="s">
        <v>227</v>
      </c>
      <c r="J2567" t="s">
        <v>115</v>
      </c>
      <c r="K2567" t="s">
        <v>260</v>
      </c>
      <c r="L2567" t="s">
        <v>273</v>
      </c>
      <c r="M2567" t="s">
        <v>282</v>
      </c>
      <c r="N2567" t="s">
        <v>291</v>
      </c>
      <c r="AK2567" t="s">
        <v>358</v>
      </c>
    </row>
    <row r="2568" spans="1:37">
      <c r="B2568" t="s">
        <v>51</v>
      </c>
      <c r="C2568" t="s">
        <v>75</v>
      </c>
      <c r="D2568" t="s">
        <v>52</v>
      </c>
      <c r="E2568" t="s">
        <v>114</v>
      </c>
      <c r="F2568" t="s">
        <v>148</v>
      </c>
      <c r="G2568" t="s">
        <v>148</v>
      </c>
      <c r="H2568" t="s">
        <v>209</v>
      </c>
      <c r="I2568" t="s">
        <v>228</v>
      </c>
      <c r="J2568" t="s">
        <v>247</v>
      </c>
      <c r="K2568" t="s">
        <v>261</v>
      </c>
      <c r="L2568" t="s">
        <v>274</v>
      </c>
      <c r="M2568" t="s">
        <v>283</v>
      </c>
      <c r="N2568" t="s">
        <v>292</v>
      </c>
      <c r="O2568" t="s">
        <v>300</v>
      </c>
      <c r="AK2568" t="s">
        <v>358</v>
      </c>
    </row>
    <row r="2569" spans="1:37">
      <c r="B2569" t="s">
        <v>52</v>
      </c>
      <c r="C2569" t="s">
        <v>76</v>
      </c>
      <c r="D2569" t="s">
        <v>96</v>
      </c>
      <c r="E2569" t="s">
        <v>115</v>
      </c>
      <c r="F2569" t="s">
        <v>149</v>
      </c>
      <c r="G2569" t="s">
        <v>174</v>
      </c>
      <c r="H2569" t="s">
        <v>96</v>
      </c>
      <c r="I2569" t="s">
        <v>229</v>
      </c>
      <c r="J2569" t="s">
        <v>248</v>
      </c>
      <c r="K2569" t="s">
        <v>262</v>
      </c>
      <c r="L2569" t="s">
        <v>52</v>
      </c>
      <c r="M2569" t="s">
        <v>76</v>
      </c>
      <c r="N2569" t="s">
        <v>293</v>
      </c>
      <c r="O2569" t="s">
        <v>301</v>
      </c>
      <c r="P2569" t="s">
        <v>309</v>
      </c>
      <c r="Q2569" t="s">
        <v>315</v>
      </c>
      <c r="R2569" t="s">
        <v>228</v>
      </c>
      <c r="S2569" t="s">
        <v>328</v>
      </c>
      <c r="T2569" t="s">
        <v>149</v>
      </c>
      <c r="U2569" t="s">
        <v>337</v>
      </c>
      <c r="V2569" t="s">
        <v>341</v>
      </c>
      <c r="W2569" t="s">
        <v>345</v>
      </c>
      <c r="X2569" t="s">
        <v>350</v>
      </c>
      <c r="AK2569" t="s">
        <v>358</v>
      </c>
    </row>
    <row r="2570" spans="1:37">
      <c r="B2570" t="s">
        <v>53</v>
      </c>
      <c r="C2570" t="s">
        <v>77</v>
      </c>
      <c r="D2570" t="s">
        <v>97</v>
      </c>
      <c r="E2570" t="s">
        <v>116</v>
      </c>
      <c r="F2570" t="s">
        <v>150</v>
      </c>
      <c r="G2570" t="s">
        <v>175</v>
      </c>
      <c r="H2570" t="s">
        <v>210</v>
      </c>
      <c r="I2570" t="s">
        <v>230</v>
      </c>
      <c r="J2570" t="s">
        <v>249</v>
      </c>
      <c r="K2570" t="s">
        <v>263</v>
      </c>
      <c r="L2570" t="s">
        <v>275</v>
      </c>
      <c r="M2570" t="s">
        <v>284</v>
      </c>
      <c r="N2570" t="s">
        <v>294</v>
      </c>
      <c r="O2570" t="s">
        <v>302</v>
      </c>
      <c r="P2570" t="s">
        <v>310</v>
      </c>
      <c r="Q2570" t="s">
        <v>316</v>
      </c>
      <c r="R2570" t="s">
        <v>322</v>
      </c>
      <c r="S2570" t="s">
        <v>329</v>
      </c>
      <c r="AK2570" t="s">
        <v>358</v>
      </c>
    </row>
    <row r="2571" spans="1:37">
      <c r="A2571" t="s">
        <v>39</v>
      </c>
      <c r="B2571" t="s">
        <v>54</v>
      </c>
      <c r="C2571" t="s">
        <v>54</v>
      </c>
      <c r="D2571" t="s">
        <v>54</v>
      </c>
      <c r="E2571" t="s">
        <v>54</v>
      </c>
      <c r="F2571" t="s">
        <v>54</v>
      </c>
      <c r="G2571" t="s">
        <v>54</v>
      </c>
      <c r="H2571" t="s">
        <v>54</v>
      </c>
      <c r="I2571" t="s">
        <v>54</v>
      </c>
      <c r="J2571" t="s">
        <v>54</v>
      </c>
      <c r="K2571" t="s">
        <v>54</v>
      </c>
      <c r="L2571" t="s">
        <v>54</v>
      </c>
      <c r="M2571" t="s">
        <v>54</v>
      </c>
      <c r="N2571" t="s">
        <v>54</v>
      </c>
      <c r="O2571" t="s">
        <v>54</v>
      </c>
      <c r="P2571" t="s">
        <v>54</v>
      </c>
      <c r="Q2571" t="s">
        <v>54</v>
      </c>
      <c r="R2571" t="s">
        <v>323</v>
      </c>
      <c r="S2571" t="s">
        <v>330</v>
      </c>
      <c r="AK2571" t="s">
        <v>358</v>
      </c>
    </row>
    <row r="2572" spans="1:37">
      <c r="B2572" t="s">
        <v>55</v>
      </c>
      <c r="C2572" t="s">
        <v>78</v>
      </c>
      <c r="D2572" t="s">
        <v>55</v>
      </c>
      <c r="E2572" t="s">
        <v>78</v>
      </c>
      <c r="F2572" t="s">
        <v>55</v>
      </c>
      <c r="G2572" t="s">
        <v>78</v>
      </c>
      <c r="H2572" t="s">
        <v>55</v>
      </c>
      <c r="I2572" t="s">
        <v>78</v>
      </c>
      <c r="J2572" t="s">
        <v>55</v>
      </c>
      <c r="K2572" t="s">
        <v>78</v>
      </c>
      <c r="L2572" t="s">
        <v>55</v>
      </c>
      <c r="M2572" t="s">
        <v>78</v>
      </c>
      <c r="N2572" t="s">
        <v>55</v>
      </c>
      <c r="O2572" t="s">
        <v>78</v>
      </c>
      <c r="P2572" t="s">
        <v>55</v>
      </c>
      <c r="Q2572" t="s">
        <v>78</v>
      </c>
      <c r="R2572" t="s">
        <v>55</v>
      </c>
      <c r="S2572" t="s">
        <v>78</v>
      </c>
      <c r="T2572" t="s">
        <v>55</v>
      </c>
      <c r="U2572" t="s">
        <v>78</v>
      </c>
      <c r="V2572" t="s">
        <v>55</v>
      </c>
      <c r="W2572" t="s">
        <v>78</v>
      </c>
      <c r="X2572" t="s">
        <v>55</v>
      </c>
      <c r="Y2572" t="s">
        <v>78</v>
      </c>
      <c r="Z2572" t="s">
        <v>55</v>
      </c>
      <c r="AA2572" t="s">
        <v>78</v>
      </c>
      <c r="AB2572" t="s">
        <v>55</v>
      </c>
      <c r="AC2572" t="s">
        <v>78</v>
      </c>
      <c r="AD2572" t="s">
        <v>55</v>
      </c>
      <c r="AE2572" t="s">
        <v>78</v>
      </c>
      <c r="AF2572" t="s">
        <v>55</v>
      </c>
      <c r="AG2572" t="s">
        <v>78</v>
      </c>
      <c r="AH2572" t="s">
        <v>55</v>
      </c>
      <c r="AI2572" t="s">
        <v>78</v>
      </c>
      <c r="AK2572" t="s">
        <v>358</v>
      </c>
    </row>
    <row r="2573" spans="1:37">
      <c r="B2573" t="s">
        <v>56</v>
      </c>
      <c r="C2573" t="s">
        <v>56</v>
      </c>
      <c r="D2573" t="s">
        <v>56</v>
      </c>
      <c r="E2573" t="s">
        <v>56</v>
      </c>
      <c r="F2573" t="s">
        <v>56</v>
      </c>
      <c r="G2573" t="s">
        <v>176</v>
      </c>
      <c r="H2573" t="s">
        <v>211</v>
      </c>
      <c r="I2573" t="s">
        <v>231</v>
      </c>
      <c r="J2573" t="s">
        <v>250</v>
      </c>
      <c r="K2573" t="s">
        <v>264</v>
      </c>
      <c r="L2573" t="s">
        <v>276</v>
      </c>
      <c r="M2573" t="s">
        <v>285</v>
      </c>
      <c r="N2573" t="s">
        <v>295</v>
      </c>
      <c r="O2573" t="s">
        <v>303</v>
      </c>
      <c r="P2573" t="s">
        <v>56</v>
      </c>
      <c r="Q2573" t="s">
        <v>317</v>
      </c>
      <c r="R2573" t="s">
        <v>324</v>
      </c>
      <c r="S2573" t="s">
        <v>331</v>
      </c>
      <c r="T2573" t="s">
        <v>334</v>
      </c>
      <c r="U2573" t="s">
        <v>338</v>
      </c>
      <c r="V2573" t="s">
        <v>342</v>
      </c>
      <c r="W2573" t="s">
        <v>346</v>
      </c>
      <c r="X2573" t="s">
        <v>351</v>
      </c>
      <c r="AK2573" t="s">
        <v>358</v>
      </c>
    </row>
    <row r="2574" spans="1:37">
      <c r="B2574" t="s">
        <v>57</v>
      </c>
      <c r="C2574" t="s">
        <v>79</v>
      </c>
      <c r="D2574" t="s">
        <v>98</v>
      </c>
      <c r="E2574" t="s">
        <v>117</v>
      </c>
      <c r="F2574" t="s">
        <v>151</v>
      </c>
      <c r="G2574" t="s">
        <v>177</v>
      </c>
      <c r="H2574" t="s">
        <v>212</v>
      </c>
      <c r="I2574" t="s">
        <v>232</v>
      </c>
      <c r="J2574" t="s">
        <v>251</v>
      </c>
      <c r="K2574" t="s">
        <v>265</v>
      </c>
      <c r="L2574" t="s">
        <v>277</v>
      </c>
      <c r="M2574" t="s">
        <v>286</v>
      </c>
      <c r="N2574" t="s">
        <v>296</v>
      </c>
      <c r="O2574" t="s">
        <v>304</v>
      </c>
      <c r="P2574" t="s">
        <v>311</v>
      </c>
      <c r="Q2574" t="s">
        <v>318</v>
      </c>
      <c r="R2574" t="s">
        <v>185</v>
      </c>
      <c r="S2574" t="s">
        <v>159</v>
      </c>
      <c r="T2574" t="s">
        <v>185</v>
      </c>
      <c r="U2574" t="s">
        <v>339</v>
      </c>
      <c r="V2574" t="s">
        <v>72</v>
      </c>
      <c r="W2574" t="s">
        <v>347</v>
      </c>
      <c r="X2574" t="s">
        <v>72</v>
      </c>
      <c r="Y2574" t="s">
        <v>96</v>
      </c>
      <c r="AK2574" t="s">
        <v>358</v>
      </c>
    </row>
    <row r="2575" spans="1:37">
      <c r="B2575" t="s">
        <v>58</v>
      </c>
      <c r="C2575" t="s">
        <v>80</v>
      </c>
      <c r="D2575" t="s">
        <v>99</v>
      </c>
      <c r="E2575" t="s">
        <v>118</v>
      </c>
      <c r="F2575" t="s">
        <v>152</v>
      </c>
      <c r="G2575" t="s">
        <v>178</v>
      </c>
      <c r="H2575" t="s">
        <v>213</v>
      </c>
      <c r="I2575" t="s">
        <v>233</v>
      </c>
      <c r="J2575" t="s">
        <v>252</v>
      </c>
      <c r="K2575" t="s">
        <v>266</v>
      </c>
      <c r="L2575" t="s">
        <v>278</v>
      </c>
      <c r="M2575" t="s">
        <v>287</v>
      </c>
      <c r="N2575" t="s">
        <v>297</v>
      </c>
      <c r="O2575" t="s">
        <v>305</v>
      </c>
      <c r="P2575" t="s">
        <v>312</v>
      </c>
      <c r="Q2575" t="s">
        <v>319</v>
      </c>
      <c r="R2575">
        <f>&gt;10       ветра      3.6     18  16</f>
        <v>0</v>
      </c>
      <c r="AK2575" t="s">
        <v>358</v>
      </c>
    </row>
    <row r="2576" spans="1:37">
      <c r="A2576" t="s">
        <v>40</v>
      </c>
      <c r="B2576" t="s">
        <v>59</v>
      </c>
      <c r="C2576" t="s">
        <v>81</v>
      </c>
      <c r="D2576" t="s">
        <v>100</v>
      </c>
      <c r="E2576" t="s">
        <v>119</v>
      </c>
      <c r="F2576" t="s">
        <v>153</v>
      </c>
      <c r="G2576" t="s">
        <v>179</v>
      </c>
      <c r="H2576" t="s">
        <v>214</v>
      </c>
      <c r="I2576" t="s">
        <v>234</v>
      </c>
      <c r="AK2576" t="s">
        <v>358</v>
      </c>
    </row>
    <row r="2577" spans="1:37">
      <c r="A2577" t="s">
        <v>40</v>
      </c>
      <c r="B2577" t="s">
        <v>60</v>
      </c>
      <c r="C2577" t="s">
        <v>82</v>
      </c>
      <c r="D2577" t="s">
        <v>101</v>
      </c>
      <c r="E2577" t="s">
        <v>120</v>
      </c>
      <c r="F2577" t="s">
        <v>154</v>
      </c>
      <c r="G2577" t="s">
        <v>180</v>
      </c>
      <c r="H2577" t="s">
        <v>215</v>
      </c>
      <c r="I2577" t="s">
        <v>235</v>
      </c>
      <c r="J2577" t="s">
        <v>253</v>
      </c>
      <c r="K2577" t="s">
        <v>267</v>
      </c>
      <c r="L2577" t="s">
        <v>279</v>
      </c>
      <c r="M2577" t="s">
        <v>288</v>
      </c>
      <c r="N2577" t="s">
        <v>100</v>
      </c>
      <c r="O2577" t="s">
        <v>306</v>
      </c>
      <c r="P2577" t="s">
        <v>313</v>
      </c>
      <c r="Q2577" t="s">
        <v>320</v>
      </c>
      <c r="R2577" t="s">
        <v>325</v>
      </c>
      <c r="S2577" t="s">
        <v>332</v>
      </c>
      <c r="T2577" t="s">
        <v>119</v>
      </c>
      <c r="U2577" t="s">
        <v>234</v>
      </c>
      <c r="V2577" t="s">
        <v>343</v>
      </c>
      <c r="W2577" t="s">
        <v>348</v>
      </c>
      <c r="X2577" t="s">
        <v>352</v>
      </c>
      <c r="Y2577" t="s">
        <v>354</v>
      </c>
      <c r="AK2577" t="s">
        <v>358</v>
      </c>
    </row>
    <row r="2578" spans="1:37">
      <c r="A2578" t="s">
        <v>41</v>
      </c>
      <c r="B2578" t="s">
        <v>61</v>
      </c>
      <c r="C2578" t="s">
        <v>83</v>
      </c>
      <c r="D2578" t="s">
        <v>102</v>
      </c>
      <c r="E2578" t="s">
        <v>121</v>
      </c>
      <c r="F2578" t="s">
        <v>155</v>
      </c>
      <c r="G2578" t="s">
        <v>181</v>
      </c>
      <c r="H2578" t="s">
        <v>216</v>
      </c>
      <c r="I2578" t="s">
        <v>236</v>
      </c>
      <c r="AK2578" t="s">
        <v>358</v>
      </c>
    </row>
    <row r="2579" spans="1:37">
      <c r="A2579" t="s">
        <v>42</v>
      </c>
      <c r="B2579" t="s">
        <v>62</v>
      </c>
      <c r="C2579" t="s">
        <v>84</v>
      </c>
      <c r="D2579" t="s">
        <v>103</v>
      </c>
      <c r="E2579" t="s">
        <v>122</v>
      </c>
      <c r="F2579" t="s">
        <v>156</v>
      </c>
      <c r="G2579" t="s">
        <v>182</v>
      </c>
      <c r="H2579" t="s">
        <v>83</v>
      </c>
      <c r="I2579" t="s">
        <v>237</v>
      </c>
      <c r="J2579" t="s">
        <v>254</v>
      </c>
      <c r="K2579" t="s">
        <v>268</v>
      </c>
      <c r="L2579" t="s">
        <v>280</v>
      </c>
      <c r="M2579" t="s">
        <v>289</v>
      </c>
      <c r="N2579" t="s">
        <v>298</v>
      </c>
      <c r="O2579" t="s">
        <v>307</v>
      </c>
      <c r="P2579" t="s">
        <v>314</v>
      </c>
      <c r="Q2579" t="s">
        <v>216</v>
      </c>
      <c r="R2579" t="s">
        <v>326</v>
      </c>
      <c r="S2579" t="s">
        <v>333</v>
      </c>
      <c r="T2579" t="s">
        <v>335</v>
      </c>
      <c r="U2579" t="s">
        <v>340</v>
      </c>
      <c r="V2579" t="s">
        <v>344</v>
      </c>
      <c r="W2579" t="s">
        <v>349</v>
      </c>
      <c r="AK2579" t="s">
        <v>358</v>
      </c>
    </row>
    <row r="2580" spans="1:37">
      <c r="A2580" t="s">
        <v>43</v>
      </c>
      <c r="B2580" t="s">
        <v>63</v>
      </c>
      <c r="C2580" t="s">
        <v>85</v>
      </c>
      <c r="D2580" t="s">
        <v>104</v>
      </c>
      <c r="E2580" t="s">
        <v>123</v>
      </c>
      <c r="F2580" t="s">
        <v>157</v>
      </c>
      <c r="G2580" t="s">
        <v>183</v>
      </c>
      <c r="AK2580" t="s">
        <v>358</v>
      </c>
    </row>
    <row r="2581" spans="1:37">
      <c r="A2581" t="s">
        <v>44</v>
      </c>
      <c r="B2581" t="s">
        <v>64</v>
      </c>
      <c r="C2581" t="s">
        <v>86</v>
      </c>
      <c r="D2581" t="s">
        <v>105</v>
      </c>
      <c r="E2581" t="s">
        <v>124</v>
      </c>
      <c r="F2581" t="s">
        <v>158</v>
      </c>
      <c r="G2581" t="s">
        <v>184</v>
      </c>
      <c r="AK2581" t="s">
        <v>358</v>
      </c>
    </row>
    <row r="2582" spans="1:37">
      <c r="A2582" t="s">
        <v>45</v>
      </c>
      <c r="B2582" t="s">
        <v>65</v>
      </c>
      <c r="C2582" t="s">
        <v>87</v>
      </c>
      <c r="D2582" t="s">
        <v>106</v>
      </c>
      <c r="E2582" t="s">
        <v>125</v>
      </c>
      <c r="F2582" t="s">
        <v>159</v>
      </c>
      <c r="G2582" t="s">
        <v>185</v>
      </c>
      <c r="H2582" t="s">
        <v>159</v>
      </c>
      <c r="I2582" t="s">
        <v>185</v>
      </c>
      <c r="J2582" t="s">
        <v>255</v>
      </c>
      <c r="AK2582" t="s">
        <v>358</v>
      </c>
    </row>
    <row r="2583" spans="1:37">
      <c r="A2583" t="s">
        <v>46</v>
      </c>
      <c r="B2583" t="s">
        <v>66</v>
      </c>
      <c r="C2583" t="s">
        <v>88</v>
      </c>
      <c r="D2583" t="s">
        <v>76</v>
      </c>
      <c r="E2583" t="s">
        <v>126</v>
      </c>
      <c r="F2583" t="s">
        <v>160</v>
      </c>
      <c r="G2583" t="s">
        <v>186</v>
      </c>
      <c r="H2583" t="s">
        <v>217</v>
      </c>
      <c r="I2583" t="s">
        <v>238</v>
      </c>
      <c r="J2583" t="s">
        <v>256</v>
      </c>
      <c r="K2583" t="s">
        <v>265</v>
      </c>
      <c r="L2583" t="s">
        <v>281</v>
      </c>
      <c r="M2583" t="s">
        <v>290</v>
      </c>
      <c r="N2583" t="s">
        <v>299</v>
      </c>
      <c r="O2583" t="s">
        <v>308</v>
      </c>
      <c r="P2583" t="s">
        <v>228</v>
      </c>
      <c r="Q2583" t="s">
        <v>72</v>
      </c>
      <c r="R2583" t="s">
        <v>327</v>
      </c>
      <c r="S2583" t="s">
        <v>327</v>
      </c>
      <c r="T2583" t="s">
        <v>336</v>
      </c>
      <c r="U2583" t="s">
        <v>336</v>
      </c>
      <c r="V2583" t="s">
        <v>336</v>
      </c>
      <c r="W2583" t="s">
        <v>336</v>
      </c>
      <c r="X2583" t="s">
        <v>353</v>
      </c>
      <c r="AK2583" t="s">
        <v>358</v>
      </c>
    </row>
    <row r="2584" spans="1:37">
      <c r="B2584" t="s">
        <v>67</v>
      </c>
      <c r="C2584" t="s">
        <v>89</v>
      </c>
      <c r="D2584" t="s">
        <v>107</v>
      </c>
      <c r="AK2584" t="s">
        <v>358</v>
      </c>
    </row>
    <row r="2585" spans="1:37">
      <c r="B2585" t="s">
        <v>68</v>
      </c>
      <c r="C2585" t="s">
        <v>90</v>
      </c>
      <c r="D2585" t="s">
        <v>108</v>
      </c>
      <c r="AK2585" t="s">
        <v>358</v>
      </c>
    </row>
    <row r="2586" spans="1:37">
      <c r="A2586" t="s">
        <v>47</v>
      </c>
      <c r="B2586" t="s">
        <v>69</v>
      </c>
      <c r="C2586" t="s">
        <v>91</v>
      </c>
      <c r="D2586" t="s">
        <v>109</v>
      </c>
      <c r="E2586" t="s">
        <v>109</v>
      </c>
      <c r="F2586" t="s">
        <v>109</v>
      </c>
      <c r="G2586" t="s">
        <v>109</v>
      </c>
      <c r="H2586" t="s">
        <v>109</v>
      </c>
      <c r="I2586" t="s">
        <v>239</v>
      </c>
      <c r="AK2586" t="s">
        <v>358</v>
      </c>
    </row>
    <row r="2587" spans="1:37">
      <c r="B2587" t="s">
        <v>70</v>
      </c>
      <c r="C2587" t="s">
        <v>92</v>
      </c>
      <c r="D2587" t="s">
        <v>110</v>
      </c>
      <c r="E2587" t="s">
        <v>127</v>
      </c>
      <c r="F2587" t="s">
        <v>161</v>
      </c>
      <c r="G2587" t="s">
        <v>187</v>
      </c>
      <c r="H2587" t="s">
        <v>218</v>
      </c>
      <c r="AK2587" t="s">
        <v>358</v>
      </c>
    </row>
    <row r="2588" spans="1:37">
      <c r="B2588" t="s">
        <v>71</v>
      </c>
      <c r="C2588" t="s">
        <v>93</v>
      </c>
      <c r="D2588" t="s">
        <v>111</v>
      </c>
      <c r="E2588" t="s">
        <v>128</v>
      </c>
      <c r="F2588" t="s">
        <v>162</v>
      </c>
      <c r="G2588" t="s">
        <v>188</v>
      </c>
      <c r="H2588" t="s">
        <v>219</v>
      </c>
      <c r="I2588" t="s">
        <v>240</v>
      </c>
      <c r="J2588" t="s">
        <v>257</v>
      </c>
      <c r="K2588" t="s">
        <v>269</v>
      </c>
      <c r="L2588" t="s">
        <v>109</v>
      </c>
      <c r="M2588" t="s">
        <v>109</v>
      </c>
      <c r="N2588" t="s">
        <v>109</v>
      </c>
      <c r="O2588" t="s">
        <v>109</v>
      </c>
      <c r="P2588" t="s">
        <v>109</v>
      </c>
      <c r="Q2588" t="s">
        <v>321</v>
      </c>
      <c r="AK2588" t="s">
        <v>358</v>
      </c>
    </row>
    <row r="2589" spans="1:37">
      <c r="A2589" t="s">
        <v>48</v>
      </c>
      <c r="B2589" t="s">
        <v>71</v>
      </c>
      <c r="C2589" t="s">
        <v>93</v>
      </c>
      <c r="D2589" t="s">
        <v>111</v>
      </c>
      <c r="E2589" t="s">
        <v>128</v>
      </c>
      <c r="F2589" t="s">
        <v>163</v>
      </c>
      <c r="G2589" t="s">
        <v>189</v>
      </c>
      <c r="H2589" t="s">
        <v>220</v>
      </c>
      <c r="I2589" t="s">
        <v>241</v>
      </c>
      <c r="J2589" t="s">
        <v>258</v>
      </c>
      <c r="K2589" t="s">
        <v>270</v>
      </c>
      <c r="AK2589" t="s">
        <v>358</v>
      </c>
    </row>
    <row r="2590" spans="1:37">
      <c r="B2590" t="s">
        <v>72</v>
      </c>
      <c r="C2590" t="s">
        <v>72</v>
      </c>
      <c r="D2590" t="s">
        <v>72</v>
      </c>
      <c r="E2590" t="s">
        <v>72</v>
      </c>
      <c r="F2590" t="s">
        <v>72</v>
      </c>
      <c r="G2590" t="s">
        <v>72</v>
      </c>
      <c r="H2590" t="s">
        <v>72</v>
      </c>
      <c r="I2590" t="s">
        <v>72</v>
      </c>
      <c r="J2590" t="s">
        <v>72</v>
      </c>
      <c r="K2590" t="s">
        <v>272</v>
      </c>
      <c r="AK2590" t="s">
        <v>358</v>
      </c>
    </row>
    <row r="2591" spans="1:37">
      <c r="A2591" t="s">
        <v>37</v>
      </c>
      <c r="B2591" t="s">
        <v>49</v>
      </c>
      <c r="C2591" t="s">
        <v>73</v>
      </c>
      <c r="D2591" t="s">
        <v>94</v>
      </c>
      <c r="E2591" t="s">
        <v>112</v>
      </c>
      <c r="F2591" t="s">
        <v>146</v>
      </c>
      <c r="G2591" t="s">
        <v>172</v>
      </c>
      <c r="H2591" t="s">
        <v>207</v>
      </c>
      <c r="I2591" t="s">
        <v>226</v>
      </c>
      <c r="J2591" t="s">
        <v>246</v>
      </c>
      <c r="K2591" t="s">
        <v>259</v>
      </c>
      <c r="AK2591" t="s">
        <v>359</v>
      </c>
    </row>
    <row r="2592" spans="1:37">
      <c r="A2592" t="s">
        <v>38</v>
      </c>
      <c r="B2592" t="s">
        <v>50</v>
      </c>
      <c r="C2592" t="s">
        <v>74</v>
      </c>
      <c r="D2592" t="s">
        <v>95</v>
      </c>
      <c r="E2592" t="s">
        <v>113</v>
      </c>
      <c r="F2592" t="s">
        <v>147</v>
      </c>
      <c r="G2592" t="s">
        <v>173</v>
      </c>
      <c r="H2592" t="s">
        <v>208</v>
      </c>
      <c r="I2592" t="s">
        <v>227</v>
      </c>
      <c r="J2592" t="s">
        <v>115</v>
      </c>
      <c r="K2592" t="s">
        <v>260</v>
      </c>
      <c r="L2592" t="s">
        <v>273</v>
      </c>
      <c r="M2592" t="s">
        <v>282</v>
      </c>
      <c r="N2592" t="s">
        <v>291</v>
      </c>
      <c r="AK2592" t="s">
        <v>359</v>
      </c>
    </row>
    <row r="2593" spans="1:37">
      <c r="B2593" t="s">
        <v>51</v>
      </c>
      <c r="C2593" t="s">
        <v>75</v>
      </c>
      <c r="D2593" t="s">
        <v>52</v>
      </c>
      <c r="E2593" t="s">
        <v>114</v>
      </c>
      <c r="F2593" t="s">
        <v>148</v>
      </c>
      <c r="G2593" t="s">
        <v>148</v>
      </c>
      <c r="H2593" t="s">
        <v>209</v>
      </c>
      <c r="I2593" t="s">
        <v>228</v>
      </c>
      <c r="J2593" t="s">
        <v>247</v>
      </c>
      <c r="K2593" t="s">
        <v>261</v>
      </c>
      <c r="L2593" t="s">
        <v>274</v>
      </c>
      <c r="M2593" t="s">
        <v>283</v>
      </c>
      <c r="N2593" t="s">
        <v>292</v>
      </c>
      <c r="O2593" t="s">
        <v>300</v>
      </c>
      <c r="AK2593" t="s">
        <v>359</v>
      </c>
    </row>
    <row r="2594" spans="1:37">
      <c r="B2594" t="s">
        <v>52</v>
      </c>
      <c r="C2594" t="s">
        <v>76</v>
      </c>
      <c r="D2594" t="s">
        <v>96</v>
      </c>
      <c r="E2594" t="s">
        <v>115</v>
      </c>
      <c r="F2594" t="s">
        <v>149</v>
      </c>
      <c r="G2594" t="s">
        <v>174</v>
      </c>
      <c r="H2594" t="s">
        <v>96</v>
      </c>
      <c r="I2594" t="s">
        <v>229</v>
      </c>
      <c r="J2594" t="s">
        <v>248</v>
      </c>
      <c r="K2594" t="s">
        <v>262</v>
      </c>
      <c r="L2594" t="s">
        <v>52</v>
      </c>
      <c r="M2594" t="s">
        <v>76</v>
      </c>
      <c r="N2594" t="s">
        <v>293</v>
      </c>
      <c r="O2594" t="s">
        <v>301</v>
      </c>
      <c r="P2594" t="s">
        <v>309</v>
      </c>
      <c r="Q2594" t="s">
        <v>315</v>
      </c>
      <c r="R2594" t="s">
        <v>228</v>
      </c>
      <c r="S2594" t="s">
        <v>328</v>
      </c>
      <c r="T2594" t="s">
        <v>149</v>
      </c>
      <c r="U2594" t="s">
        <v>337</v>
      </c>
      <c r="V2594" t="s">
        <v>341</v>
      </c>
      <c r="W2594" t="s">
        <v>345</v>
      </c>
      <c r="X2594" t="s">
        <v>350</v>
      </c>
      <c r="AK2594" t="s">
        <v>359</v>
      </c>
    </row>
    <row r="2595" spans="1:37">
      <c r="B2595" t="s">
        <v>53</v>
      </c>
      <c r="C2595" t="s">
        <v>77</v>
      </c>
      <c r="D2595" t="s">
        <v>97</v>
      </c>
      <c r="E2595" t="s">
        <v>116</v>
      </c>
      <c r="F2595" t="s">
        <v>150</v>
      </c>
      <c r="G2595" t="s">
        <v>175</v>
      </c>
      <c r="H2595" t="s">
        <v>210</v>
      </c>
      <c r="I2595" t="s">
        <v>230</v>
      </c>
      <c r="J2595" t="s">
        <v>249</v>
      </c>
      <c r="K2595" t="s">
        <v>263</v>
      </c>
      <c r="L2595" t="s">
        <v>275</v>
      </c>
      <c r="M2595" t="s">
        <v>284</v>
      </c>
      <c r="N2595" t="s">
        <v>294</v>
      </c>
      <c r="O2595" t="s">
        <v>302</v>
      </c>
      <c r="P2595" t="s">
        <v>310</v>
      </c>
      <c r="Q2595" t="s">
        <v>316</v>
      </c>
      <c r="R2595" t="s">
        <v>322</v>
      </c>
      <c r="S2595" t="s">
        <v>329</v>
      </c>
      <c r="AK2595" t="s">
        <v>359</v>
      </c>
    </row>
    <row r="2596" spans="1:37">
      <c r="A2596" t="s">
        <v>39</v>
      </c>
      <c r="B2596" t="s">
        <v>54</v>
      </c>
      <c r="C2596" t="s">
        <v>54</v>
      </c>
      <c r="D2596" t="s">
        <v>54</v>
      </c>
      <c r="E2596" t="s">
        <v>54</v>
      </c>
      <c r="F2596" t="s">
        <v>54</v>
      </c>
      <c r="G2596" t="s">
        <v>54</v>
      </c>
      <c r="H2596" t="s">
        <v>54</v>
      </c>
      <c r="I2596" t="s">
        <v>54</v>
      </c>
      <c r="J2596" t="s">
        <v>54</v>
      </c>
      <c r="K2596" t="s">
        <v>54</v>
      </c>
      <c r="L2596" t="s">
        <v>54</v>
      </c>
      <c r="M2596" t="s">
        <v>54</v>
      </c>
      <c r="N2596" t="s">
        <v>54</v>
      </c>
      <c r="O2596" t="s">
        <v>54</v>
      </c>
      <c r="P2596" t="s">
        <v>54</v>
      </c>
      <c r="Q2596" t="s">
        <v>54</v>
      </c>
      <c r="R2596" t="s">
        <v>323</v>
      </c>
      <c r="S2596" t="s">
        <v>330</v>
      </c>
      <c r="AK2596" t="s">
        <v>359</v>
      </c>
    </row>
    <row r="2597" spans="1:37">
      <c r="B2597" t="s">
        <v>55</v>
      </c>
      <c r="C2597" t="s">
        <v>78</v>
      </c>
      <c r="D2597" t="s">
        <v>55</v>
      </c>
      <c r="E2597" t="s">
        <v>78</v>
      </c>
      <c r="F2597" t="s">
        <v>55</v>
      </c>
      <c r="G2597" t="s">
        <v>78</v>
      </c>
      <c r="H2597" t="s">
        <v>55</v>
      </c>
      <c r="I2597" t="s">
        <v>78</v>
      </c>
      <c r="J2597" t="s">
        <v>55</v>
      </c>
      <c r="K2597" t="s">
        <v>78</v>
      </c>
      <c r="L2597" t="s">
        <v>55</v>
      </c>
      <c r="M2597" t="s">
        <v>78</v>
      </c>
      <c r="N2597" t="s">
        <v>55</v>
      </c>
      <c r="O2597" t="s">
        <v>78</v>
      </c>
      <c r="P2597" t="s">
        <v>55</v>
      </c>
      <c r="Q2597" t="s">
        <v>78</v>
      </c>
      <c r="R2597" t="s">
        <v>55</v>
      </c>
      <c r="S2597" t="s">
        <v>78</v>
      </c>
      <c r="T2597" t="s">
        <v>55</v>
      </c>
      <c r="U2597" t="s">
        <v>78</v>
      </c>
      <c r="V2597" t="s">
        <v>55</v>
      </c>
      <c r="W2597" t="s">
        <v>78</v>
      </c>
      <c r="X2597" t="s">
        <v>55</v>
      </c>
      <c r="Y2597" t="s">
        <v>78</v>
      </c>
      <c r="Z2597" t="s">
        <v>55</v>
      </c>
      <c r="AA2597" t="s">
        <v>78</v>
      </c>
      <c r="AB2597" t="s">
        <v>55</v>
      </c>
      <c r="AC2597" t="s">
        <v>78</v>
      </c>
      <c r="AD2597" t="s">
        <v>55</v>
      </c>
      <c r="AE2597" t="s">
        <v>78</v>
      </c>
      <c r="AF2597" t="s">
        <v>55</v>
      </c>
      <c r="AG2597" t="s">
        <v>78</v>
      </c>
      <c r="AH2597" t="s">
        <v>55</v>
      </c>
      <c r="AI2597" t="s">
        <v>78</v>
      </c>
      <c r="AK2597" t="s">
        <v>359</v>
      </c>
    </row>
    <row r="2598" spans="1:37">
      <c r="B2598" t="s">
        <v>56</v>
      </c>
      <c r="C2598" t="s">
        <v>56</v>
      </c>
      <c r="D2598" t="s">
        <v>56</v>
      </c>
      <c r="E2598" t="s">
        <v>56</v>
      </c>
      <c r="F2598" t="s">
        <v>56</v>
      </c>
      <c r="G2598" t="s">
        <v>176</v>
      </c>
      <c r="H2598" t="s">
        <v>211</v>
      </c>
      <c r="I2598" t="s">
        <v>231</v>
      </c>
      <c r="J2598" t="s">
        <v>250</v>
      </c>
      <c r="K2598" t="s">
        <v>264</v>
      </c>
      <c r="L2598" t="s">
        <v>276</v>
      </c>
      <c r="M2598" t="s">
        <v>285</v>
      </c>
      <c r="N2598" t="s">
        <v>295</v>
      </c>
      <c r="O2598" t="s">
        <v>303</v>
      </c>
      <c r="P2598" t="s">
        <v>56</v>
      </c>
      <c r="Q2598" t="s">
        <v>317</v>
      </c>
      <c r="R2598" t="s">
        <v>324</v>
      </c>
      <c r="S2598" t="s">
        <v>331</v>
      </c>
      <c r="T2598" t="s">
        <v>334</v>
      </c>
      <c r="U2598" t="s">
        <v>338</v>
      </c>
      <c r="V2598" t="s">
        <v>342</v>
      </c>
      <c r="W2598" t="s">
        <v>346</v>
      </c>
      <c r="X2598" t="s">
        <v>351</v>
      </c>
      <c r="AK2598" t="s">
        <v>359</v>
      </c>
    </row>
    <row r="2599" spans="1:37">
      <c r="B2599" t="s">
        <v>57</v>
      </c>
      <c r="C2599" t="s">
        <v>79</v>
      </c>
      <c r="D2599" t="s">
        <v>98</v>
      </c>
      <c r="E2599" t="s">
        <v>117</v>
      </c>
      <c r="F2599" t="s">
        <v>151</v>
      </c>
      <c r="G2599" t="s">
        <v>177</v>
      </c>
      <c r="H2599" t="s">
        <v>212</v>
      </c>
      <c r="I2599" t="s">
        <v>232</v>
      </c>
      <c r="J2599" t="s">
        <v>251</v>
      </c>
      <c r="K2599" t="s">
        <v>265</v>
      </c>
      <c r="L2599" t="s">
        <v>277</v>
      </c>
      <c r="M2599" t="s">
        <v>286</v>
      </c>
      <c r="N2599" t="s">
        <v>296</v>
      </c>
      <c r="O2599" t="s">
        <v>304</v>
      </c>
      <c r="P2599" t="s">
        <v>311</v>
      </c>
      <c r="Q2599" t="s">
        <v>318</v>
      </c>
      <c r="R2599" t="s">
        <v>185</v>
      </c>
      <c r="S2599" t="s">
        <v>159</v>
      </c>
      <c r="T2599" t="s">
        <v>185</v>
      </c>
      <c r="U2599" t="s">
        <v>339</v>
      </c>
      <c r="V2599" t="s">
        <v>72</v>
      </c>
      <c r="W2599" t="s">
        <v>347</v>
      </c>
      <c r="X2599" t="s">
        <v>72</v>
      </c>
      <c r="Y2599" t="s">
        <v>96</v>
      </c>
      <c r="AK2599" t="s">
        <v>359</v>
      </c>
    </row>
    <row r="2600" spans="1:37">
      <c r="B2600" t="s">
        <v>58</v>
      </c>
      <c r="C2600" t="s">
        <v>80</v>
      </c>
      <c r="D2600" t="s">
        <v>99</v>
      </c>
      <c r="E2600" t="s">
        <v>118</v>
      </c>
      <c r="F2600" t="s">
        <v>152</v>
      </c>
      <c r="G2600" t="s">
        <v>178</v>
      </c>
      <c r="H2600" t="s">
        <v>213</v>
      </c>
      <c r="I2600" t="s">
        <v>233</v>
      </c>
      <c r="J2600" t="s">
        <v>252</v>
      </c>
      <c r="K2600" t="s">
        <v>266</v>
      </c>
      <c r="L2600" t="s">
        <v>278</v>
      </c>
      <c r="M2600" t="s">
        <v>287</v>
      </c>
      <c r="N2600" t="s">
        <v>297</v>
      </c>
      <c r="O2600" t="s">
        <v>305</v>
      </c>
      <c r="P2600" t="s">
        <v>312</v>
      </c>
      <c r="Q2600" t="s">
        <v>319</v>
      </c>
      <c r="R2600">
        <f>&gt;10       ветра      1.2     16  20</f>
        <v>0</v>
      </c>
      <c r="AK2600" t="s">
        <v>359</v>
      </c>
    </row>
    <row r="2601" spans="1:37">
      <c r="A2601" t="s">
        <v>40</v>
      </c>
      <c r="B2601" t="s">
        <v>59</v>
      </c>
      <c r="C2601" t="s">
        <v>81</v>
      </c>
      <c r="D2601" t="s">
        <v>100</v>
      </c>
      <c r="E2601" t="s">
        <v>119</v>
      </c>
      <c r="F2601" t="s">
        <v>153</v>
      </c>
      <c r="G2601" t="s">
        <v>179</v>
      </c>
      <c r="H2601" t="s">
        <v>214</v>
      </c>
      <c r="I2601" t="s">
        <v>234</v>
      </c>
      <c r="AK2601" t="s">
        <v>359</v>
      </c>
    </row>
    <row r="2602" spans="1:37">
      <c r="A2602" t="s">
        <v>40</v>
      </c>
      <c r="B2602" t="s">
        <v>60</v>
      </c>
      <c r="C2602" t="s">
        <v>82</v>
      </c>
      <c r="D2602" t="s">
        <v>101</v>
      </c>
      <c r="E2602" t="s">
        <v>120</v>
      </c>
      <c r="F2602" t="s">
        <v>154</v>
      </c>
      <c r="G2602" t="s">
        <v>180</v>
      </c>
      <c r="H2602" t="s">
        <v>215</v>
      </c>
      <c r="I2602" t="s">
        <v>235</v>
      </c>
      <c r="J2602" t="s">
        <v>253</v>
      </c>
      <c r="K2602" t="s">
        <v>267</v>
      </c>
      <c r="L2602" t="s">
        <v>279</v>
      </c>
      <c r="M2602" t="s">
        <v>288</v>
      </c>
      <c r="N2602" t="s">
        <v>100</v>
      </c>
      <c r="O2602" t="s">
        <v>306</v>
      </c>
      <c r="P2602" t="s">
        <v>313</v>
      </c>
      <c r="Q2602" t="s">
        <v>320</v>
      </c>
      <c r="R2602" t="s">
        <v>325</v>
      </c>
      <c r="S2602" t="s">
        <v>332</v>
      </c>
      <c r="T2602" t="s">
        <v>119</v>
      </c>
      <c r="U2602" t="s">
        <v>234</v>
      </c>
      <c r="V2602" t="s">
        <v>343</v>
      </c>
      <c r="W2602" t="s">
        <v>348</v>
      </c>
      <c r="X2602" t="s">
        <v>352</v>
      </c>
      <c r="Y2602" t="s">
        <v>354</v>
      </c>
      <c r="AK2602" t="s">
        <v>359</v>
      </c>
    </row>
    <row r="2603" spans="1:37">
      <c r="A2603" t="s">
        <v>41</v>
      </c>
      <c r="B2603" t="s">
        <v>61</v>
      </c>
      <c r="C2603" t="s">
        <v>83</v>
      </c>
      <c r="D2603" t="s">
        <v>102</v>
      </c>
      <c r="E2603" t="s">
        <v>121</v>
      </c>
      <c r="F2603" t="s">
        <v>155</v>
      </c>
      <c r="G2603" t="s">
        <v>181</v>
      </c>
      <c r="H2603" t="s">
        <v>216</v>
      </c>
      <c r="I2603" t="s">
        <v>236</v>
      </c>
      <c r="AK2603" t="s">
        <v>359</v>
      </c>
    </row>
    <row r="2604" spans="1:37">
      <c r="A2604" t="s">
        <v>42</v>
      </c>
      <c r="B2604" t="s">
        <v>62</v>
      </c>
      <c r="C2604" t="s">
        <v>84</v>
      </c>
      <c r="D2604" t="s">
        <v>103</v>
      </c>
      <c r="E2604" t="s">
        <v>122</v>
      </c>
      <c r="F2604" t="s">
        <v>156</v>
      </c>
      <c r="G2604" t="s">
        <v>182</v>
      </c>
      <c r="H2604" t="s">
        <v>83</v>
      </c>
      <c r="I2604" t="s">
        <v>237</v>
      </c>
      <c r="J2604" t="s">
        <v>254</v>
      </c>
      <c r="K2604" t="s">
        <v>268</v>
      </c>
      <c r="L2604" t="s">
        <v>280</v>
      </c>
      <c r="M2604" t="s">
        <v>289</v>
      </c>
      <c r="N2604" t="s">
        <v>298</v>
      </c>
      <c r="O2604" t="s">
        <v>307</v>
      </c>
      <c r="P2604" t="s">
        <v>314</v>
      </c>
      <c r="Q2604" t="s">
        <v>216</v>
      </c>
      <c r="R2604" t="s">
        <v>326</v>
      </c>
      <c r="S2604" t="s">
        <v>333</v>
      </c>
      <c r="T2604" t="s">
        <v>335</v>
      </c>
      <c r="U2604" t="s">
        <v>340</v>
      </c>
      <c r="V2604" t="s">
        <v>344</v>
      </c>
      <c r="W2604" t="s">
        <v>349</v>
      </c>
      <c r="AK2604" t="s">
        <v>359</v>
      </c>
    </row>
    <row r="2605" spans="1:37">
      <c r="A2605" t="s">
        <v>43</v>
      </c>
      <c r="B2605" t="s">
        <v>63</v>
      </c>
      <c r="C2605" t="s">
        <v>85</v>
      </c>
      <c r="D2605" t="s">
        <v>104</v>
      </c>
      <c r="E2605" t="s">
        <v>123</v>
      </c>
      <c r="F2605" t="s">
        <v>157</v>
      </c>
      <c r="G2605" t="s">
        <v>183</v>
      </c>
      <c r="AK2605" t="s">
        <v>359</v>
      </c>
    </row>
    <row r="2606" spans="1:37">
      <c r="A2606" t="s">
        <v>44</v>
      </c>
      <c r="B2606" t="s">
        <v>64</v>
      </c>
      <c r="C2606" t="s">
        <v>86</v>
      </c>
      <c r="D2606" t="s">
        <v>105</v>
      </c>
      <c r="E2606" t="s">
        <v>124</v>
      </c>
      <c r="F2606" t="s">
        <v>158</v>
      </c>
      <c r="G2606" t="s">
        <v>184</v>
      </c>
      <c r="AK2606" t="s">
        <v>359</v>
      </c>
    </row>
    <row r="2607" spans="1:37">
      <c r="A2607" t="s">
        <v>45</v>
      </c>
      <c r="B2607" t="s">
        <v>65</v>
      </c>
      <c r="C2607" t="s">
        <v>87</v>
      </c>
      <c r="D2607" t="s">
        <v>106</v>
      </c>
      <c r="E2607" t="s">
        <v>125</v>
      </c>
      <c r="F2607" t="s">
        <v>159</v>
      </c>
      <c r="G2607" t="s">
        <v>185</v>
      </c>
      <c r="H2607" t="s">
        <v>159</v>
      </c>
      <c r="I2607" t="s">
        <v>185</v>
      </c>
      <c r="J2607" t="s">
        <v>255</v>
      </c>
      <c r="AK2607" t="s">
        <v>359</v>
      </c>
    </row>
    <row r="2608" spans="1:37">
      <c r="A2608" t="s">
        <v>46</v>
      </c>
      <c r="B2608" t="s">
        <v>66</v>
      </c>
      <c r="C2608" t="s">
        <v>88</v>
      </c>
      <c r="D2608" t="s">
        <v>76</v>
      </c>
      <c r="E2608" t="s">
        <v>126</v>
      </c>
      <c r="F2608" t="s">
        <v>160</v>
      </c>
      <c r="G2608" t="s">
        <v>186</v>
      </c>
      <c r="H2608" t="s">
        <v>217</v>
      </c>
      <c r="I2608" t="s">
        <v>238</v>
      </c>
      <c r="J2608" t="s">
        <v>256</v>
      </c>
      <c r="K2608" t="s">
        <v>265</v>
      </c>
      <c r="L2608" t="s">
        <v>281</v>
      </c>
      <c r="M2608" t="s">
        <v>290</v>
      </c>
      <c r="N2608" t="s">
        <v>299</v>
      </c>
      <c r="O2608" t="s">
        <v>308</v>
      </c>
      <c r="P2608" t="s">
        <v>228</v>
      </c>
      <c r="Q2608" t="s">
        <v>72</v>
      </c>
      <c r="R2608" t="s">
        <v>327</v>
      </c>
      <c r="S2608" t="s">
        <v>327</v>
      </c>
      <c r="T2608" t="s">
        <v>336</v>
      </c>
      <c r="U2608" t="s">
        <v>336</v>
      </c>
      <c r="V2608" t="s">
        <v>336</v>
      </c>
      <c r="W2608" t="s">
        <v>336</v>
      </c>
      <c r="X2608" t="s">
        <v>353</v>
      </c>
      <c r="AK2608" t="s">
        <v>359</v>
      </c>
    </row>
    <row r="2609" spans="1:37">
      <c r="B2609" t="s">
        <v>67</v>
      </c>
      <c r="C2609" t="s">
        <v>89</v>
      </c>
      <c r="D2609" t="s">
        <v>107</v>
      </c>
      <c r="AK2609" t="s">
        <v>359</v>
      </c>
    </row>
    <row r="2610" spans="1:37">
      <c r="B2610" t="s">
        <v>68</v>
      </c>
      <c r="C2610" t="s">
        <v>90</v>
      </c>
      <c r="D2610" t="s">
        <v>108</v>
      </c>
      <c r="AK2610" t="s">
        <v>359</v>
      </c>
    </row>
    <row r="2611" spans="1:37">
      <c r="A2611" t="s">
        <v>47</v>
      </c>
      <c r="B2611" t="s">
        <v>69</v>
      </c>
      <c r="C2611" t="s">
        <v>91</v>
      </c>
      <c r="D2611" t="s">
        <v>109</v>
      </c>
      <c r="E2611" t="s">
        <v>109</v>
      </c>
      <c r="F2611" t="s">
        <v>109</v>
      </c>
      <c r="G2611" t="s">
        <v>109</v>
      </c>
      <c r="H2611" t="s">
        <v>109</v>
      </c>
      <c r="I2611" t="s">
        <v>239</v>
      </c>
      <c r="AK2611" t="s">
        <v>359</v>
      </c>
    </row>
    <row r="2612" spans="1:37">
      <c r="B2612" t="s">
        <v>70</v>
      </c>
      <c r="C2612" t="s">
        <v>92</v>
      </c>
      <c r="D2612" t="s">
        <v>110</v>
      </c>
      <c r="E2612" t="s">
        <v>127</v>
      </c>
      <c r="F2612" t="s">
        <v>161</v>
      </c>
      <c r="G2612" t="s">
        <v>187</v>
      </c>
      <c r="H2612" t="s">
        <v>218</v>
      </c>
      <c r="AK2612" t="s">
        <v>359</v>
      </c>
    </row>
    <row r="2613" spans="1:37">
      <c r="B2613" t="s">
        <v>71</v>
      </c>
      <c r="C2613" t="s">
        <v>93</v>
      </c>
      <c r="D2613" t="s">
        <v>111</v>
      </c>
      <c r="E2613" t="s">
        <v>128</v>
      </c>
      <c r="F2613" t="s">
        <v>162</v>
      </c>
      <c r="G2613" t="s">
        <v>188</v>
      </c>
      <c r="H2613" t="s">
        <v>219</v>
      </c>
      <c r="I2613" t="s">
        <v>240</v>
      </c>
      <c r="J2613" t="s">
        <v>257</v>
      </c>
      <c r="K2613" t="s">
        <v>269</v>
      </c>
      <c r="L2613" t="s">
        <v>109</v>
      </c>
      <c r="M2613" t="s">
        <v>109</v>
      </c>
      <c r="N2613" t="s">
        <v>109</v>
      </c>
      <c r="O2613" t="s">
        <v>109</v>
      </c>
      <c r="P2613" t="s">
        <v>109</v>
      </c>
      <c r="Q2613" t="s">
        <v>321</v>
      </c>
      <c r="AK2613" t="s">
        <v>359</v>
      </c>
    </row>
    <row r="2614" spans="1:37">
      <c r="A2614" t="s">
        <v>48</v>
      </c>
      <c r="B2614" t="s">
        <v>71</v>
      </c>
      <c r="C2614" t="s">
        <v>93</v>
      </c>
      <c r="D2614" t="s">
        <v>111</v>
      </c>
      <c r="E2614" t="s">
        <v>128</v>
      </c>
      <c r="F2614" t="s">
        <v>163</v>
      </c>
      <c r="G2614" t="s">
        <v>189</v>
      </c>
      <c r="H2614" t="s">
        <v>220</v>
      </c>
      <c r="I2614" t="s">
        <v>241</v>
      </c>
      <c r="J2614" t="s">
        <v>258</v>
      </c>
      <c r="K2614" t="s">
        <v>270</v>
      </c>
      <c r="AK2614" t="s">
        <v>359</v>
      </c>
    </row>
    <row r="2615" spans="1:37">
      <c r="B2615" t="s">
        <v>72</v>
      </c>
      <c r="C2615" t="s">
        <v>72</v>
      </c>
      <c r="D2615" t="s">
        <v>72</v>
      </c>
      <c r="E2615" t="s">
        <v>72</v>
      </c>
      <c r="F2615" t="s">
        <v>72</v>
      </c>
      <c r="G2615" t="s">
        <v>72</v>
      </c>
      <c r="H2615" t="s">
        <v>72</v>
      </c>
      <c r="I2615" t="s">
        <v>72</v>
      </c>
      <c r="J2615" t="s">
        <v>72</v>
      </c>
      <c r="K2615" t="s">
        <v>272</v>
      </c>
      <c r="AK2615" t="s">
        <v>359</v>
      </c>
    </row>
    <row r="2616" spans="1:37">
      <c r="A2616" t="s">
        <v>37</v>
      </c>
      <c r="B2616" t="s">
        <v>49</v>
      </c>
      <c r="C2616" t="s">
        <v>73</v>
      </c>
      <c r="D2616" t="s">
        <v>94</v>
      </c>
      <c r="E2616" t="s">
        <v>112</v>
      </c>
      <c r="F2616" t="s">
        <v>146</v>
      </c>
      <c r="G2616" t="s">
        <v>172</v>
      </c>
      <c r="H2616" t="s">
        <v>207</v>
      </c>
      <c r="I2616" t="s">
        <v>226</v>
      </c>
      <c r="J2616" t="s">
        <v>246</v>
      </c>
      <c r="K2616" t="s">
        <v>259</v>
      </c>
      <c r="AK2616" t="s">
        <v>359</v>
      </c>
    </row>
    <row r="2617" spans="1:37">
      <c r="A2617" t="s">
        <v>38</v>
      </c>
      <c r="B2617" t="s">
        <v>50</v>
      </c>
      <c r="C2617" t="s">
        <v>74</v>
      </c>
      <c r="D2617" t="s">
        <v>95</v>
      </c>
      <c r="E2617" t="s">
        <v>113</v>
      </c>
      <c r="F2617" t="s">
        <v>147</v>
      </c>
      <c r="G2617" t="s">
        <v>173</v>
      </c>
      <c r="H2617" t="s">
        <v>208</v>
      </c>
      <c r="I2617" t="s">
        <v>227</v>
      </c>
      <c r="J2617" t="s">
        <v>115</v>
      </c>
      <c r="K2617" t="s">
        <v>260</v>
      </c>
      <c r="L2617" t="s">
        <v>273</v>
      </c>
      <c r="M2617" t="s">
        <v>282</v>
      </c>
      <c r="N2617" t="s">
        <v>291</v>
      </c>
      <c r="AK2617" t="s">
        <v>359</v>
      </c>
    </row>
    <row r="2618" spans="1:37">
      <c r="B2618" t="s">
        <v>51</v>
      </c>
      <c r="C2618" t="s">
        <v>75</v>
      </c>
      <c r="D2618" t="s">
        <v>52</v>
      </c>
      <c r="E2618" t="s">
        <v>114</v>
      </c>
      <c r="F2618" t="s">
        <v>148</v>
      </c>
      <c r="G2618" t="s">
        <v>148</v>
      </c>
      <c r="H2618" t="s">
        <v>209</v>
      </c>
      <c r="I2618" t="s">
        <v>228</v>
      </c>
      <c r="J2618" t="s">
        <v>247</v>
      </c>
      <c r="K2618" t="s">
        <v>261</v>
      </c>
      <c r="L2618" t="s">
        <v>274</v>
      </c>
      <c r="M2618" t="s">
        <v>283</v>
      </c>
      <c r="N2618" t="s">
        <v>292</v>
      </c>
      <c r="O2618" t="s">
        <v>300</v>
      </c>
      <c r="AK2618" t="s">
        <v>359</v>
      </c>
    </row>
    <row r="2619" spans="1:37">
      <c r="B2619" t="s">
        <v>52</v>
      </c>
      <c r="C2619" t="s">
        <v>76</v>
      </c>
      <c r="D2619" t="s">
        <v>96</v>
      </c>
      <c r="E2619" t="s">
        <v>115</v>
      </c>
      <c r="F2619" t="s">
        <v>149</v>
      </c>
      <c r="G2619" t="s">
        <v>174</v>
      </c>
      <c r="H2619" t="s">
        <v>96</v>
      </c>
      <c r="I2619" t="s">
        <v>229</v>
      </c>
      <c r="J2619" t="s">
        <v>248</v>
      </c>
      <c r="K2619" t="s">
        <v>262</v>
      </c>
      <c r="L2619" t="s">
        <v>52</v>
      </c>
      <c r="M2619" t="s">
        <v>76</v>
      </c>
      <c r="N2619" t="s">
        <v>293</v>
      </c>
      <c r="O2619" t="s">
        <v>301</v>
      </c>
      <c r="P2619" t="s">
        <v>309</v>
      </c>
      <c r="Q2619" t="s">
        <v>315</v>
      </c>
      <c r="R2619" t="s">
        <v>228</v>
      </c>
      <c r="S2619" t="s">
        <v>328</v>
      </c>
      <c r="T2619" t="s">
        <v>149</v>
      </c>
      <c r="U2619" t="s">
        <v>337</v>
      </c>
      <c r="V2619" t="s">
        <v>341</v>
      </c>
      <c r="W2619" t="s">
        <v>345</v>
      </c>
      <c r="X2619" t="s">
        <v>350</v>
      </c>
      <c r="AK2619" t="s">
        <v>359</v>
      </c>
    </row>
    <row r="2620" spans="1:37">
      <c r="B2620" t="s">
        <v>53</v>
      </c>
      <c r="C2620" t="s">
        <v>77</v>
      </c>
      <c r="D2620" t="s">
        <v>97</v>
      </c>
      <c r="E2620" t="s">
        <v>116</v>
      </c>
      <c r="F2620" t="s">
        <v>150</v>
      </c>
      <c r="G2620" t="s">
        <v>175</v>
      </c>
      <c r="H2620" t="s">
        <v>210</v>
      </c>
      <c r="I2620" t="s">
        <v>230</v>
      </c>
      <c r="J2620" t="s">
        <v>249</v>
      </c>
      <c r="K2620" t="s">
        <v>263</v>
      </c>
      <c r="L2620" t="s">
        <v>275</v>
      </c>
      <c r="M2620" t="s">
        <v>284</v>
      </c>
      <c r="N2620" t="s">
        <v>294</v>
      </c>
      <c r="O2620" t="s">
        <v>302</v>
      </c>
      <c r="P2620" t="s">
        <v>310</v>
      </c>
      <c r="Q2620" t="s">
        <v>316</v>
      </c>
      <c r="R2620" t="s">
        <v>322</v>
      </c>
      <c r="S2620" t="s">
        <v>329</v>
      </c>
      <c r="AK2620" t="s">
        <v>359</v>
      </c>
    </row>
    <row r="2621" spans="1:37">
      <c r="A2621" t="s">
        <v>39</v>
      </c>
      <c r="B2621" t="s">
        <v>54</v>
      </c>
      <c r="C2621" t="s">
        <v>54</v>
      </c>
      <c r="D2621" t="s">
        <v>54</v>
      </c>
      <c r="E2621" t="s">
        <v>54</v>
      </c>
      <c r="F2621" t="s">
        <v>54</v>
      </c>
      <c r="G2621" t="s">
        <v>54</v>
      </c>
      <c r="H2621" t="s">
        <v>54</v>
      </c>
      <c r="I2621" t="s">
        <v>54</v>
      </c>
      <c r="J2621" t="s">
        <v>54</v>
      </c>
      <c r="K2621" t="s">
        <v>54</v>
      </c>
      <c r="L2621" t="s">
        <v>54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323</v>
      </c>
      <c r="S2621" t="s">
        <v>330</v>
      </c>
      <c r="AK2621" t="s">
        <v>359</v>
      </c>
    </row>
    <row r="2622" spans="1:37">
      <c r="B2622" t="s">
        <v>55</v>
      </c>
      <c r="C2622" t="s">
        <v>78</v>
      </c>
      <c r="D2622" t="s">
        <v>55</v>
      </c>
      <c r="E2622" t="s">
        <v>78</v>
      </c>
      <c r="F2622" t="s">
        <v>55</v>
      </c>
      <c r="G2622" t="s">
        <v>78</v>
      </c>
      <c r="H2622" t="s">
        <v>55</v>
      </c>
      <c r="I2622" t="s">
        <v>78</v>
      </c>
      <c r="J2622" t="s">
        <v>55</v>
      </c>
      <c r="K2622" t="s">
        <v>78</v>
      </c>
      <c r="L2622" t="s">
        <v>55</v>
      </c>
      <c r="M2622" t="s">
        <v>78</v>
      </c>
      <c r="N2622" t="s">
        <v>55</v>
      </c>
      <c r="O2622" t="s">
        <v>78</v>
      </c>
      <c r="P2622" t="s">
        <v>55</v>
      </c>
      <c r="Q2622" t="s">
        <v>78</v>
      </c>
      <c r="R2622" t="s">
        <v>55</v>
      </c>
      <c r="S2622" t="s">
        <v>78</v>
      </c>
      <c r="T2622" t="s">
        <v>55</v>
      </c>
      <c r="U2622" t="s">
        <v>78</v>
      </c>
      <c r="V2622" t="s">
        <v>55</v>
      </c>
      <c r="W2622" t="s">
        <v>78</v>
      </c>
      <c r="X2622" t="s">
        <v>55</v>
      </c>
      <c r="Y2622" t="s">
        <v>78</v>
      </c>
      <c r="Z2622" t="s">
        <v>55</v>
      </c>
      <c r="AA2622" t="s">
        <v>78</v>
      </c>
      <c r="AB2622" t="s">
        <v>55</v>
      </c>
      <c r="AC2622" t="s">
        <v>78</v>
      </c>
      <c r="AD2622" t="s">
        <v>55</v>
      </c>
      <c r="AE2622" t="s">
        <v>78</v>
      </c>
      <c r="AF2622" t="s">
        <v>55</v>
      </c>
      <c r="AG2622" t="s">
        <v>78</v>
      </c>
      <c r="AH2622" t="s">
        <v>55</v>
      </c>
      <c r="AI2622" t="s">
        <v>78</v>
      </c>
      <c r="AK2622" t="s">
        <v>359</v>
      </c>
    </row>
    <row r="2623" spans="1:37">
      <c r="B2623" t="s">
        <v>56</v>
      </c>
      <c r="C2623" t="s">
        <v>56</v>
      </c>
      <c r="D2623" t="s">
        <v>56</v>
      </c>
      <c r="E2623" t="s">
        <v>56</v>
      </c>
      <c r="F2623" t="s">
        <v>56</v>
      </c>
      <c r="G2623" t="s">
        <v>176</v>
      </c>
      <c r="H2623" t="s">
        <v>211</v>
      </c>
      <c r="I2623" t="s">
        <v>231</v>
      </c>
      <c r="J2623" t="s">
        <v>250</v>
      </c>
      <c r="K2623" t="s">
        <v>264</v>
      </c>
      <c r="L2623" t="s">
        <v>276</v>
      </c>
      <c r="M2623" t="s">
        <v>285</v>
      </c>
      <c r="N2623" t="s">
        <v>295</v>
      </c>
      <c r="O2623" t="s">
        <v>303</v>
      </c>
      <c r="P2623" t="s">
        <v>56</v>
      </c>
      <c r="Q2623" t="s">
        <v>317</v>
      </c>
      <c r="R2623" t="s">
        <v>324</v>
      </c>
      <c r="S2623" t="s">
        <v>331</v>
      </c>
      <c r="T2623" t="s">
        <v>334</v>
      </c>
      <c r="U2623" t="s">
        <v>338</v>
      </c>
      <c r="V2623" t="s">
        <v>342</v>
      </c>
      <c r="W2623" t="s">
        <v>346</v>
      </c>
      <c r="X2623" t="s">
        <v>351</v>
      </c>
      <c r="AK2623" t="s">
        <v>359</v>
      </c>
    </row>
    <row r="2624" spans="1:37">
      <c r="B2624" t="s">
        <v>57</v>
      </c>
      <c r="C2624" t="s">
        <v>79</v>
      </c>
      <c r="D2624" t="s">
        <v>98</v>
      </c>
      <c r="E2624" t="s">
        <v>117</v>
      </c>
      <c r="F2624" t="s">
        <v>151</v>
      </c>
      <c r="G2624" t="s">
        <v>177</v>
      </c>
      <c r="H2624" t="s">
        <v>212</v>
      </c>
      <c r="I2624" t="s">
        <v>232</v>
      </c>
      <c r="J2624" t="s">
        <v>251</v>
      </c>
      <c r="K2624" t="s">
        <v>265</v>
      </c>
      <c r="L2624" t="s">
        <v>277</v>
      </c>
      <c r="M2624" t="s">
        <v>286</v>
      </c>
      <c r="N2624" t="s">
        <v>296</v>
      </c>
      <c r="O2624" t="s">
        <v>304</v>
      </c>
      <c r="P2624" t="s">
        <v>311</v>
      </c>
      <c r="Q2624" t="s">
        <v>318</v>
      </c>
      <c r="R2624" t="s">
        <v>185</v>
      </c>
      <c r="S2624" t="s">
        <v>159</v>
      </c>
      <c r="T2624" t="s">
        <v>185</v>
      </c>
      <c r="U2624" t="s">
        <v>339</v>
      </c>
      <c r="V2624" t="s">
        <v>72</v>
      </c>
      <c r="W2624" t="s">
        <v>347</v>
      </c>
      <c r="X2624" t="s">
        <v>72</v>
      </c>
      <c r="Y2624" t="s">
        <v>96</v>
      </c>
      <c r="AK2624" t="s">
        <v>359</v>
      </c>
    </row>
    <row r="2625" spans="1:37">
      <c r="B2625" t="s">
        <v>58</v>
      </c>
      <c r="C2625" t="s">
        <v>80</v>
      </c>
      <c r="D2625" t="s">
        <v>99</v>
      </c>
      <c r="E2625" t="s">
        <v>118</v>
      </c>
      <c r="F2625" t="s">
        <v>152</v>
      </c>
      <c r="G2625" t="s">
        <v>178</v>
      </c>
      <c r="H2625" t="s">
        <v>213</v>
      </c>
      <c r="I2625" t="s">
        <v>233</v>
      </c>
      <c r="J2625" t="s">
        <v>252</v>
      </c>
      <c r="K2625" t="s">
        <v>266</v>
      </c>
      <c r="L2625" t="s">
        <v>278</v>
      </c>
      <c r="M2625" t="s">
        <v>287</v>
      </c>
      <c r="N2625" t="s">
        <v>297</v>
      </c>
      <c r="O2625" t="s">
        <v>305</v>
      </c>
      <c r="P2625" t="s">
        <v>312</v>
      </c>
      <c r="Q2625" t="s">
        <v>319</v>
      </c>
      <c r="R2625">
        <f>&gt;10       ветра      2.8     18  19</f>
        <v>0</v>
      </c>
      <c r="AK2625" t="s">
        <v>359</v>
      </c>
    </row>
    <row r="2626" spans="1:37">
      <c r="A2626" t="s">
        <v>40</v>
      </c>
      <c r="B2626" t="s">
        <v>59</v>
      </c>
      <c r="C2626" t="s">
        <v>81</v>
      </c>
      <c r="D2626" t="s">
        <v>100</v>
      </c>
      <c r="E2626" t="s">
        <v>119</v>
      </c>
      <c r="F2626" t="s">
        <v>153</v>
      </c>
      <c r="G2626" t="s">
        <v>179</v>
      </c>
      <c r="H2626" t="s">
        <v>214</v>
      </c>
      <c r="I2626" t="s">
        <v>234</v>
      </c>
      <c r="AK2626" t="s">
        <v>359</v>
      </c>
    </row>
    <row r="2627" spans="1:37">
      <c r="A2627" t="s">
        <v>40</v>
      </c>
      <c r="B2627" t="s">
        <v>60</v>
      </c>
      <c r="C2627" t="s">
        <v>82</v>
      </c>
      <c r="D2627" t="s">
        <v>101</v>
      </c>
      <c r="E2627" t="s">
        <v>120</v>
      </c>
      <c r="F2627" t="s">
        <v>154</v>
      </c>
      <c r="G2627" t="s">
        <v>180</v>
      </c>
      <c r="H2627" t="s">
        <v>215</v>
      </c>
      <c r="I2627" t="s">
        <v>235</v>
      </c>
      <c r="J2627" t="s">
        <v>253</v>
      </c>
      <c r="K2627" t="s">
        <v>267</v>
      </c>
      <c r="L2627" t="s">
        <v>279</v>
      </c>
      <c r="M2627" t="s">
        <v>288</v>
      </c>
      <c r="N2627" t="s">
        <v>100</v>
      </c>
      <c r="O2627" t="s">
        <v>306</v>
      </c>
      <c r="P2627" t="s">
        <v>313</v>
      </c>
      <c r="Q2627" t="s">
        <v>320</v>
      </c>
      <c r="R2627" t="s">
        <v>325</v>
      </c>
      <c r="S2627" t="s">
        <v>332</v>
      </c>
      <c r="T2627" t="s">
        <v>119</v>
      </c>
      <c r="U2627" t="s">
        <v>234</v>
      </c>
      <c r="V2627" t="s">
        <v>343</v>
      </c>
      <c r="W2627" t="s">
        <v>348</v>
      </c>
      <c r="X2627" t="s">
        <v>352</v>
      </c>
      <c r="Y2627" t="s">
        <v>354</v>
      </c>
      <c r="AK2627" t="s">
        <v>359</v>
      </c>
    </row>
    <row r="2628" spans="1:37">
      <c r="A2628" t="s">
        <v>41</v>
      </c>
      <c r="B2628" t="s">
        <v>61</v>
      </c>
      <c r="C2628" t="s">
        <v>83</v>
      </c>
      <c r="D2628" t="s">
        <v>102</v>
      </c>
      <c r="E2628" t="s">
        <v>121</v>
      </c>
      <c r="F2628" t="s">
        <v>155</v>
      </c>
      <c r="G2628" t="s">
        <v>181</v>
      </c>
      <c r="H2628" t="s">
        <v>216</v>
      </c>
      <c r="I2628" t="s">
        <v>236</v>
      </c>
      <c r="AK2628" t="s">
        <v>359</v>
      </c>
    </row>
    <row r="2629" spans="1:37">
      <c r="A2629" t="s">
        <v>42</v>
      </c>
      <c r="B2629" t="s">
        <v>62</v>
      </c>
      <c r="C2629" t="s">
        <v>84</v>
      </c>
      <c r="D2629" t="s">
        <v>103</v>
      </c>
      <c r="E2629" t="s">
        <v>122</v>
      </c>
      <c r="F2629" t="s">
        <v>156</v>
      </c>
      <c r="G2629" t="s">
        <v>182</v>
      </c>
      <c r="H2629" t="s">
        <v>83</v>
      </c>
      <c r="I2629" t="s">
        <v>237</v>
      </c>
      <c r="J2629" t="s">
        <v>254</v>
      </c>
      <c r="K2629" t="s">
        <v>268</v>
      </c>
      <c r="L2629" t="s">
        <v>280</v>
      </c>
      <c r="M2629" t="s">
        <v>289</v>
      </c>
      <c r="N2629" t="s">
        <v>298</v>
      </c>
      <c r="O2629" t="s">
        <v>307</v>
      </c>
      <c r="P2629" t="s">
        <v>314</v>
      </c>
      <c r="Q2629" t="s">
        <v>216</v>
      </c>
      <c r="R2629" t="s">
        <v>326</v>
      </c>
      <c r="S2629" t="s">
        <v>333</v>
      </c>
      <c r="T2629" t="s">
        <v>335</v>
      </c>
      <c r="U2629" t="s">
        <v>340</v>
      </c>
      <c r="V2629" t="s">
        <v>344</v>
      </c>
      <c r="W2629" t="s">
        <v>349</v>
      </c>
      <c r="AK2629" t="s">
        <v>359</v>
      </c>
    </row>
    <row r="2630" spans="1:37">
      <c r="A2630" t="s">
        <v>43</v>
      </c>
      <c r="B2630" t="s">
        <v>63</v>
      </c>
      <c r="C2630" t="s">
        <v>85</v>
      </c>
      <c r="D2630" t="s">
        <v>104</v>
      </c>
      <c r="E2630" t="s">
        <v>123</v>
      </c>
      <c r="F2630" t="s">
        <v>157</v>
      </c>
      <c r="G2630" t="s">
        <v>183</v>
      </c>
      <c r="AK2630" t="s">
        <v>359</v>
      </c>
    </row>
    <row r="2631" spans="1:37">
      <c r="A2631" t="s">
        <v>44</v>
      </c>
      <c r="B2631" t="s">
        <v>64</v>
      </c>
      <c r="C2631" t="s">
        <v>86</v>
      </c>
      <c r="D2631" t="s">
        <v>105</v>
      </c>
      <c r="E2631" t="s">
        <v>124</v>
      </c>
      <c r="F2631" t="s">
        <v>158</v>
      </c>
      <c r="G2631" t="s">
        <v>184</v>
      </c>
      <c r="AK2631" t="s">
        <v>359</v>
      </c>
    </row>
    <row r="2632" spans="1:37">
      <c r="A2632" t="s">
        <v>45</v>
      </c>
      <c r="B2632" t="s">
        <v>65</v>
      </c>
      <c r="C2632" t="s">
        <v>87</v>
      </c>
      <c r="D2632" t="s">
        <v>106</v>
      </c>
      <c r="E2632" t="s">
        <v>125</v>
      </c>
      <c r="F2632" t="s">
        <v>159</v>
      </c>
      <c r="G2632" t="s">
        <v>185</v>
      </c>
      <c r="H2632" t="s">
        <v>159</v>
      </c>
      <c r="I2632" t="s">
        <v>185</v>
      </c>
      <c r="J2632" t="s">
        <v>255</v>
      </c>
      <c r="AK2632" t="s">
        <v>359</v>
      </c>
    </row>
    <row r="2633" spans="1:37">
      <c r="A2633" t="s">
        <v>46</v>
      </c>
      <c r="B2633" t="s">
        <v>66</v>
      </c>
      <c r="C2633" t="s">
        <v>88</v>
      </c>
      <c r="D2633" t="s">
        <v>76</v>
      </c>
      <c r="E2633" t="s">
        <v>126</v>
      </c>
      <c r="F2633" t="s">
        <v>160</v>
      </c>
      <c r="G2633" t="s">
        <v>186</v>
      </c>
      <c r="H2633" t="s">
        <v>217</v>
      </c>
      <c r="I2633" t="s">
        <v>238</v>
      </c>
      <c r="J2633" t="s">
        <v>256</v>
      </c>
      <c r="K2633" t="s">
        <v>265</v>
      </c>
      <c r="L2633" t="s">
        <v>281</v>
      </c>
      <c r="M2633" t="s">
        <v>290</v>
      </c>
      <c r="N2633" t="s">
        <v>299</v>
      </c>
      <c r="O2633" t="s">
        <v>308</v>
      </c>
      <c r="P2633" t="s">
        <v>228</v>
      </c>
      <c r="Q2633" t="s">
        <v>72</v>
      </c>
      <c r="R2633" t="s">
        <v>327</v>
      </c>
      <c r="S2633" t="s">
        <v>327</v>
      </c>
      <c r="T2633" t="s">
        <v>336</v>
      </c>
      <c r="U2633" t="s">
        <v>336</v>
      </c>
      <c r="V2633" t="s">
        <v>336</v>
      </c>
      <c r="W2633" t="s">
        <v>336</v>
      </c>
      <c r="X2633" t="s">
        <v>353</v>
      </c>
      <c r="AK2633" t="s">
        <v>359</v>
      </c>
    </row>
    <row r="2634" spans="1:37">
      <c r="B2634" t="s">
        <v>67</v>
      </c>
      <c r="C2634" t="s">
        <v>89</v>
      </c>
      <c r="D2634" t="s">
        <v>107</v>
      </c>
      <c r="AK2634" t="s">
        <v>359</v>
      </c>
    </row>
    <row r="2635" spans="1:37">
      <c r="B2635" t="s">
        <v>68</v>
      </c>
      <c r="C2635" t="s">
        <v>90</v>
      </c>
      <c r="D2635" t="s">
        <v>108</v>
      </c>
      <c r="AK2635" t="s">
        <v>359</v>
      </c>
    </row>
    <row r="2636" spans="1:37">
      <c r="A2636" t="s">
        <v>47</v>
      </c>
      <c r="B2636" t="s">
        <v>69</v>
      </c>
      <c r="C2636" t="s">
        <v>91</v>
      </c>
      <c r="D2636" t="s">
        <v>109</v>
      </c>
      <c r="E2636" t="s">
        <v>109</v>
      </c>
      <c r="F2636" t="s">
        <v>109</v>
      </c>
      <c r="G2636" t="s">
        <v>109</v>
      </c>
      <c r="H2636" t="s">
        <v>109</v>
      </c>
      <c r="I2636" t="s">
        <v>239</v>
      </c>
      <c r="AK2636" t="s">
        <v>359</v>
      </c>
    </row>
    <row r="2637" spans="1:37">
      <c r="B2637" t="s">
        <v>70</v>
      </c>
      <c r="C2637" t="s">
        <v>92</v>
      </c>
      <c r="D2637" t="s">
        <v>110</v>
      </c>
      <c r="E2637" t="s">
        <v>127</v>
      </c>
      <c r="F2637" t="s">
        <v>161</v>
      </c>
      <c r="G2637" t="s">
        <v>187</v>
      </c>
      <c r="H2637" t="s">
        <v>218</v>
      </c>
      <c r="AK2637" t="s">
        <v>359</v>
      </c>
    </row>
    <row r="2638" spans="1:37">
      <c r="B2638" t="s">
        <v>71</v>
      </c>
      <c r="C2638" t="s">
        <v>93</v>
      </c>
      <c r="D2638" t="s">
        <v>111</v>
      </c>
      <c r="E2638" t="s">
        <v>128</v>
      </c>
      <c r="F2638" t="s">
        <v>162</v>
      </c>
      <c r="G2638" t="s">
        <v>188</v>
      </c>
      <c r="H2638" t="s">
        <v>219</v>
      </c>
      <c r="I2638" t="s">
        <v>240</v>
      </c>
      <c r="J2638" t="s">
        <v>257</v>
      </c>
      <c r="K2638" t="s">
        <v>269</v>
      </c>
      <c r="L2638" t="s">
        <v>109</v>
      </c>
      <c r="M2638" t="s">
        <v>109</v>
      </c>
      <c r="N2638" t="s">
        <v>109</v>
      </c>
      <c r="O2638" t="s">
        <v>109</v>
      </c>
      <c r="P2638" t="s">
        <v>109</v>
      </c>
      <c r="Q2638" t="s">
        <v>321</v>
      </c>
      <c r="AK2638" t="s">
        <v>359</v>
      </c>
    </row>
    <row r="2639" spans="1:37">
      <c r="A2639" t="s">
        <v>48</v>
      </c>
      <c r="B2639" t="s">
        <v>71</v>
      </c>
      <c r="C2639" t="s">
        <v>93</v>
      </c>
      <c r="D2639" t="s">
        <v>111</v>
      </c>
      <c r="E2639" t="s">
        <v>128</v>
      </c>
      <c r="F2639" t="s">
        <v>163</v>
      </c>
      <c r="G2639" t="s">
        <v>189</v>
      </c>
      <c r="H2639" t="s">
        <v>220</v>
      </c>
      <c r="I2639" t="s">
        <v>241</v>
      </c>
      <c r="J2639" t="s">
        <v>258</v>
      </c>
      <c r="K2639" t="s">
        <v>270</v>
      </c>
      <c r="AK2639" t="s">
        <v>359</v>
      </c>
    </row>
    <row r="2640" spans="1:37">
      <c r="B2640" t="s">
        <v>72</v>
      </c>
      <c r="C2640" t="s">
        <v>72</v>
      </c>
      <c r="D2640" t="s">
        <v>72</v>
      </c>
      <c r="E2640" t="s">
        <v>139</v>
      </c>
      <c r="F2640" t="s">
        <v>139</v>
      </c>
      <c r="G2640" t="s">
        <v>192</v>
      </c>
      <c r="H2640" t="s">
        <v>192</v>
      </c>
      <c r="I2640" t="s">
        <v>192</v>
      </c>
      <c r="J2640" t="s">
        <v>192</v>
      </c>
      <c r="K2640" t="s">
        <v>271</v>
      </c>
      <c r="AK2640" t="s">
        <v>359</v>
      </c>
    </row>
    <row r="2641" spans="1:37">
      <c r="A2641" t="s">
        <v>37</v>
      </c>
      <c r="B2641" t="s">
        <v>49</v>
      </c>
      <c r="C2641" t="s">
        <v>73</v>
      </c>
      <c r="D2641" t="s">
        <v>94</v>
      </c>
      <c r="E2641" t="s">
        <v>112</v>
      </c>
      <c r="F2641" t="s">
        <v>146</v>
      </c>
      <c r="G2641" t="s">
        <v>172</v>
      </c>
      <c r="H2641" t="s">
        <v>207</v>
      </c>
      <c r="I2641" t="s">
        <v>226</v>
      </c>
      <c r="J2641" t="s">
        <v>246</v>
      </c>
      <c r="K2641" t="s">
        <v>259</v>
      </c>
      <c r="AK2641" t="s">
        <v>359</v>
      </c>
    </row>
    <row r="2642" spans="1:37">
      <c r="A2642" t="s">
        <v>38</v>
      </c>
      <c r="B2642" t="s">
        <v>50</v>
      </c>
      <c r="C2642" t="s">
        <v>74</v>
      </c>
      <c r="D2642" t="s">
        <v>95</v>
      </c>
      <c r="E2642" t="s">
        <v>113</v>
      </c>
      <c r="F2642" t="s">
        <v>147</v>
      </c>
      <c r="G2642" t="s">
        <v>173</v>
      </c>
      <c r="H2642" t="s">
        <v>208</v>
      </c>
      <c r="I2642" t="s">
        <v>227</v>
      </c>
      <c r="J2642" t="s">
        <v>115</v>
      </c>
      <c r="K2642" t="s">
        <v>260</v>
      </c>
      <c r="L2642" t="s">
        <v>273</v>
      </c>
      <c r="M2642" t="s">
        <v>282</v>
      </c>
      <c r="N2642" t="s">
        <v>291</v>
      </c>
      <c r="AK2642" t="s">
        <v>359</v>
      </c>
    </row>
    <row r="2643" spans="1:37">
      <c r="B2643" t="s">
        <v>51</v>
      </c>
      <c r="C2643" t="s">
        <v>75</v>
      </c>
      <c r="D2643" t="s">
        <v>52</v>
      </c>
      <c r="E2643" t="s">
        <v>114</v>
      </c>
      <c r="F2643" t="s">
        <v>148</v>
      </c>
      <c r="G2643" t="s">
        <v>148</v>
      </c>
      <c r="H2643" t="s">
        <v>209</v>
      </c>
      <c r="I2643" t="s">
        <v>228</v>
      </c>
      <c r="J2643" t="s">
        <v>247</v>
      </c>
      <c r="K2643" t="s">
        <v>261</v>
      </c>
      <c r="L2643" t="s">
        <v>274</v>
      </c>
      <c r="M2643" t="s">
        <v>283</v>
      </c>
      <c r="N2643" t="s">
        <v>292</v>
      </c>
      <c r="O2643" t="s">
        <v>300</v>
      </c>
      <c r="AK2643" t="s">
        <v>359</v>
      </c>
    </row>
    <row r="2644" spans="1:37">
      <c r="B2644" t="s">
        <v>52</v>
      </c>
      <c r="C2644" t="s">
        <v>76</v>
      </c>
      <c r="D2644" t="s">
        <v>96</v>
      </c>
      <c r="E2644" t="s">
        <v>115</v>
      </c>
      <c r="F2644" t="s">
        <v>149</v>
      </c>
      <c r="G2644" t="s">
        <v>174</v>
      </c>
      <c r="H2644" t="s">
        <v>96</v>
      </c>
      <c r="I2644" t="s">
        <v>229</v>
      </c>
      <c r="J2644" t="s">
        <v>248</v>
      </c>
      <c r="K2644" t="s">
        <v>262</v>
      </c>
      <c r="L2644" t="s">
        <v>52</v>
      </c>
      <c r="M2644" t="s">
        <v>76</v>
      </c>
      <c r="N2644" t="s">
        <v>293</v>
      </c>
      <c r="O2644" t="s">
        <v>301</v>
      </c>
      <c r="P2644" t="s">
        <v>309</v>
      </c>
      <c r="Q2644" t="s">
        <v>315</v>
      </c>
      <c r="R2644" t="s">
        <v>228</v>
      </c>
      <c r="S2644" t="s">
        <v>328</v>
      </c>
      <c r="T2644" t="s">
        <v>149</v>
      </c>
      <c r="U2644" t="s">
        <v>337</v>
      </c>
      <c r="V2644" t="s">
        <v>341</v>
      </c>
      <c r="W2644" t="s">
        <v>345</v>
      </c>
      <c r="X2644" t="s">
        <v>350</v>
      </c>
      <c r="AK2644" t="s">
        <v>359</v>
      </c>
    </row>
    <row r="2645" spans="1:37">
      <c r="B2645" t="s">
        <v>53</v>
      </c>
      <c r="C2645" t="s">
        <v>77</v>
      </c>
      <c r="D2645" t="s">
        <v>97</v>
      </c>
      <c r="E2645" t="s">
        <v>116</v>
      </c>
      <c r="F2645" t="s">
        <v>150</v>
      </c>
      <c r="G2645" t="s">
        <v>175</v>
      </c>
      <c r="H2645" t="s">
        <v>210</v>
      </c>
      <c r="I2645" t="s">
        <v>230</v>
      </c>
      <c r="J2645" t="s">
        <v>249</v>
      </c>
      <c r="K2645" t="s">
        <v>263</v>
      </c>
      <c r="L2645" t="s">
        <v>275</v>
      </c>
      <c r="M2645" t="s">
        <v>284</v>
      </c>
      <c r="N2645" t="s">
        <v>294</v>
      </c>
      <c r="O2645" t="s">
        <v>302</v>
      </c>
      <c r="P2645" t="s">
        <v>310</v>
      </c>
      <c r="Q2645" t="s">
        <v>316</v>
      </c>
      <c r="R2645" t="s">
        <v>322</v>
      </c>
      <c r="S2645" t="s">
        <v>329</v>
      </c>
      <c r="AK2645" t="s">
        <v>359</v>
      </c>
    </row>
    <row r="2646" spans="1:37">
      <c r="A2646" t="s">
        <v>39</v>
      </c>
      <c r="B2646" t="s">
        <v>54</v>
      </c>
      <c r="C2646" t="s">
        <v>54</v>
      </c>
      <c r="D2646" t="s">
        <v>54</v>
      </c>
      <c r="E2646" t="s">
        <v>54</v>
      </c>
      <c r="F2646" t="s">
        <v>54</v>
      </c>
      <c r="G2646" t="s">
        <v>54</v>
      </c>
      <c r="H2646" t="s">
        <v>54</v>
      </c>
      <c r="I2646" t="s">
        <v>54</v>
      </c>
      <c r="J2646" t="s">
        <v>54</v>
      </c>
      <c r="K2646" t="s">
        <v>54</v>
      </c>
      <c r="L2646" t="s">
        <v>54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323</v>
      </c>
      <c r="S2646" t="s">
        <v>330</v>
      </c>
      <c r="AK2646" t="s">
        <v>359</v>
      </c>
    </row>
    <row r="2647" spans="1:37">
      <c r="B2647" t="s">
        <v>55</v>
      </c>
      <c r="C2647" t="s">
        <v>78</v>
      </c>
      <c r="D2647" t="s">
        <v>55</v>
      </c>
      <c r="E2647" t="s">
        <v>78</v>
      </c>
      <c r="F2647" t="s">
        <v>55</v>
      </c>
      <c r="G2647" t="s">
        <v>78</v>
      </c>
      <c r="H2647" t="s">
        <v>55</v>
      </c>
      <c r="I2647" t="s">
        <v>78</v>
      </c>
      <c r="J2647" t="s">
        <v>55</v>
      </c>
      <c r="K2647" t="s">
        <v>78</v>
      </c>
      <c r="L2647" t="s">
        <v>55</v>
      </c>
      <c r="M2647" t="s">
        <v>78</v>
      </c>
      <c r="N2647" t="s">
        <v>55</v>
      </c>
      <c r="O2647" t="s">
        <v>78</v>
      </c>
      <c r="P2647" t="s">
        <v>55</v>
      </c>
      <c r="Q2647" t="s">
        <v>78</v>
      </c>
      <c r="R2647" t="s">
        <v>55</v>
      </c>
      <c r="S2647" t="s">
        <v>78</v>
      </c>
      <c r="T2647" t="s">
        <v>55</v>
      </c>
      <c r="U2647" t="s">
        <v>78</v>
      </c>
      <c r="V2647" t="s">
        <v>55</v>
      </c>
      <c r="W2647" t="s">
        <v>78</v>
      </c>
      <c r="X2647" t="s">
        <v>55</v>
      </c>
      <c r="Y2647" t="s">
        <v>78</v>
      </c>
      <c r="Z2647" t="s">
        <v>55</v>
      </c>
      <c r="AA2647" t="s">
        <v>78</v>
      </c>
      <c r="AB2647" t="s">
        <v>55</v>
      </c>
      <c r="AC2647" t="s">
        <v>78</v>
      </c>
      <c r="AD2647" t="s">
        <v>55</v>
      </c>
      <c r="AE2647" t="s">
        <v>78</v>
      </c>
      <c r="AF2647" t="s">
        <v>55</v>
      </c>
      <c r="AG2647" t="s">
        <v>78</v>
      </c>
      <c r="AH2647" t="s">
        <v>55</v>
      </c>
      <c r="AI2647" t="s">
        <v>78</v>
      </c>
      <c r="AK2647" t="s">
        <v>359</v>
      </c>
    </row>
    <row r="2648" spans="1:37">
      <c r="B2648" t="s">
        <v>56</v>
      </c>
      <c r="C2648" t="s">
        <v>56</v>
      </c>
      <c r="D2648" t="s">
        <v>56</v>
      </c>
      <c r="E2648" t="s">
        <v>56</v>
      </c>
      <c r="F2648" t="s">
        <v>56</v>
      </c>
      <c r="G2648" t="s">
        <v>176</v>
      </c>
      <c r="H2648" t="s">
        <v>211</v>
      </c>
      <c r="I2648" t="s">
        <v>231</v>
      </c>
      <c r="J2648" t="s">
        <v>250</v>
      </c>
      <c r="K2648" t="s">
        <v>264</v>
      </c>
      <c r="L2648" t="s">
        <v>276</v>
      </c>
      <c r="M2648" t="s">
        <v>285</v>
      </c>
      <c r="N2648" t="s">
        <v>295</v>
      </c>
      <c r="O2648" t="s">
        <v>303</v>
      </c>
      <c r="P2648" t="s">
        <v>56</v>
      </c>
      <c r="Q2648" t="s">
        <v>317</v>
      </c>
      <c r="R2648" t="s">
        <v>324</v>
      </c>
      <c r="S2648" t="s">
        <v>331</v>
      </c>
      <c r="T2648" t="s">
        <v>334</v>
      </c>
      <c r="U2648" t="s">
        <v>338</v>
      </c>
      <c r="V2648" t="s">
        <v>342</v>
      </c>
      <c r="W2648" t="s">
        <v>346</v>
      </c>
      <c r="X2648" t="s">
        <v>351</v>
      </c>
      <c r="AK2648" t="s">
        <v>359</v>
      </c>
    </row>
    <row r="2649" spans="1:37">
      <c r="B2649" t="s">
        <v>57</v>
      </c>
      <c r="C2649" t="s">
        <v>79</v>
      </c>
      <c r="D2649" t="s">
        <v>98</v>
      </c>
      <c r="E2649" t="s">
        <v>117</v>
      </c>
      <c r="F2649" t="s">
        <v>151</v>
      </c>
      <c r="G2649" t="s">
        <v>177</v>
      </c>
      <c r="H2649" t="s">
        <v>212</v>
      </c>
      <c r="I2649" t="s">
        <v>232</v>
      </c>
      <c r="J2649" t="s">
        <v>251</v>
      </c>
      <c r="K2649" t="s">
        <v>265</v>
      </c>
      <c r="L2649" t="s">
        <v>277</v>
      </c>
      <c r="M2649" t="s">
        <v>286</v>
      </c>
      <c r="N2649" t="s">
        <v>296</v>
      </c>
      <c r="O2649" t="s">
        <v>304</v>
      </c>
      <c r="P2649" t="s">
        <v>311</v>
      </c>
      <c r="Q2649" t="s">
        <v>318</v>
      </c>
      <c r="R2649" t="s">
        <v>185</v>
      </c>
      <c r="S2649" t="s">
        <v>159</v>
      </c>
      <c r="T2649" t="s">
        <v>185</v>
      </c>
      <c r="U2649" t="s">
        <v>339</v>
      </c>
      <c r="V2649" t="s">
        <v>72</v>
      </c>
      <c r="W2649" t="s">
        <v>347</v>
      </c>
      <c r="X2649" t="s">
        <v>72</v>
      </c>
      <c r="Y2649" t="s">
        <v>96</v>
      </c>
      <c r="AK2649" t="s">
        <v>359</v>
      </c>
    </row>
    <row r="2650" spans="1:37">
      <c r="B2650" t="s">
        <v>58</v>
      </c>
      <c r="C2650" t="s">
        <v>80</v>
      </c>
      <c r="D2650" t="s">
        <v>99</v>
      </c>
      <c r="E2650" t="s">
        <v>118</v>
      </c>
      <c r="F2650" t="s">
        <v>152</v>
      </c>
      <c r="G2650" t="s">
        <v>178</v>
      </c>
      <c r="H2650" t="s">
        <v>213</v>
      </c>
      <c r="I2650" t="s">
        <v>233</v>
      </c>
      <c r="J2650" t="s">
        <v>252</v>
      </c>
      <c r="K2650" t="s">
        <v>266</v>
      </c>
      <c r="L2650" t="s">
        <v>278</v>
      </c>
      <c r="M2650" t="s">
        <v>287</v>
      </c>
      <c r="N2650" t="s">
        <v>297</v>
      </c>
      <c r="O2650" t="s">
        <v>305</v>
      </c>
      <c r="P2650" t="s">
        <v>312</v>
      </c>
      <c r="Q2650" t="s">
        <v>319</v>
      </c>
      <c r="R2650">
        <f>&gt;10       ветра      2.1     20   4</f>
        <v>0</v>
      </c>
      <c r="AK2650" t="s">
        <v>359</v>
      </c>
    </row>
    <row r="2651" spans="1:37">
      <c r="A2651" t="s">
        <v>40</v>
      </c>
      <c r="B2651" t="s">
        <v>59</v>
      </c>
      <c r="C2651" t="s">
        <v>81</v>
      </c>
      <c r="D2651" t="s">
        <v>100</v>
      </c>
      <c r="E2651" t="s">
        <v>119</v>
      </c>
      <c r="F2651" t="s">
        <v>153</v>
      </c>
      <c r="G2651" t="s">
        <v>179</v>
      </c>
      <c r="H2651" t="s">
        <v>214</v>
      </c>
      <c r="I2651" t="s">
        <v>234</v>
      </c>
      <c r="AK2651" t="s">
        <v>359</v>
      </c>
    </row>
    <row r="2652" spans="1:37">
      <c r="A2652" t="s">
        <v>40</v>
      </c>
      <c r="B2652" t="s">
        <v>60</v>
      </c>
      <c r="C2652" t="s">
        <v>82</v>
      </c>
      <c r="D2652" t="s">
        <v>101</v>
      </c>
      <c r="E2652" t="s">
        <v>120</v>
      </c>
      <c r="F2652" t="s">
        <v>154</v>
      </c>
      <c r="G2652" t="s">
        <v>180</v>
      </c>
      <c r="H2652" t="s">
        <v>215</v>
      </c>
      <c r="I2652" t="s">
        <v>235</v>
      </c>
      <c r="J2652" t="s">
        <v>253</v>
      </c>
      <c r="K2652" t="s">
        <v>267</v>
      </c>
      <c r="L2652" t="s">
        <v>279</v>
      </c>
      <c r="M2652" t="s">
        <v>288</v>
      </c>
      <c r="N2652" t="s">
        <v>100</v>
      </c>
      <c r="O2652" t="s">
        <v>306</v>
      </c>
      <c r="P2652" t="s">
        <v>313</v>
      </c>
      <c r="Q2652" t="s">
        <v>320</v>
      </c>
      <c r="R2652" t="s">
        <v>325</v>
      </c>
      <c r="S2652" t="s">
        <v>332</v>
      </c>
      <c r="T2652" t="s">
        <v>119</v>
      </c>
      <c r="U2652" t="s">
        <v>234</v>
      </c>
      <c r="V2652" t="s">
        <v>343</v>
      </c>
      <c r="W2652" t="s">
        <v>348</v>
      </c>
      <c r="X2652" t="s">
        <v>352</v>
      </c>
      <c r="Y2652" t="s">
        <v>354</v>
      </c>
      <c r="AK2652" t="s">
        <v>359</v>
      </c>
    </row>
    <row r="2653" spans="1:37">
      <c r="A2653" t="s">
        <v>41</v>
      </c>
      <c r="B2653" t="s">
        <v>61</v>
      </c>
      <c r="C2653" t="s">
        <v>83</v>
      </c>
      <c r="D2653" t="s">
        <v>102</v>
      </c>
      <c r="E2653" t="s">
        <v>121</v>
      </c>
      <c r="F2653" t="s">
        <v>155</v>
      </c>
      <c r="G2653" t="s">
        <v>181</v>
      </c>
      <c r="H2653" t="s">
        <v>216</v>
      </c>
      <c r="I2653" t="s">
        <v>236</v>
      </c>
      <c r="AK2653" t="s">
        <v>359</v>
      </c>
    </row>
    <row r="2654" spans="1:37">
      <c r="A2654" t="s">
        <v>42</v>
      </c>
      <c r="B2654" t="s">
        <v>62</v>
      </c>
      <c r="C2654" t="s">
        <v>84</v>
      </c>
      <c r="D2654" t="s">
        <v>103</v>
      </c>
      <c r="E2654" t="s">
        <v>122</v>
      </c>
      <c r="F2654" t="s">
        <v>156</v>
      </c>
      <c r="G2654" t="s">
        <v>182</v>
      </c>
      <c r="H2654" t="s">
        <v>83</v>
      </c>
      <c r="I2654" t="s">
        <v>237</v>
      </c>
      <c r="J2654" t="s">
        <v>254</v>
      </c>
      <c r="K2654" t="s">
        <v>268</v>
      </c>
      <c r="L2654" t="s">
        <v>280</v>
      </c>
      <c r="M2654" t="s">
        <v>289</v>
      </c>
      <c r="N2654" t="s">
        <v>298</v>
      </c>
      <c r="O2654" t="s">
        <v>307</v>
      </c>
      <c r="P2654" t="s">
        <v>314</v>
      </c>
      <c r="Q2654" t="s">
        <v>216</v>
      </c>
      <c r="R2654" t="s">
        <v>326</v>
      </c>
      <c r="S2654" t="s">
        <v>333</v>
      </c>
      <c r="T2654" t="s">
        <v>335</v>
      </c>
      <c r="U2654" t="s">
        <v>340</v>
      </c>
      <c r="V2654" t="s">
        <v>344</v>
      </c>
      <c r="W2654" t="s">
        <v>349</v>
      </c>
      <c r="AK2654" t="s">
        <v>359</v>
      </c>
    </row>
    <row r="2655" spans="1:37">
      <c r="A2655" t="s">
        <v>43</v>
      </c>
      <c r="B2655" t="s">
        <v>63</v>
      </c>
      <c r="C2655" t="s">
        <v>85</v>
      </c>
      <c r="D2655" t="s">
        <v>104</v>
      </c>
      <c r="E2655" t="s">
        <v>123</v>
      </c>
      <c r="F2655" t="s">
        <v>157</v>
      </c>
      <c r="G2655" t="s">
        <v>183</v>
      </c>
      <c r="AK2655" t="s">
        <v>359</v>
      </c>
    </row>
    <row r="2656" spans="1:37">
      <c r="A2656" t="s">
        <v>44</v>
      </c>
      <c r="B2656" t="s">
        <v>64</v>
      </c>
      <c r="C2656" t="s">
        <v>86</v>
      </c>
      <c r="D2656" t="s">
        <v>105</v>
      </c>
      <c r="E2656" t="s">
        <v>124</v>
      </c>
      <c r="F2656" t="s">
        <v>158</v>
      </c>
      <c r="G2656" t="s">
        <v>184</v>
      </c>
      <c r="AK2656" t="s">
        <v>359</v>
      </c>
    </row>
    <row r="2657" spans="1:37">
      <c r="A2657" t="s">
        <v>45</v>
      </c>
      <c r="B2657" t="s">
        <v>65</v>
      </c>
      <c r="C2657" t="s">
        <v>87</v>
      </c>
      <c r="D2657" t="s">
        <v>106</v>
      </c>
      <c r="E2657" t="s">
        <v>125</v>
      </c>
      <c r="F2657" t="s">
        <v>159</v>
      </c>
      <c r="G2657" t="s">
        <v>185</v>
      </c>
      <c r="H2657" t="s">
        <v>159</v>
      </c>
      <c r="I2657" t="s">
        <v>185</v>
      </c>
      <c r="J2657" t="s">
        <v>255</v>
      </c>
      <c r="AK2657" t="s">
        <v>359</v>
      </c>
    </row>
    <row r="2658" spans="1:37">
      <c r="A2658" t="s">
        <v>46</v>
      </c>
      <c r="B2658" t="s">
        <v>66</v>
      </c>
      <c r="C2658" t="s">
        <v>88</v>
      </c>
      <c r="D2658" t="s">
        <v>76</v>
      </c>
      <c r="E2658" t="s">
        <v>126</v>
      </c>
      <c r="F2658" t="s">
        <v>160</v>
      </c>
      <c r="G2658" t="s">
        <v>186</v>
      </c>
      <c r="H2658" t="s">
        <v>217</v>
      </c>
      <c r="I2658" t="s">
        <v>238</v>
      </c>
      <c r="J2658" t="s">
        <v>256</v>
      </c>
      <c r="K2658" t="s">
        <v>265</v>
      </c>
      <c r="L2658" t="s">
        <v>281</v>
      </c>
      <c r="M2658" t="s">
        <v>290</v>
      </c>
      <c r="N2658" t="s">
        <v>299</v>
      </c>
      <c r="O2658" t="s">
        <v>308</v>
      </c>
      <c r="P2658" t="s">
        <v>228</v>
      </c>
      <c r="Q2658" t="s">
        <v>72</v>
      </c>
      <c r="R2658" t="s">
        <v>327</v>
      </c>
      <c r="S2658" t="s">
        <v>327</v>
      </c>
      <c r="T2658" t="s">
        <v>336</v>
      </c>
      <c r="U2658" t="s">
        <v>336</v>
      </c>
      <c r="V2658" t="s">
        <v>336</v>
      </c>
      <c r="W2658" t="s">
        <v>336</v>
      </c>
      <c r="X2658" t="s">
        <v>353</v>
      </c>
      <c r="AK2658" t="s">
        <v>359</v>
      </c>
    </row>
    <row r="2659" spans="1:37">
      <c r="B2659" t="s">
        <v>67</v>
      </c>
      <c r="C2659" t="s">
        <v>89</v>
      </c>
      <c r="D2659" t="s">
        <v>107</v>
      </c>
      <c r="AK2659" t="s">
        <v>359</v>
      </c>
    </row>
    <row r="2660" spans="1:37">
      <c r="B2660" t="s">
        <v>68</v>
      </c>
      <c r="C2660" t="s">
        <v>90</v>
      </c>
      <c r="D2660" t="s">
        <v>108</v>
      </c>
      <c r="AK2660" t="s">
        <v>359</v>
      </c>
    </row>
    <row r="2661" spans="1:37">
      <c r="A2661" t="s">
        <v>47</v>
      </c>
      <c r="B2661" t="s">
        <v>69</v>
      </c>
      <c r="C2661" t="s">
        <v>91</v>
      </c>
      <c r="D2661" t="s">
        <v>109</v>
      </c>
      <c r="E2661" t="s">
        <v>109</v>
      </c>
      <c r="F2661" t="s">
        <v>109</v>
      </c>
      <c r="G2661" t="s">
        <v>109</v>
      </c>
      <c r="H2661" t="s">
        <v>109</v>
      </c>
      <c r="I2661" t="s">
        <v>239</v>
      </c>
      <c r="AK2661" t="s">
        <v>359</v>
      </c>
    </row>
    <row r="2662" spans="1:37">
      <c r="B2662" t="s">
        <v>70</v>
      </c>
      <c r="C2662" t="s">
        <v>92</v>
      </c>
      <c r="D2662" t="s">
        <v>110</v>
      </c>
      <c r="E2662" t="s">
        <v>127</v>
      </c>
      <c r="F2662" t="s">
        <v>161</v>
      </c>
      <c r="G2662" t="s">
        <v>187</v>
      </c>
      <c r="H2662" t="s">
        <v>218</v>
      </c>
      <c r="AK2662" t="s">
        <v>359</v>
      </c>
    </row>
    <row r="2663" spans="1:37">
      <c r="B2663" t="s">
        <v>71</v>
      </c>
      <c r="C2663" t="s">
        <v>93</v>
      </c>
      <c r="D2663" t="s">
        <v>111</v>
      </c>
      <c r="E2663" t="s">
        <v>128</v>
      </c>
      <c r="F2663" t="s">
        <v>162</v>
      </c>
      <c r="G2663" t="s">
        <v>188</v>
      </c>
      <c r="H2663" t="s">
        <v>219</v>
      </c>
      <c r="I2663" t="s">
        <v>240</v>
      </c>
      <c r="J2663" t="s">
        <v>257</v>
      </c>
      <c r="K2663" t="s">
        <v>269</v>
      </c>
      <c r="L2663" t="s">
        <v>109</v>
      </c>
      <c r="M2663" t="s">
        <v>109</v>
      </c>
      <c r="N2663" t="s">
        <v>109</v>
      </c>
      <c r="O2663" t="s">
        <v>109</v>
      </c>
      <c r="P2663" t="s">
        <v>109</v>
      </c>
      <c r="Q2663" t="s">
        <v>321</v>
      </c>
      <c r="AK2663" t="s">
        <v>359</v>
      </c>
    </row>
    <row r="2664" spans="1:37">
      <c r="A2664" t="s">
        <v>48</v>
      </c>
      <c r="B2664" t="s">
        <v>71</v>
      </c>
      <c r="C2664" t="s">
        <v>93</v>
      </c>
      <c r="D2664" t="s">
        <v>111</v>
      </c>
      <c r="E2664" t="s">
        <v>128</v>
      </c>
      <c r="F2664" t="s">
        <v>163</v>
      </c>
      <c r="G2664" t="s">
        <v>189</v>
      </c>
      <c r="H2664" t="s">
        <v>220</v>
      </c>
      <c r="I2664" t="s">
        <v>241</v>
      </c>
      <c r="J2664" t="s">
        <v>258</v>
      </c>
      <c r="K2664" t="s">
        <v>270</v>
      </c>
      <c r="AK2664" t="s">
        <v>359</v>
      </c>
    </row>
    <row r="2665" spans="1:37">
      <c r="B2665" t="s">
        <v>72</v>
      </c>
      <c r="C2665" t="s">
        <v>72</v>
      </c>
      <c r="D2665" t="s">
        <v>72</v>
      </c>
      <c r="E2665" t="s">
        <v>72</v>
      </c>
      <c r="F2665" t="s">
        <v>72</v>
      </c>
      <c r="G2665" t="s">
        <v>72</v>
      </c>
      <c r="H2665" t="s">
        <v>72</v>
      </c>
      <c r="I2665" t="s">
        <v>72</v>
      </c>
      <c r="J2665" t="s">
        <v>72</v>
      </c>
      <c r="K2665" t="s">
        <v>272</v>
      </c>
      <c r="AK2665" t="s">
        <v>359</v>
      </c>
    </row>
    <row r="2666" spans="1:37">
      <c r="A2666" t="s">
        <v>37</v>
      </c>
      <c r="B2666" t="s">
        <v>49</v>
      </c>
      <c r="C2666" t="s">
        <v>73</v>
      </c>
      <c r="D2666" t="s">
        <v>94</v>
      </c>
      <c r="E2666" t="s">
        <v>112</v>
      </c>
      <c r="F2666" t="s">
        <v>146</v>
      </c>
      <c r="G2666" t="s">
        <v>172</v>
      </c>
      <c r="H2666" t="s">
        <v>207</v>
      </c>
      <c r="I2666" t="s">
        <v>226</v>
      </c>
      <c r="J2666" t="s">
        <v>246</v>
      </c>
      <c r="K2666" t="s">
        <v>259</v>
      </c>
      <c r="AK2666" t="s">
        <v>359</v>
      </c>
    </row>
    <row r="2667" spans="1:37">
      <c r="A2667" t="s">
        <v>38</v>
      </c>
      <c r="B2667" t="s">
        <v>50</v>
      </c>
      <c r="C2667" t="s">
        <v>74</v>
      </c>
      <c r="D2667" t="s">
        <v>95</v>
      </c>
      <c r="E2667" t="s">
        <v>113</v>
      </c>
      <c r="F2667" t="s">
        <v>147</v>
      </c>
      <c r="G2667" t="s">
        <v>173</v>
      </c>
      <c r="H2667" t="s">
        <v>208</v>
      </c>
      <c r="I2667" t="s">
        <v>227</v>
      </c>
      <c r="J2667" t="s">
        <v>115</v>
      </c>
      <c r="K2667" t="s">
        <v>260</v>
      </c>
      <c r="L2667" t="s">
        <v>273</v>
      </c>
      <c r="M2667" t="s">
        <v>282</v>
      </c>
      <c r="N2667" t="s">
        <v>291</v>
      </c>
      <c r="AK2667" t="s">
        <v>359</v>
      </c>
    </row>
    <row r="2668" spans="1:37">
      <c r="B2668" t="s">
        <v>51</v>
      </c>
      <c r="C2668" t="s">
        <v>75</v>
      </c>
      <c r="D2668" t="s">
        <v>52</v>
      </c>
      <c r="E2668" t="s">
        <v>114</v>
      </c>
      <c r="F2668" t="s">
        <v>148</v>
      </c>
      <c r="G2668" t="s">
        <v>148</v>
      </c>
      <c r="H2668" t="s">
        <v>209</v>
      </c>
      <c r="I2668" t="s">
        <v>228</v>
      </c>
      <c r="J2668" t="s">
        <v>247</v>
      </c>
      <c r="K2668" t="s">
        <v>261</v>
      </c>
      <c r="L2668" t="s">
        <v>274</v>
      </c>
      <c r="M2668" t="s">
        <v>283</v>
      </c>
      <c r="N2668" t="s">
        <v>292</v>
      </c>
      <c r="O2668" t="s">
        <v>300</v>
      </c>
      <c r="AK2668" t="s">
        <v>359</v>
      </c>
    </row>
    <row r="2669" spans="1:37">
      <c r="B2669" t="s">
        <v>52</v>
      </c>
      <c r="C2669" t="s">
        <v>76</v>
      </c>
      <c r="D2669" t="s">
        <v>96</v>
      </c>
      <c r="E2669" t="s">
        <v>115</v>
      </c>
      <c r="F2669" t="s">
        <v>149</v>
      </c>
      <c r="G2669" t="s">
        <v>174</v>
      </c>
      <c r="H2669" t="s">
        <v>96</v>
      </c>
      <c r="I2669" t="s">
        <v>229</v>
      </c>
      <c r="J2669" t="s">
        <v>248</v>
      </c>
      <c r="K2669" t="s">
        <v>262</v>
      </c>
      <c r="L2669" t="s">
        <v>52</v>
      </c>
      <c r="M2669" t="s">
        <v>76</v>
      </c>
      <c r="N2669" t="s">
        <v>293</v>
      </c>
      <c r="O2669" t="s">
        <v>301</v>
      </c>
      <c r="P2669" t="s">
        <v>309</v>
      </c>
      <c r="Q2669" t="s">
        <v>315</v>
      </c>
      <c r="R2669" t="s">
        <v>228</v>
      </c>
      <c r="S2669" t="s">
        <v>328</v>
      </c>
      <c r="T2669" t="s">
        <v>149</v>
      </c>
      <c r="U2669" t="s">
        <v>337</v>
      </c>
      <c r="V2669" t="s">
        <v>341</v>
      </c>
      <c r="W2669" t="s">
        <v>345</v>
      </c>
      <c r="X2669" t="s">
        <v>350</v>
      </c>
      <c r="AK2669" t="s">
        <v>359</v>
      </c>
    </row>
    <row r="2670" spans="1:37">
      <c r="B2670" t="s">
        <v>53</v>
      </c>
      <c r="C2670" t="s">
        <v>77</v>
      </c>
      <c r="D2670" t="s">
        <v>97</v>
      </c>
      <c r="E2670" t="s">
        <v>116</v>
      </c>
      <c r="F2670" t="s">
        <v>150</v>
      </c>
      <c r="G2670" t="s">
        <v>175</v>
      </c>
      <c r="H2670" t="s">
        <v>210</v>
      </c>
      <c r="I2670" t="s">
        <v>230</v>
      </c>
      <c r="J2670" t="s">
        <v>249</v>
      </c>
      <c r="K2670" t="s">
        <v>263</v>
      </c>
      <c r="L2670" t="s">
        <v>275</v>
      </c>
      <c r="M2670" t="s">
        <v>284</v>
      </c>
      <c r="N2670" t="s">
        <v>294</v>
      </c>
      <c r="O2670" t="s">
        <v>302</v>
      </c>
      <c r="P2670" t="s">
        <v>310</v>
      </c>
      <c r="Q2670" t="s">
        <v>316</v>
      </c>
      <c r="R2670" t="s">
        <v>322</v>
      </c>
      <c r="S2670" t="s">
        <v>329</v>
      </c>
      <c r="AK2670" t="s">
        <v>359</v>
      </c>
    </row>
    <row r="2671" spans="1:37">
      <c r="A2671" t="s">
        <v>39</v>
      </c>
      <c r="B2671" t="s">
        <v>54</v>
      </c>
      <c r="C2671" t="s">
        <v>54</v>
      </c>
      <c r="D2671" t="s">
        <v>54</v>
      </c>
      <c r="E2671" t="s">
        <v>54</v>
      </c>
      <c r="F2671" t="s">
        <v>54</v>
      </c>
      <c r="G2671" t="s">
        <v>54</v>
      </c>
      <c r="H2671" t="s">
        <v>54</v>
      </c>
      <c r="I2671" t="s">
        <v>54</v>
      </c>
      <c r="J2671" t="s">
        <v>54</v>
      </c>
      <c r="K2671" t="s">
        <v>54</v>
      </c>
      <c r="L2671" t="s">
        <v>54</v>
      </c>
      <c r="M2671" t="s">
        <v>54</v>
      </c>
      <c r="N2671" t="s">
        <v>54</v>
      </c>
      <c r="O2671" t="s">
        <v>54</v>
      </c>
      <c r="P2671" t="s">
        <v>54</v>
      </c>
      <c r="Q2671" t="s">
        <v>54</v>
      </c>
      <c r="R2671" t="s">
        <v>323</v>
      </c>
      <c r="S2671" t="s">
        <v>330</v>
      </c>
      <c r="AK2671" t="s">
        <v>359</v>
      </c>
    </row>
    <row r="2672" spans="1:37">
      <c r="B2672" t="s">
        <v>55</v>
      </c>
      <c r="C2672" t="s">
        <v>78</v>
      </c>
      <c r="D2672" t="s">
        <v>55</v>
      </c>
      <c r="E2672" t="s">
        <v>78</v>
      </c>
      <c r="F2672" t="s">
        <v>55</v>
      </c>
      <c r="G2672" t="s">
        <v>78</v>
      </c>
      <c r="H2672" t="s">
        <v>55</v>
      </c>
      <c r="I2672" t="s">
        <v>78</v>
      </c>
      <c r="J2672" t="s">
        <v>55</v>
      </c>
      <c r="K2672" t="s">
        <v>78</v>
      </c>
      <c r="L2672" t="s">
        <v>55</v>
      </c>
      <c r="M2672" t="s">
        <v>78</v>
      </c>
      <c r="N2672" t="s">
        <v>55</v>
      </c>
      <c r="O2672" t="s">
        <v>78</v>
      </c>
      <c r="P2672" t="s">
        <v>55</v>
      </c>
      <c r="Q2672" t="s">
        <v>78</v>
      </c>
      <c r="R2672" t="s">
        <v>55</v>
      </c>
      <c r="S2672" t="s">
        <v>78</v>
      </c>
      <c r="T2672" t="s">
        <v>55</v>
      </c>
      <c r="U2672" t="s">
        <v>78</v>
      </c>
      <c r="V2672" t="s">
        <v>55</v>
      </c>
      <c r="W2672" t="s">
        <v>78</v>
      </c>
      <c r="X2672" t="s">
        <v>55</v>
      </c>
      <c r="Y2672" t="s">
        <v>78</v>
      </c>
      <c r="Z2672" t="s">
        <v>55</v>
      </c>
      <c r="AA2672" t="s">
        <v>78</v>
      </c>
      <c r="AB2672" t="s">
        <v>55</v>
      </c>
      <c r="AC2672" t="s">
        <v>78</v>
      </c>
      <c r="AD2672" t="s">
        <v>55</v>
      </c>
      <c r="AE2672" t="s">
        <v>78</v>
      </c>
      <c r="AF2672" t="s">
        <v>55</v>
      </c>
      <c r="AG2672" t="s">
        <v>78</v>
      </c>
      <c r="AH2672" t="s">
        <v>55</v>
      </c>
      <c r="AI2672" t="s">
        <v>78</v>
      </c>
      <c r="AK2672" t="s">
        <v>359</v>
      </c>
    </row>
    <row r="2673" spans="1:37">
      <c r="B2673" t="s">
        <v>56</v>
      </c>
      <c r="C2673" t="s">
        <v>56</v>
      </c>
      <c r="D2673" t="s">
        <v>56</v>
      </c>
      <c r="E2673" t="s">
        <v>56</v>
      </c>
      <c r="F2673" t="s">
        <v>56</v>
      </c>
      <c r="G2673" t="s">
        <v>176</v>
      </c>
      <c r="H2673" t="s">
        <v>211</v>
      </c>
      <c r="I2673" t="s">
        <v>231</v>
      </c>
      <c r="J2673" t="s">
        <v>250</v>
      </c>
      <c r="K2673" t="s">
        <v>264</v>
      </c>
      <c r="L2673" t="s">
        <v>276</v>
      </c>
      <c r="M2673" t="s">
        <v>285</v>
      </c>
      <c r="N2673" t="s">
        <v>295</v>
      </c>
      <c r="O2673" t="s">
        <v>303</v>
      </c>
      <c r="P2673" t="s">
        <v>56</v>
      </c>
      <c r="Q2673" t="s">
        <v>317</v>
      </c>
      <c r="R2673" t="s">
        <v>324</v>
      </c>
      <c r="S2673" t="s">
        <v>331</v>
      </c>
      <c r="T2673" t="s">
        <v>334</v>
      </c>
      <c r="U2673" t="s">
        <v>338</v>
      </c>
      <c r="V2673" t="s">
        <v>342</v>
      </c>
      <c r="W2673" t="s">
        <v>346</v>
      </c>
      <c r="X2673" t="s">
        <v>351</v>
      </c>
      <c r="AK2673" t="s">
        <v>359</v>
      </c>
    </row>
    <row r="2674" spans="1:37">
      <c r="B2674" t="s">
        <v>57</v>
      </c>
      <c r="C2674" t="s">
        <v>79</v>
      </c>
      <c r="D2674" t="s">
        <v>98</v>
      </c>
      <c r="E2674" t="s">
        <v>117</v>
      </c>
      <c r="F2674" t="s">
        <v>151</v>
      </c>
      <c r="G2674" t="s">
        <v>177</v>
      </c>
      <c r="H2674" t="s">
        <v>212</v>
      </c>
      <c r="I2674" t="s">
        <v>232</v>
      </c>
      <c r="J2674" t="s">
        <v>251</v>
      </c>
      <c r="K2674" t="s">
        <v>265</v>
      </c>
      <c r="L2674" t="s">
        <v>277</v>
      </c>
      <c r="M2674" t="s">
        <v>286</v>
      </c>
      <c r="N2674" t="s">
        <v>296</v>
      </c>
      <c r="O2674" t="s">
        <v>304</v>
      </c>
      <c r="P2674" t="s">
        <v>311</v>
      </c>
      <c r="Q2674" t="s">
        <v>318</v>
      </c>
      <c r="R2674" t="s">
        <v>185</v>
      </c>
      <c r="S2674" t="s">
        <v>159</v>
      </c>
      <c r="T2674" t="s">
        <v>185</v>
      </c>
      <c r="U2674" t="s">
        <v>339</v>
      </c>
      <c r="V2674" t="s">
        <v>72</v>
      </c>
      <c r="W2674" t="s">
        <v>347</v>
      </c>
      <c r="X2674" t="s">
        <v>72</v>
      </c>
      <c r="Y2674" t="s">
        <v>96</v>
      </c>
      <c r="AK2674" t="s">
        <v>359</v>
      </c>
    </row>
    <row r="2675" spans="1:37">
      <c r="B2675" t="s">
        <v>58</v>
      </c>
      <c r="C2675" t="s">
        <v>80</v>
      </c>
      <c r="D2675" t="s">
        <v>99</v>
      </c>
      <c r="E2675" t="s">
        <v>118</v>
      </c>
      <c r="F2675" t="s">
        <v>152</v>
      </c>
      <c r="G2675" t="s">
        <v>178</v>
      </c>
      <c r="H2675" t="s">
        <v>213</v>
      </c>
      <c r="I2675" t="s">
        <v>233</v>
      </c>
      <c r="J2675" t="s">
        <v>252</v>
      </c>
      <c r="K2675" t="s">
        <v>266</v>
      </c>
      <c r="L2675" t="s">
        <v>278</v>
      </c>
      <c r="M2675" t="s">
        <v>287</v>
      </c>
      <c r="N2675" t="s">
        <v>297</v>
      </c>
      <c r="O2675" t="s">
        <v>305</v>
      </c>
      <c r="P2675" t="s">
        <v>312</v>
      </c>
      <c r="Q2675" t="s">
        <v>319</v>
      </c>
      <c r="R2675">
        <f>&gt;10       ветра      2.0     17  20</f>
        <v>0</v>
      </c>
      <c r="AK2675" t="s">
        <v>359</v>
      </c>
    </row>
    <row r="2676" spans="1:37">
      <c r="A2676" t="s">
        <v>40</v>
      </c>
      <c r="B2676" t="s">
        <v>59</v>
      </c>
      <c r="C2676" t="s">
        <v>81</v>
      </c>
      <c r="D2676" t="s">
        <v>100</v>
      </c>
      <c r="E2676" t="s">
        <v>119</v>
      </c>
      <c r="F2676" t="s">
        <v>153</v>
      </c>
      <c r="G2676" t="s">
        <v>179</v>
      </c>
      <c r="H2676" t="s">
        <v>214</v>
      </c>
      <c r="I2676" t="s">
        <v>234</v>
      </c>
      <c r="AK2676" t="s">
        <v>359</v>
      </c>
    </row>
    <row r="2677" spans="1:37">
      <c r="A2677" t="s">
        <v>40</v>
      </c>
      <c r="B2677" t="s">
        <v>60</v>
      </c>
      <c r="C2677" t="s">
        <v>82</v>
      </c>
      <c r="D2677" t="s">
        <v>101</v>
      </c>
      <c r="E2677" t="s">
        <v>120</v>
      </c>
      <c r="F2677" t="s">
        <v>154</v>
      </c>
      <c r="G2677" t="s">
        <v>180</v>
      </c>
      <c r="H2677" t="s">
        <v>215</v>
      </c>
      <c r="I2677" t="s">
        <v>235</v>
      </c>
      <c r="J2677" t="s">
        <v>253</v>
      </c>
      <c r="K2677" t="s">
        <v>267</v>
      </c>
      <c r="L2677" t="s">
        <v>279</v>
      </c>
      <c r="M2677" t="s">
        <v>288</v>
      </c>
      <c r="N2677" t="s">
        <v>100</v>
      </c>
      <c r="O2677" t="s">
        <v>306</v>
      </c>
      <c r="P2677" t="s">
        <v>313</v>
      </c>
      <c r="Q2677" t="s">
        <v>320</v>
      </c>
      <c r="R2677" t="s">
        <v>325</v>
      </c>
      <c r="S2677" t="s">
        <v>332</v>
      </c>
      <c r="T2677" t="s">
        <v>119</v>
      </c>
      <c r="U2677" t="s">
        <v>234</v>
      </c>
      <c r="V2677" t="s">
        <v>343</v>
      </c>
      <c r="W2677" t="s">
        <v>348</v>
      </c>
      <c r="X2677" t="s">
        <v>352</v>
      </c>
      <c r="Y2677" t="s">
        <v>354</v>
      </c>
      <c r="AK2677" t="s">
        <v>359</v>
      </c>
    </row>
    <row r="2678" spans="1:37">
      <c r="A2678" t="s">
        <v>41</v>
      </c>
      <c r="B2678" t="s">
        <v>61</v>
      </c>
      <c r="C2678" t="s">
        <v>83</v>
      </c>
      <c r="D2678" t="s">
        <v>102</v>
      </c>
      <c r="E2678" t="s">
        <v>121</v>
      </c>
      <c r="F2678" t="s">
        <v>155</v>
      </c>
      <c r="G2678" t="s">
        <v>181</v>
      </c>
      <c r="H2678" t="s">
        <v>216</v>
      </c>
      <c r="I2678" t="s">
        <v>236</v>
      </c>
      <c r="AK2678" t="s">
        <v>359</v>
      </c>
    </row>
    <row r="2679" spans="1:37">
      <c r="A2679" t="s">
        <v>42</v>
      </c>
      <c r="B2679" t="s">
        <v>62</v>
      </c>
      <c r="C2679" t="s">
        <v>84</v>
      </c>
      <c r="D2679" t="s">
        <v>103</v>
      </c>
      <c r="E2679" t="s">
        <v>122</v>
      </c>
      <c r="F2679" t="s">
        <v>156</v>
      </c>
      <c r="G2679" t="s">
        <v>182</v>
      </c>
      <c r="H2679" t="s">
        <v>83</v>
      </c>
      <c r="I2679" t="s">
        <v>237</v>
      </c>
      <c r="J2679" t="s">
        <v>254</v>
      </c>
      <c r="K2679" t="s">
        <v>268</v>
      </c>
      <c r="L2679" t="s">
        <v>280</v>
      </c>
      <c r="M2679" t="s">
        <v>289</v>
      </c>
      <c r="N2679" t="s">
        <v>298</v>
      </c>
      <c r="O2679" t="s">
        <v>307</v>
      </c>
      <c r="P2679" t="s">
        <v>314</v>
      </c>
      <c r="Q2679" t="s">
        <v>216</v>
      </c>
      <c r="R2679" t="s">
        <v>326</v>
      </c>
      <c r="S2679" t="s">
        <v>333</v>
      </c>
      <c r="T2679" t="s">
        <v>335</v>
      </c>
      <c r="U2679" t="s">
        <v>340</v>
      </c>
      <c r="V2679" t="s">
        <v>344</v>
      </c>
      <c r="W2679" t="s">
        <v>349</v>
      </c>
      <c r="AK2679" t="s">
        <v>359</v>
      </c>
    </row>
    <row r="2680" spans="1:37">
      <c r="A2680" t="s">
        <v>43</v>
      </c>
      <c r="B2680" t="s">
        <v>63</v>
      </c>
      <c r="C2680" t="s">
        <v>85</v>
      </c>
      <c r="D2680" t="s">
        <v>104</v>
      </c>
      <c r="E2680" t="s">
        <v>123</v>
      </c>
      <c r="F2680" t="s">
        <v>157</v>
      </c>
      <c r="G2680" t="s">
        <v>183</v>
      </c>
      <c r="AK2680" t="s">
        <v>359</v>
      </c>
    </row>
    <row r="2681" spans="1:37">
      <c r="A2681" t="s">
        <v>44</v>
      </c>
      <c r="B2681" t="s">
        <v>64</v>
      </c>
      <c r="C2681" t="s">
        <v>86</v>
      </c>
      <c r="D2681" t="s">
        <v>105</v>
      </c>
      <c r="E2681" t="s">
        <v>124</v>
      </c>
      <c r="F2681" t="s">
        <v>158</v>
      </c>
      <c r="G2681" t="s">
        <v>184</v>
      </c>
      <c r="AK2681" t="s">
        <v>359</v>
      </c>
    </row>
    <row r="2682" spans="1:37">
      <c r="A2682" t="s">
        <v>45</v>
      </c>
      <c r="B2682" t="s">
        <v>65</v>
      </c>
      <c r="C2682" t="s">
        <v>87</v>
      </c>
      <c r="D2682" t="s">
        <v>106</v>
      </c>
      <c r="E2682" t="s">
        <v>125</v>
      </c>
      <c r="F2682" t="s">
        <v>159</v>
      </c>
      <c r="G2682" t="s">
        <v>185</v>
      </c>
      <c r="H2682" t="s">
        <v>159</v>
      </c>
      <c r="I2682" t="s">
        <v>185</v>
      </c>
      <c r="J2682" t="s">
        <v>255</v>
      </c>
      <c r="AK2682" t="s">
        <v>359</v>
      </c>
    </row>
    <row r="2683" spans="1:37">
      <c r="A2683" t="s">
        <v>46</v>
      </c>
      <c r="B2683" t="s">
        <v>66</v>
      </c>
      <c r="C2683" t="s">
        <v>88</v>
      </c>
      <c r="D2683" t="s">
        <v>76</v>
      </c>
      <c r="E2683" t="s">
        <v>126</v>
      </c>
      <c r="F2683" t="s">
        <v>160</v>
      </c>
      <c r="G2683" t="s">
        <v>186</v>
      </c>
      <c r="H2683" t="s">
        <v>217</v>
      </c>
      <c r="I2683" t="s">
        <v>238</v>
      </c>
      <c r="J2683" t="s">
        <v>256</v>
      </c>
      <c r="K2683" t="s">
        <v>265</v>
      </c>
      <c r="L2683" t="s">
        <v>281</v>
      </c>
      <c r="M2683" t="s">
        <v>290</v>
      </c>
      <c r="N2683" t="s">
        <v>299</v>
      </c>
      <c r="O2683" t="s">
        <v>308</v>
      </c>
      <c r="P2683" t="s">
        <v>228</v>
      </c>
      <c r="Q2683" t="s">
        <v>72</v>
      </c>
      <c r="R2683" t="s">
        <v>327</v>
      </c>
      <c r="S2683" t="s">
        <v>327</v>
      </c>
      <c r="T2683" t="s">
        <v>336</v>
      </c>
      <c r="U2683" t="s">
        <v>336</v>
      </c>
      <c r="V2683" t="s">
        <v>336</v>
      </c>
      <c r="W2683" t="s">
        <v>336</v>
      </c>
      <c r="X2683" t="s">
        <v>353</v>
      </c>
      <c r="AK2683" t="s">
        <v>359</v>
      </c>
    </row>
    <row r="2684" spans="1:37">
      <c r="B2684" t="s">
        <v>67</v>
      </c>
      <c r="C2684" t="s">
        <v>89</v>
      </c>
      <c r="D2684" t="s">
        <v>107</v>
      </c>
      <c r="AK2684" t="s">
        <v>359</v>
      </c>
    </row>
    <row r="2685" spans="1:37">
      <c r="B2685" t="s">
        <v>68</v>
      </c>
      <c r="C2685" t="s">
        <v>90</v>
      </c>
      <c r="D2685" t="s">
        <v>108</v>
      </c>
      <c r="AK2685" t="s">
        <v>359</v>
      </c>
    </row>
    <row r="2686" spans="1:37">
      <c r="A2686" t="s">
        <v>47</v>
      </c>
      <c r="B2686" t="s">
        <v>69</v>
      </c>
      <c r="C2686" t="s">
        <v>91</v>
      </c>
      <c r="D2686" t="s">
        <v>109</v>
      </c>
      <c r="E2686" t="s">
        <v>109</v>
      </c>
      <c r="F2686" t="s">
        <v>109</v>
      </c>
      <c r="G2686" t="s">
        <v>109</v>
      </c>
      <c r="H2686" t="s">
        <v>109</v>
      </c>
      <c r="I2686" t="s">
        <v>239</v>
      </c>
      <c r="AK2686" t="s">
        <v>359</v>
      </c>
    </row>
    <row r="2687" spans="1:37">
      <c r="B2687" t="s">
        <v>70</v>
      </c>
      <c r="C2687" t="s">
        <v>92</v>
      </c>
      <c r="D2687" t="s">
        <v>110</v>
      </c>
      <c r="E2687" t="s">
        <v>127</v>
      </c>
      <c r="F2687" t="s">
        <v>161</v>
      </c>
      <c r="G2687" t="s">
        <v>187</v>
      </c>
      <c r="H2687" t="s">
        <v>218</v>
      </c>
      <c r="AK2687" t="s">
        <v>359</v>
      </c>
    </row>
    <row r="2688" spans="1:37">
      <c r="B2688" t="s">
        <v>71</v>
      </c>
      <c r="C2688" t="s">
        <v>93</v>
      </c>
      <c r="D2688" t="s">
        <v>111</v>
      </c>
      <c r="E2688" t="s">
        <v>128</v>
      </c>
      <c r="F2688" t="s">
        <v>162</v>
      </c>
      <c r="G2688" t="s">
        <v>188</v>
      </c>
      <c r="H2688" t="s">
        <v>219</v>
      </c>
      <c r="I2688" t="s">
        <v>240</v>
      </c>
      <c r="J2688" t="s">
        <v>257</v>
      </c>
      <c r="K2688" t="s">
        <v>269</v>
      </c>
      <c r="L2688" t="s">
        <v>109</v>
      </c>
      <c r="M2688" t="s">
        <v>109</v>
      </c>
      <c r="N2688" t="s">
        <v>109</v>
      </c>
      <c r="O2688" t="s">
        <v>109</v>
      </c>
      <c r="P2688" t="s">
        <v>109</v>
      </c>
      <c r="Q2688" t="s">
        <v>321</v>
      </c>
      <c r="AK2688" t="s">
        <v>359</v>
      </c>
    </row>
    <row r="2689" spans="1:37">
      <c r="A2689" t="s">
        <v>48</v>
      </c>
      <c r="B2689" t="s">
        <v>71</v>
      </c>
      <c r="C2689" t="s">
        <v>93</v>
      </c>
      <c r="D2689" t="s">
        <v>111</v>
      </c>
      <c r="E2689" t="s">
        <v>128</v>
      </c>
      <c r="F2689" t="s">
        <v>163</v>
      </c>
      <c r="G2689" t="s">
        <v>189</v>
      </c>
      <c r="H2689" t="s">
        <v>220</v>
      </c>
      <c r="I2689" t="s">
        <v>241</v>
      </c>
      <c r="J2689" t="s">
        <v>258</v>
      </c>
      <c r="K2689" t="s">
        <v>270</v>
      </c>
      <c r="AK2689" t="s">
        <v>359</v>
      </c>
    </row>
    <row r="2690" spans="1:37">
      <c r="B2690" t="s">
        <v>72</v>
      </c>
      <c r="C2690" t="s">
        <v>72</v>
      </c>
      <c r="D2690" t="s">
        <v>72</v>
      </c>
      <c r="E2690" t="s">
        <v>139</v>
      </c>
      <c r="F2690" t="s">
        <v>139</v>
      </c>
      <c r="G2690" t="s">
        <v>192</v>
      </c>
      <c r="H2690" t="s">
        <v>192</v>
      </c>
      <c r="I2690" t="s">
        <v>192</v>
      </c>
      <c r="J2690" t="s">
        <v>192</v>
      </c>
      <c r="K2690" t="s">
        <v>271</v>
      </c>
      <c r="AK2690" t="s">
        <v>359</v>
      </c>
    </row>
    <row r="2691" spans="1:37">
      <c r="A2691" t="s">
        <v>37</v>
      </c>
      <c r="B2691" t="s">
        <v>49</v>
      </c>
      <c r="C2691" t="s">
        <v>73</v>
      </c>
      <c r="D2691" t="s">
        <v>94</v>
      </c>
      <c r="E2691" t="s">
        <v>112</v>
      </c>
      <c r="F2691" t="s">
        <v>146</v>
      </c>
      <c r="G2691" t="s">
        <v>172</v>
      </c>
      <c r="H2691" t="s">
        <v>207</v>
      </c>
      <c r="I2691" t="s">
        <v>226</v>
      </c>
      <c r="J2691" t="s">
        <v>246</v>
      </c>
      <c r="K2691" t="s">
        <v>259</v>
      </c>
      <c r="AK2691" t="s">
        <v>359</v>
      </c>
    </row>
    <row r="2692" spans="1:37">
      <c r="A2692" t="s">
        <v>38</v>
      </c>
      <c r="B2692" t="s">
        <v>50</v>
      </c>
      <c r="C2692" t="s">
        <v>74</v>
      </c>
      <c r="D2692" t="s">
        <v>95</v>
      </c>
      <c r="E2692" t="s">
        <v>113</v>
      </c>
      <c r="F2692" t="s">
        <v>147</v>
      </c>
      <c r="G2692" t="s">
        <v>173</v>
      </c>
      <c r="H2692" t="s">
        <v>208</v>
      </c>
      <c r="I2692" t="s">
        <v>227</v>
      </c>
      <c r="J2692" t="s">
        <v>115</v>
      </c>
      <c r="K2692" t="s">
        <v>260</v>
      </c>
      <c r="L2692" t="s">
        <v>273</v>
      </c>
      <c r="M2692" t="s">
        <v>282</v>
      </c>
      <c r="N2692" t="s">
        <v>291</v>
      </c>
      <c r="AK2692" t="s">
        <v>359</v>
      </c>
    </row>
    <row r="2693" spans="1:37">
      <c r="B2693" t="s">
        <v>51</v>
      </c>
      <c r="C2693" t="s">
        <v>75</v>
      </c>
      <c r="D2693" t="s">
        <v>52</v>
      </c>
      <c r="E2693" t="s">
        <v>114</v>
      </c>
      <c r="F2693" t="s">
        <v>148</v>
      </c>
      <c r="G2693" t="s">
        <v>148</v>
      </c>
      <c r="H2693" t="s">
        <v>209</v>
      </c>
      <c r="I2693" t="s">
        <v>228</v>
      </c>
      <c r="J2693" t="s">
        <v>247</v>
      </c>
      <c r="K2693" t="s">
        <v>261</v>
      </c>
      <c r="L2693" t="s">
        <v>274</v>
      </c>
      <c r="M2693" t="s">
        <v>283</v>
      </c>
      <c r="N2693" t="s">
        <v>292</v>
      </c>
      <c r="O2693" t="s">
        <v>300</v>
      </c>
      <c r="AK2693" t="s">
        <v>359</v>
      </c>
    </row>
    <row r="2694" spans="1:37">
      <c r="B2694" t="s">
        <v>52</v>
      </c>
      <c r="C2694" t="s">
        <v>76</v>
      </c>
      <c r="D2694" t="s">
        <v>96</v>
      </c>
      <c r="E2694" t="s">
        <v>115</v>
      </c>
      <c r="F2694" t="s">
        <v>149</v>
      </c>
      <c r="G2694" t="s">
        <v>174</v>
      </c>
      <c r="H2694" t="s">
        <v>96</v>
      </c>
      <c r="I2694" t="s">
        <v>229</v>
      </c>
      <c r="J2694" t="s">
        <v>248</v>
      </c>
      <c r="K2694" t="s">
        <v>262</v>
      </c>
      <c r="L2694" t="s">
        <v>52</v>
      </c>
      <c r="M2694" t="s">
        <v>76</v>
      </c>
      <c r="N2694" t="s">
        <v>293</v>
      </c>
      <c r="O2694" t="s">
        <v>301</v>
      </c>
      <c r="P2694" t="s">
        <v>309</v>
      </c>
      <c r="Q2694" t="s">
        <v>315</v>
      </c>
      <c r="R2694" t="s">
        <v>228</v>
      </c>
      <c r="S2694" t="s">
        <v>328</v>
      </c>
      <c r="T2694" t="s">
        <v>149</v>
      </c>
      <c r="U2694" t="s">
        <v>337</v>
      </c>
      <c r="V2694" t="s">
        <v>341</v>
      </c>
      <c r="W2694" t="s">
        <v>345</v>
      </c>
      <c r="X2694" t="s">
        <v>350</v>
      </c>
      <c r="AK2694" t="s">
        <v>359</v>
      </c>
    </row>
    <row r="2695" spans="1:37">
      <c r="B2695" t="s">
        <v>53</v>
      </c>
      <c r="C2695" t="s">
        <v>77</v>
      </c>
      <c r="D2695" t="s">
        <v>97</v>
      </c>
      <c r="E2695" t="s">
        <v>116</v>
      </c>
      <c r="F2695" t="s">
        <v>150</v>
      </c>
      <c r="G2695" t="s">
        <v>175</v>
      </c>
      <c r="H2695" t="s">
        <v>210</v>
      </c>
      <c r="I2695" t="s">
        <v>230</v>
      </c>
      <c r="J2695" t="s">
        <v>249</v>
      </c>
      <c r="K2695" t="s">
        <v>263</v>
      </c>
      <c r="L2695" t="s">
        <v>275</v>
      </c>
      <c r="M2695" t="s">
        <v>284</v>
      </c>
      <c r="N2695" t="s">
        <v>294</v>
      </c>
      <c r="O2695" t="s">
        <v>302</v>
      </c>
      <c r="P2695" t="s">
        <v>310</v>
      </c>
      <c r="Q2695" t="s">
        <v>316</v>
      </c>
      <c r="R2695" t="s">
        <v>322</v>
      </c>
      <c r="S2695" t="s">
        <v>329</v>
      </c>
      <c r="AK2695" t="s">
        <v>359</v>
      </c>
    </row>
    <row r="2696" spans="1:37">
      <c r="A2696" t="s">
        <v>39</v>
      </c>
      <c r="B2696" t="s">
        <v>54</v>
      </c>
      <c r="C2696" t="s">
        <v>54</v>
      </c>
      <c r="D2696" t="s">
        <v>54</v>
      </c>
      <c r="E2696" t="s">
        <v>54</v>
      </c>
      <c r="F2696" t="s">
        <v>54</v>
      </c>
      <c r="G2696" t="s">
        <v>54</v>
      </c>
      <c r="H2696" t="s">
        <v>54</v>
      </c>
      <c r="I2696" t="s">
        <v>54</v>
      </c>
      <c r="J2696" t="s">
        <v>54</v>
      </c>
      <c r="K2696" t="s">
        <v>54</v>
      </c>
      <c r="L2696" t="s">
        <v>54</v>
      </c>
      <c r="M2696" t="s">
        <v>54</v>
      </c>
      <c r="N2696" t="s">
        <v>54</v>
      </c>
      <c r="O2696" t="s">
        <v>54</v>
      </c>
      <c r="P2696" t="s">
        <v>54</v>
      </c>
      <c r="Q2696" t="s">
        <v>54</v>
      </c>
      <c r="R2696" t="s">
        <v>323</v>
      </c>
      <c r="S2696" t="s">
        <v>330</v>
      </c>
      <c r="AK2696" t="s">
        <v>359</v>
      </c>
    </row>
    <row r="2697" spans="1:37">
      <c r="B2697" t="s">
        <v>55</v>
      </c>
      <c r="C2697" t="s">
        <v>78</v>
      </c>
      <c r="D2697" t="s">
        <v>55</v>
      </c>
      <c r="E2697" t="s">
        <v>78</v>
      </c>
      <c r="F2697" t="s">
        <v>55</v>
      </c>
      <c r="G2697" t="s">
        <v>78</v>
      </c>
      <c r="H2697" t="s">
        <v>55</v>
      </c>
      <c r="I2697" t="s">
        <v>78</v>
      </c>
      <c r="J2697" t="s">
        <v>55</v>
      </c>
      <c r="K2697" t="s">
        <v>78</v>
      </c>
      <c r="L2697" t="s">
        <v>55</v>
      </c>
      <c r="M2697" t="s">
        <v>78</v>
      </c>
      <c r="N2697" t="s">
        <v>55</v>
      </c>
      <c r="O2697" t="s">
        <v>78</v>
      </c>
      <c r="P2697" t="s">
        <v>55</v>
      </c>
      <c r="Q2697" t="s">
        <v>78</v>
      </c>
      <c r="R2697" t="s">
        <v>55</v>
      </c>
      <c r="S2697" t="s">
        <v>78</v>
      </c>
      <c r="T2697" t="s">
        <v>55</v>
      </c>
      <c r="U2697" t="s">
        <v>78</v>
      </c>
      <c r="V2697" t="s">
        <v>55</v>
      </c>
      <c r="W2697" t="s">
        <v>78</v>
      </c>
      <c r="X2697" t="s">
        <v>55</v>
      </c>
      <c r="Y2697" t="s">
        <v>78</v>
      </c>
      <c r="Z2697" t="s">
        <v>55</v>
      </c>
      <c r="AA2697" t="s">
        <v>78</v>
      </c>
      <c r="AB2697" t="s">
        <v>55</v>
      </c>
      <c r="AC2697" t="s">
        <v>78</v>
      </c>
      <c r="AD2697" t="s">
        <v>55</v>
      </c>
      <c r="AE2697" t="s">
        <v>78</v>
      </c>
      <c r="AF2697" t="s">
        <v>55</v>
      </c>
      <c r="AG2697" t="s">
        <v>78</v>
      </c>
      <c r="AH2697" t="s">
        <v>55</v>
      </c>
      <c r="AI2697" t="s">
        <v>78</v>
      </c>
      <c r="AK2697" t="s">
        <v>359</v>
      </c>
    </row>
    <row r="2698" spans="1:37">
      <c r="B2698" t="s">
        <v>56</v>
      </c>
      <c r="C2698" t="s">
        <v>56</v>
      </c>
      <c r="D2698" t="s">
        <v>56</v>
      </c>
      <c r="E2698" t="s">
        <v>56</v>
      </c>
      <c r="F2698" t="s">
        <v>56</v>
      </c>
      <c r="G2698" t="s">
        <v>176</v>
      </c>
      <c r="H2698" t="s">
        <v>211</v>
      </c>
      <c r="I2698" t="s">
        <v>231</v>
      </c>
      <c r="J2698" t="s">
        <v>250</v>
      </c>
      <c r="K2698" t="s">
        <v>264</v>
      </c>
      <c r="L2698" t="s">
        <v>276</v>
      </c>
      <c r="M2698" t="s">
        <v>285</v>
      </c>
      <c r="N2698" t="s">
        <v>295</v>
      </c>
      <c r="O2698" t="s">
        <v>303</v>
      </c>
      <c r="P2698" t="s">
        <v>56</v>
      </c>
      <c r="Q2698" t="s">
        <v>317</v>
      </c>
      <c r="R2698" t="s">
        <v>324</v>
      </c>
      <c r="S2698" t="s">
        <v>331</v>
      </c>
      <c r="T2698" t="s">
        <v>334</v>
      </c>
      <c r="U2698" t="s">
        <v>338</v>
      </c>
      <c r="V2698" t="s">
        <v>342</v>
      </c>
      <c r="W2698" t="s">
        <v>346</v>
      </c>
      <c r="X2698" t="s">
        <v>351</v>
      </c>
      <c r="AK2698" t="s">
        <v>359</v>
      </c>
    </row>
    <row r="2699" spans="1:37">
      <c r="B2699" t="s">
        <v>57</v>
      </c>
      <c r="C2699" t="s">
        <v>79</v>
      </c>
      <c r="D2699" t="s">
        <v>98</v>
      </c>
      <c r="E2699" t="s">
        <v>117</v>
      </c>
      <c r="F2699" t="s">
        <v>151</v>
      </c>
      <c r="G2699" t="s">
        <v>177</v>
      </c>
      <c r="H2699" t="s">
        <v>212</v>
      </c>
      <c r="I2699" t="s">
        <v>232</v>
      </c>
      <c r="J2699" t="s">
        <v>251</v>
      </c>
      <c r="K2699" t="s">
        <v>265</v>
      </c>
      <c r="L2699" t="s">
        <v>277</v>
      </c>
      <c r="M2699" t="s">
        <v>286</v>
      </c>
      <c r="N2699" t="s">
        <v>296</v>
      </c>
      <c r="O2699" t="s">
        <v>304</v>
      </c>
      <c r="P2699" t="s">
        <v>311</v>
      </c>
      <c r="Q2699" t="s">
        <v>318</v>
      </c>
      <c r="R2699" t="s">
        <v>185</v>
      </c>
      <c r="S2699" t="s">
        <v>159</v>
      </c>
      <c r="T2699" t="s">
        <v>185</v>
      </c>
      <c r="U2699" t="s">
        <v>339</v>
      </c>
      <c r="V2699" t="s">
        <v>72</v>
      </c>
      <c r="W2699" t="s">
        <v>347</v>
      </c>
      <c r="X2699" t="s">
        <v>72</v>
      </c>
      <c r="Y2699" t="s">
        <v>96</v>
      </c>
      <c r="AK2699" t="s">
        <v>359</v>
      </c>
    </row>
    <row r="2700" spans="1:37">
      <c r="B2700" t="s">
        <v>58</v>
      </c>
      <c r="C2700" t="s">
        <v>80</v>
      </c>
      <c r="D2700" t="s">
        <v>99</v>
      </c>
      <c r="E2700" t="s">
        <v>118</v>
      </c>
      <c r="F2700" t="s">
        <v>152</v>
      </c>
      <c r="G2700" t="s">
        <v>178</v>
      </c>
      <c r="H2700" t="s">
        <v>213</v>
      </c>
      <c r="I2700" t="s">
        <v>233</v>
      </c>
      <c r="J2700" t="s">
        <v>252</v>
      </c>
      <c r="K2700" t="s">
        <v>266</v>
      </c>
      <c r="L2700" t="s">
        <v>278</v>
      </c>
      <c r="M2700" t="s">
        <v>287</v>
      </c>
      <c r="N2700" t="s">
        <v>297</v>
      </c>
      <c r="O2700" t="s">
        <v>305</v>
      </c>
      <c r="P2700" t="s">
        <v>312</v>
      </c>
      <c r="Q2700" t="s">
        <v>319</v>
      </c>
      <c r="R2700">
        <f>&gt;10       ветра      2.6     15   1 20</f>
        <v>0</v>
      </c>
      <c r="AK2700" t="s">
        <v>359</v>
      </c>
    </row>
    <row r="2701" spans="1:37">
      <c r="A2701" t="s">
        <v>40</v>
      </c>
      <c r="B2701" t="s">
        <v>59</v>
      </c>
      <c r="C2701" t="s">
        <v>81</v>
      </c>
      <c r="D2701" t="s">
        <v>100</v>
      </c>
      <c r="E2701" t="s">
        <v>119</v>
      </c>
      <c r="F2701" t="s">
        <v>153</v>
      </c>
      <c r="G2701" t="s">
        <v>179</v>
      </c>
      <c r="H2701" t="s">
        <v>214</v>
      </c>
      <c r="I2701" t="s">
        <v>234</v>
      </c>
      <c r="AK2701" t="s">
        <v>359</v>
      </c>
    </row>
    <row r="2702" spans="1:37">
      <c r="A2702" t="s">
        <v>40</v>
      </c>
      <c r="B2702" t="s">
        <v>60</v>
      </c>
      <c r="C2702" t="s">
        <v>82</v>
      </c>
      <c r="D2702" t="s">
        <v>101</v>
      </c>
      <c r="E2702" t="s">
        <v>120</v>
      </c>
      <c r="F2702" t="s">
        <v>154</v>
      </c>
      <c r="G2702" t="s">
        <v>180</v>
      </c>
      <c r="H2702" t="s">
        <v>215</v>
      </c>
      <c r="I2702" t="s">
        <v>235</v>
      </c>
      <c r="J2702" t="s">
        <v>253</v>
      </c>
      <c r="K2702" t="s">
        <v>267</v>
      </c>
      <c r="L2702" t="s">
        <v>279</v>
      </c>
      <c r="M2702" t="s">
        <v>288</v>
      </c>
      <c r="N2702" t="s">
        <v>100</v>
      </c>
      <c r="O2702" t="s">
        <v>306</v>
      </c>
      <c r="P2702" t="s">
        <v>313</v>
      </c>
      <c r="Q2702" t="s">
        <v>320</v>
      </c>
      <c r="R2702" t="s">
        <v>325</v>
      </c>
      <c r="S2702" t="s">
        <v>332</v>
      </c>
      <c r="T2702" t="s">
        <v>119</v>
      </c>
      <c r="U2702" t="s">
        <v>234</v>
      </c>
      <c r="V2702" t="s">
        <v>343</v>
      </c>
      <c r="W2702" t="s">
        <v>348</v>
      </c>
      <c r="X2702" t="s">
        <v>352</v>
      </c>
      <c r="Y2702" t="s">
        <v>354</v>
      </c>
      <c r="AK2702" t="s">
        <v>359</v>
      </c>
    </row>
    <row r="2703" spans="1:37">
      <c r="A2703" t="s">
        <v>41</v>
      </c>
      <c r="B2703" t="s">
        <v>61</v>
      </c>
      <c r="C2703" t="s">
        <v>83</v>
      </c>
      <c r="D2703" t="s">
        <v>102</v>
      </c>
      <c r="E2703" t="s">
        <v>121</v>
      </c>
      <c r="F2703" t="s">
        <v>155</v>
      </c>
      <c r="G2703" t="s">
        <v>181</v>
      </c>
      <c r="H2703" t="s">
        <v>216</v>
      </c>
      <c r="I2703" t="s">
        <v>236</v>
      </c>
      <c r="AK2703" t="s">
        <v>359</v>
      </c>
    </row>
    <row r="2704" spans="1:37">
      <c r="A2704" t="s">
        <v>42</v>
      </c>
      <c r="B2704" t="s">
        <v>62</v>
      </c>
      <c r="C2704" t="s">
        <v>84</v>
      </c>
      <c r="D2704" t="s">
        <v>103</v>
      </c>
      <c r="E2704" t="s">
        <v>122</v>
      </c>
      <c r="F2704" t="s">
        <v>156</v>
      </c>
      <c r="G2704" t="s">
        <v>182</v>
      </c>
      <c r="H2704" t="s">
        <v>83</v>
      </c>
      <c r="I2704" t="s">
        <v>237</v>
      </c>
      <c r="J2704" t="s">
        <v>254</v>
      </c>
      <c r="K2704" t="s">
        <v>268</v>
      </c>
      <c r="L2704" t="s">
        <v>280</v>
      </c>
      <c r="M2704" t="s">
        <v>289</v>
      </c>
      <c r="N2704" t="s">
        <v>298</v>
      </c>
      <c r="O2704" t="s">
        <v>307</v>
      </c>
      <c r="P2704" t="s">
        <v>314</v>
      </c>
      <c r="Q2704" t="s">
        <v>216</v>
      </c>
      <c r="R2704" t="s">
        <v>326</v>
      </c>
      <c r="S2704" t="s">
        <v>333</v>
      </c>
      <c r="T2704" t="s">
        <v>335</v>
      </c>
      <c r="U2704" t="s">
        <v>340</v>
      </c>
      <c r="V2704" t="s">
        <v>344</v>
      </c>
      <c r="W2704" t="s">
        <v>349</v>
      </c>
      <c r="AK2704" t="s">
        <v>359</v>
      </c>
    </row>
    <row r="2705" spans="1:37">
      <c r="A2705" t="s">
        <v>43</v>
      </c>
      <c r="B2705" t="s">
        <v>63</v>
      </c>
      <c r="C2705" t="s">
        <v>85</v>
      </c>
      <c r="D2705" t="s">
        <v>104</v>
      </c>
      <c r="E2705" t="s">
        <v>123</v>
      </c>
      <c r="F2705" t="s">
        <v>157</v>
      </c>
      <c r="G2705" t="s">
        <v>183</v>
      </c>
      <c r="AK2705" t="s">
        <v>359</v>
      </c>
    </row>
    <row r="2706" spans="1:37">
      <c r="A2706" t="s">
        <v>44</v>
      </c>
      <c r="B2706" t="s">
        <v>64</v>
      </c>
      <c r="C2706" t="s">
        <v>86</v>
      </c>
      <c r="D2706" t="s">
        <v>105</v>
      </c>
      <c r="E2706" t="s">
        <v>124</v>
      </c>
      <c r="F2706" t="s">
        <v>158</v>
      </c>
      <c r="G2706" t="s">
        <v>184</v>
      </c>
      <c r="AK2706" t="s">
        <v>359</v>
      </c>
    </row>
    <row r="2707" spans="1:37">
      <c r="A2707" t="s">
        <v>45</v>
      </c>
      <c r="B2707" t="s">
        <v>65</v>
      </c>
      <c r="C2707" t="s">
        <v>87</v>
      </c>
      <c r="D2707" t="s">
        <v>106</v>
      </c>
      <c r="E2707" t="s">
        <v>125</v>
      </c>
      <c r="F2707" t="s">
        <v>159</v>
      </c>
      <c r="G2707" t="s">
        <v>185</v>
      </c>
      <c r="H2707" t="s">
        <v>159</v>
      </c>
      <c r="I2707" t="s">
        <v>185</v>
      </c>
      <c r="J2707" t="s">
        <v>255</v>
      </c>
      <c r="AK2707" t="s">
        <v>359</v>
      </c>
    </row>
    <row r="2708" spans="1:37">
      <c r="A2708" t="s">
        <v>46</v>
      </c>
      <c r="B2708" t="s">
        <v>66</v>
      </c>
      <c r="C2708" t="s">
        <v>88</v>
      </c>
      <c r="D2708" t="s">
        <v>76</v>
      </c>
      <c r="E2708" t="s">
        <v>126</v>
      </c>
      <c r="F2708" t="s">
        <v>160</v>
      </c>
      <c r="G2708" t="s">
        <v>186</v>
      </c>
      <c r="H2708" t="s">
        <v>217</v>
      </c>
      <c r="I2708" t="s">
        <v>238</v>
      </c>
      <c r="J2708" t="s">
        <v>256</v>
      </c>
      <c r="K2708" t="s">
        <v>265</v>
      </c>
      <c r="L2708" t="s">
        <v>281</v>
      </c>
      <c r="M2708" t="s">
        <v>290</v>
      </c>
      <c r="N2708" t="s">
        <v>299</v>
      </c>
      <c r="O2708" t="s">
        <v>308</v>
      </c>
      <c r="P2708" t="s">
        <v>228</v>
      </c>
      <c r="Q2708" t="s">
        <v>72</v>
      </c>
      <c r="R2708" t="s">
        <v>327</v>
      </c>
      <c r="S2708" t="s">
        <v>327</v>
      </c>
      <c r="T2708" t="s">
        <v>336</v>
      </c>
      <c r="U2708" t="s">
        <v>336</v>
      </c>
      <c r="V2708" t="s">
        <v>336</v>
      </c>
      <c r="W2708" t="s">
        <v>336</v>
      </c>
      <c r="X2708" t="s">
        <v>353</v>
      </c>
      <c r="AK2708" t="s">
        <v>359</v>
      </c>
    </row>
    <row r="2709" spans="1:37">
      <c r="B2709" t="s">
        <v>67</v>
      </c>
      <c r="C2709" t="s">
        <v>89</v>
      </c>
      <c r="D2709" t="s">
        <v>107</v>
      </c>
      <c r="AK2709" t="s">
        <v>359</v>
      </c>
    </row>
    <row r="2710" spans="1:37">
      <c r="B2710" t="s">
        <v>68</v>
      </c>
      <c r="C2710" t="s">
        <v>90</v>
      </c>
      <c r="D2710" t="s">
        <v>108</v>
      </c>
      <c r="AK2710" t="s">
        <v>359</v>
      </c>
    </row>
    <row r="2711" spans="1:37">
      <c r="A2711" t="s">
        <v>47</v>
      </c>
      <c r="B2711" t="s">
        <v>69</v>
      </c>
      <c r="C2711" t="s">
        <v>91</v>
      </c>
      <c r="D2711" t="s">
        <v>109</v>
      </c>
      <c r="E2711" t="s">
        <v>109</v>
      </c>
      <c r="F2711" t="s">
        <v>109</v>
      </c>
      <c r="G2711" t="s">
        <v>109</v>
      </c>
      <c r="H2711" t="s">
        <v>109</v>
      </c>
      <c r="I2711" t="s">
        <v>239</v>
      </c>
      <c r="AK2711" t="s">
        <v>359</v>
      </c>
    </row>
    <row r="2712" spans="1:37">
      <c r="B2712" t="s">
        <v>70</v>
      </c>
      <c r="C2712" t="s">
        <v>92</v>
      </c>
      <c r="D2712" t="s">
        <v>110</v>
      </c>
      <c r="E2712" t="s">
        <v>127</v>
      </c>
      <c r="F2712" t="s">
        <v>161</v>
      </c>
      <c r="G2712" t="s">
        <v>187</v>
      </c>
      <c r="H2712" t="s">
        <v>218</v>
      </c>
      <c r="AK2712" t="s">
        <v>359</v>
      </c>
    </row>
    <row r="2713" spans="1:37">
      <c r="B2713" t="s">
        <v>71</v>
      </c>
      <c r="C2713" t="s">
        <v>93</v>
      </c>
      <c r="D2713" t="s">
        <v>111</v>
      </c>
      <c r="E2713" t="s">
        <v>128</v>
      </c>
      <c r="F2713" t="s">
        <v>162</v>
      </c>
      <c r="G2713" t="s">
        <v>188</v>
      </c>
      <c r="H2713" t="s">
        <v>219</v>
      </c>
      <c r="I2713" t="s">
        <v>240</v>
      </c>
      <c r="J2713" t="s">
        <v>257</v>
      </c>
      <c r="K2713" t="s">
        <v>269</v>
      </c>
      <c r="L2713" t="s">
        <v>109</v>
      </c>
      <c r="M2713" t="s">
        <v>109</v>
      </c>
      <c r="N2713" t="s">
        <v>109</v>
      </c>
      <c r="O2713" t="s">
        <v>109</v>
      </c>
      <c r="P2713" t="s">
        <v>109</v>
      </c>
      <c r="Q2713" t="s">
        <v>321</v>
      </c>
      <c r="AK2713" t="s">
        <v>359</v>
      </c>
    </row>
    <row r="2714" spans="1:37">
      <c r="A2714" t="s">
        <v>48</v>
      </c>
      <c r="B2714" t="s">
        <v>71</v>
      </c>
      <c r="C2714" t="s">
        <v>93</v>
      </c>
      <c r="D2714" t="s">
        <v>111</v>
      </c>
      <c r="E2714" t="s">
        <v>128</v>
      </c>
      <c r="F2714" t="s">
        <v>163</v>
      </c>
      <c r="G2714" t="s">
        <v>189</v>
      </c>
      <c r="H2714" t="s">
        <v>220</v>
      </c>
      <c r="I2714" t="s">
        <v>241</v>
      </c>
      <c r="J2714" t="s">
        <v>258</v>
      </c>
      <c r="K2714" t="s">
        <v>270</v>
      </c>
      <c r="AK2714" t="s">
        <v>359</v>
      </c>
    </row>
    <row r="2715" spans="1:37">
      <c r="B2715" t="s">
        <v>72</v>
      </c>
      <c r="C2715" t="s">
        <v>72</v>
      </c>
      <c r="D2715" t="s">
        <v>72</v>
      </c>
      <c r="E2715" t="s">
        <v>72</v>
      </c>
      <c r="F2715" t="s">
        <v>72</v>
      </c>
      <c r="G2715" t="s">
        <v>72</v>
      </c>
      <c r="H2715" t="s">
        <v>72</v>
      </c>
      <c r="I2715" t="s">
        <v>72</v>
      </c>
      <c r="J2715" t="s">
        <v>72</v>
      </c>
      <c r="K2715" t="s">
        <v>272</v>
      </c>
      <c r="AK2715" t="s">
        <v>359</v>
      </c>
    </row>
    <row r="2716" spans="1:37">
      <c r="A2716" t="s">
        <v>37</v>
      </c>
      <c r="B2716" t="s">
        <v>49</v>
      </c>
      <c r="C2716" t="s">
        <v>73</v>
      </c>
      <c r="D2716" t="s">
        <v>94</v>
      </c>
      <c r="E2716" t="s">
        <v>112</v>
      </c>
      <c r="F2716" t="s">
        <v>146</v>
      </c>
      <c r="G2716" t="s">
        <v>172</v>
      </c>
      <c r="H2716" t="s">
        <v>207</v>
      </c>
      <c r="I2716" t="s">
        <v>226</v>
      </c>
      <c r="J2716" t="s">
        <v>246</v>
      </c>
      <c r="K2716" t="s">
        <v>259</v>
      </c>
      <c r="AK2716" t="s">
        <v>359</v>
      </c>
    </row>
    <row r="2717" spans="1:37">
      <c r="A2717" t="s">
        <v>38</v>
      </c>
      <c r="B2717" t="s">
        <v>50</v>
      </c>
      <c r="C2717" t="s">
        <v>74</v>
      </c>
      <c r="D2717" t="s">
        <v>95</v>
      </c>
      <c r="E2717" t="s">
        <v>113</v>
      </c>
      <c r="F2717" t="s">
        <v>147</v>
      </c>
      <c r="G2717" t="s">
        <v>173</v>
      </c>
      <c r="H2717" t="s">
        <v>208</v>
      </c>
      <c r="I2717" t="s">
        <v>227</v>
      </c>
      <c r="J2717" t="s">
        <v>115</v>
      </c>
      <c r="K2717" t="s">
        <v>260</v>
      </c>
      <c r="L2717" t="s">
        <v>273</v>
      </c>
      <c r="M2717" t="s">
        <v>282</v>
      </c>
      <c r="N2717" t="s">
        <v>291</v>
      </c>
      <c r="AK2717" t="s">
        <v>359</v>
      </c>
    </row>
    <row r="2718" spans="1:37">
      <c r="B2718" t="s">
        <v>51</v>
      </c>
      <c r="C2718" t="s">
        <v>75</v>
      </c>
      <c r="D2718" t="s">
        <v>52</v>
      </c>
      <c r="E2718" t="s">
        <v>114</v>
      </c>
      <c r="F2718" t="s">
        <v>148</v>
      </c>
      <c r="G2718" t="s">
        <v>148</v>
      </c>
      <c r="H2718" t="s">
        <v>209</v>
      </c>
      <c r="I2718" t="s">
        <v>228</v>
      </c>
      <c r="J2718" t="s">
        <v>247</v>
      </c>
      <c r="K2718" t="s">
        <v>261</v>
      </c>
      <c r="L2718" t="s">
        <v>274</v>
      </c>
      <c r="M2718" t="s">
        <v>283</v>
      </c>
      <c r="N2718" t="s">
        <v>292</v>
      </c>
      <c r="O2718" t="s">
        <v>300</v>
      </c>
      <c r="AK2718" t="s">
        <v>359</v>
      </c>
    </row>
    <row r="2719" spans="1:37">
      <c r="B2719" t="s">
        <v>52</v>
      </c>
      <c r="C2719" t="s">
        <v>76</v>
      </c>
      <c r="D2719" t="s">
        <v>96</v>
      </c>
      <c r="E2719" t="s">
        <v>115</v>
      </c>
      <c r="F2719" t="s">
        <v>149</v>
      </c>
      <c r="G2719" t="s">
        <v>174</v>
      </c>
      <c r="H2719" t="s">
        <v>96</v>
      </c>
      <c r="I2719" t="s">
        <v>229</v>
      </c>
      <c r="J2719" t="s">
        <v>248</v>
      </c>
      <c r="K2719" t="s">
        <v>262</v>
      </c>
      <c r="L2719" t="s">
        <v>52</v>
      </c>
      <c r="M2719" t="s">
        <v>76</v>
      </c>
      <c r="N2719" t="s">
        <v>293</v>
      </c>
      <c r="O2719" t="s">
        <v>301</v>
      </c>
      <c r="P2719" t="s">
        <v>309</v>
      </c>
      <c r="Q2719" t="s">
        <v>315</v>
      </c>
      <c r="R2719" t="s">
        <v>228</v>
      </c>
      <c r="S2719" t="s">
        <v>328</v>
      </c>
      <c r="T2719" t="s">
        <v>149</v>
      </c>
      <c r="U2719" t="s">
        <v>337</v>
      </c>
      <c r="V2719" t="s">
        <v>341</v>
      </c>
      <c r="W2719" t="s">
        <v>345</v>
      </c>
      <c r="X2719" t="s">
        <v>350</v>
      </c>
      <c r="AK2719" t="s">
        <v>359</v>
      </c>
    </row>
    <row r="2720" spans="1:37">
      <c r="B2720" t="s">
        <v>53</v>
      </c>
      <c r="C2720" t="s">
        <v>77</v>
      </c>
      <c r="D2720" t="s">
        <v>97</v>
      </c>
      <c r="E2720" t="s">
        <v>116</v>
      </c>
      <c r="F2720" t="s">
        <v>150</v>
      </c>
      <c r="G2720" t="s">
        <v>175</v>
      </c>
      <c r="H2720" t="s">
        <v>210</v>
      </c>
      <c r="I2720" t="s">
        <v>230</v>
      </c>
      <c r="J2720" t="s">
        <v>249</v>
      </c>
      <c r="K2720" t="s">
        <v>263</v>
      </c>
      <c r="L2720" t="s">
        <v>275</v>
      </c>
      <c r="M2720" t="s">
        <v>284</v>
      </c>
      <c r="N2720" t="s">
        <v>294</v>
      </c>
      <c r="O2720" t="s">
        <v>302</v>
      </c>
      <c r="P2720" t="s">
        <v>310</v>
      </c>
      <c r="Q2720" t="s">
        <v>316</v>
      </c>
      <c r="R2720" t="s">
        <v>322</v>
      </c>
      <c r="S2720" t="s">
        <v>329</v>
      </c>
      <c r="AK2720" t="s">
        <v>359</v>
      </c>
    </row>
    <row r="2721" spans="1:37">
      <c r="A2721" t="s">
        <v>39</v>
      </c>
      <c r="B2721" t="s">
        <v>54</v>
      </c>
      <c r="C2721" t="s">
        <v>54</v>
      </c>
      <c r="D2721" t="s">
        <v>54</v>
      </c>
      <c r="E2721" t="s">
        <v>54</v>
      </c>
      <c r="F2721" t="s">
        <v>54</v>
      </c>
      <c r="G2721" t="s">
        <v>54</v>
      </c>
      <c r="H2721" t="s">
        <v>54</v>
      </c>
      <c r="I2721" t="s">
        <v>54</v>
      </c>
      <c r="J2721" t="s">
        <v>54</v>
      </c>
      <c r="K2721" t="s">
        <v>54</v>
      </c>
      <c r="L2721" t="s">
        <v>54</v>
      </c>
      <c r="M2721" t="s">
        <v>54</v>
      </c>
      <c r="N2721" t="s">
        <v>54</v>
      </c>
      <c r="O2721" t="s">
        <v>54</v>
      </c>
      <c r="P2721" t="s">
        <v>54</v>
      </c>
      <c r="Q2721" t="s">
        <v>54</v>
      </c>
      <c r="R2721" t="s">
        <v>323</v>
      </c>
      <c r="S2721" t="s">
        <v>330</v>
      </c>
      <c r="AK2721" t="s">
        <v>359</v>
      </c>
    </row>
    <row r="2722" spans="1:37">
      <c r="B2722" t="s">
        <v>55</v>
      </c>
      <c r="C2722" t="s">
        <v>78</v>
      </c>
      <c r="D2722" t="s">
        <v>55</v>
      </c>
      <c r="E2722" t="s">
        <v>78</v>
      </c>
      <c r="F2722" t="s">
        <v>55</v>
      </c>
      <c r="G2722" t="s">
        <v>78</v>
      </c>
      <c r="H2722" t="s">
        <v>55</v>
      </c>
      <c r="I2722" t="s">
        <v>78</v>
      </c>
      <c r="J2722" t="s">
        <v>55</v>
      </c>
      <c r="K2722" t="s">
        <v>78</v>
      </c>
      <c r="L2722" t="s">
        <v>55</v>
      </c>
      <c r="M2722" t="s">
        <v>78</v>
      </c>
      <c r="N2722" t="s">
        <v>55</v>
      </c>
      <c r="O2722" t="s">
        <v>78</v>
      </c>
      <c r="P2722" t="s">
        <v>55</v>
      </c>
      <c r="Q2722" t="s">
        <v>78</v>
      </c>
      <c r="R2722" t="s">
        <v>55</v>
      </c>
      <c r="S2722" t="s">
        <v>78</v>
      </c>
      <c r="T2722" t="s">
        <v>55</v>
      </c>
      <c r="U2722" t="s">
        <v>78</v>
      </c>
      <c r="V2722" t="s">
        <v>55</v>
      </c>
      <c r="W2722" t="s">
        <v>78</v>
      </c>
      <c r="X2722" t="s">
        <v>55</v>
      </c>
      <c r="Y2722" t="s">
        <v>78</v>
      </c>
      <c r="Z2722" t="s">
        <v>55</v>
      </c>
      <c r="AA2722" t="s">
        <v>78</v>
      </c>
      <c r="AB2722" t="s">
        <v>55</v>
      </c>
      <c r="AC2722" t="s">
        <v>78</v>
      </c>
      <c r="AD2722" t="s">
        <v>55</v>
      </c>
      <c r="AE2722" t="s">
        <v>78</v>
      </c>
      <c r="AF2722" t="s">
        <v>55</v>
      </c>
      <c r="AG2722" t="s">
        <v>78</v>
      </c>
      <c r="AH2722" t="s">
        <v>55</v>
      </c>
      <c r="AI2722" t="s">
        <v>78</v>
      </c>
      <c r="AK2722" t="s">
        <v>359</v>
      </c>
    </row>
    <row r="2723" spans="1:37">
      <c r="B2723" t="s">
        <v>56</v>
      </c>
      <c r="C2723" t="s">
        <v>56</v>
      </c>
      <c r="D2723" t="s">
        <v>56</v>
      </c>
      <c r="E2723" t="s">
        <v>56</v>
      </c>
      <c r="F2723" t="s">
        <v>56</v>
      </c>
      <c r="G2723" t="s">
        <v>176</v>
      </c>
      <c r="H2723" t="s">
        <v>211</v>
      </c>
      <c r="I2723" t="s">
        <v>231</v>
      </c>
      <c r="J2723" t="s">
        <v>250</v>
      </c>
      <c r="K2723" t="s">
        <v>264</v>
      </c>
      <c r="L2723" t="s">
        <v>276</v>
      </c>
      <c r="M2723" t="s">
        <v>285</v>
      </c>
      <c r="N2723" t="s">
        <v>295</v>
      </c>
      <c r="O2723" t="s">
        <v>303</v>
      </c>
      <c r="P2723" t="s">
        <v>56</v>
      </c>
      <c r="Q2723" t="s">
        <v>317</v>
      </c>
      <c r="R2723" t="s">
        <v>324</v>
      </c>
      <c r="S2723" t="s">
        <v>331</v>
      </c>
      <c r="T2723" t="s">
        <v>334</v>
      </c>
      <c r="U2723" t="s">
        <v>338</v>
      </c>
      <c r="V2723" t="s">
        <v>342</v>
      </c>
      <c r="W2723" t="s">
        <v>346</v>
      </c>
      <c r="X2723" t="s">
        <v>351</v>
      </c>
      <c r="AK2723" t="s">
        <v>359</v>
      </c>
    </row>
    <row r="2724" spans="1:37">
      <c r="B2724" t="s">
        <v>57</v>
      </c>
      <c r="C2724" t="s">
        <v>79</v>
      </c>
      <c r="D2724" t="s">
        <v>98</v>
      </c>
      <c r="E2724" t="s">
        <v>117</v>
      </c>
      <c r="F2724" t="s">
        <v>151</v>
      </c>
      <c r="G2724" t="s">
        <v>177</v>
      </c>
      <c r="H2724" t="s">
        <v>212</v>
      </c>
      <c r="I2724" t="s">
        <v>232</v>
      </c>
      <c r="J2724" t="s">
        <v>251</v>
      </c>
      <c r="K2724" t="s">
        <v>265</v>
      </c>
      <c r="L2724" t="s">
        <v>277</v>
      </c>
      <c r="M2724" t="s">
        <v>286</v>
      </c>
      <c r="N2724" t="s">
        <v>296</v>
      </c>
      <c r="O2724" t="s">
        <v>304</v>
      </c>
      <c r="P2724" t="s">
        <v>311</v>
      </c>
      <c r="Q2724" t="s">
        <v>318</v>
      </c>
      <c r="R2724" t="s">
        <v>185</v>
      </c>
      <c r="S2724" t="s">
        <v>159</v>
      </c>
      <c r="T2724" t="s">
        <v>185</v>
      </c>
      <c r="U2724" t="s">
        <v>339</v>
      </c>
      <c r="V2724" t="s">
        <v>72</v>
      </c>
      <c r="W2724" t="s">
        <v>347</v>
      </c>
      <c r="X2724" t="s">
        <v>72</v>
      </c>
      <c r="Y2724" t="s">
        <v>96</v>
      </c>
      <c r="AK2724" t="s">
        <v>359</v>
      </c>
    </row>
    <row r="2725" spans="1:37">
      <c r="B2725" t="s">
        <v>58</v>
      </c>
      <c r="C2725" t="s">
        <v>80</v>
      </c>
      <c r="D2725" t="s">
        <v>99</v>
      </c>
      <c r="E2725" t="s">
        <v>118</v>
      </c>
      <c r="F2725" t="s">
        <v>152</v>
      </c>
      <c r="G2725" t="s">
        <v>178</v>
      </c>
      <c r="H2725" t="s">
        <v>213</v>
      </c>
      <c r="I2725" t="s">
        <v>233</v>
      </c>
      <c r="J2725" t="s">
        <v>252</v>
      </c>
      <c r="K2725" t="s">
        <v>266</v>
      </c>
      <c r="L2725" t="s">
        <v>278</v>
      </c>
      <c r="M2725" t="s">
        <v>287</v>
      </c>
      <c r="N2725" t="s">
        <v>297</v>
      </c>
      <c r="O2725" t="s">
        <v>305</v>
      </c>
      <c r="P2725" t="s">
        <v>312</v>
      </c>
      <c r="Q2725" t="s">
        <v>319</v>
      </c>
      <c r="R2725">
        <f>&gt;10       ветра      1.9     15  20</f>
        <v>0</v>
      </c>
      <c r="AK2725" t="s">
        <v>359</v>
      </c>
    </row>
    <row r="2726" spans="1:37">
      <c r="A2726" t="s">
        <v>40</v>
      </c>
      <c r="B2726" t="s">
        <v>59</v>
      </c>
      <c r="C2726" t="s">
        <v>81</v>
      </c>
      <c r="D2726" t="s">
        <v>100</v>
      </c>
      <c r="E2726" t="s">
        <v>119</v>
      </c>
      <c r="F2726" t="s">
        <v>153</v>
      </c>
      <c r="G2726" t="s">
        <v>179</v>
      </c>
      <c r="H2726" t="s">
        <v>214</v>
      </c>
      <c r="I2726" t="s">
        <v>234</v>
      </c>
      <c r="AK2726" t="s">
        <v>359</v>
      </c>
    </row>
    <row r="2727" spans="1:37">
      <c r="A2727" t="s">
        <v>40</v>
      </c>
      <c r="B2727" t="s">
        <v>60</v>
      </c>
      <c r="C2727" t="s">
        <v>82</v>
      </c>
      <c r="D2727" t="s">
        <v>101</v>
      </c>
      <c r="E2727" t="s">
        <v>120</v>
      </c>
      <c r="F2727" t="s">
        <v>154</v>
      </c>
      <c r="G2727" t="s">
        <v>180</v>
      </c>
      <c r="H2727" t="s">
        <v>215</v>
      </c>
      <c r="I2727" t="s">
        <v>235</v>
      </c>
      <c r="J2727" t="s">
        <v>253</v>
      </c>
      <c r="K2727" t="s">
        <v>267</v>
      </c>
      <c r="L2727" t="s">
        <v>279</v>
      </c>
      <c r="M2727" t="s">
        <v>288</v>
      </c>
      <c r="N2727" t="s">
        <v>100</v>
      </c>
      <c r="O2727" t="s">
        <v>306</v>
      </c>
      <c r="P2727" t="s">
        <v>313</v>
      </c>
      <c r="Q2727" t="s">
        <v>320</v>
      </c>
      <c r="R2727" t="s">
        <v>325</v>
      </c>
      <c r="S2727" t="s">
        <v>332</v>
      </c>
      <c r="T2727" t="s">
        <v>119</v>
      </c>
      <c r="U2727" t="s">
        <v>234</v>
      </c>
      <c r="V2727" t="s">
        <v>343</v>
      </c>
      <c r="W2727" t="s">
        <v>348</v>
      </c>
      <c r="X2727" t="s">
        <v>352</v>
      </c>
      <c r="Y2727" t="s">
        <v>354</v>
      </c>
      <c r="AK2727" t="s">
        <v>359</v>
      </c>
    </row>
    <row r="2728" spans="1:37">
      <c r="A2728" t="s">
        <v>41</v>
      </c>
      <c r="B2728" t="s">
        <v>61</v>
      </c>
      <c r="C2728" t="s">
        <v>83</v>
      </c>
      <c r="D2728" t="s">
        <v>102</v>
      </c>
      <c r="E2728" t="s">
        <v>121</v>
      </c>
      <c r="F2728" t="s">
        <v>155</v>
      </c>
      <c r="G2728" t="s">
        <v>181</v>
      </c>
      <c r="H2728" t="s">
        <v>216</v>
      </c>
      <c r="I2728" t="s">
        <v>236</v>
      </c>
      <c r="AK2728" t="s">
        <v>359</v>
      </c>
    </row>
    <row r="2729" spans="1:37">
      <c r="A2729" t="s">
        <v>42</v>
      </c>
      <c r="B2729" t="s">
        <v>62</v>
      </c>
      <c r="C2729" t="s">
        <v>84</v>
      </c>
      <c r="D2729" t="s">
        <v>103</v>
      </c>
      <c r="E2729" t="s">
        <v>122</v>
      </c>
      <c r="F2729" t="s">
        <v>156</v>
      </c>
      <c r="G2729" t="s">
        <v>182</v>
      </c>
      <c r="H2729" t="s">
        <v>83</v>
      </c>
      <c r="I2729" t="s">
        <v>237</v>
      </c>
      <c r="J2729" t="s">
        <v>254</v>
      </c>
      <c r="K2729" t="s">
        <v>268</v>
      </c>
      <c r="L2729" t="s">
        <v>280</v>
      </c>
      <c r="M2729" t="s">
        <v>289</v>
      </c>
      <c r="N2729" t="s">
        <v>298</v>
      </c>
      <c r="O2729" t="s">
        <v>307</v>
      </c>
      <c r="P2729" t="s">
        <v>314</v>
      </c>
      <c r="Q2729" t="s">
        <v>216</v>
      </c>
      <c r="R2729" t="s">
        <v>326</v>
      </c>
      <c r="S2729" t="s">
        <v>333</v>
      </c>
      <c r="T2729" t="s">
        <v>335</v>
      </c>
      <c r="U2729" t="s">
        <v>340</v>
      </c>
      <c r="V2729" t="s">
        <v>344</v>
      </c>
      <c r="W2729" t="s">
        <v>349</v>
      </c>
      <c r="AK2729" t="s">
        <v>359</v>
      </c>
    </row>
    <row r="2730" spans="1:37">
      <c r="A2730" t="s">
        <v>43</v>
      </c>
      <c r="B2730" t="s">
        <v>63</v>
      </c>
      <c r="C2730" t="s">
        <v>85</v>
      </c>
      <c r="D2730" t="s">
        <v>104</v>
      </c>
      <c r="E2730" t="s">
        <v>123</v>
      </c>
      <c r="F2730" t="s">
        <v>157</v>
      </c>
      <c r="G2730" t="s">
        <v>183</v>
      </c>
      <c r="AK2730" t="s">
        <v>359</v>
      </c>
    </row>
    <row r="2731" spans="1:37">
      <c r="A2731" t="s">
        <v>44</v>
      </c>
      <c r="B2731" t="s">
        <v>64</v>
      </c>
      <c r="C2731" t="s">
        <v>86</v>
      </c>
      <c r="D2731" t="s">
        <v>105</v>
      </c>
      <c r="E2731" t="s">
        <v>124</v>
      </c>
      <c r="F2731" t="s">
        <v>158</v>
      </c>
      <c r="G2731" t="s">
        <v>184</v>
      </c>
      <c r="AK2731" t="s">
        <v>359</v>
      </c>
    </row>
    <row r="2732" spans="1:37">
      <c r="A2732" t="s">
        <v>45</v>
      </c>
      <c r="B2732" t="s">
        <v>65</v>
      </c>
      <c r="C2732" t="s">
        <v>87</v>
      </c>
      <c r="D2732" t="s">
        <v>106</v>
      </c>
      <c r="E2732" t="s">
        <v>125</v>
      </c>
      <c r="F2732" t="s">
        <v>159</v>
      </c>
      <c r="G2732" t="s">
        <v>185</v>
      </c>
      <c r="H2732" t="s">
        <v>159</v>
      </c>
      <c r="I2732" t="s">
        <v>185</v>
      </c>
      <c r="J2732" t="s">
        <v>255</v>
      </c>
      <c r="AK2732" t="s">
        <v>359</v>
      </c>
    </row>
    <row r="2733" spans="1:37">
      <c r="A2733" t="s">
        <v>46</v>
      </c>
      <c r="B2733" t="s">
        <v>66</v>
      </c>
      <c r="C2733" t="s">
        <v>88</v>
      </c>
      <c r="D2733" t="s">
        <v>76</v>
      </c>
      <c r="E2733" t="s">
        <v>126</v>
      </c>
      <c r="F2733" t="s">
        <v>160</v>
      </c>
      <c r="G2733" t="s">
        <v>186</v>
      </c>
      <c r="H2733" t="s">
        <v>217</v>
      </c>
      <c r="I2733" t="s">
        <v>238</v>
      </c>
      <c r="J2733" t="s">
        <v>256</v>
      </c>
      <c r="K2733" t="s">
        <v>265</v>
      </c>
      <c r="L2733" t="s">
        <v>281</v>
      </c>
      <c r="M2733" t="s">
        <v>290</v>
      </c>
      <c r="N2733" t="s">
        <v>299</v>
      </c>
      <c r="O2733" t="s">
        <v>308</v>
      </c>
      <c r="P2733" t="s">
        <v>228</v>
      </c>
      <c r="Q2733" t="s">
        <v>72</v>
      </c>
      <c r="R2733" t="s">
        <v>327</v>
      </c>
      <c r="S2733" t="s">
        <v>327</v>
      </c>
      <c r="T2733" t="s">
        <v>336</v>
      </c>
      <c r="U2733" t="s">
        <v>336</v>
      </c>
      <c r="V2733" t="s">
        <v>336</v>
      </c>
      <c r="W2733" t="s">
        <v>336</v>
      </c>
      <c r="X2733" t="s">
        <v>353</v>
      </c>
      <c r="AK2733" t="s">
        <v>359</v>
      </c>
    </row>
    <row r="2734" spans="1:37">
      <c r="B2734" t="s">
        <v>67</v>
      </c>
      <c r="C2734" t="s">
        <v>89</v>
      </c>
      <c r="D2734" t="s">
        <v>107</v>
      </c>
      <c r="AK2734" t="s">
        <v>359</v>
      </c>
    </row>
    <row r="2735" spans="1:37">
      <c r="B2735" t="s">
        <v>68</v>
      </c>
      <c r="C2735" t="s">
        <v>90</v>
      </c>
      <c r="D2735" t="s">
        <v>108</v>
      </c>
      <c r="AK2735" t="s">
        <v>359</v>
      </c>
    </row>
    <row r="2736" spans="1:37">
      <c r="A2736" t="s">
        <v>47</v>
      </c>
      <c r="B2736" t="s">
        <v>69</v>
      </c>
      <c r="C2736" t="s">
        <v>91</v>
      </c>
      <c r="D2736" t="s">
        <v>109</v>
      </c>
      <c r="E2736" t="s">
        <v>109</v>
      </c>
      <c r="F2736" t="s">
        <v>109</v>
      </c>
      <c r="G2736" t="s">
        <v>109</v>
      </c>
      <c r="H2736" t="s">
        <v>109</v>
      </c>
      <c r="I2736" t="s">
        <v>239</v>
      </c>
      <c r="AK2736" t="s">
        <v>359</v>
      </c>
    </row>
    <row r="2737" spans="1:37">
      <c r="B2737" t="s">
        <v>70</v>
      </c>
      <c r="C2737" t="s">
        <v>92</v>
      </c>
      <c r="D2737" t="s">
        <v>110</v>
      </c>
      <c r="E2737" t="s">
        <v>127</v>
      </c>
      <c r="F2737" t="s">
        <v>161</v>
      </c>
      <c r="G2737" t="s">
        <v>187</v>
      </c>
      <c r="H2737" t="s">
        <v>218</v>
      </c>
      <c r="AK2737" t="s">
        <v>359</v>
      </c>
    </row>
    <row r="2738" spans="1:37">
      <c r="B2738" t="s">
        <v>71</v>
      </c>
      <c r="C2738" t="s">
        <v>93</v>
      </c>
      <c r="D2738" t="s">
        <v>111</v>
      </c>
      <c r="E2738" t="s">
        <v>128</v>
      </c>
      <c r="F2738" t="s">
        <v>162</v>
      </c>
      <c r="G2738" t="s">
        <v>188</v>
      </c>
      <c r="H2738" t="s">
        <v>219</v>
      </c>
      <c r="I2738" t="s">
        <v>240</v>
      </c>
      <c r="J2738" t="s">
        <v>257</v>
      </c>
      <c r="K2738" t="s">
        <v>269</v>
      </c>
      <c r="L2738" t="s">
        <v>109</v>
      </c>
      <c r="M2738" t="s">
        <v>109</v>
      </c>
      <c r="N2738" t="s">
        <v>109</v>
      </c>
      <c r="O2738" t="s">
        <v>109</v>
      </c>
      <c r="P2738" t="s">
        <v>109</v>
      </c>
      <c r="Q2738" t="s">
        <v>321</v>
      </c>
      <c r="AK2738" t="s">
        <v>359</v>
      </c>
    </row>
    <row r="2739" spans="1:37">
      <c r="A2739" t="s">
        <v>48</v>
      </c>
      <c r="B2739" t="s">
        <v>71</v>
      </c>
      <c r="C2739" t="s">
        <v>93</v>
      </c>
      <c r="D2739" t="s">
        <v>111</v>
      </c>
      <c r="E2739" t="s">
        <v>128</v>
      </c>
      <c r="F2739" t="s">
        <v>163</v>
      </c>
      <c r="G2739" t="s">
        <v>189</v>
      </c>
      <c r="H2739" t="s">
        <v>220</v>
      </c>
      <c r="I2739" t="s">
        <v>241</v>
      </c>
      <c r="J2739" t="s">
        <v>258</v>
      </c>
      <c r="K2739" t="s">
        <v>270</v>
      </c>
      <c r="AK2739" t="s">
        <v>359</v>
      </c>
    </row>
    <row r="2740" spans="1:37">
      <c r="B2740" t="s">
        <v>72</v>
      </c>
      <c r="C2740" t="s">
        <v>72</v>
      </c>
      <c r="D2740" t="s">
        <v>72</v>
      </c>
      <c r="E2740" t="s">
        <v>72</v>
      </c>
      <c r="F2740" t="s">
        <v>72</v>
      </c>
      <c r="G2740" t="s">
        <v>72</v>
      </c>
      <c r="H2740" t="s">
        <v>72</v>
      </c>
      <c r="I2740" t="s">
        <v>72</v>
      </c>
      <c r="J2740" t="s">
        <v>72</v>
      </c>
      <c r="K2740" t="s">
        <v>272</v>
      </c>
      <c r="AK2740" t="s">
        <v>359</v>
      </c>
    </row>
    <row r="2741" spans="1:37">
      <c r="A2741" t="s">
        <v>37</v>
      </c>
      <c r="B2741" t="s">
        <v>49</v>
      </c>
      <c r="C2741" t="s">
        <v>73</v>
      </c>
      <c r="D2741" t="s">
        <v>94</v>
      </c>
      <c r="E2741" t="s">
        <v>112</v>
      </c>
      <c r="F2741" t="s">
        <v>146</v>
      </c>
      <c r="G2741" t="s">
        <v>172</v>
      </c>
      <c r="H2741" t="s">
        <v>207</v>
      </c>
      <c r="I2741" t="s">
        <v>226</v>
      </c>
      <c r="J2741" t="s">
        <v>246</v>
      </c>
      <c r="K2741" t="s">
        <v>259</v>
      </c>
      <c r="AK2741" t="s">
        <v>359</v>
      </c>
    </row>
    <row r="2742" spans="1:37">
      <c r="A2742" t="s">
        <v>38</v>
      </c>
      <c r="B2742" t="s">
        <v>50</v>
      </c>
      <c r="C2742" t="s">
        <v>74</v>
      </c>
      <c r="D2742" t="s">
        <v>95</v>
      </c>
      <c r="E2742" t="s">
        <v>113</v>
      </c>
      <c r="F2742" t="s">
        <v>147</v>
      </c>
      <c r="G2742" t="s">
        <v>173</v>
      </c>
      <c r="H2742" t="s">
        <v>208</v>
      </c>
      <c r="I2742" t="s">
        <v>227</v>
      </c>
      <c r="J2742" t="s">
        <v>115</v>
      </c>
      <c r="K2742" t="s">
        <v>260</v>
      </c>
      <c r="L2742" t="s">
        <v>273</v>
      </c>
      <c r="M2742" t="s">
        <v>282</v>
      </c>
      <c r="N2742" t="s">
        <v>291</v>
      </c>
      <c r="AK2742" t="s">
        <v>359</v>
      </c>
    </row>
    <row r="2743" spans="1:37">
      <c r="B2743" t="s">
        <v>51</v>
      </c>
      <c r="C2743" t="s">
        <v>75</v>
      </c>
      <c r="D2743" t="s">
        <v>52</v>
      </c>
      <c r="E2743" t="s">
        <v>114</v>
      </c>
      <c r="F2743" t="s">
        <v>148</v>
      </c>
      <c r="G2743" t="s">
        <v>148</v>
      </c>
      <c r="H2743" t="s">
        <v>209</v>
      </c>
      <c r="I2743" t="s">
        <v>228</v>
      </c>
      <c r="J2743" t="s">
        <v>247</v>
      </c>
      <c r="K2743" t="s">
        <v>261</v>
      </c>
      <c r="L2743" t="s">
        <v>274</v>
      </c>
      <c r="M2743" t="s">
        <v>283</v>
      </c>
      <c r="N2743" t="s">
        <v>292</v>
      </c>
      <c r="O2743" t="s">
        <v>300</v>
      </c>
      <c r="AK2743" t="s">
        <v>359</v>
      </c>
    </row>
    <row r="2744" spans="1:37">
      <c r="B2744" t="s">
        <v>52</v>
      </c>
      <c r="C2744" t="s">
        <v>76</v>
      </c>
      <c r="D2744" t="s">
        <v>96</v>
      </c>
      <c r="E2744" t="s">
        <v>115</v>
      </c>
      <c r="F2744" t="s">
        <v>149</v>
      </c>
      <c r="G2744" t="s">
        <v>174</v>
      </c>
      <c r="H2744" t="s">
        <v>96</v>
      </c>
      <c r="I2744" t="s">
        <v>229</v>
      </c>
      <c r="J2744" t="s">
        <v>248</v>
      </c>
      <c r="K2744" t="s">
        <v>262</v>
      </c>
      <c r="L2744" t="s">
        <v>52</v>
      </c>
      <c r="M2744" t="s">
        <v>76</v>
      </c>
      <c r="N2744" t="s">
        <v>293</v>
      </c>
      <c r="O2744" t="s">
        <v>301</v>
      </c>
      <c r="P2744" t="s">
        <v>309</v>
      </c>
      <c r="Q2744" t="s">
        <v>315</v>
      </c>
      <c r="R2744" t="s">
        <v>228</v>
      </c>
      <c r="S2744" t="s">
        <v>328</v>
      </c>
      <c r="T2744" t="s">
        <v>149</v>
      </c>
      <c r="U2744" t="s">
        <v>337</v>
      </c>
      <c r="V2744" t="s">
        <v>341</v>
      </c>
      <c r="W2744" t="s">
        <v>345</v>
      </c>
      <c r="X2744" t="s">
        <v>350</v>
      </c>
      <c r="AK2744" t="s">
        <v>359</v>
      </c>
    </row>
    <row r="2745" spans="1:37">
      <c r="B2745" t="s">
        <v>53</v>
      </c>
      <c r="C2745" t="s">
        <v>77</v>
      </c>
      <c r="D2745" t="s">
        <v>97</v>
      </c>
      <c r="E2745" t="s">
        <v>116</v>
      </c>
      <c r="F2745" t="s">
        <v>150</v>
      </c>
      <c r="G2745" t="s">
        <v>175</v>
      </c>
      <c r="H2745" t="s">
        <v>210</v>
      </c>
      <c r="I2745" t="s">
        <v>230</v>
      </c>
      <c r="J2745" t="s">
        <v>249</v>
      </c>
      <c r="K2745" t="s">
        <v>263</v>
      </c>
      <c r="L2745" t="s">
        <v>275</v>
      </c>
      <c r="M2745" t="s">
        <v>284</v>
      </c>
      <c r="N2745" t="s">
        <v>294</v>
      </c>
      <c r="O2745" t="s">
        <v>302</v>
      </c>
      <c r="P2745" t="s">
        <v>310</v>
      </c>
      <c r="Q2745" t="s">
        <v>316</v>
      </c>
      <c r="R2745" t="s">
        <v>322</v>
      </c>
      <c r="S2745" t="s">
        <v>329</v>
      </c>
      <c r="AK2745" t="s">
        <v>359</v>
      </c>
    </row>
    <row r="2746" spans="1:37">
      <c r="A2746" t="s">
        <v>39</v>
      </c>
      <c r="B2746" t="s">
        <v>54</v>
      </c>
      <c r="C2746" t="s">
        <v>54</v>
      </c>
      <c r="D2746" t="s">
        <v>54</v>
      </c>
      <c r="E2746" t="s">
        <v>54</v>
      </c>
      <c r="F2746" t="s">
        <v>54</v>
      </c>
      <c r="G2746" t="s">
        <v>54</v>
      </c>
      <c r="H2746" t="s">
        <v>54</v>
      </c>
      <c r="I2746" t="s">
        <v>54</v>
      </c>
      <c r="J2746" t="s">
        <v>54</v>
      </c>
      <c r="K2746" t="s">
        <v>54</v>
      </c>
      <c r="L2746" t="s">
        <v>54</v>
      </c>
      <c r="M2746" t="s">
        <v>54</v>
      </c>
      <c r="N2746" t="s">
        <v>54</v>
      </c>
      <c r="O2746" t="s">
        <v>54</v>
      </c>
      <c r="P2746" t="s">
        <v>54</v>
      </c>
      <c r="Q2746" t="s">
        <v>54</v>
      </c>
      <c r="R2746" t="s">
        <v>323</v>
      </c>
      <c r="S2746" t="s">
        <v>330</v>
      </c>
      <c r="AK2746" t="s">
        <v>359</v>
      </c>
    </row>
    <row r="2747" spans="1:37">
      <c r="B2747" t="s">
        <v>55</v>
      </c>
      <c r="C2747" t="s">
        <v>78</v>
      </c>
      <c r="D2747" t="s">
        <v>55</v>
      </c>
      <c r="E2747" t="s">
        <v>78</v>
      </c>
      <c r="F2747" t="s">
        <v>55</v>
      </c>
      <c r="G2747" t="s">
        <v>78</v>
      </c>
      <c r="H2747" t="s">
        <v>55</v>
      </c>
      <c r="I2747" t="s">
        <v>78</v>
      </c>
      <c r="J2747" t="s">
        <v>55</v>
      </c>
      <c r="K2747" t="s">
        <v>78</v>
      </c>
      <c r="L2747" t="s">
        <v>55</v>
      </c>
      <c r="M2747" t="s">
        <v>78</v>
      </c>
      <c r="N2747" t="s">
        <v>55</v>
      </c>
      <c r="O2747" t="s">
        <v>78</v>
      </c>
      <c r="P2747" t="s">
        <v>55</v>
      </c>
      <c r="Q2747" t="s">
        <v>78</v>
      </c>
      <c r="R2747" t="s">
        <v>55</v>
      </c>
      <c r="S2747" t="s">
        <v>78</v>
      </c>
      <c r="T2747" t="s">
        <v>55</v>
      </c>
      <c r="U2747" t="s">
        <v>78</v>
      </c>
      <c r="V2747" t="s">
        <v>55</v>
      </c>
      <c r="W2747" t="s">
        <v>78</v>
      </c>
      <c r="X2747" t="s">
        <v>55</v>
      </c>
      <c r="Y2747" t="s">
        <v>78</v>
      </c>
      <c r="Z2747" t="s">
        <v>55</v>
      </c>
      <c r="AA2747" t="s">
        <v>78</v>
      </c>
      <c r="AB2747" t="s">
        <v>55</v>
      </c>
      <c r="AC2747" t="s">
        <v>78</v>
      </c>
      <c r="AD2747" t="s">
        <v>55</v>
      </c>
      <c r="AE2747" t="s">
        <v>78</v>
      </c>
      <c r="AF2747" t="s">
        <v>55</v>
      </c>
      <c r="AG2747" t="s">
        <v>78</v>
      </c>
      <c r="AH2747" t="s">
        <v>55</v>
      </c>
      <c r="AI2747" t="s">
        <v>78</v>
      </c>
      <c r="AK2747" t="s">
        <v>359</v>
      </c>
    </row>
    <row r="2748" spans="1:37">
      <c r="B2748" t="s">
        <v>56</v>
      </c>
      <c r="C2748" t="s">
        <v>56</v>
      </c>
      <c r="D2748" t="s">
        <v>56</v>
      </c>
      <c r="E2748" t="s">
        <v>56</v>
      </c>
      <c r="F2748" t="s">
        <v>56</v>
      </c>
      <c r="G2748" t="s">
        <v>176</v>
      </c>
      <c r="H2748" t="s">
        <v>211</v>
      </c>
      <c r="I2748" t="s">
        <v>231</v>
      </c>
      <c r="J2748" t="s">
        <v>250</v>
      </c>
      <c r="K2748" t="s">
        <v>264</v>
      </c>
      <c r="L2748" t="s">
        <v>276</v>
      </c>
      <c r="M2748" t="s">
        <v>285</v>
      </c>
      <c r="N2748" t="s">
        <v>295</v>
      </c>
      <c r="O2748" t="s">
        <v>303</v>
      </c>
      <c r="P2748" t="s">
        <v>56</v>
      </c>
      <c r="Q2748" t="s">
        <v>317</v>
      </c>
      <c r="R2748" t="s">
        <v>324</v>
      </c>
      <c r="S2748" t="s">
        <v>331</v>
      </c>
      <c r="T2748" t="s">
        <v>334</v>
      </c>
      <c r="U2748" t="s">
        <v>338</v>
      </c>
      <c r="V2748" t="s">
        <v>342</v>
      </c>
      <c r="W2748" t="s">
        <v>346</v>
      </c>
      <c r="X2748" t="s">
        <v>351</v>
      </c>
      <c r="AK2748" t="s">
        <v>359</v>
      </c>
    </row>
    <row r="2749" spans="1:37">
      <c r="B2749" t="s">
        <v>57</v>
      </c>
      <c r="C2749" t="s">
        <v>79</v>
      </c>
      <c r="D2749" t="s">
        <v>98</v>
      </c>
      <c r="E2749" t="s">
        <v>117</v>
      </c>
      <c r="F2749" t="s">
        <v>151</v>
      </c>
      <c r="G2749" t="s">
        <v>177</v>
      </c>
      <c r="H2749" t="s">
        <v>212</v>
      </c>
      <c r="I2749" t="s">
        <v>232</v>
      </c>
      <c r="J2749" t="s">
        <v>251</v>
      </c>
      <c r="K2749" t="s">
        <v>265</v>
      </c>
      <c r="L2749" t="s">
        <v>277</v>
      </c>
      <c r="M2749" t="s">
        <v>286</v>
      </c>
      <c r="N2749" t="s">
        <v>296</v>
      </c>
      <c r="O2749" t="s">
        <v>304</v>
      </c>
      <c r="P2749" t="s">
        <v>311</v>
      </c>
      <c r="Q2749" t="s">
        <v>318</v>
      </c>
      <c r="R2749" t="s">
        <v>185</v>
      </c>
      <c r="S2749" t="s">
        <v>159</v>
      </c>
      <c r="T2749" t="s">
        <v>185</v>
      </c>
      <c r="U2749" t="s">
        <v>339</v>
      </c>
      <c r="V2749" t="s">
        <v>72</v>
      </c>
      <c r="W2749" t="s">
        <v>347</v>
      </c>
      <c r="X2749" t="s">
        <v>72</v>
      </c>
      <c r="Y2749" t="s">
        <v>96</v>
      </c>
      <c r="AK2749" t="s">
        <v>359</v>
      </c>
    </row>
    <row r="2750" spans="1:37">
      <c r="B2750" t="s">
        <v>58</v>
      </c>
      <c r="C2750" t="s">
        <v>80</v>
      </c>
      <c r="D2750" t="s">
        <v>99</v>
      </c>
      <c r="E2750" t="s">
        <v>118</v>
      </c>
      <c r="F2750" t="s">
        <v>152</v>
      </c>
      <c r="G2750" t="s">
        <v>178</v>
      </c>
      <c r="H2750" t="s">
        <v>213</v>
      </c>
      <c r="I2750" t="s">
        <v>233</v>
      </c>
      <c r="J2750" t="s">
        <v>252</v>
      </c>
      <c r="K2750" t="s">
        <v>266</v>
      </c>
      <c r="L2750" t="s">
        <v>278</v>
      </c>
      <c r="M2750" t="s">
        <v>287</v>
      </c>
      <c r="N2750" t="s">
        <v>297</v>
      </c>
      <c r="O2750" t="s">
        <v>305</v>
      </c>
      <c r="P2750" t="s">
        <v>312</v>
      </c>
      <c r="Q2750" t="s">
        <v>319</v>
      </c>
      <c r="R2750">
        <f>&gt;10       ветра      1.8     15  20</f>
        <v>0</v>
      </c>
      <c r="AK2750" t="s">
        <v>359</v>
      </c>
    </row>
    <row r="2751" spans="1:37">
      <c r="A2751" t="s">
        <v>40</v>
      </c>
      <c r="B2751" t="s">
        <v>59</v>
      </c>
      <c r="C2751" t="s">
        <v>81</v>
      </c>
      <c r="D2751" t="s">
        <v>100</v>
      </c>
      <c r="E2751" t="s">
        <v>119</v>
      </c>
      <c r="F2751" t="s">
        <v>153</v>
      </c>
      <c r="G2751" t="s">
        <v>179</v>
      </c>
      <c r="H2751" t="s">
        <v>214</v>
      </c>
      <c r="I2751" t="s">
        <v>234</v>
      </c>
      <c r="AK2751" t="s">
        <v>359</v>
      </c>
    </row>
    <row r="2752" spans="1:37">
      <c r="A2752" t="s">
        <v>40</v>
      </c>
      <c r="B2752" t="s">
        <v>60</v>
      </c>
      <c r="C2752" t="s">
        <v>82</v>
      </c>
      <c r="D2752" t="s">
        <v>101</v>
      </c>
      <c r="E2752" t="s">
        <v>120</v>
      </c>
      <c r="F2752" t="s">
        <v>154</v>
      </c>
      <c r="G2752" t="s">
        <v>180</v>
      </c>
      <c r="H2752" t="s">
        <v>215</v>
      </c>
      <c r="I2752" t="s">
        <v>235</v>
      </c>
      <c r="J2752" t="s">
        <v>253</v>
      </c>
      <c r="K2752" t="s">
        <v>267</v>
      </c>
      <c r="L2752" t="s">
        <v>279</v>
      </c>
      <c r="M2752" t="s">
        <v>288</v>
      </c>
      <c r="N2752" t="s">
        <v>100</v>
      </c>
      <c r="O2752" t="s">
        <v>306</v>
      </c>
      <c r="P2752" t="s">
        <v>313</v>
      </c>
      <c r="Q2752" t="s">
        <v>320</v>
      </c>
      <c r="R2752" t="s">
        <v>325</v>
      </c>
      <c r="S2752" t="s">
        <v>332</v>
      </c>
      <c r="T2752" t="s">
        <v>119</v>
      </c>
      <c r="U2752" t="s">
        <v>234</v>
      </c>
      <c r="V2752" t="s">
        <v>343</v>
      </c>
      <c r="W2752" t="s">
        <v>348</v>
      </c>
      <c r="X2752" t="s">
        <v>352</v>
      </c>
      <c r="Y2752" t="s">
        <v>354</v>
      </c>
      <c r="AK2752" t="s">
        <v>359</v>
      </c>
    </row>
    <row r="2753" spans="1:37">
      <c r="A2753" t="s">
        <v>41</v>
      </c>
      <c r="B2753" t="s">
        <v>61</v>
      </c>
      <c r="C2753" t="s">
        <v>83</v>
      </c>
      <c r="D2753" t="s">
        <v>102</v>
      </c>
      <c r="E2753" t="s">
        <v>121</v>
      </c>
      <c r="F2753" t="s">
        <v>155</v>
      </c>
      <c r="G2753" t="s">
        <v>181</v>
      </c>
      <c r="H2753" t="s">
        <v>216</v>
      </c>
      <c r="I2753" t="s">
        <v>236</v>
      </c>
      <c r="AK2753" t="s">
        <v>359</v>
      </c>
    </row>
    <row r="2754" spans="1:37">
      <c r="A2754" t="s">
        <v>42</v>
      </c>
      <c r="B2754" t="s">
        <v>62</v>
      </c>
      <c r="C2754" t="s">
        <v>84</v>
      </c>
      <c r="D2754" t="s">
        <v>103</v>
      </c>
      <c r="E2754" t="s">
        <v>122</v>
      </c>
      <c r="F2754" t="s">
        <v>156</v>
      </c>
      <c r="G2754" t="s">
        <v>182</v>
      </c>
      <c r="H2754" t="s">
        <v>83</v>
      </c>
      <c r="I2754" t="s">
        <v>237</v>
      </c>
      <c r="J2754" t="s">
        <v>254</v>
      </c>
      <c r="K2754" t="s">
        <v>268</v>
      </c>
      <c r="L2754" t="s">
        <v>280</v>
      </c>
      <c r="M2754" t="s">
        <v>289</v>
      </c>
      <c r="N2754" t="s">
        <v>298</v>
      </c>
      <c r="O2754" t="s">
        <v>307</v>
      </c>
      <c r="P2754" t="s">
        <v>314</v>
      </c>
      <c r="Q2754" t="s">
        <v>216</v>
      </c>
      <c r="R2754" t="s">
        <v>326</v>
      </c>
      <c r="S2754" t="s">
        <v>333</v>
      </c>
      <c r="T2754" t="s">
        <v>335</v>
      </c>
      <c r="U2754" t="s">
        <v>340</v>
      </c>
      <c r="V2754" t="s">
        <v>344</v>
      </c>
      <c r="W2754" t="s">
        <v>349</v>
      </c>
      <c r="AK2754" t="s">
        <v>359</v>
      </c>
    </row>
    <row r="2755" spans="1:37">
      <c r="A2755" t="s">
        <v>43</v>
      </c>
      <c r="B2755" t="s">
        <v>63</v>
      </c>
      <c r="C2755" t="s">
        <v>85</v>
      </c>
      <c r="D2755" t="s">
        <v>104</v>
      </c>
      <c r="E2755" t="s">
        <v>123</v>
      </c>
      <c r="F2755" t="s">
        <v>157</v>
      </c>
      <c r="G2755" t="s">
        <v>183</v>
      </c>
      <c r="AK2755" t="s">
        <v>359</v>
      </c>
    </row>
    <row r="2756" spans="1:37">
      <c r="A2756" t="s">
        <v>44</v>
      </c>
      <c r="B2756" t="s">
        <v>64</v>
      </c>
      <c r="C2756" t="s">
        <v>86</v>
      </c>
      <c r="D2756" t="s">
        <v>105</v>
      </c>
      <c r="E2756" t="s">
        <v>124</v>
      </c>
      <c r="F2756" t="s">
        <v>158</v>
      </c>
      <c r="G2756" t="s">
        <v>184</v>
      </c>
      <c r="AK2756" t="s">
        <v>359</v>
      </c>
    </row>
    <row r="2757" spans="1:37">
      <c r="A2757" t="s">
        <v>45</v>
      </c>
      <c r="B2757" t="s">
        <v>65</v>
      </c>
      <c r="C2757" t="s">
        <v>87</v>
      </c>
      <c r="D2757" t="s">
        <v>106</v>
      </c>
      <c r="E2757" t="s">
        <v>125</v>
      </c>
      <c r="F2757" t="s">
        <v>159</v>
      </c>
      <c r="G2757" t="s">
        <v>185</v>
      </c>
      <c r="H2757" t="s">
        <v>159</v>
      </c>
      <c r="I2757" t="s">
        <v>185</v>
      </c>
      <c r="J2757" t="s">
        <v>255</v>
      </c>
      <c r="AK2757" t="s">
        <v>359</v>
      </c>
    </row>
    <row r="2758" spans="1:37">
      <c r="A2758" t="s">
        <v>46</v>
      </c>
      <c r="B2758" t="s">
        <v>66</v>
      </c>
      <c r="C2758" t="s">
        <v>88</v>
      </c>
      <c r="D2758" t="s">
        <v>76</v>
      </c>
      <c r="E2758" t="s">
        <v>126</v>
      </c>
      <c r="F2758" t="s">
        <v>160</v>
      </c>
      <c r="G2758" t="s">
        <v>186</v>
      </c>
      <c r="H2758" t="s">
        <v>217</v>
      </c>
      <c r="I2758" t="s">
        <v>238</v>
      </c>
      <c r="J2758" t="s">
        <v>256</v>
      </c>
      <c r="K2758" t="s">
        <v>265</v>
      </c>
      <c r="L2758" t="s">
        <v>281</v>
      </c>
      <c r="M2758" t="s">
        <v>290</v>
      </c>
      <c r="N2758" t="s">
        <v>299</v>
      </c>
      <c r="O2758" t="s">
        <v>308</v>
      </c>
      <c r="P2758" t="s">
        <v>228</v>
      </c>
      <c r="Q2758" t="s">
        <v>72</v>
      </c>
      <c r="R2758" t="s">
        <v>327</v>
      </c>
      <c r="S2758" t="s">
        <v>327</v>
      </c>
      <c r="T2758" t="s">
        <v>336</v>
      </c>
      <c r="U2758" t="s">
        <v>336</v>
      </c>
      <c r="V2758" t="s">
        <v>336</v>
      </c>
      <c r="W2758" t="s">
        <v>336</v>
      </c>
      <c r="X2758" t="s">
        <v>353</v>
      </c>
      <c r="AK2758" t="s">
        <v>359</v>
      </c>
    </row>
    <row r="2759" spans="1:37">
      <c r="B2759" t="s">
        <v>67</v>
      </c>
      <c r="C2759" t="s">
        <v>89</v>
      </c>
      <c r="D2759" t="s">
        <v>107</v>
      </c>
      <c r="AK2759" t="s">
        <v>359</v>
      </c>
    </row>
    <row r="2760" spans="1:37">
      <c r="B2760" t="s">
        <v>68</v>
      </c>
      <c r="C2760" t="s">
        <v>90</v>
      </c>
      <c r="D2760" t="s">
        <v>108</v>
      </c>
      <c r="AK2760" t="s">
        <v>359</v>
      </c>
    </row>
    <row r="2761" spans="1:37">
      <c r="A2761" t="s">
        <v>47</v>
      </c>
      <c r="B2761" t="s">
        <v>69</v>
      </c>
      <c r="C2761" t="s">
        <v>91</v>
      </c>
      <c r="D2761" t="s">
        <v>109</v>
      </c>
      <c r="E2761" t="s">
        <v>109</v>
      </c>
      <c r="F2761" t="s">
        <v>109</v>
      </c>
      <c r="G2761" t="s">
        <v>109</v>
      </c>
      <c r="H2761" t="s">
        <v>109</v>
      </c>
      <c r="I2761" t="s">
        <v>239</v>
      </c>
      <c r="AK2761" t="s">
        <v>359</v>
      </c>
    </row>
    <row r="2762" spans="1:37">
      <c r="B2762" t="s">
        <v>70</v>
      </c>
      <c r="C2762" t="s">
        <v>92</v>
      </c>
      <c r="D2762" t="s">
        <v>110</v>
      </c>
      <c r="E2762" t="s">
        <v>127</v>
      </c>
      <c r="F2762" t="s">
        <v>161</v>
      </c>
      <c r="G2762" t="s">
        <v>187</v>
      </c>
      <c r="H2762" t="s">
        <v>218</v>
      </c>
      <c r="AK2762" t="s">
        <v>359</v>
      </c>
    </row>
    <row r="2763" spans="1:37">
      <c r="B2763" t="s">
        <v>71</v>
      </c>
      <c r="C2763" t="s">
        <v>93</v>
      </c>
      <c r="D2763" t="s">
        <v>111</v>
      </c>
      <c r="E2763" t="s">
        <v>128</v>
      </c>
      <c r="F2763" t="s">
        <v>162</v>
      </c>
      <c r="G2763" t="s">
        <v>188</v>
      </c>
      <c r="H2763" t="s">
        <v>219</v>
      </c>
      <c r="I2763" t="s">
        <v>240</v>
      </c>
      <c r="J2763" t="s">
        <v>257</v>
      </c>
      <c r="K2763" t="s">
        <v>269</v>
      </c>
      <c r="L2763" t="s">
        <v>109</v>
      </c>
      <c r="M2763" t="s">
        <v>109</v>
      </c>
      <c r="N2763" t="s">
        <v>109</v>
      </c>
      <c r="O2763" t="s">
        <v>109</v>
      </c>
      <c r="P2763" t="s">
        <v>109</v>
      </c>
      <c r="Q2763" t="s">
        <v>321</v>
      </c>
      <c r="AK2763" t="s">
        <v>359</v>
      </c>
    </row>
    <row r="2764" spans="1:37">
      <c r="A2764" t="s">
        <v>48</v>
      </c>
      <c r="B2764" t="s">
        <v>71</v>
      </c>
      <c r="C2764" t="s">
        <v>93</v>
      </c>
      <c r="D2764" t="s">
        <v>111</v>
      </c>
      <c r="E2764" t="s">
        <v>128</v>
      </c>
      <c r="F2764" t="s">
        <v>163</v>
      </c>
      <c r="G2764" t="s">
        <v>189</v>
      </c>
      <c r="H2764" t="s">
        <v>220</v>
      </c>
      <c r="I2764" t="s">
        <v>241</v>
      </c>
      <c r="J2764" t="s">
        <v>258</v>
      </c>
      <c r="K2764" t="s">
        <v>270</v>
      </c>
      <c r="AK2764" t="s">
        <v>359</v>
      </c>
    </row>
    <row r="2765" spans="1:37">
      <c r="B2765" t="s">
        <v>72</v>
      </c>
      <c r="C2765" t="s">
        <v>72</v>
      </c>
      <c r="D2765" t="s">
        <v>72</v>
      </c>
      <c r="E2765" t="s">
        <v>139</v>
      </c>
      <c r="F2765" t="s">
        <v>139</v>
      </c>
      <c r="G2765" t="s">
        <v>192</v>
      </c>
      <c r="H2765" t="s">
        <v>192</v>
      </c>
      <c r="I2765" t="s">
        <v>192</v>
      </c>
      <c r="J2765" t="s">
        <v>192</v>
      </c>
      <c r="K2765" t="s">
        <v>271</v>
      </c>
      <c r="AK2765" t="s">
        <v>359</v>
      </c>
    </row>
    <row r="2766" spans="1:37">
      <c r="A2766" t="s">
        <v>37</v>
      </c>
      <c r="B2766" t="s">
        <v>49</v>
      </c>
      <c r="C2766" t="s">
        <v>73</v>
      </c>
      <c r="D2766" t="s">
        <v>94</v>
      </c>
      <c r="E2766" t="s">
        <v>112</v>
      </c>
      <c r="F2766" t="s">
        <v>146</v>
      </c>
      <c r="G2766" t="s">
        <v>172</v>
      </c>
      <c r="H2766" t="s">
        <v>207</v>
      </c>
      <c r="I2766" t="s">
        <v>226</v>
      </c>
      <c r="J2766" t="s">
        <v>246</v>
      </c>
      <c r="K2766" t="s">
        <v>259</v>
      </c>
      <c r="AK2766" t="s">
        <v>359</v>
      </c>
    </row>
    <row r="2767" spans="1:37">
      <c r="A2767" t="s">
        <v>38</v>
      </c>
      <c r="B2767" t="s">
        <v>50</v>
      </c>
      <c r="C2767" t="s">
        <v>74</v>
      </c>
      <c r="D2767" t="s">
        <v>95</v>
      </c>
      <c r="E2767" t="s">
        <v>113</v>
      </c>
      <c r="F2767" t="s">
        <v>147</v>
      </c>
      <c r="G2767" t="s">
        <v>173</v>
      </c>
      <c r="H2767" t="s">
        <v>208</v>
      </c>
      <c r="I2767" t="s">
        <v>227</v>
      </c>
      <c r="J2767" t="s">
        <v>115</v>
      </c>
      <c r="K2767" t="s">
        <v>260</v>
      </c>
      <c r="L2767" t="s">
        <v>273</v>
      </c>
      <c r="M2767" t="s">
        <v>282</v>
      </c>
      <c r="N2767" t="s">
        <v>291</v>
      </c>
      <c r="AK2767" t="s">
        <v>359</v>
      </c>
    </row>
    <row r="2768" spans="1:37">
      <c r="B2768" t="s">
        <v>51</v>
      </c>
      <c r="C2768" t="s">
        <v>75</v>
      </c>
      <c r="D2768" t="s">
        <v>52</v>
      </c>
      <c r="E2768" t="s">
        <v>114</v>
      </c>
      <c r="F2768" t="s">
        <v>148</v>
      </c>
      <c r="G2768" t="s">
        <v>148</v>
      </c>
      <c r="H2768" t="s">
        <v>209</v>
      </c>
      <c r="I2768" t="s">
        <v>228</v>
      </c>
      <c r="J2768" t="s">
        <v>247</v>
      </c>
      <c r="K2768" t="s">
        <v>261</v>
      </c>
      <c r="L2768" t="s">
        <v>274</v>
      </c>
      <c r="M2768" t="s">
        <v>283</v>
      </c>
      <c r="N2768" t="s">
        <v>292</v>
      </c>
      <c r="O2768" t="s">
        <v>300</v>
      </c>
      <c r="AK2768" t="s">
        <v>359</v>
      </c>
    </row>
    <row r="2769" spans="1:37">
      <c r="B2769" t="s">
        <v>52</v>
      </c>
      <c r="C2769" t="s">
        <v>76</v>
      </c>
      <c r="D2769" t="s">
        <v>96</v>
      </c>
      <c r="E2769" t="s">
        <v>115</v>
      </c>
      <c r="F2769" t="s">
        <v>149</v>
      </c>
      <c r="G2769" t="s">
        <v>174</v>
      </c>
      <c r="H2769" t="s">
        <v>96</v>
      </c>
      <c r="I2769" t="s">
        <v>229</v>
      </c>
      <c r="J2769" t="s">
        <v>248</v>
      </c>
      <c r="K2769" t="s">
        <v>262</v>
      </c>
      <c r="L2769" t="s">
        <v>52</v>
      </c>
      <c r="M2769" t="s">
        <v>76</v>
      </c>
      <c r="N2769" t="s">
        <v>293</v>
      </c>
      <c r="O2769" t="s">
        <v>301</v>
      </c>
      <c r="P2769" t="s">
        <v>309</v>
      </c>
      <c r="Q2769" t="s">
        <v>315</v>
      </c>
      <c r="R2769" t="s">
        <v>228</v>
      </c>
      <c r="S2769" t="s">
        <v>328</v>
      </c>
      <c r="T2769" t="s">
        <v>149</v>
      </c>
      <c r="U2769" t="s">
        <v>337</v>
      </c>
      <c r="V2769" t="s">
        <v>341</v>
      </c>
      <c r="W2769" t="s">
        <v>345</v>
      </c>
      <c r="X2769" t="s">
        <v>350</v>
      </c>
      <c r="AK2769" t="s">
        <v>359</v>
      </c>
    </row>
    <row r="2770" spans="1:37">
      <c r="B2770" t="s">
        <v>53</v>
      </c>
      <c r="C2770" t="s">
        <v>77</v>
      </c>
      <c r="D2770" t="s">
        <v>97</v>
      </c>
      <c r="E2770" t="s">
        <v>116</v>
      </c>
      <c r="F2770" t="s">
        <v>150</v>
      </c>
      <c r="G2770" t="s">
        <v>175</v>
      </c>
      <c r="H2770" t="s">
        <v>210</v>
      </c>
      <c r="I2770" t="s">
        <v>230</v>
      </c>
      <c r="J2770" t="s">
        <v>249</v>
      </c>
      <c r="K2770" t="s">
        <v>263</v>
      </c>
      <c r="L2770" t="s">
        <v>275</v>
      </c>
      <c r="M2770" t="s">
        <v>284</v>
      </c>
      <c r="N2770" t="s">
        <v>294</v>
      </c>
      <c r="O2770" t="s">
        <v>302</v>
      </c>
      <c r="P2770" t="s">
        <v>310</v>
      </c>
      <c r="Q2770" t="s">
        <v>316</v>
      </c>
      <c r="R2770" t="s">
        <v>322</v>
      </c>
      <c r="S2770" t="s">
        <v>329</v>
      </c>
      <c r="AK2770" t="s">
        <v>359</v>
      </c>
    </row>
    <row r="2771" spans="1:37">
      <c r="A2771" t="s">
        <v>39</v>
      </c>
      <c r="B2771" t="s">
        <v>54</v>
      </c>
      <c r="C2771" t="s">
        <v>54</v>
      </c>
      <c r="D2771" t="s">
        <v>54</v>
      </c>
      <c r="E2771" t="s">
        <v>54</v>
      </c>
      <c r="F2771" t="s">
        <v>54</v>
      </c>
      <c r="G2771" t="s">
        <v>54</v>
      </c>
      <c r="H2771" t="s">
        <v>54</v>
      </c>
      <c r="I2771" t="s">
        <v>54</v>
      </c>
      <c r="J2771" t="s">
        <v>54</v>
      </c>
      <c r="K2771" t="s">
        <v>54</v>
      </c>
      <c r="L2771" t="s">
        <v>54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 t="s">
        <v>323</v>
      </c>
      <c r="S2771" t="s">
        <v>330</v>
      </c>
      <c r="AK2771" t="s">
        <v>359</v>
      </c>
    </row>
    <row r="2772" spans="1:37">
      <c r="B2772" t="s">
        <v>55</v>
      </c>
      <c r="C2772" t="s">
        <v>78</v>
      </c>
      <c r="D2772" t="s">
        <v>55</v>
      </c>
      <c r="E2772" t="s">
        <v>78</v>
      </c>
      <c r="F2772" t="s">
        <v>55</v>
      </c>
      <c r="G2772" t="s">
        <v>78</v>
      </c>
      <c r="H2772" t="s">
        <v>55</v>
      </c>
      <c r="I2772" t="s">
        <v>78</v>
      </c>
      <c r="J2772" t="s">
        <v>55</v>
      </c>
      <c r="K2772" t="s">
        <v>78</v>
      </c>
      <c r="L2772" t="s">
        <v>55</v>
      </c>
      <c r="M2772" t="s">
        <v>78</v>
      </c>
      <c r="N2772" t="s">
        <v>55</v>
      </c>
      <c r="O2772" t="s">
        <v>78</v>
      </c>
      <c r="P2772" t="s">
        <v>55</v>
      </c>
      <c r="Q2772" t="s">
        <v>78</v>
      </c>
      <c r="R2772" t="s">
        <v>55</v>
      </c>
      <c r="S2772" t="s">
        <v>78</v>
      </c>
      <c r="T2772" t="s">
        <v>55</v>
      </c>
      <c r="U2772" t="s">
        <v>78</v>
      </c>
      <c r="V2772" t="s">
        <v>55</v>
      </c>
      <c r="W2772" t="s">
        <v>78</v>
      </c>
      <c r="X2772" t="s">
        <v>55</v>
      </c>
      <c r="Y2772" t="s">
        <v>78</v>
      </c>
      <c r="Z2772" t="s">
        <v>55</v>
      </c>
      <c r="AA2772" t="s">
        <v>78</v>
      </c>
      <c r="AB2772" t="s">
        <v>55</v>
      </c>
      <c r="AC2772" t="s">
        <v>78</v>
      </c>
      <c r="AD2772" t="s">
        <v>55</v>
      </c>
      <c r="AE2772" t="s">
        <v>78</v>
      </c>
      <c r="AF2772" t="s">
        <v>55</v>
      </c>
      <c r="AG2772" t="s">
        <v>78</v>
      </c>
      <c r="AH2772" t="s">
        <v>55</v>
      </c>
      <c r="AI2772" t="s">
        <v>78</v>
      </c>
      <c r="AK2772" t="s">
        <v>359</v>
      </c>
    </row>
    <row r="2773" spans="1:37">
      <c r="B2773" t="s">
        <v>56</v>
      </c>
      <c r="C2773" t="s">
        <v>56</v>
      </c>
      <c r="D2773" t="s">
        <v>56</v>
      </c>
      <c r="E2773" t="s">
        <v>56</v>
      </c>
      <c r="F2773" t="s">
        <v>56</v>
      </c>
      <c r="G2773" t="s">
        <v>176</v>
      </c>
      <c r="H2773" t="s">
        <v>211</v>
      </c>
      <c r="I2773" t="s">
        <v>231</v>
      </c>
      <c r="J2773" t="s">
        <v>250</v>
      </c>
      <c r="K2773" t="s">
        <v>264</v>
      </c>
      <c r="L2773" t="s">
        <v>276</v>
      </c>
      <c r="M2773" t="s">
        <v>285</v>
      </c>
      <c r="N2773" t="s">
        <v>295</v>
      </c>
      <c r="O2773" t="s">
        <v>303</v>
      </c>
      <c r="P2773" t="s">
        <v>56</v>
      </c>
      <c r="Q2773" t="s">
        <v>317</v>
      </c>
      <c r="R2773" t="s">
        <v>324</v>
      </c>
      <c r="S2773" t="s">
        <v>331</v>
      </c>
      <c r="T2773" t="s">
        <v>334</v>
      </c>
      <c r="U2773" t="s">
        <v>338</v>
      </c>
      <c r="V2773" t="s">
        <v>342</v>
      </c>
      <c r="W2773" t="s">
        <v>346</v>
      </c>
      <c r="X2773" t="s">
        <v>351</v>
      </c>
      <c r="AK2773" t="s">
        <v>359</v>
      </c>
    </row>
    <row r="2774" spans="1:37">
      <c r="B2774" t="s">
        <v>57</v>
      </c>
      <c r="C2774" t="s">
        <v>79</v>
      </c>
      <c r="D2774" t="s">
        <v>98</v>
      </c>
      <c r="E2774" t="s">
        <v>117</v>
      </c>
      <c r="F2774" t="s">
        <v>151</v>
      </c>
      <c r="G2774" t="s">
        <v>177</v>
      </c>
      <c r="H2774" t="s">
        <v>212</v>
      </c>
      <c r="I2774" t="s">
        <v>232</v>
      </c>
      <c r="J2774" t="s">
        <v>251</v>
      </c>
      <c r="K2774" t="s">
        <v>265</v>
      </c>
      <c r="L2774" t="s">
        <v>277</v>
      </c>
      <c r="M2774" t="s">
        <v>286</v>
      </c>
      <c r="N2774" t="s">
        <v>296</v>
      </c>
      <c r="O2774" t="s">
        <v>304</v>
      </c>
      <c r="P2774" t="s">
        <v>311</v>
      </c>
      <c r="Q2774" t="s">
        <v>318</v>
      </c>
      <c r="R2774" t="s">
        <v>185</v>
      </c>
      <c r="S2774" t="s">
        <v>159</v>
      </c>
      <c r="T2774" t="s">
        <v>185</v>
      </c>
      <c r="U2774" t="s">
        <v>339</v>
      </c>
      <c r="V2774" t="s">
        <v>72</v>
      </c>
      <c r="W2774" t="s">
        <v>347</v>
      </c>
      <c r="X2774" t="s">
        <v>72</v>
      </c>
      <c r="Y2774" t="s">
        <v>96</v>
      </c>
      <c r="AK2774" t="s">
        <v>359</v>
      </c>
    </row>
    <row r="2775" spans="1:37">
      <c r="B2775" t="s">
        <v>58</v>
      </c>
      <c r="C2775" t="s">
        <v>80</v>
      </c>
      <c r="D2775" t="s">
        <v>99</v>
      </c>
      <c r="E2775" t="s">
        <v>118</v>
      </c>
      <c r="F2775" t="s">
        <v>152</v>
      </c>
      <c r="G2775" t="s">
        <v>178</v>
      </c>
      <c r="H2775" t="s">
        <v>213</v>
      </c>
      <c r="I2775" t="s">
        <v>233</v>
      </c>
      <c r="J2775" t="s">
        <v>252</v>
      </c>
      <c r="K2775" t="s">
        <v>266</v>
      </c>
      <c r="L2775" t="s">
        <v>278</v>
      </c>
      <c r="M2775" t="s">
        <v>287</v>
      </c>
      <c r="N2775" t="s">
        <v>297</v>
      </c>
      <c r="O2775" t="s">
        <v>305</v>
      </c>
      <c r="P2775" t="s">
        <v>312</v>
      </c>
      <c r="Q2775" t="s">
        <v>319</v>
      </c>
      <c r="R2775">
        <f>&gt;10       ветра      2.9     17  20</f>
        <v>0</v>
      </c>
      <c r="AK2775" t="s">
        <v>359</v>
      </c>
    </row>
    <row r="2776" spans="1:37">
      <c r="A2776" t="s">
        <v>40</v>
      </c>
      <c r="B2776" t="s">
        <v>59</v>
      </c>
      <c r="C2776" t="s">
        <v>81</v>
      </c>
      <c r="D2776" t="s">
        <v>100</v>
      </c>
      <c r="E2776" t="s">
        <v>119</v>
      </c>
      <c r="F2776" t="s">
        <v>153</v>
      </c>
      <c r="G2776" t="s">
        <v>179</v>
      </c>
      <c r="H2776" t="s">
        <v>214</v>
      </c>
      <c r="I2776" t="s">
        <v>234</v>
      </c>
      <c r="AK2776" t="s">
        <v>359</v>
      </c>
    </row>
    <row r="2777" spans="1:37">
      <c r="A2777" t="s">
        <v>40</v>
      </c>
      <c r="B2777" t="s">
        <v>60</v>
      </c>
      <c r="C2777" t="s">
        <v>82</v>
      </c>
      <c r="D2777" t="s">
        <v>101</v>
      </c>
      <c r="E2777" t="s">
        <v>120</v>
      </c>
      <c r="F2777" t="s">
        <v>154</v>
      </c>
      <c r="G2777" t="s">
        <v>180</v>
      </c>
      <c r="H2777" t="s">
        <v>215</v>
      </c>
      <c r="I2777" t="s">
        <v>235</v>
      </c>
      <c r="J2777" t="s">
        <v>253</v>
      </c>
      <c r="K2777" t="s">
        <v>267</v>
      </c>
      <c r="L2777" t="s">
        <v>279</v>
      </c>
      <c r="M2777" t="s">
        <v>288</v>
      </c>
      <c r="N2777" t="s">
        <v>100</v>
      </c>
      <c r="O2777" t="s">
        <v>306</v>
      </c>
      <c r="P2777" t="s">
        <v>313</v>
      </c>
      <c r="Q2777" t="s">
        <v>320</v>
      </c>
      <c r="R2777" t="s">
        <v>325</v>
      </c>
      <c r="S2777" t="s">
        <v>332</v>
      </c>
      <c r="T2777" t="s">
        <v>119</v>
      </c>
      <c r="U2777" t="s">
        <v>234</v>
      </c>
      <c r="V2777" t="s">
        <v>343</v>
      </c>
      <c r="W2777" t="s">
        <v>348</v>
      </c>
      <c r="X2777" t="s">
        <v>352</v>
      </c>
      <c r="Y2777" t="s">
        <v>354</v>
      </c>
      <c r="AK2777" t="s">
        <v>359</v>
      </c>
    </row>
    <row r="2778" spans="1:37">
      <c r="A2778" t="s">
        <v>41</v>
      </c>
      <c r="B2778" t="s">
        <v>61</v>
      </c>
      <c r="C2778" t="s">
        <v>83</v>
      </c>
      <c r="D2778" t="s">
        <v>102</v>
      </c>
      <c r="E2778" t="s">
        <v>121</v>
      </c>
      <c r="F2778" t="s">
        <v>155</v>
      </c>
      <c r="G2778" t="s">
        <v>181</v>
      </c>
      <c r="H2778" t="s">
        <v>216</v>
      </c>
      <c r="I2778" t="s">
        <v>236</v>
      </c>
      <c r="AK2778" t="s">
        <v>359</v>
      </c>
    </row>
    <row r="2779" spans="1:37">
      <c r="A2779" t="s">
        <v>42</v>
      </c>
      <c r="B2779" t="s">
        <v>62</v>
      </c>
      <c r="C2779" t="s">
        <v>84</v>
      </c>
      <c r="D2779" t="s">
        <v>103</v>
      </c>
      <c r="E2779" t="s">
        <v>122</v>
      </c>
      <c r="F2779" t="s">
        <v>156</v>
      </c>
      <c r="G2779" t="s">
        <v>182</v>
      </c>
      <c r="H2779" t="s">
        <v>83</v>
      </c>
      <c r="I2779" t="s">
        <v>237</v>
      </c>
      <c r="J2779" t="s">
        <v>254</v>
      </c>
      <c r="K2779" t="s">
        <v>268</v>
      </c>
      <c r="L2779" t="s">
        <v>280</v>
      </c>
      <c r="M2779" t="s">
        <v>289</v>
      </c>
      <c r="N2779" t="s">
        <v>298</v>
      </c>
      <c r="O2779" t="s">
        <v>307</v>
      </c>
      <c r="P2779" t="s">
        <v>314</v>
      </c>
      <c r="Q2779" t="s">
        <v>216</v>
      </c>
      <c r="R2779" t="s">
        <v>326</v>
      </c>
      <c r="S2779" t="s">
        <v>333</v>
      </c>
      <c r="T2779" t="s">
        <v>335</v>
      </c>
      <c r="U2779" t="s">
        <v>340</v>
      </c>
      <c r="V2779" t="s">
        <v>344</v>
      </c>
      <c r="W2779" t="s">
        <v>349</v>
      </c>
      <c r="AK2779" t="s">
        <v>359</v>
      </c>
    </row>
    <row r="2780" spans="1:37">
      <c r="A2780" t="s">
        <v>43</v>
      </c>
      <c r="B2780" t="s">
        <v>63</v>
      </c>
      <c r="C2780" t="s">
        <v>85</v>
      </c>
      <c r="D2780" t="s">
        <v>104</v>
      </c>
      <c r="E2780" t="s">
        <v>123</v>
      </c>
      <c r="F2780" t="s">
        <v>157</v>
      </c>
      <c r="G2780" t="s">
        <v>183</v>
      </c>
      <c r="AK2780" t="s">
        <v>359</v>
      </c>
    </row>
    <row r="2781" spans="1:37">
      <c r="A2781" t="s">
        <v>44</v>
      </c>
      <c r="B2781" t="s">
        <v>64</v>
      </c>
      <c r="C2781" t="s">
        <v>86</v>
      </c>
      <c r="D2781" t="s">
        <v>105</v>
      </c>
      <c r="E2781" t="s">
        <v>124</v>
      </c>
      <c r="F2781" t="s">
        <v>158</v>
      </c>
      <c r="G2781" t="s">
        <v>184</v>
      </c>
      <c r="AK2781" t="s">
        <v>359</v>
      </c>
    </row>
    <row r="2782" spans="1:37">
      <c r="A2782" t="s">
        <v>45</v>
      </c>
      <c r="B2782" t="s">
        <v>65</v>
      </c>
      <c r="C2782" t="s">
        <v>87</v>
      </c>
      <c r="D2782" t="s">
        <v>106</v>
      </c>
      <c r="E2782" t="s">
        <v>125</v>
      </c>
      <c r="F2782" t="s">
        <v>159</v>
      </c>
      <c r="G2782" t="s">
        <v>185</v>
      </c>
      <c r="H2782" t="s">
        <v>159</v>
      </c>
      <c r="I2782" t="s">
        <v>185</v>
      </c>
      <c r="J2782" t="s">
        <v>255</v>
      </c>
      <c r="AK2782" t="s">
        <v>359</v>
      </c>
    </row>
    <row r="2783" spans="1:37">
      <c r="A2783" t="s">
        <v>46</v>
      </c>
      <c r="B2783" t="s">
        <v>66</v>
      </c>
      <c r="C2783" t="s">
        <v>88</v>
      </c>
      <c r="D2783" t="s">
        <v>76</v>
      </c>
      <c r="E2783" t="s">
        <v>126</v>
      </c>
      <c r="F2783" t="s">
        <v>160</v>
      </c>
      <c r="G2783" t="s">
        <v>186</v>
      </c>
      <c r="H2783" t="s">
        <v>217</v>
      </c>
      <c r="I2783" t="s">
        <v>238</v>
      </c>
      <c r="J2783" t="s">
        <v>256</v>
      </c>
      <c r="K2783" t="s">
        <v>265</v>
      </c>
      <c r="L2783" t="s">
        <v>281</v>
      </c>
      <c r="M2783" t="s">
        <v>290</v>
      </c>
      <c r="N2783" t="s">
        <v>299</v>
      </c>
      <c r="O2783" t="s">
        <v>308</v>
      </c>
      <c r="P2783" t="s">
        <v>228</v>
      </c>
      <c r="Q2783" t="s">
        <v>72</v>
      </c>
      <c r="R2783" t="s">
        <v>327</v>
      </c>
      <c r="S2783" t="s">
        <v>327</v>
      </c>
      <c r="T2783" t="s">
        <v>336</v>
      </c>
      <c r="U2783" t="s">
        <v>336</v>
      </c>
      <c r="V2783" t="s">
        <v>336</v>
      </c>
      <c r="W2783" t="s">
        <v>336</v>
      </c>
      <c r="X2783" t="s">
        <v>353</v>
      </c>
      <c r="AK2783" t="s">
        <v>359</v>
      </c>
    </row>
    <row r="2784" spans="1:37">
      <c r="B2784" t="s">
        <v>67</v>
      </c>
      <c r="C2784" t="s">
        <v>89</v>
      </c>
      <c r="D2784" t="s">
        <v>107</v>
      </c>
      <c r="AK2784" t="s">
        <v>359</v>
      </c>
    </row>
    <row r="2785" spans="1:37">
      <c r="B2785" t="s">
        <v>68</v>
      </c>
      <c r="C2785" t="s">
        <v>90</v>
      </c>
      <c r="D2785" t="s">
        <v>108</v>
      </c>
      <c r="AK2785" t="s">
        <v>359</v>
      </c>
    </row>
    <row r="2786" spans="1:37">
      <c r="A2786" t="s">
        <v>47</v>
      </c>
      <c r="B2786" t="s">
        <v>69</v>
      </c>
      <c r="C2786" t="s">
        <v>91</v>
      </c>
      <c r="D2786" t="s">
        <v>109</v>
      </c>
      <c r="E2786" t="s">
        <v>109</v>
      </c>
      <c r="F2786" t="s">
        <v>109</v>
      </c>
      <c r="G2786" t="s">
        <v>109</v>
      </c>
      <c r="H2786" t="s">
        <v>109</v>
      </c>
      <c r="I2786" t="s">
        <v>239</v>
      </c>
      <c r="AK2786" t="s">
        <v>359</v>
      </c>
    </row>
    <row r="2787" spans="1:37">
      <c r="B2787" t="s">
        <v>70</v>
      </c>
      <c r="C2787" t="s">
        <v>92</v>
      </c>
      <c r="D2787" t="s">
        <v>110</v>
      </c>
      <c r="E2787" t="s">
        <v>127</v>
      </c>
      <c r="F2787" t="s">
        <v>161</v>
      </c>
      <c r="G2787" t="s">
        <v>187</v>
      </c>
      <c r="H2787" t="s">
        <v>218</v>
      </c>
      <c r="AK2787" t="s">
        <v>359</v>
      </c>
    </row>
    <row r="2788" spans="1:37">
      <c r="B2788" t="s">
        <v>71</v>
      </c>
      <c r="C2788" t="s">
        <v>93</v>
      </c>
      <c r="D2788" t="s">
        <v>111</v>
      </c>
      <c r="E2788" t="s">
        <v>128</v>
      </c>
      <c r="F2788" t="s">
        <v>162</v>
      </c>
      <c r="G2788" t="s">
        <v>188</v>
      </c>
      <c r="H2788" t="s">
        <v>219</v>
      </c>
      <c r="I2788" t="s">
        <v>240</v>
      </c>
      <c r="J2788" t="s">
        <v>257</v>
      </c>
      <c r="K2788" t="s">
        <v>269</v>
      </c>
      <c r="L2788" t="s">
        <v>109</v>
      </c>
      <c r="M2788" t="s">
        <v>109</v>
      </c>
      <c r="N2788" t="s">
        <v>109</v>
      </c>
      <c r="O2788" t="s">
        <v>109</v>
      </c>
      <c r="P2788" t="s">
        <v>109</v>
      </c>
      <c r="Q2788" t="s">
        <v>321</v>
      </c>
      <c r="AK2788" t="s">
        <v>359</v>
      </c>
    </row>
    <row r="2789" spans="1:37">
      <c r="A2789" t="s">
        <v>48</v>
      </c>
      <c r="B2789" t="s">
        <v>71</v>
      </c>
      <c r="C2789" t="s">
        <v>93</v>
      </c>
      <c r="D2789" t="s">
        <v>111</v>
      </c>
      <c r="E2789" t="s">
        <v>128</v>
      </c>
      <c r="F2789" t="s">
        <v>163</v>
      </c>
      <c r="G2789" t="s">
        <v>189</v>
      </c>
      <c r="H2789" t="s">
        <v>220</v>
      </c>
      <c r="I2789" t="s">
        <v>241</v>
      </c>
      <c r="J2789" t="s">
        <v>258</v>
      </c>
      <c r="K2789" t="s">
        <v>270</v>
      </c>
      <c r="AK2789" t="s">
        <v>359</v>
      </c>
    </row>
    <row r="2790" spans="1:37">
      <c r="B2790" t="s">
        <v>72</v>
      </c>
      <c r="C2790" t="s">
        <v>72</v>
      </c>
      <c r="D2790" t="s">
        <v>72</v>
      </c>
      <c r="E2790" t="s">
        <v>72</v>
      </c>
      <c r="F2790" t="s">
        <v>72</v>
      </c>
      <c r="G2790" t="s">
        <v>72</v>
      </c>
      <c r="H2790" t="s">
        <v>72</v>
      </c>
      <c r="I2790" t="s">
        <v>72</v>
      </c>
      <c r="J2790" t="s">
        <v>72</v>
      </c>
      <c r="K2790" t="s">
        <v>272</v>
      </c>
      <c r="AK2790" t="s">
        <v>359</v>
      </c>
    </row>
    <row r="2791" spans="1:37">
      <c r="A2791" t="s">
        <v>37</v>
      </c>
      <c r="B2791" t="s">
        <v>49</v>
      </c>
      <c r="C2791" t="s">
        <v>73</v>
      </c>
      <c r="D2791" t="s">
        <v>94</v>
      </c>
      <c r="E2791" t="s">
        <v>112</v>
      </c>
      <c r="F2791" t="s">
        <v>146</v>
      </c>
      <c r="G2791" t="s">
        <v>172</v>
      </c>
      <c r="H2791" t="s">
        <v>207</v>
      </c>
      <c r="I2791" t="s">
        <v>226</v>
      </c>
      <c r="J2791" t="s">
        <v>246</v>
      </c>
      <c r="K2791" t="s">
        <v>259</v>
      </c>
      <c r="AK2791" t="s">
        <v>359</v>
      </c>
    </row>
    <row r="2792" spans="1:37">
      <c r="A2792" t="s">
        <v>38</v>
      </c>
      <c r="B2792" t="s">
        <v>50</v>
      </c>
      <c r="C2792" t="s">
        <v>74</v>
      </c>
      <c r="D2792" t="s">
        <v>95</v>
      </c>
      <c r="E2792" t="s">
        <v>113</v>
      </c>
      <c r="F2792" t="s">
        <v>147</v>
      </c>
      <c r="G2792" t="s">
        <v>173</v>
      </c>
      <c r="H2792" t="s">
        <v>208</v>
      </c>
      <c r="I2792" t="s">
        <v>227</v>
      </c>
      <c r="J2792" t="s">
        <v>115</v>
      </c>
      <c r="K2792" t="s">
        <v>260</v>
      </c>
      <c r="L2792" t="s">
        <v>273</v>
      </c>
      <c r="M2792" t="s">
        <v>282</v>
      </c>
      <c r="N2792" t="s">
        <v>291</v>
      </c>
      <c r="AK2792" t="s">
        <v>359</v>
      </c>
    </row>
    <row r="2793" spans="1:37">
      <c r="B2793" t="s">
        <v>51</v>
      </c>
      <c r="C2793" t="s">
        <v>75</v>
      </c>
      <c r="D2793" t="s">
        <v>52</v>
      </c>
      <c r="E2793" t="s">
        <v>114</v>
      </c>
      <c r="F2793" t="s">
        <v>148</v>
      </c>
      <c r="G2793" t="s">
        <v>148</v>
      </c>
      <c r="H2793" t="s">
        <v>209</v>
      </c>
      <c r="I2793" t="s">
        <v>228</v>
      </c>
      <c r="J2793" t="s">
        <v>247</v>
      </c>
      <c r="K2793" t="s">
        <v>261</v>
      </c>
      <c r="L2793" t="s">
        <v>274</v>
      </c>
      <c r="M2793" t="s">
        <v>283</v>
      </c>
      <c r="N2793" t="s">
        <v>292</v>
      </c>
      <c r="O2793" t="s">
        <v>300</v>
      </c>
      <c r="AK2793" t="s">
        <v>359</v>
      </c>
    </row>
    <row r="2794" spans="1:37">
      <c r="B2794" t="s">
        <v>52</v>
      </c>
      <c r="C2794" t="s">
        <v>76</v>
      </c>
      <c r="D2794" t="s">
        <v>96</v>
      </c>
      <c r="E2794" t="s">
        <v>115</v>
      </c>
      <c r="F2794" t="s">
        <v>149</v>
      </c>
      <c r="G2794" t="s">
        <v>174</v>
      </c>
      <c r="H2794" t="s">
        <v>96</v>
      </c>
      <c r="I2794" t="s">
        <v>229</v>
      </c>
      <c r="J2794" t="s">
        <v>248</v>
      </c>
      <c r="K2794" t="s">
        <v>262</v>
      </c>
      <c r="L2794" t="s">
        <v>52</v>
      </c>
      <c r="M2794" t="s">
        <v>76</v>
      </c>
      <c r="N2794" t="s">
        <v>293</v>
      </c>
      <c r="O2794" t="s">
        <v>301</v>
      </c>
      <c r="P2794" t="s">
        <v>309</v>
      </c>
      <c r="Q2794" t="s">
        <v>315</v>
      </c>
      <c r="R2794" t="s">
        <v>228</v>
      </c>
      <c r="S2794" t="s">
        <v>328</v>
      </c>
      <c r="T2794" t="s">
        <v>149</v>
      </c>
      <c r="U2794" t="s">
        <v>337</v>
      </c>
      <c r="V2794" t="s">
        <v>341</v>
      </c>
      <c r="W2794" t="s">
        <v>345</v>
      </c>
      <c r="X2794" t="s">
        <v>350</v>
      </c>
      <c r="AK2794" t="s">
        <v>359</v>
      </c>
    </row>
    <row r="2795" spans="1:37">
      <c r="B2795" t="s">
        <v>53</v>
      </c>
      <c r="C2795" t="s">
        <v>77</v>
      </c>
      <c r="D2795" t="s">
        <v>97</v>
      </c>
      <c r="E2795" t="s">
        <v>116</v>
      </c>
      <c r="F2795" t="s">
        <v>150</v>
      </c>
      <c r="G2795" t="s">
        <v>175</v>
      </c>
      <c r="H2795" t="s">
        <v>210</v>
      </c>
      <c r="I2795" t="s">
        <v>230</v>
      </c>
      <c r="J2795" t="s">
        <v>249</v>
      </c>
      <c r="K2795" t="s">
        <v>263</v>
      </c>
      <c r="L2795" t="s">
        <v>275</v>
      </c>
      <c r="M2795" t="s">
        <v>284</v>
      </c>
      <c r="N2795" t="s">
        <v>294</v>
      </c>
      <c r="O2795" t="s">
        <v>302</v>
      </c>
      <c r="P2795" t="s">
        <v>310</v>
      </c>
      <c r="Q2795" t="s">
        <v>316</v>
      </c>
      <c r="R2795" t="s">
        <v>322</v>
      </c>
      <c r="S2795" t="s">
        <v>329</v>
      </c>
      <c r="AK2795" t="s">
        <v>359</v>
      </c>
    </row>
    <row r="2796" spans="1:37">
      <c r="A2796" t="s">
        <v>39</v>
      </c>
      <c r="B2796" t="s">
        <v>54</v>
      </c>
      <c r="C2796" t="s">
        <v>54</v>
      </c>
      <c r="D2796" t="s">
        <v>54</v>
      </c>
      <c r="E2796" t="s">
        <v>54</v>
      </c>
      <c r="F2796" t="s">
        <v>54</v>
      </c>
      <c r="G2796" t="s">
        <v>54</v>
      </c>
      <c r="H2796" t="s">
        <v>54</v>
      </c>
      <c r="I2796" t="s">
        <v>54</v>
      </c>
      <c r="J2796" t="s">
        <v>54</v>
      </c>
      <c r="K2796" t="s">
        <v>54</v>
      </c>
      <c r="L2796" t="s">
        <v>54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323</v>
      </c>
      <c r="S2796" t="s">
        <v>330</v>
      </c>
      <c r="AK2796" t="s">
        <v>359</v>
      </c>
    </row>
    <row r="2797" spans="1:37">
      <c r="B2797" t="s">
        <v>55</v>
      </c>
      <c r="C2797" t="s">
        <v>78</v>
      </c>
      <c r="D2797" t="s">
        <v>55</v>
      </c>
      <c r="E2797" t="s">
        <v>78</v>
      </c>
      <c r="F2797" t="s">
        <v>55</v>
      </c>
      <c r="G2797" t="s">
        <v>78</v>
      </c>
      <c r="H2797" t="s">
        <v>55</v>
      </c>
      <c r="I2797" t="s">
        <v>78</v>
      </c>
      <c r="J2797" t="s">
        <v>55</v>
      </c>
      <c r="K2797" t="s">
        <v>78</v>
      </c>
      <c r="L2797" t="s">
        <v>55</v>
      </c>
      <c r="M2797" t="s">
        <v>78</v>
      </c>
      <c r="N2797" t="s">
        <v>55</v>
      </c>
      <c r="O2797" t="s">
        <v>78</v>
      </c>
      <c r="P2797" t="s">
        <v>55</v>
      </c>
      <c r="Q2797" t="s">
        <v>78</v>
      </c>
      <c r="R2797" t="s">
        <v>55</v>
      </c>
      <c r="S2797" t="s">
        <v>78</v>
      </c>
      <c r="T2797" t="s">
        <v>55</v>
      </c>
      <c r="U2797" t="s">
        <v>78</v>
      </c>
      <c r="V2797" t="s">
        <v>55</v>
      </c>
      <c r="W2797" t="s">
        <v>78</v>
      </c>
      <c r="X2797" t="s">
        <v>55</v>
      </c>
      <c r="Y2797" t="s">
        <v>78</v>
      </c>
      <c r="Z2797" t="s">
        <v>55</v>
      </c>
      <c r="AA2797" t="s">
        <v>78</v>
      </c>
      <c r="AB2797" t="s">
        <v>55</v>
      </c>
      <c r="AC2797" t="s">
        <v>78</v>
      </c>
      <c r="AD2797" t="s">
        <v>55</v>
      </c>
      <c r="AE2797" t="s">
        <v>78</v>
      </c>
      <c r="AF2797" t="s">
        <v>55</v>
      </c>
      <c r="AG2797" t="s">
        <v>78</v>
      </c>
      <c r="AH2797" t="s">
        <v>55</v>
      </c>
      <c r="AI2797" t="s">
        <v>78</v>
      </c>
      <c r="AK2797" t="s">
        <v>359</v>
      </c>
    </row>
    <row r="2798" spans="1:37">
      <c r="B2798" t="s">
        <v>56</v>
      </c>
      <c r="C2798" t="s">
        <v>56</v>
      </c>
      <c r="D2798" t="s">
        <v>56</v>
      </c>
      <c r="E2798" t="s">
        <v>56</v>
      </c>
      <c r="F2798" t="s">
        <v>56</v>
      </c>
      <c r="G2798" t="s">
        <v>176</v>
      </c>
      <c r="H2798" t="s">
        <v>211</v>
      </c>
      <c r="I2798" t="s">
        <v>231</v>
      </c>
      <c r="J2798" t="s">
        <v>250</v>
      </c>
      <c r="K2798" t="s">
        <v>264</v>
      </c>
      <c r="L2798" t="s">
        <v>276</v>
      </c>
      <c r="M2798" t="s">
        <v>285</v>
      </c>
      <c r="N2798" t="s">
        <v>295</v>
      </c>
      <c r="O2798" t="s">
        <v>303</v>
      </c>
      <c r="P2798" t="s">
        <v>56</v>
      </c>
      <c r="Q2798" t="s">
        <v>317</v>
      </c>
      <c r="R2798" t="s">
        <v>324</v>
      </c>
      <c r="S2798" t="s">
        <v>331</v>
      </c>
      <c r="T2798" t="s">
        <v>334</v>
      </c>
      <c r="U2798" t="s">
        <v>338</v>
      </c>
      <c r="V2798" t="s">
        <v>342</v>
      </c>
      <c r="W2798" t="s">
        <v>346</v>
      </c>
      <c r="X2798" t="s">
        <v>351</v>
      </c>
      <c r="AK2798" t="s">
        <v>359</v>
      </c>
    </row>
    <row r="2799" spans="1:37">
      <c r="B2799" t="s">
        <v>57</v>
      </c>
      <c r="C2799" t="s">
        <v>79</v>
      </c>
      <c r="D2799" t="s">
        <v>98</v>
      </c>
      <c r="E2799" t="s">
        <v>117</v>
      </c>
      <c r="F2799" t="s">
        <v>151</v>
      </c>
      <c r="G2799" t="s">
        <v>177</v>
      </c>
      <c r="H2799" t="s">
        <v>212</v>
      </c>
      <c r="I2799" t="s">
        <v>232</v>
      </c>
      <c r="J2799" t="s">
        <v>251</v>
      </c>
      <c r="K2799" t="s">
        <v>265</v>
      </c>
      <c r="L2799" t="s">
        <v>277</v>
      </c>
      <c r="M2799" t="s">
        <v>286</v>
      </c>
      <c r="N2799" t="s">
        <v>296</v>
      </c>
      <c r="O2799" t="s">
        <v>304</v>
      </c>
      <c r="P2799" t="s">
        <v>311</v>
      </c>
      <c r="Q2799" t="s">
        <v>318</v>
      </c>
      <c r="R2799" t="s">
        <v>185</v>
      </c>
      <c r="S2799" t="s">
        <v>159</v>
      </c>
      <c r="T2799" t="s">
        <v>185</v>
      </c>
      <c r="U2799" t="s">
        <v>339</v>
      </c>
      <c r="V2799" t="s">
        <v>72</v>
      </c>
      <c r="W2799" t="s">
        <v>347</v>
      </c>
      <c r="X2799" t="s">
        <v>72</v>
      </c>
      <c r="Y2799" t="s">
        <v>96</v>
      </c>
      <c r="AK2799" t="s">
        <v>359</v>
      </c>
    </row>
    <row r="2800" spans="1:37">
      <c r="B2800" t="s">
        <v>58</v>
      </c>
      <c r="C2800" t="s">
        <v>80</v>
      </c>
      <c r="D2800" t="s">
        <v>99</v>
      </c>
      <c r="E2800" t="s">
        <v>118</v>
      </c>
      <c r="F2800" t="s">
        <v>152</v>
      </c>
      <c r="G2800" t="s">
        <v>178</v>
      </c>
      <c r="H2800" t="s">
        <v>213</v>
      </c>
      <c r="I2800" t="s">
        <v>233</v>
      </c>
      <c r="J2800" t="s">
        <v>252</v>
      </c>
      <c r="K2800" t="s">
        <v>266</v>
      </c>
      <c r="L2800" t="s">
        <v>278</v>
      </c>
      <c r="M2800" t="s">
        <v>287</v>
      </c>
      <c r="N2800" t="s">
        <v>297</v>
      </c>
      <c r="O2800" t="s">
        <v>305</v>
      </c>
      <c r="P2800" t="s">
        <v>312</v>
      </c>
      <c r="Q2800" t="s">
        <v>319</v>
      </c>
      <c r="R2800">
        <f>&gt;10       ветра      2.8     18  11</f>
        <v>0</v>
      </c>
      <c r="AK2800" t="s">
        <v>359</v>
      </c>
    </row>
    <row r="2801" spans="1:37">
      <c r="A2801" t="s">
        <v>40</v>
      </c>
      <c r="B2801" t="s">
        <v>59</v>
      </c>
      <c r="C2801" t="s">
        <v>81</v>
      </c>
      <c r="D2801" t="s">
        <v>100</v>
      </c>
      <c r="E2801" t="s">
        <v>119</v>
      </c>
      <c r="F2801" t="s">
        <v>153</v>
      </c>
      <c r="G2801" t="s">
        <v>179</v>
      </c>
      <c r="H2801" t="s">
        <v>214</v>
      </c>
      <c r="I2801" t="s">
        <v>234</v>
      </c>
      <c r="AK2801" t="s">
        <v>359</v>
      </c>
    </row>
    <row r="2802" spans="1:37">
      <c r="A2802" t="s">
        <v>40</v>
      </c>
      <c r="B2802" t="s">
        <v>60</v>
      </c>
      <c r="C2802" t="s">
        <v>82</v>
      </c>
      <c r="D2802" t="s">
        <v>101</v>
      </c>
      <c r="E2802" t="s">
        <v>120</v>
      </c>
      <c r="F2802" t="s">
        <v>154</v>
      </c>
      <c r="G2802" t="s">
        <v>180</v>
      </c>
      <c r="H2802" t="s">
        <v>215</v>
      </c>
      <c r="I2802" t="s">
        <v>235</v>
      </c>
      <c r="J2802" t="s">
        <v>253</v>
      </c>
      <c r="K2802" t="s">
        <v>267</v>
      </c>
      <c r="L2802" t="s">
        <v>279</v>
      </c>
      <c r="M2802" t="s">
        <v>288</v>
      </c>
      <c r="N2802" t="s">
        <v>100</v>
      </c>
      <c r="O2802" t="s">
        <v>306</v>
      </c>
      <c r="P2802" t="s">
        <v>313</v>
      </c>
      <c r="Q2802" t="s">
        <v>320</v>
      </c>
      <c r="R2802" t="s">
        <v>325</v>
      </c>
      <c r="S2802" t="s">
        <v>332</v>
      </c>
      <c r="T2802" t="s">
        <v>119</v>
      </c>
      <c r="U2802" t="s">
        <v>234</v>
      </c>
      <c r="V2802" t="s">
        <v>343</v>
      </c>
      <c r="W2802" t="s">
        <v>348</v>
      </c>
      <c r="X2802" t="s">
        <v>352</v>
      </c>
      <c r="Y2802" t="s">
        <v>354</v>
      </c>
      <c r="AK2802" t="s">
        <v>359</v>
      </c>
    </row>
    <row r="2803" spans="1:37">
      <c r="A2803" t="s">
        <v>41</v>
      </c>
      <c r="B2803" t="s">
        <v>61</v>
      </c>
      <c r="C2803" t="s">
        <v>83</v>
      </c>
      <c r="D2803" t="s">
        <v>102</v>
      </c>
      <c r="E2803" t="s">
        <v>121</v>
      </c>
      <c r="F2803" t="s">
        <v>155</v>
      </c>
      <c r="G2803" t="s">
        <v>181</v>
      </c>
      <c r="H2803" t="s">
        <v>216</v>
      </c>
      <c r="I2803" t="s">
        <v>236</v>
      </c>
      <c r="AK2803" t="s">
        <v>359</v>
      </c>
    </row>
    <row r="2804" spans="1:37">
      <c r="A2804" t="s">
        <v>42</v>
      </c>
      <c r="B2804" t="s">
        <v>62</v>
      </c>
      <c r="C2804" t="s">
        <v>84</v>
      </c>
      <c r="D2804" t="s">
        <v>103</v>
      </c>
      <c r="E2804" t="s">
        <v>122</v>
      </c>
      <c r="F2804" t="s">
        <v>156</v>
      </c>
      <c r="G2804" t="s">
        <v>182</v>
      </c>
      <c r="H2804" t="s">
        <v>83</v>
      </c>
      <c r="I2804" t="s">
        <v>237</v>
      </c>
      <c r="J2804" t="s">
        <v>254</v>
      </c>
      <c r="K2804" t="s">
        <v>268</v>
      </c>
      <c r="L2804" t="s">
        <v>280</v>
      </c>
      <c r="M2804" t="s">
        <v>289</v>
      </c>
      <c r="N2804" t="s">
        <v>298</v>
      </c>
      <c r="O2804" t="s">
        <v>307</v>
      </c>
      <c r="P2804" t="s">
        <v>314</v>
      </c>
      <c r="Q2804" t="s">
        <v>216</v>
      </c>
      <c r="R2804" t="s">
        <v>326</v>
      </c>
      <c r="S2804" t="s">
        <v>333</v>
      </c>
      <c r="T2804" t="s">
        <v>335</v>
      </c>
      <c r="U2804" t="s">
        <v>340</v>
      </c>
      <c r="V2804" t="s">
        <v>344</v>
      </c>
      <c r="W2804" t="s">
        <v>349</v>
      </c>
      <c r="AK2804" t="s">
        <v>359</v>
      </c>
    </row>
    <row r="2805" spans="1:37">
      <c r="A2805" t="s">
        <v>43</v>
      </c>
      <c r="B2805" t="s">
        <v>63</v>
      </c>
      <c r="C2805" t="s">
        <v>85</v>
      </c>
      <c r="D2805" t="s">
        <v>104</v>
      </c>
      <c r="E2805" t="s">
        <v>123</v>
      </c>
      <c r="F2805" t="s">
        <v>157</v>
      </c>
      <c r="G2805" t="s">
        <v>183</v>
      </c>
      <c r="AK2805" t="s">
        <v>359</v>
      </c>
    </row>
    <row r="2806" spans="1:37">
      <c r="A2806" t="s">
        <v>44</v>
      </c>
      <c r="B2806" t="s">
        <v>64</v>
      </c>
      <c r="C2806" t="s">
        <v>86</v>
      </c>
      <c r="D2806" t="s">
        <v>105</v>
      </c>
      <c r="E2806" t="s">
        <v>124</v>
      </c>
      <c r="F2806" t="s">
        <v>158</v>
      </c>
      <c r="G2806" t="s">
        <v>184</v>
      </c>
      <c r="AK2806" t="s">
        <v>359</v>
      </c>
    </row>
    <row r="2807" spans="1:37">
      <c r="A2807" t="s">
        <v>45</v>
      </c>
      <c r="B2807" t="s">
        <v>65</v>
      </c>
      <c r="C2807" t="s">
        <v>87</v>
      </c>
      <c r="D2807" t="s">
        <v>106</v>
      </c>
      <c r="E2807" t="s">
        <v>125</v>
      </c>
      <c r="F2807" t="s">
        <v>159</v>
      </c>
      <c r="G2807" t="s">
        <v>185</v>
      </c>
      <c r="H2807" t="s">
        <v>159</v>
      </c>
      <c r="I2807" t="s">
        <v>185</v>
      </c>
      <c r="J2807" t="s">
        <v>255</v>
      </c>
      <c r="AK2807" t="s">
        <v>359</v>
      </c>
    </row>
    <row r="2808" spans="1:37">
      <c r="A2808" t="s">
        <v>46</v>
      </c>
      <c r="B2808" t="s">
        <v>66</v>
      </c>
      <c r="C2808" t="s">
        <v>88</v>
      </c>
      <c r="D2808" t="s">
        <v>76</v>
      </c>
      <c r="E2808" t="s">
        <v>126</v>
      </c>
      <c r="F2808" t="s">
        <v>160</v>
      </c>
      <c r="G2808" t="s">
        <v>186</v>
      </c>
      <c r="H2808" t="s">
        <v>217</v>
      </c>
      <c r="I2808" t="s">
        <v>238</v>
      </c>
      <c r="J2808" t="s">
        <v>256</v>
      </c>
      <c r="K2808" t="s">
        <v>265</v>
      </c>
      <c r="L2808" t="s">
        <v>281</v>
      </c>
      <c r="M2808" t="s">
        <v>290</v>
      </c>
      <c r="N2808" t="s">
        <v>299</v>
      </c>
      <c r="O2808" t="s">
        <v>308</v>
      </c>
      <c r="P2808" t="s">
        <v>228</v>
      </c>
      <c r="Q2808" t="s">
        <v>72</v>
      </c>
      <c r="R2808" t="s">
        <v>327</v>
      </c>
      <c r="S2808" t="s">
        <v>327</v>
      </c>
      <c r="T2808" t="s">
        <v>336</v>
      </c>
      <c r="U2808" t="s">
        <v>336</v>
      </c>
      <c r="V2808" t="s">
        <v>336</v>
      </c>
      <c r="W2808" t="s">
        <v>336</v>
      </c>
      <c r="X2808" t="s">
        <v>353</v>
      </c>
      <c r="AK2808" t="s">
        <v>359</v>
      </c>
    </row>
    <row r="2809" spans="1:37">
      <c r="B2809" t="s">
        <v>67</v>
      </c>
      <c r="C2809" t="s">
        <v>89</v>
      </c>
      <c r="D2809" t="s">
        <v>107</v>
      </c>
      <c r="AK2809" t="s">
        <v>359</v>
      </c>
    </row>
    <row r="2810" spans="1:37">
      <c r="B2810" t="s">
        <v>68</v>
      </c>
      <c r="C2810" t="s">
        <v>90</v>
      </c>
      <c r="D2810" t="s">
        <v>108</v>
      </c>
      <c r="AK2810" t="s">
        <v>359</v>
      </c>
    </row>
    <row r="2811" spans="1:37">
      <c r="A2811" t="s">
        <v>47</v>
      </c>
      <c r="B2811" t="s">
        <v>69</v>
      </c>
      <c r="C2811" t="s">
        <v>91</v>
      </c>
      <c r="D2811" t="s">
        <v>109</v>
      </c>
      <c r="E2811" t="s">
        <v>109</v>
      </c>
      <c r="F2811" t="s">
        <v>109</v>
      </c>
      <c r="G2811" t="s">
        <v>109</v>
      </c>
      <c r="H2811" t="s">
        <v>109</v>
      </c>
      <c r="I2811" t="s">
        <v>239</v>
      </c>
      <c r="AK2811" t="s">
        <v>359</v>
      </c>
    </row>
    <row r="2812" spans="1:37">
      <c r="B2812" t="s">
        <v>70</v>
      </c>
      <c r="C2812" t="s">
        <v>92</v>
      </c>
      <c r="D2812" t="s">
        <v>110</v>
      </c>
      <c r="E2812" t="s">
        <v>127</v>
      </c>
      <c r="F2812" t="s">
        <v>161</v>
      </c>
      <c r="G2812" t="s">
        <v>187</v>
      </c>
      <c r="H2812" t="s">
        <v>218</v>
      </c>
      <c r="AK2812" t="s">
        <v>359</v>
      </c>
    </row>
    <row r="2813" spans="1:37">
      <c r="B2813" t="s">
        <v>71</v>
      </c>
      <c r="C2813" t="s">
        <v>93</v>
      </c>
      <c r="D2813" t="s">
        <v>111</v>
      </c>
      <c r="E2813" t="s">
        <v>128</v>
      </c>
      <c r="F2813" t="s">
        <v>162</v>
      </c>
      <c r="G2813" t="s">
        <v>188</v>
      </c>
      <c r="H2813" t="s">
        <v>219</v>
      </c>
      <c r="I2813" t="s">
        <v>240</v>
      </c>
      <c r="J2813" t="s">
        <v>257</v>
      </c>
      <c r="K2813" t="s">
        <v>269</v>
      </c>
      <c r="L2813" t="s">
        <v>109</v>
      </c>
      <c r="M2813" t="s">
        <v>109</v>
      </c>
      <c r="N2813" t="s">
        <v>109</v>
      </c>
      <c r="O2813" t="s">
        <v>109</v>
      </c>
      <c r="P2813" t="s">
        <v>109</v>
      </c>
      <c r="Q2813" t="s">
        <v>321</v>
      </c>
      <c r="AK2813" t="s">
        <v>359</v>
      </c>
    </row>
    <row r="2814" spans="1:37">
      <c r="A2814" t="s">
        <v>48</v>
      </c>
      <c r="B2814" t="s">
        <v>71</v>
      </c>
      <c r="C2814" t="s">
        <v>93</v>
      </c>
      <c r="D2814" t="s">
        <v>111</v>
      </c>
      <c r="E2814" t="s">
        <v>128</v>
      </c>
      <c r="F2814" t="s">
        <v>163</v>
      </c>
      <c r="G2814" t="s">
        <v>189</v>
      </c>
      <c r="H2814" t="s">
        <v>220</v>
      </c>
      <c r="I2814" t="s">
        <v>241</v>
      </c>
      <c r="J2814" t="s">
        <v>258</v>
      </c>
      <c r="K2814" t="s">
        <v>270</v>
      </c>
      <c r="AK2814" t="s">
        <v>359</v>
      </c>
    </row>
    <row r="2815" spans="1:37">
      <c r="B2815" t="s">
        <v>72</v>
      </c>
      <c r="C2815" t="s">
        <v>72</v>
      </c>
      <c r="D2815" t="s">
        <v>72</v>
      </c>
      <c r="E2815" t="s">
        <v>72</v>
      </c>
      <c r="F2815" t="s">
        <v>72</v>
      </c>
      <c r="G2815" t="s">
        <v>72</v>
      </c>
      <c r="H2815" t="s">
        <v>72</v>
      </c>
      <c r="I2815" t="s">
        <v>72</v>
      </c>
      <c r="J2815" t="s">
        <v>72</v>
      </c>
      <c r="K2815" t="s">
        <v>272</v>
      </c>
      <c r="AK2815" t="s">
        <v>359</v>
      </c>
    </row>
    <row r="2816" spans="1:37">
      <c r="A2816" t="s">
        <v>37</v>
      </c>
      <c r="B2816" t="s">
        <v>49</v>
      </c>
      <c r="C2816" t="s">
        <v>73</v>
      </c>
      <c r="D2816" t="s">
        <v>94</v>
      </c>
      <c r="E2816" t="s">
        <v>112</v>
      </c>
      <c r="F2816" t="s">
        <v>146</v>
      </c>
      <c r="G2816" t="s">
        <v>172</v>
      </c>
      <c r="H2816" t="s">
        <v>207</v>
      </c>
      <c r="I2816" t="s">
        <v>226</v>
      </c>
      <c r="J2816" t="s">
        <v>246</v>
      </c>
      <c r="K2816" t="s">
        <v>259</v>
      </c>
      <c r="AK2816" t="s">
        <v>359</v>
      </c>
    </row>
    <row r="2817" spans="1:37">
      <c r="A2817" t="s">
        <v>38</v>
      </c>
      <c r="B2817" t="s">
        <v>50</v>
      </c>
      <c r="C2817" t="s">
        <v>74</v>
      </c>
      <c r="D2817" t="s">
        <v>95</v>
      </c>
      <c r="E2817" t="s">
        <v>113</v>
      </c>
      <c r="F2817" t="s">
        <v>147</v>
      </c>
      <c r="G2817" t="s">
        <v>173</v>
      </c>
      <c r="H2817" t="s">
        <v>208</v>
      </c>
      <c r="I2817" t="s">
        <v>227</v>
      </c>
      <c r="J2817" t="s">
        <v>115</v>
      </c>
      <c r="K2817" t="s">
        <v>260</v>
      </c>
      <c r="L2817" t="s">
        <v>273</v>
      </c>
      <c r="M2817" t="s">
        <v>282</v>
      </c>
      <c r="N2817" t="s">
        <v>291</v>
      </c>
      <c r="AK2817" t="s">
        <v>359</v>
      </c>
    </row>
    <row r="2818" spans="1:37">
      <c r="B2818" t="s">
        <v>51</v>
      </c>
      <c r="C2818" t="s">
        <v>75</v>
      </c>
      <c r="D2818" t="s">
        <v>52</v>
      </c>
      <c r="E2818" t="s">
        <v>114</v>
      </c>
      <c r="F2818" t="s">
        <v>148</v>
      </c>
      <c r="G2818" t="s">
        <v>148</v>
      </c>
      <c r="H2818" t="s">
        <v>209</v>
      </c>
      <c r="I2818" t="s">
        <v>228</v>
      </c>
      <c r="J2818" t="s">
        <v>247</v>
      </c>
      <c r="K2818" t="s">
        <v>261</v>
      </c>
      <c r="L2818" t="s">
        <v>274</v>
      </c>
      <c r="M2818" t="s">
        <v>283</v>
      </c>
      <c r="N2818" t="s">
        <v>292</v>
      </c>
      <c r="O2818" t="s">
        <v>300</v>
      </c>
      <c r="AK2818" t="s">
        <v>359</v>
      </c>
    </row>
    <row r="2819" spans="1:37">
      <c r="B2819" t="s">
        <v>52</v>
      </c>
      <c r="C2819" t="s">
        <v>76</v>
      </c>
      <c r="D2819" t="s">
        <v>96</v>
      </c>
      <c r="E2819" t="s">
        <v>115</v>
      </c>
      <c r="F2819" t="s">
        <v>149</v>
      </c>
      <c r="G2819" t="s">
        <v>174</v>
      </c>
      <c r="H2819" t="s">
        <v>96</v>
      </c>
      <c r="I2819" t="s">
        <v>229</v>
      </c>
      <c r="J2819" t="s">
        <v>248</v>
      </c>
      <c r="K2819" t="s">
        <v>262</v>
      </c>
      <c r="L2819" t="s">
        <v>52</v>
      </c>
      <c r="M2819" t="s">
        <v>76</v>
      </c>
      <c r="N2819" t="s">
        <v>293</v>
      </c>
      <c r="O2819" t="s">
        <v>301</v>
      </c>
      <c r="P2819" t="s">
        <v>309</v>
      </c>
      <c r="Q2819" t="s">
        <v>315</v>
      </c>
      <c r="R2819" t="s">
        <v>228</v>
      </c>
      <c r="S2819" t="s">
        <v>328</v>
      </c>
      <c r="T2819" t="s">
        <v>149</v>
      </c>
      <c r="U2819" t="s">
        <v>337</v>
      </c>
      <c r="V2819" t="s">
        <v>341</v>
      </c>
      <c r="W2819" t="s">
        <v>345</v>
      </c>
      <c r="X2819" t="s">
        <v>350</v>
      </c>
      <c r="AK2819" t="s">
        <v>359</v>
      </c>
    </row>
    <row r="2820" spans="1:37">
      <c r="B2820" t="s">
        <v>53</v>
      </c>
      <c r="C2820" t="s">
        <v>77</v>
      </c>
      <c r="D2820" t="s">
        <v>97</v>
      </c>
      <c r="E2820" t="s">
        <v>116</v>
      </c>
      <c r="F2820" t="s">
        <v>150</v>
      </c>
      <c r="G2820" t="s">
        <v>175</v>
      </c>
      <c r="H2820" t="s">
        <v>210</v>
      </c>
      <c r="I2820" t="s">
        <v>230</v>
      </c>
      <c r="J2820" t="s">
        <v>249</v>
      </c>
      <c r="K2820" t="s">
        <v>263</v>
      </c>
      <c r="L2820" t="s">
        <v>275</v>
      </c>
      <c r="M2820" t="s">
        <v>284</v>
      </c>
      <c r="N2820" t="s">
        <v>294</v>
      </c>
      <c r="O2820" t="s">
        <v>302</v>
      </c>
      <c r="P2820" t="s">
        <v>310</v>
      </c>
      <c r="Q2820" t="s">
        <v>316</v>
      </c>
      <c r="R2820" t="s">
        <v>322</v>
      </c>
      <c r="S2820" t="s">
        <v>329</v>
      </c>
      <c r="AK2820" t="s">
        <v>359</v>
      </c>
    </row>
    <row r="2821" spans="1:37">
      <c r="A2821" t="s">
        <v>39</v>
      </c>
      <c r="B2821" t="s">
        <v>54</v>
      </c>
      <c r="C2821" t="s">
        <v>54</v>
      </c>
      <c r="D2821" t="s">
        <v>54</v>
      </c>
      <c r="E2821" t="s">
        <v>54</v>
      </c>
      <c r="F2821" t="s">
        <v>54</v>
      </c>
      <c r="G2821" t="s">
        <v>54</v>
      </c>
      <c r="H2821" t="s">
        <v>54</v>
      </c>
      <c r="I2821" t="s">
        <v>54</v>
      </c>
      <c r="J2821" t="s">
        <v>54</v>
      </c>
      <c r="K2821" t="s">
        <v>54</v>
      </c>
      <c r="L2821" t="s">
        <v>54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 t="s">
        <v>323</v>
      </c>
      <c r="S2821" t="s">
        <v>330</v>
      </c>
      <c r="AK2821" t="s">
        <v>359</v>
      </c>
    </row>
    <row r="2822" spans="1:37">
      <c r="B2822" t="s">
        <v>55</v>
      </c>
      <c r="C2822" t="s">
        <v>78</v>
      </c>
      <c r="D2822" t="s">
        <v>55</v>
      </c>
      <c r="E2822" t="s">
        <v>78</v>
      </c>
      <c r="F2822" t="s">
        <v>55</v>
      </c>
      <c r="G2822" t="s">
        <v>78</v>
      </c>
      <c r="H2822" t="s">
        <v>55</v>
      </c>
      <c r="I2822" t="s">
        <v>78</v>
      </c>
      <c r="J2822" t="s">
        <v>55</v>
      </c>
      <c r="K2822" t="s">
        <v>78</v>
      </c>
      <c r="L2822" t="s">
        <v>55</v>
      </c>
      <c r="M2822" t="s">
        <v>78</v>
      </c>
      <c r="N2822" t="s">
        <v>55</v>
      </c>
      <c r="O2822" t="s">
        <v>78</v>
      </c>
      <c r="P2822" t="s">
        <v>55</v>
      </c>
      <c r="Q2822" t="s">
        <v>78</v>
      </c>
      <c r="R2822" t="s">
        <v>55</v>
      </c>
      <c r="S2822" t="s">
        <v>78</v>
      </c>
      <c r="T2822" t="s">
        <v>55</v>
      </c>
      <c r="U2822" t="s">
        <v>78</v>
      </c>
      <c r="V2822" t="s">
        <v>55</v>
      </c>
      <c r="W2822" t="s">
        <v>78</v>
      </c>
      <c r="X2822" t="s">
        <v>55</v>
      </c>
      <c r="Y2822" t="s">
        <v>78</v>
      </c>
      <c r="Z2822" t="s">
        <v>55</v>
      </c>
      <c r="AA2822" t="s">
        <v>78</v>
      </c>
      <c r="AB2822" t="s">
        <v>55</v>
      </c>
      <c r="AC2822" t="s">
        <v>78</v>
      </c>
      <c r="AD2822" t="s">
        <v>55</v>
      </c>
      <c r="AE2822" t="s">
        <v>78</v>
      </c>
      <c r="AF2822" t="s">
        <v>55</v>
      </c>
      <c r="AG2822" t="s">
        <v>78</v>
      </c>
      <c r="AH2822" t="s">
        <v>55</v>
      </c>
      <c r="AI2822" t="s">
        <v>78</v>
      </c>
      <c r="AK2822" t="s">
        <v>359</v>
      </c>
    </row>
    <row r="2823" spans="1:37">
      <c r="B2823" t="s">
        <v>56</v>
      </c>
      <c r="C2823" t="s">
        <v>56</v>
      </c>
      <c r="D2823" t="s">
        <v>56</v>
      </c>
      <c r="E2823" t="s">
        <v>56</v>
      </c>
      <c r="F2823" t="s">
        <v>56</v>
      </c>
      <c r="G2823" t="s">
        <v>176</v>
      </c>
      <c r="H2823" t="s">
        <v>211</v>
      </c>
      <c r="I2823" t="s">
        <v>231</v>
      </c>
      <c r="J2823" t="s">
        <v>250</v>
      </c>
      <c r="K2823" t="s">
        <v>264</v>
      </c>
      <c r="L2823" t="s">
        <v>276</v>
      </c>
      <c r="M2823" t="s">
        <v>285</v>
      </c>
      <c r="N2823" t="s">
        <v>295</v>
      </c>
      <c r="O2823" t="s">
        <v>303</v>
      </c>
      <c r="P2823" t="s">
        <v>56</v>
      </c>
      <c r="Q2823" t="s">
        <v>317</v>
      </c>
      <c r="R2823" t="s">
        <v>324</v>
      </c>
      <c r="S2823" t="s">
        <v>331</v>
      </c>
      <c r="T2823" t="s">
        <v>334</v>
      </c>
      <c r="U2823" t="s">
        <v>338</v>
      </c>
      <c r="V2823" t="s">
        <v>342</v>
      </c>
      <c r="W2823" t="s">
        <v>346</v>
      </c>
      <c r="X2823" t="s">
        <v>351</v>
      </c>
      <c r="AK2823" t="s">
        <v>359</v>
      </c>
    </row>
    <row r="2824" spans="1:37">
      <c r="B2824" t="s">
        <v>57</v>
      </c>
      <c r="C2824" t="s">
        <v>79</v>
      </c>
      <c r="D2824" t="s">
        <v>98</v>
      </c>
      <c r="E2824" t="s">
        <v>117</v>
      </c>
      <c r="F2824" t="s">
        <v>151</v>
      </c>
      <c r="G2824" t="s">
        <v>177</v>
      </c>
      <c r="H2824" t="s">
        <v>212</v>
      </c>
      <c r="I2824" t="s">
        <v>232</v>
      </c>
      <c r="J2824" t="s">
        <v>251</v>
      </c>
      <c r="K2824" t="s">
        <v>265</v>
      </c>
      <c r="L2824" t="s">
        <v>277</v>
      </c>
      <c r="M2824" t="s">
        <v>286</v>
      </c>
      <c r="N2824" t="s">
        <v>296</v>
      </c>
      <c r="O2824" t="s">
        <v>304</v>
      </c>
      <c r="P2824" t="s">
        <v>311</v>
      </c>
      <c r="Q2824" t="s">
        <v>318</v>
      </c>
      <c r="R2824" t="s">
        <v>185</v>
      </c>
      <c r="S2824" t="s">
        <v>159</v>
      </c>
      <c r="T2824" t="s">
        <v>185</v>
      </c>
      <c r="U2824" t="s">
        <v>339</v>
      </c>
      <c r="V2824" t="s">
        <v>72</v>
      </c>
      <c r="W2824" t="s">
        <v>347</v>
      </c>
      <c r="X2824" t="s">
        <v>72</v>
      </c>
      <c r="Y2824" t="s">
        <v>96</v>
      </c>
      <c r="AK2824" t="s">
        <v>359</v>
      </c>
    </row>
    <row r="2825" spans="1:37">
      <c r="B2825" t="s">
        <v>58</v>
      </c>
      <c r="C2825" t="s">
        <v>80</v>
      </c>
      <c r="D2825" t="s">
        <v>99</v>
      </c>
      <c r="E2825" t="s">
        <v>118</v>
      </c>
      <c r="F2825" t="s">
        <v>152</v>
      </c>
      <c r="G2825" t="s">
        <v>178</v>
      </c>
      <c r="H2825" t="s">
        <v>213</v>
      </c>
      <c r="I2825" t="s">
        <v>233</v>
      </c>
      <c r="J2825" t="s">
        <v>252</v>
      </c>
      <c r="K2825" t="s">
        <v>266</v>
      </c>
      <c r="L2825" t="s">
        <v>278</v>
      </c>
      <c r="M2825" t="s">
        <v>287</v>
      </c>
      <c r="N2825" t="s">
        <v>297</v>
      </c>
      <c r="O2825" t="s">
        <v>305</v>
      </c>
      <c r="P2825" t="s">
        <v>312</v>
      </c>
      <c r="Q2825" t="s">
        <v>319</v>
      </c>
      <c r="R2825">
        <f>&gt;10       ветра      2.6     19   3</f>
        <v>0</v>
      </c>
      <c r="AK2825" t="s">
        <v>359</v>
      </c>
    </row>
    <row r="2826" spans="1:37">
      <c r="A2826" t="s">
        <v>40</v>
      </c>
      <c r="B2826" t="s">
        <v>59</v>
      </c>
      <c r="C2826" t="s">
        <v>81</v>
      </c>
      <c r="D2826" t="s">
        <v>100</v>
      </c>
      <c r="E2826" t="s">
        <v>119</v>
      </c>
      <c r="F2826" t="s">
        <v>153</v>
      </c>
      <c r="G2826" t="s">
        <v>179</v>
      </c>
      <c r="H2826" t="s">
        <v>214</v>
      </c>
      <c r="I2826" t="s">
        <v>234</v>
      </c>
      <c r="AK2826" t="s">
        <v>359</v>
      </c>
    </row>
    <row r="2827" spans="1:37">
      <c r="A2827" t="s">
        <v>40</v>
      </c>
      <c r="B2827" t="s">
        <v>60</v>
      </c>
      <c r="C2827" t="s">
        <v>82</v>
      </c>
      <c r="D2827" t="s">
        <v>101</v>
      </c>
      <c r="E2827" t="s">
        <v>120</v>
      </c>
      <c r="F2827" t="s">
        <v>154</v>
      </c>
      <c r="G2827" t="s">
        <v>180</v>
      </c>
      <c r="H2827" t="s">
        <v>215</v>
      </c>
      <c r="I2827" t="s">
        <v>235</v>
      </c>
      <c r="J2827" t="s">
        <v>253</v>
      </c>
      <c r="K2827" t="s">
        <v>267</v>
      </c>
      <c r="L2827" t="s">
        <v>279</v>
      </c>
      <c r="M2827" t="s">
        <v>288</v>
      </c>
      <c r="N2827" t="s">
        <v>100</v>
      </c>
      <c r="O2827" t="s">
        <v>306</v>
      </c>
      <c r="P2827" t="s">
        <v>313</v>
      </c>
      <c r="Q2827" t="s">
        <v>320</v>
      </c>
      <c r="R2827" t="s">
        <v>325</v>
      </c>
      <c r="S2827" t="s">
        <v>332</v>
      </c>
      <c r="T2827" t="s">
        <v>119</v>
      </c>
      <c r="U2827" t="s">
        <v>234</v>
      </c>
      <c r="V2827" t="s">
        <v>343</v>
      </c>
      <c r="W2827" t="s">
        <v>348</v>
      </c>
      <c r="X2827" t="s">
        <v>352</v>
      </c>
      <c r="Y2827" t="s">
        <v>354</v>
      </c>
      <c r="AK2827" t="s">
        <v>359</v>
      </c>
    </row>
    <row r="2828" spans="1:37">
      <c r="A2828" t="s">
        <v>41</v>
      </c>
      <c r="B2828" t="s">
        <v>61</v>
      </c>
      <c r="C2828" t="s">
        <v>83</v>
      </c>
      <c r="D2828" t="s">
        <v>102</v>
      </c>
      <c r="E2828" t="s">
        <v>121</v>
      </c>
      <c r="F2828" t="s">
        <v>155</v>
      </c>
      <c r="G2828" t="s">
        <v>181</v>
      </c>
      <c r="H2828" t="s">
        <v>216</v>
      </c>
      <c r="I2828" t="s">
        <v>236</v>
      </c>
      <c r="AK2828" t="s">
        <v>359</v>
      </c>
    </row>
    <row r="2829" spans="1:37">
      <c r="A2829" t="s">
        <v>42</v>
      </c>
      <c r="B2829" t="s">
        <v>62</v>
      </c>
      <c r="C2829" t="s">
        <v>84</v>
      </c>
      <c r="D2829" t="s">
        <v>103</v>
      </c>
      <c r="E2829" t="s">
        <v>122</v>
      </c>
      <c r="F2829" t="s">
        <v>156</v>
      </c>
      <c r="G2829" t="s">
        <v>182</v>
      </c>
      <c r="H2829" t="s">
        <v>83</v>
      </c>
      <c r="I2829" t="s">
        <v>237</v>
      </c>
      <c r="J2829" t="s">
        <v>254</v>
      </c>
      <c r="K2829" t="s">
        <v>268</v>
      </c>
      <c r="L2829" t="s">
        <v>280</v>
      </c>
      <c r="M2829" t="s">
        <v>289</v>
      </c>
      <c r="N2829" t="s">
        <v>298</v>
      </c>
      <c r="O2829" t="s">
        <v>307</v>
      </c>
      <c r="P2829" t="s">
        <v>314</v>
      </c>
      <c r="Q2829" t="s">
        <v>216</v>
      </c>
      <c r="R2829" t="s">
        <v>326</v>
      </c>
      <c r="S2829" t="s">
        <v>333</v>
      </c>
      <c r="T2829" t="s">
        <v>335</v>
      </c>
      <c r="U2829" t="s">
        <v>340</v>
      </c>
      <c r="V2829" t="s">
        <v>344</v>
      </c>
      <c r="W2829" t="s">
        <v>349</v>
      </c>
      <c r="AK2829" t="s">
        <v>359</v>
      </c>
    </row>
    <row r="2830" spans="1:37">
      <c r="A2830" t="s">
        <v>43</v>
      </c>
      <c r="B2830" t="s">
        <v>63</v>
      </c>
      <c r="C2830" t="s">
        <v>85</v>
      </c>
      <c r="D2830" t="s">
        <v>104</v>
      </c>
      <c r="E2830" t="s">
        <v>123</v>
      </c>
      <c r="F2830" t="s">
        <v>157</v>
      </c>
      <c r="G2830" t="s">
        <v>183</v>
      </c>
      <c r="AK2830" t="s">
        <v>359</v>
      </c>
    </row>
    <row r="2831" spans="1:37">
      <c r="A2831" t="s">
        <v>44</v>
      </c>
      <c r="B2831" t="s">
        <v>64</v>
      </c>
      <c r="C2831" t="s">
        <v>86</v>
      </c>
      <c r="D2831" t="s">
        <v>105</v>
      </c>
      <c r="E2831" t="s">
        <v>124</v>
      </c>
      <c r="F2831" t="s">
        <v>158</v>
      </c>
      <c r="G2831" t="s">
        <v>184</v>
      </c>
      <c r="AK2831" t="s">
        <v>359</v>
      </c>
    </row>
    <row r="2832" spans="1:37">
      <c r="A2832" t="s">
        <v>45</v>
      </c>
      <c r="B2832" t="s">
        <v>65</v>
      </c>
      <c r="C2832" t="s">
        <v>87</v>
      </c>
      <c r="D2832" t="s">
        <v>106</v>
      </c>
      <c r="E2832" t="s">
        <v>125</v>
      </c>
      <c r="F2832" t="s">
        <v>159</v>
      </c>
      <c r="G2832" t="s">
        <v>185</v>
      </c>
      <c r="H2832" t="s">
        <v>159</v>
      </c>
      <c r="I2832" t="s">
        <v>185</v>
      </c>
      <c r="J2832" t="s">
        <v>255</v>
      </c>
      <c r="AK2832" t="s">
        <v>359</v>
      </c>
    </row>
    <row r="2833" spans="1:37">
      <c r="A2833" t="s">
        <v>46</v>
      </c>
      <c r="B2833" t="s">
        <v>66</v>
      </c>
      <c r="C2833" t="s">
        <v>88</v>
      </c>
      <c r="D2833" t="s">
        <v>76</v>
      </c>
      <c r="E2833" t="s">
        <v>126</v>
      </c>
      <c r="F2833" t="s">
        <v>160</v>
      </c>
      <c r="G2833" t="s">
        <v>186</v>
      </c>
      <c r="H2833" t="s">
        <v>217</v>
      </c>
      <c r="I2833" t="s">
        <v>238</v>
      </c>
      <c r="J2833" t="s">
        <v>256</v>
      </c>
      <c r="K2833" t="s">
        <v>265</v>
      </c>
      <c r="L2833" t="s">
        <v>281</v>
      </c>
      <c r="M2833" t="s">
        <v>290</v>
      </c>
      <c r="N2833" t="s">
        <v>299</v>
      </c>
      <c r="O2833" t="s">
        <v>308</v>
      </c>
      <c r="P2833" t="s">
        <v>228</v>
      </c>
      <c r="Q2833" t="s">
        <v>72</v>
      </c>
      <c r="R2833" t="s">
        <v>327</v>
      </c>
      <c r="S2833" t="s">
        <v>327</v>
      </c>
      <c r="T2833" t="s">
        <v>336</v>
      </c>
      <c r="U2833" t="s">
        <v>336</v>
      </c>
      <c r="V2833" t="s">
        <v>336</v>
      </c>
      <c r="W2833" t="s">
        <v>336</v>
      </c>
      <c r="X2833" t="s">
        <v>353</v>
      </c>
      <c r="AK2833" t="s">
        <v>359</v>
      </c>
    </row>
    <row r="2834" spans="1:37">
      <c r="B2834" t="s">
        <v>67</v>
      </c>
      <c r="C2834" t="s">
        <v>89</v>
      </c>
      <c r="D2834" t="s">
        <v>107</v>
      </c>
      <c r="AK2834" t="s">
        <v>359</v>
      </c>
    </row>
    <row r="2835" spans="1:37">
      <c r="B2835" t="s">
        <v>68</v>
      </c>
      <c r="C2835" t="s">
        <v>90</v>
      </c>
      <c r="D2835" t="s">
        <v>108</v>
      </c>
      <c r="AK2835" t="s">
        <v>359</v>
      </c>
    </row>
    <row r="2836" spans="1:37">
      <c r="A2836" t="s">
        <v>47</v>
      </c>
      <c r="B2836" t="s">
        <v>69</v>
      </c>
      <c r="C2836" t="s">
        <v>91</v>
      </c>
      <c r="D2836" t="s">
        <v>109</v>
      </c>
      <c r="E2836" t="s">
        <v>109</v>
      </c>
      <c r="F2836" t="s">
        <v>109</v>
      </c>
      <c r="G2836" t="s">
        <v>109</v>
      </c>
      <c r="H2836" t="s">
        <v>109</v>
      </c>
      <c r="I2836" t="s">
        <v>239</v>
      </c>
      <c r="AK2836" t="s">
        <v>359</v>
      </c>
    </row>
    <row r="2837" spans="1:37">
      <c r="B2837" t="s">
        <v>70</v>
      </c>
      <c r="C2837" t="s">
        <v>92</v>
      </c>
      <c r="D2837" t="s">
        <v>110</v>
      </c>
      <c r="E2837" t="s">
        <v>127</v>
      </c>
      <c r="F2837" t="s">
        <v>161</v>
      </c>
      <c r="G2837" t="s">
        <v>187</v>
      </c>
      <c r="H2837" t="s">
        <v>218</v>
      </c>
      <c r="AK2837" t="s">
        <v>359</v>
      </c>
    </row>
    <row r="2838" spans="1:37">
      <c r="B2838" t="s">
        <v>71</v>
      </c>
      <c r="C2838" t="s">
        <v>93</v>
      </c>
      <c r="D2838" t="s">
        <v>111</v>
      </c>
      <c r="E2838" t="s">
        <v>128</v>
      </c>
      <c r="F2838" t="s">
        <v>162</v>
      </c>
      <c r="G2838" t="s">
        <v>188</v>
      </c>
      <c r="H2838" t="s">
        <v>219</v>
      </c>
      <c r="I2838" t="s">
        <v>240</v>
      </c>
      <c r="J2838" t="s">
        <v>257</v>
      </c>
      <c r="K2838" t="s">
        <v>269</v>
      </c>
      <c r="L2838" t="s">
        <v>109</v>
      </c>
      <c r="M2838" t="s">
        <v>109</v>
      </c>
      <c r="N2838" t="s">
        <v>109</v>
      </c>
      <c r="O2838" t="s">
        <v>109</v>
      </c>
      <c r="P2838" t="s">
        <v>109</v>
      </c>
      <c r="Q2838" t="s">
        <v>321</v>
      </c>
      <c r="AK2838" t="s">
        <v>359</v>
      </c>
    </row>
    <row r="2839" spans="1:37">
      <c r="A2839" t="s">
        <v>48</v>
      </c>
      <c r="B2839" t="s">
        <v>71</v>
      </c>
      <c r="C2839" t="s">
        <v>93</v>
      </c>
      <c r="D2839" t="s">
        <v>111</v>
      </c>
      <c r="E2839" t="s">
        <v>128</v>
      </c>
      <c r="F2839" t="s">
        <v>163</v>
      </c>
      <c r="G2839" t="s">
        <v>189</v>
      </c>
      <c r="H2839" t="s">
        <v>220</v>
      </c>
      <c r="I2839" t="s">
        <v>241</v>
      </c>
      <c r="J2839" t="s">
        <v>258</v>
      </c>
      <c r="K2839" t="s">
        <v>270</v>
      </c>
      <c r="AK2839" t="s">
        <v>359</v>
      </c>
    </row>
    <row r="2840" spans="1:37">
      <c r="B2840" t="s">
        <v>72</v>
      </c>
      <c r="C2840" t="s">
        <v>72</v>
      </c>
      <c r="D2840" t="s">
        <v>72</v>
      </c>
      <c r="E2840" t="s">
        <v>139</v>
      </c>
      <c r="F2840" t="s">
        <v>139</v>
      </c>
      <c r="G2840" t="s">
        <v>192</v>
      </c>
      <c r="H2840" t="s">
        <v>72</v>
      </c>
      <c r="I2840" t="s">
        <v>192</v>
      </c>
      <c r="J2840" t="s">
        <v>72</v>
      </c>
      <c r="K2840" t="s">
        <v>271</v>
      </c>
      <c r="AK2840" t="s">
        <v>359</v>
      </c>
    </row>
    <row r="2841" spans="1:37">
      <c r="A2841" t="s">
        <v>37</v>
      </c>
      <c r="B2841" t="s">
        <v>49</v>
      </c>
      <c r="C2841" t="s">
        <v>73</v>
      </c>
      <c r="D2841" t="s">
        <v>94</v>
      </c>
      <c r="E2841" t="s">
        <v>112</v>
      </c>
      <c r="F2841" t="s">
        <v>146</v>
      </c>
      <c r="G2841" t="s">
        <v>172</v>
      </c>
      <c r="H2841" t="s">
        <v>207</v>
      </c>
      <c r="I2841" t="s">
        <v>226</v>
      </c>
      <c r="J2841" t="s">
        <v>246</v>
      </c>
      <c r="K2841" t="s">
        <v>259</v>
      </c>
      <c r="AK2841" t="s">
        <v>359</v>
      </c>
    </row>
    <row r="2842" spans="1:37">
      <c r="A2842" t="s">
        <v>38</v>
      </c>
      <c r="B2842" t="s">
        <v>50</v>
      </c>
      <c r="C2842" t="s">
        <v>74</v>
      </c>
      <c r="D2842" t="s">
        <v>95</v>
      </c>
      <c r="E2842" t="s">
        <v>113</v>
      </c>
      <c r="F2842" t="s">
        <v>147</v>
      </c>
      <c r="G2842" t="s">
        <v>173</v>
      </c>
      <c r="H2842" t="s">
        <v>208</v>
      </c>
      <c r="I2842" t="s">
        <v>227</v>
      </c>
      <c r="J2842" t="s">
        <v>115</v>
      </c>
      <c r="K2842" t="s">
        <v>260</v>
      </c>
      <c r="L2842" t="s">
        <v>273</v>
      </c>
      <c r="M2842" t="s">
        <v>282</v>
      </c>
      <c r="N2842" t="s">
        <v>291</v>
      </c>
      <c r="AK2842" t="s">
        <v>359</v>
      </c>
    </row>
    <row r="2843" spans="1:37">
      <c r="B2843" t="s">
        <v>51</v>
      </c>
      <c r="C2843" t="s">
        <v>75</v>
      </c>
      <c r="D2843" t="s">
        <v>52</v>
      </c>
      <c r="E2843" t="s">
        <v>114</v>
      </c>
      <c r="F2843" t="s">
        <v>148</v>
      </c>
      <c r="G2843" t="s">
        <v>148</v>
      </c>
      <c r="H2843" t="s">
        <v>209</v>
      </c>
      <c r="I2843" t="s">
        <v>228</v>
      </c>
      <c r="J2843" t="s">
        <v>247</v>
      </c>
      <c r="K2843" t="s">
        <v>261</v>
      </c>
      <c r="L2843" t="s">
        <v>274</v>
      </c>
      <c r="M2843" t="s">
        <v>283</v>
      </c>
      <c r="N2843" t="s">
        <v>292</v>
      </c>
      <c r="O2843" t="s">
        <v>300</v>
      </c>
      <c r="AK2843" t="s">
        <v>359</v>
      </c>
    </row>
    <row r="2844" spans="1:37">
      <c r="B2844" t="s">
        <v>52</v>
      </c>
      <c r="C2844" t="s">
        <v>76</v>
      </c>
      <c r="D2844" t="s">
        <v>96</v>
      </c>
      <c r="E2844" t="s">
        <v>115</v>
      </c>
      <c r="F2844" t="s">
        <v>149</v>
      </c>
      <c r="G2844" t="s">
        <v>174</v>
      </c>
      <c r="H2844" t="s">
        <v>96</v>
      </c>
      <c r="I2844" t="s">
        <v>229</v>
      </c>
      <c r="J2844" t="s">
        <v>248</v>
      </c>
      <c r="K2844" t="s">
        <v>262</v>
      </c>
      <c r="L2844" t="s">
        <v>52</v>
      </c>
      <c r="M2844" t="s">
        <v>76</v>
      </c>
      <c r="N2844" t="s">
        <v>293</v>
      </c>
      <c r="O2844" t="s">
        <v>301</v>
      </c>
      <c r="P2844" t="s">
        <v>309</v>
      </c>
      <c r="Q2844" t="s">
        <v>315</v>
      </c>
      <c r="R2844" t="s">
        <v>228</v>
      </c>
      <c r="S2844" t="s">
        <v>328</v>
      </c>
      <c r="T2844" t="s">
        <v>149</v>
      </c>
      <c r="U2844" t="s">
        <v>337</v>
      </c>
      <c r="V2844" t="s">
        <v>341</v>
      </c>
      <c r="W2844" t="s">
        <v>345</v>
      </c>
      <c r="X2844" t="s">
        <v>350</v>
      </c>
      <c r="AK2844" t="s">
        <v>359</v>
      </c>
    </row>
    <row r="2845" spans="1:37">
      <c r="B2845" t="s">
        <v>53</v>
      </c>
      <c r="C2845" t="s">
        <v>77</v>
      </c>
      <c r="D2845" t="s">
        <v>97</v>
      </c>
      <c r="E2845" t="s">
        <v>116</v>
      </c>
      <c r="F2845" t="s">
        <v>150</v>
      </c>
      <c r="G2845" t="s">
        <v>175</v>
      </c>
      <c r="H2845" t="s">
        <v>210</v>
      </c>
      <c r="I2845" t="s">
        <v>230</v>
      </c>
      <c r="J2845" t="s">
        <v>249</v>
      </c>
      <c r="K2845" t="s">
        <v>263</v>
      </c>
      <c r="L2845" t="s">
        <v>275</v>
      </c>
      <c r="M2845" t="s">
        <v>284</v>
      </c>
      <c r="N2845" t="s">
        <v>294</v>
      </c>
      <c r="O2845" t="s">
        <v>302</v>
      </c>
      <c r="P2845" t="s">
        <v>310</v>
      </c>
      <c r="Q2845" t="s">
        <v>316</v>
      </c>
      <c r="R2845" t="s">
        <v>322</v>
      </c>
      <c r="S2845" t="s">
        <v>329</v>
      </c>
      <c r="AK2845" t="s">
        <v>359</v>
      </c>
    </row>
    <row r="2846" spans="1:37">
      <c r="A2846" t="s">
        <v>39</v>
      </c>
      <c r="B2846" t="s">
        <v>54</v>
      </c>
      <c r="C2846" t="s">
        <v>54</v>
      </c>
      <c r="D2846" t="s">
        <v>54</v>
      </c>
      <c r="E2846" t="s">
        <v>54</v>
      </c>
      <c r="F2846" t="s">
        <v>54</v>
      </c>
      <c r="G2846" t="s">
        <v>54</v>
      </c>
      <c r="H2846" t="s">
        <v>54</v>
      </c>
      <c r="I2846" t="s">
        <v>54</v>
      </c>
      <c r="J2846" t="s">
        <v>54</v>
      </c>
      <c r="K2846" t="s">
        <v>54</v>
      </c>
      <c r="L2846" t="s">
        <v>54</v>
      </c>
      <c r="M2846" t="s">
        <v>54</v>
      </c>
      <c r="N2846" t="s">
        <v>54</v>
      </c>
      <c r="O2846" t="s">
        <v>54</v>
      </c>
      <c r="P2846" t="s">
        <v>54</v>
      </c>
      <c r="Q2846" t="s">
        <v>54</v>
      </c>
      <c r="R2846" t="s">
        <v>323</v>
      </c>
      <c r="S2846" t="s">
        <v>330</v>
      </c>
      <c r="AK2846" t="s">
        <v>359</v>
      </c>
    </row>
    <row r="2847" spans="1:37">
      <c r="B2847" t="s">
        <v>55</v>
      </c>
      <c r="C2847" t="s">
        <v>78</v>
      </c>
      <c r="D2847" t="s">
        <v>55</v>
      </c>
      <c r="E2847" t="s">
        <v>78</v>
      </c>
      <c r="F2847" t="s">
        <v>55</v>
      </c>
      <c r="G2847" t="s">
        <v>78</v>
      </c>
      <c r="H2847" t="s">
        <v>55</v>
      </c>
      <c r="I2847" t="s">
        <v>78</v>
      </c>
      <c r="J2847" t="s">
        <v>55</v>
      </c>
      <c r="K2847" t="s">
        <v>78</v>
      </c>
      <c r="L2847" t="s">
        <v>55</v>
      </c>
      <c r="M2847" t="s">
        <v>78</v>
      </c>
      <c r="N2847" t="s">
        <v>55</v>
      </c>
      <c r="O2847" t="s">
        <v>78</v>
      </c>
      <c r="P2847" t="s">
        <v>55</v>
      </c>
      <c r="Q2847" t="s">
        <v>78</v>
      </c>
      <c r="R2847" t="s">
        <v>55</v>
      </c>
      <c r="S2847" t="s">
        <v>78</v>
      </c>
      <c r="T2847" t="s">
        <v>55</v>
      </c>
      <c r="U2847" t="s">
        <v>78</v>
      </c>
      <c r="V2847" t="s">
        <v>55</v>
      </c>
      <c r="W2847" t="s">
        <v>78</v>
      </c>
      <c r="X2847" t="s">
        <v>55</v>
      </c>
      <c r="Y2847" t="s">
        <v>78</v>
      </c>
      <c r="Z2847" t="s">
        <v>55</v>
      </c>
      <c r="AA2847" t="s">
        <v>78</v>
      </c>
      <c r="AB2847" t="s">
        <v>55</v>
      </c>
      <c r="AC2847" t="s">
        <v>78</v>
      </c>
      <c r="AD2847" t="s">
        <v>55</v>
      </c>
      <c r="AE2847" t="s">
        <v>78</v>
      </c>
      <c r="AF2847" t="s">
        <v>55</v>
      </c>
      <c r="AG2847" t="s">
        <v>78</v>
      </c>
      <c r="AH2847" t="s">
        <v>55</v>
      </c>
      <c r="AI2847" t="s">
        <v>78</v>
      </c>
      <c r="AK2847" t="s">
        <v>359</v>
      </c>
    </row>
    <row r="2848" spans="1:37">
      <c r="B2848" t="s">
        <v>56</v>
      </c>
      <c r="C2848" t="s">
        <v>56</v>
      </c>
      <c r="D2848" t="s">
        <v>56</v>
      </c>
      <c r="E2848" t="s">
        <v>56</v>
      </c>
      <c r="F2848" t="s">
        <v>56</v>
      </c>
      <c r="G2848" t="s">
        <v>176</v>
      </c>
      <c r="H2848" t="s">
        <v>211</v>
      </c>
      <c r="I2848" t="s">
        <v>231</v>
      </c>
      <c r="J2848" t="s">
        <v>250</v>
      </c>
      <c r="K2848" t="s">
        <v>264</v>
      </c>
      <c r="L2848" t="s">
        <v>276</v>
      </c>
      <c r="M2848" t="s">
        <v>285</v>
      </c>
      <c r="N2848" t="s">
        <v>295</v>
      </c>
      <c r="O2848" t="s">
        <v>303</v>
      </c>
      <c r="P2848" t="s">
        <v>56</v>
      </c>
      <c r="Q2848" t="s">
        <v>317</v>
      </c>
      <c r="R2848" t="s">
        <v>324</v>
      </c>
      <c r="S2848" t="s">
        <v>331</v>
      </c>
      <c r="T2848" t="s">
        <v>334</v>
      </c>
      <c r="U2848" t="s">
        <v>338</v>
      </c>
      <c r="V2848" t="s">
        <v>342</v>
      </c>
      <c r="W2848" t="s">
        <v>346</v>
      </c>
      <c r="X2848" t="s">
        <v>351</v>
      </c>
      <c r="AK2848" t="s">
        <v>359</v>
      </c>
    </row>
    <row r="2849" spans="1:37">
      <c r="B2849" t="s">
        <v>57</v>
      </c>
      <c r="C2849" t="s">
        <v>79</v>
      </c>
      <c r="D2849" t="s">
        <v>98</v>
      </c>
      <c r="E2849" t="s">
        <v>117</v>
      </c>
      <c r="F2849" t="s">
        <v>151</v>
      </c>
      <c r="G2849" t="s">
        <v>177</v>
      </c>
      <c r="H2849" t="s">
        <v>212</v>
      </c>
      <c r="I2849" t="s">
        <v>232</v>
      </c>
      <c r="J2849" t="s">
        <v>251</v>
      </c>
      <c r="K2849" t="s">
        <v>265</v>
      </c>
      <c r="L2849" t="s">
        <v>277</v>
      </c>
      <c r="M2849" t="s">
        <v>286</v>
      </c>
      <c r="N2849" t="s">
        <v>296</v>
      </c>
      <c r="O2849" t="s">
        <v>304</v>
      </c>
      <c r="P2849" t="s">
        <v>311</v>
      </c>
      <c r="Q2849" t="s">
        <v>318</v>
      </c>
      <c r="R2849" t="s">
        <v>185</v>
      </c>
      <c r="S2849" t="s">
        <v>159</v>
      </c>
      <c r="T2849" t="s">
        <v>185</v>
      </c>
      <c r="U2849" t="s">
        <v>339</v>
      </c>
      <c r="V2849" t="s">
        <v>72</v>
      </c>
      <c r="W2849" t="s">
        <v>347</v>
      </c>
      <c r="X2849" t="s">
        <v>72</v>
      </c>
      <c r="Y2849" t="s">
        <v>96</v>
      </c>
      <c r="AK2849" t="s">
        <v>359</v>
      </c>
    </row>
    <row r="2850" spans="1:37">
      <c r="B2850" t="s">
        <v>58</v>
      </c>
      <c r="C2850" t="s">
        <v>80</v>
      </c>
      <c r="D2850" t="s">
        <v>99</v>
      </c>
      <c r="E2850" t="s">
        <v>118</v>
      </c>
      <c r="F2850" t="s">
        <v>152</v>
      </c>
      <c r="G2850" t="s">
        <v>178</v>
      </c>
      <c r="H2850" t="s">
        <v>213</v>
      </c>
      <c r="I2850" t="s">
        <v>233</v>
      </c>
      <c r="J2850" t="s">
        <v>252</v>
      </c>
      <c r="K2850" t="s">
        <v>266</v>
      </c>
      <c r="L2850" t="s">
        <v>278</v>
      </c>
      <c r="M2850" t="s">
        <v>287</v>
      </c>
      <c r="N2850" t="s">
        <v>297</v>
      </c>
      <c r="O2850" t="s">
        <v>305</v>
      </c>
      <c r="P2850" t="s">
        <v>312</v>
      </c>
      <c r="Q2850" t="s">
        <v>319</v>
      </c>
      <c r="R2850">
        <f>&gt;10       ветра      3.0     18  19 20</f>
        <v>0</v>
      </c>
      <c r="AK2850" t="s">
        <v>359</v>
      </c>
    </row>
    <row r="2851" spans="1:37">
      <c r="A2851" t="s">
        <v>40</v>
      </c>
      <c r="B2851" t="s">
        <v>59</v>
      </c>
      <c r="C2851" t="s">
        <v>81</v>
      </c>
      <c r="D2851" t="s">
        <v>100</v>
      </c>
      <c r="E2851" t="s">
        <v>119</v>
      </c>
      <c r="F2851" t="s">
        <v>153</v>
      </c>
      <c r="G2851" t="s">
        <v>179</v>
      </c>
      <c r="H2851" t="s">
        <v>214</v>
      </c>
      <c r="I2851" t="s">
        <v>234</v>
      </c>
      <c r="AK2851" t="s">
        <v>359</v>
      </c>
    </row>
    <row r="2852" spans="1:37">
      <c r="A2852" t="s">
        <v>40</v>
      </c>
      <c r="B2852" t="s">
        <v>60</v>
      </c>
      <c r="C2852" t="s">
        <v>82</v>
      </c>
      <c r="D2852" t="s">
        <v>101</v>
      </c>
      <c r="E2852" t="s">
        <v>120</v>
      </c>
      <c r="F2852" t="s">
        <v>154</v>
      </c>
      <c r="G2852" t="s">
        <v>180</v>
      </c>
      <c r="H2852" t="s">
        <v>215</v>
      </c>
      <c r="I2852" t="s">
        <v>235</v>
      </c>
      <c r="J2852" t="s">
        <v>253</v>
      </c>
      <c r="K2852" t="s">
        <v>267</v>
      </c>
      <c r="L2852" t="s">
        <v>279</v>
      </c>
      <c r="M2852" t="s">
        <v>288</v>
      </c>
      <c r="N2852" t="s">
        <v>100</v>
      </c>
      <c r="O2852" t="s">
        <v>306</v>
      </c>
      <c r="P2852" t="s">
        <v>313</v>
      </c>
      <c r="Q2852" t="s">
        <v>320</v>
      </c>
      <c r="R2852" t="s">
        <v>325</v>
      </c>
      <c r="S2852" t="s">
        <v>332</v>
      </c>
      <c r="T2852" t="s">
        <v>119</v>
      </c>
      <c r="U2852" t="s">
        <v>234</v>
      </c>
      <c r="V2852" t="s">
        <v>343</v>
      </c>
      <c r="W2852" t="s">
        <v>348</v>
      </c>
      <c r="X2852" t="s">
        <v>352</v>
      </c>
      <c r="Y2852" t="s">
        <v>354</v>
      </c>
      <c r="AK2852" t="s">
        <v>359</v>
      </c>
    </row>
    <row r="2853" spans="1:37">
      <c r="A2853" t="s">
        <v>41</v>
      </c>
      <c r="B2853" t="s">
        <v>61</v>
      </c>
      <c r="C2853" t="s">
        <v>83</v>
      </c>
      <c r="D2853" t="s">
        <v>102</v>
      </c>
      <c r="E2853" t="s">
        <v>121</v>
      </c>
      <c r="F2853" t="s">
        <v>155</v>
      </c>
      <c r="G2853" t="s">
        <v>181</v>
      </c>
      <c r="H2853" t="s">
        <v>216</v>
      </c>
      <c r="I2853" t="s">
        <v>236</v>
      </c>
      <c r="AK2853" t="s">
        <v>359</v>
      </c>
    </row>
    <row r="2854" spans="1:37">
      <c r="A2854" t="s">
        <v>42</v>
      </c>
      <c r="B2854" t="s">
        <v>62</v>
      </c>
      <c r="C2854" t="s">
        <v>84</v>
      </c>
      <c r="D2854" t="s">
        <v>103</v>
      </c>
      <c r="E2854" t="s">
        <v>122</v>
      </c>
      <c r="F2854" t="s">
        <v>156</v>
      </c>
      <c r="G2854" t="s">
        <v>182</v>
      </c>
      <c r="H2854" t="s">
        <v>83</v>
      </c>
      <c r="I2854" t="s">
        <v>237</v>
      </c>
      <c r="J2854" t="s">
        <v>254</v>
      </c>
      <c r="K2854" t="s">
        <v>268</v>
      </c>
      <c r="L2854" t="s">
        <v>280</v>
      </c>
      <c r="M2854" t="s">
        <v>289</v>
      </c>
      <c r="N2854" t="s">
        <v>298</v>
      </c>
      <c r="O2854" t="s">
        <v>307</v>
      </c>
      <c r="P2854" t="s">
        <v>314</v>
      </c>
      <c r="Q2854" t="s">
        <v>216</v>
      </c>
      <c r="R2854" t="s">
        <v>326</v>
      </c>
      <c r="S2854" t="s">
        <v>333</v>
      </c>
      <c r="T2854" t="s">
        <v>335</v>
      </c>
      <c r="U2854" t="s">
        <v>340</v>
      </c>
      <c r="V2854" t="s">
        <v>344</v>
      </c>
      <c r="W2854" t="s">
        <v>349</v>
      </c>
      <c r="AK2854" t="s">
        <v>359</v>
      </c>
    </row>
    <row r="2855" spans="1:37">
      <c r="A2855" t="s">
        <v>43</v>
      </c>
      <c r="B2855" t="s">
        <v>63</v>
      </c>
      <c r="C2855" t="s">
        <v>85</v>
      </c>
      <c r="D2855" t="s">
        <v>104</v>
      </c>
      <c r="E2855" t="s">
        <v>123</v>
      </c>
      <c r="F2855" t="s">
        <v>157</v>
      </c>
      <c r="G2855" t="s">
        <v>183</v>
      </c>
      <c r="AK2855" t="s">
        <v>359</v>
      </c>
    </row>
    <row r="2856" spans="1:37">
      <c r="A2856" t="s">
        <v>44</v>
      </c>
      <c r="B2856" t="s">
        <v>64</v>
      </c>
      <c r="C2856" t="s">
        <v>86</v>
      </c>
      <c r="D2856" t="s">
        <v>105</v>
      </c>
      <c r="E2856" t="s">
        <v>124</v>
      </c>
      <c r="F2856" t="s">
        <v>158</v>
      </c>
      <c r="G2856" t="s">
        <v>184</v>
      </c>
      <c r="AK2856" t="s">
        <v>359</v>
      </c>
    </row>
    <row r="2857" spans="1:37">
      <c r="A2857" t="s">
        <v>45</v>
      </c>
      <c r="B2857" t="s">
        <v>65</v>
      </c>
      <c r="C2857" t="s">
        <v>87</v>
      </c>
      <c r="D2857" t="s">
        <v>106</v>
      </c>
      <c r="E2857" t="s">
        <v>125</v>
      </c>
      <c r="F2857" t="s">
        <v>159</v>
      </c>
      <c r="G2857" t="s">
        <v>185</v>
      </c>
      <c r="H2857" t="s">
        <v>159</v>
      </c>
      <c r="I2857" t="s">
        <v>185</v>
      </c>
      <c r="J2857" t="s">
        <v>255</v>
      </c>
      <c r="AK2857" t="s">
        <v>359</v>
      </c>
    </row>
    <row r="2858" spans="1:37">
      <c r="A2858" t="s">
        <v>46</v>
      </c>
      <c r="B2858" t="s">
        <v>66</v>
      </c>
      <c r="C2858" t="s">
        <v>88</v>
      </c>
      <c r="D2858" t="s">
        <v>76</v>
      </c>
      <c r="E2858" t="s">
        <v>126</v>
      </c>
      <c r="F2858" t="s">
        <v>160</v>
      </c>
      <c r="G2858" t="s">
        <v>186</v>
      </c>
      <c r="H2858" t="s">
        <v>217</v>
      </c>
      <c r="I2858" t="s">
        <v>238</v>
      </c>
      <c r="J2858" t="s">
        <v>256</v>
      </c>
      <c r="K2858" t="s">
        <v>265</v>
      </c>
      <c r="L2858" t="s">
        <v>281</v>
      </c>
      <c r="M2858" t="s">
        <v>290</v>
      </c>
      <c r="N2858" t="s">
        <v>299</v>
      </c>
      <c r="O2858" t="s">
        <v>308</v>
      </c>
      <c r="P2858" t="s">
        <v>228</v>
      </c>
      <c r="Q2858" t="s">
        <v>72</v>
      </c>
      <c r="R2858" t="s">
        <v>327</v>
      </c>
      <c r="S2858" t="s">
        <v>327</v>
      </c>
      <c r="T2858" t="s">
        <v>336</v>
      </c>
      <c r="U2858" t="s">
        <v>336</v>
      </c>
      <c r="V2858" t="s">
        <v>336</v>
      </c>
      <c r="W2858" t="s">
        <v>336</v>
      </c>
      <c r="X2858" t="s">
        <v>353</v>
      </c>
      <c r="AK2858" t="s">
        <v>359</v>
      </c>
    </row>
    <row r="2859" spans="1:37">
      <c r="B2859" t="s">
        <v>67</v>
      </c>
      <c r="C2859" t="s">
        <v>89</v>
      </c>
      <c r="D2859" t="s">
        <v>107</v>
      </c>
      <c r="AK2859" t="s">
        <v>359</v>
      </c>
    </row>
    <row r="2860" spans="1:37">
      <c r="B2860" t="s">
        <v>68</v>
      </c>
      <c r="C2860" t="s">
        <v>90</v>
      </c>
      <c r="D2860" t="s">
        <v>108</v>
      </c>
      <c r="AK2860" t="s">
        <v>359</v>
      </c>
    </row>
    <row r="2861" spans="1:37">
      <c r="A2861" t="s">
        <v>47</v>
      </c>
      <c r="B2861" t="s">
        <v>69</v>
      </c>
      <c r="C2861" t="s">
        <v>91</v>
      </c>
      <c r="D2861" t="s">
        <v>109</v>
      </c>
      <c r="E2861" t="s">
        <v>109</v>
      </c>
      <c r="F2861" t="s">
        <v>109</v>
      </c>
      <c r="G2861" t="s">
        <v>109</v>
      </c>
      <c r="H2861" t="s">
        <v>109</v>
      </c>
      <c r="I2861" t="s">
        <v>239</v>
      </c>
      <c r="AK2861" t="s">
        <v>359</v>
      </c>
    </row>
    <row r="2862" spans="1:37">
      <c r="B2862" t="s">
        <v>70</v>
      </c>
      <c r="C2862" t="s">
        <v>92</v>
      </c>
      <c r="D2862" t="s">
        <v>110</v>
      </c>
      <c r="E2862" t="s">
        <v>127</v>
      </c>
      <c r="F2862" t="s">
        <v>161</v>
      </c>
      <c r="G2862" t="s">
        <v>187</v>
      </c>
      <c r="H2862" t="s">
        <v>218</v>
      </c>
      <c r="AK2862" t="s">
        <v>359</v>
      </c>
    </row>
    <row r="2863" spans="1:37">
      <c r="B2863" t="s">
        <v>71</v>
      </c>
      <c r="C2863" t="s">
        <v>93</v>
      </c>
      <c r="D2863" t="s">
        <v>111</v>
      </c>
      <c r="E2863" t="s">
        <v>128</v>
      </c>
      <c r="F2863" t="s">
        <v>162</v>
      </c>
      <c r="G2863" t="s">
        <v>188</v>
      </c>
      <c r="H2863" t="s">
        <v>219</v>
      </c>
      <c r="I2863" t="s">
        <v>240</v>
      </c>
      <c r="J2863" t="s">
        <v>257</v>
      </c>
      <c r="K2863" t="s">
        <v>269</v>
      </c>
      <c r="L2863" t="s">
        <v>109</v>
      </c>
      <c r="M2863" t="s">
        <v>109</v>
      </c>
      <c r="N2863" t="s">
        <v>109</v>
      </c>
      <c r="O2863" t="s">
        <v>109</v>
      </c>
      <c r="P2863" t="s">
        <v>109</v>
      </c>
      <c r="Q2863" t="s">
        <v>321</v>
      </c>
      <c r="AK2863" t="s">
        <v>359</v>
      </c>
    </row>
    <row r="2864" spans="1:37">
      <c r="A2864" t="s">
        <v>48</v>
      </c>
      <c r="B2864" t="s">
        <v>71</v>
      </c>
      <c r="C2864" t="s">
        <v>93</v>
      </c>
      <c r="D2864" t="s">
        <v>111</v>
      </c>
      <c r="E2864" t="s">
        <v>128</v>
      </c>
      <c r="F2864" t="s">
        <v>163</v>
      </c>
      <c r="G2864" t="s">
        <v>189</v>
      </c>
      <c r="H2864" t="s">
        <v>220</v>
      </c>
      <c r="I2864" t="s">
        <v>241</v>
      </c>
      <c r="J2864" t="s">
        <v>258</v>
      </c>
      <c r="K2864" t="s">
        <v>270</v>
      </c>
      <c r="AK2864" t="s">
        <v>359</v>
      </c>
    </row>
    <row r="2865" spans="1:37">
      <c r="B2865" t="s">
        <v>72</v>
      </c>
      <c r="C2865" t="s">
        <v>72</v>
      </c>
      <c r="D2865" t="s">
        <v>72</v>
      </c>
      <c r="E2865" t="s">
        <v>139</v>
      </c>
      <c r="F2865" t="s">
        <v>139</v>
      </c>
      <c r="G2865" t="s">
        <v>192</v>
      </c>
      <c r="H2865" t="s">
        <v>192</v>
      </c>
      <c r="I2865" t="s">
        <v>192</v>
      </c>
      <c r="J2865" t="s">
        <v>192</v>
      </c>
      <c r="K2865" t="s">
        <v>271</v>
      </c>
      <c r="AK2865" t="s">
        <v>359</v>
      </c>
    </row>
    <row r="2866" spans="1:37">
      <c r="A2866" t="s">
        <v>37</v>
      </c>
      <c r="B2866" t="s">
        <v>49</v>
      </c>
      <c r="C2866" t="s">
        <v>73</v>
      </c>
      <c r="D2866" t="s">
        <v>94</v>
      </c>
      <c r="E2866" t="s">
        <v>112</v>
      </c>
      <c r="F2866" t="s">
        <v>146</v>
      </c>
      <c r="G2866" t="s">
        <v>172</v>
      </c>
      <c r="H2866" t="s">
        <v>207</v>
      </c>
      <c r="I2866" t="s">
        <v>226</v>
      </c>
      <c r="J2866" t="s">
        <v>246</v>
      </c>
      <c r="K2866" t="s">
        <v>259</v>
      </c>
      <c r="AK2866" t="s">
        <v>359</v>
      </c>
    </row>
    <row r="2867" spans="1:37">
      <c r="A2867" t="s">
        <v>38</v>
      </c>
      <c r="B2867" t="s">
        <v>50</v>
      </c>
      <c r="C2867" t="s">
        <v>74</v>
      </c>
      <c r="D2867" t="s">
        <v>95</v>
      </c>
      <c r="E2867" t="s">
        <v>113</v>
      </c>
      <c r="F2867" t="s">
        <v>147</v>
      </c>
      <c r="G2867" t="s">
        <v>173</v>
      </c>
      <c r="H2867" t="s">
        <v>208</v>
      </c>
      <c r="I2867" t="s">
        <v>227</v>
      </c>
      <c r="J2867" t="s">
        <v>115</v>
      </c>
      <c r="K2867" t="s">
        <v>260</v>
      </c>
      <c r="L2867" t="s">
        <v>273</v>
      </c>
      <c r="M2867" t="s">
        <v>282</v>
      </c>
      <c r="N2867" t="s">
        <v>291</v>
      </c>
      <c r="AK2867" t="s">
        <v>359</v>
      </c>
    </row>
    <row r="2868" spans="1:37">
      <c r="B2868" t="s">
        <v>51</v>
      </c>
      <c r="C2868" t="s">
        <v>75</v>
      </c>
      <c r="D2868" t="s">
        <v>52</v>
      </c>
      <c r="E2868" t="s">
        <v>114</v>
      </c>
      <c r="F2868" t="s">
        <v>148</v>
      </c>
      <c r="G2868" t="s">
        <v>148</v>
      </c>
      <c r="H2868" t="s">
        <v>209</v>
      </c>
      <c r="I2868" t="s">
        <v>228</v>
      </c>
      <c r="J2868" t="s">
        <v>247</v>
      </c>
      <c r="K2868" t="s">
        <v>261</v>
      </c>
      <c r="L2868" t="s">
        <v>274</v>
      </c>
      <c r="M2868" t="s">
        <v>283</v>
      </c>
      <c r="N2868" t="s">
        <v>292</v>
      </c>
      <c r="O2868" t="s">
        <v>300</v>
      </c>
      <c r="AK2868" t="s">
        <v>359</v>
      </c>
    </row>
    <row r="2869" spans="1:37">
      <c r="B2869" t="s">
        <v>52</v>
      </c>
      <c r="C2869" t="s">
        <v>76</v>
      </c>
      <c r="D2869" t="s">
        <v>96</v>
      </c>
      <c r="E2869" t="s">
        <v>115</v>
      </c>
      <c r="F2869" t="s">
        <v>149</v>
      </c>
      <c r="G2869" t="s">
        <v>174</v>
      </c>
      <c r="H2869" t="s">
        <v>96</v>
      </c>
      <c r="I2869" t="s">
        <v>229</v>
      </c>
      <c r="J2869" t="s">
        <v>248</v>
      </c>
      <c r="K2869" t="s">
        <v>262</v>
      </c>
      <c r="L2869" t="s">
        <v>52</v>
      </c>
      <c r="M2869" t="s">
        <v>76</v>
      </c>
      <c r="N2869" t="s">
        <v>293</v>
      </c>
      <c r="O2869" t="s">
        <v>301</v>
      </c>
      <c r="P2869" t="s">
        <v>309</v>
      </c>
      <c r="Q2869" t="s">
        <v>315</v>
      </c>
      <c r="R2869" t="s">
        <v>228</v>
      </c>
      <c r="S2869" t="s">
        <v>328</v>
      </c>
      <c r="T2869" t="s">
        <v>149</v>
      </c>
      <c r="U2869" t="s">
        <v>337</v>
      </c>
      <c r="V2869" t="s">
        <v>341</v>
      </c>
      <c r="W2869" t="s">
        <v>345</v>
      </c>
      <c r="X2869" t="s">
        <v>350</v>
      </c>
      <c r="AK2869" t="s">
        <v>359</v>
      </c>
    </row>
    <row r="2870" spans="1:37">
      <c r="B2870" t="s">
        <v>53</v>
      </c>
      <c r="C2870" t="s">
        <v>77</v>
      </c>
      <c r="D2870" t="s">
        <v>97</v>
      </c>
      <c r="E2870" t="s">
        <v>116</v>
      </c>
      <c r="F2870" t="s">
        <v>150</v>
      </c>
      <c r="G2870" t="s">
        <v>175</v>
      </c>
      <c r="H2870" t="s">
        <v>210</v>
      </c>
      <c r="I2870" t="s">
        <v>230</v>
      </c>
      <c r="J2870" t="s">
        <v>249</v>
      </c>
      <c r="K2870" t="s">
        <v>263</v>
      </c>
      <c r="L2870" t="s">
        <v>275</v>
      </c>
      <c r="M2870" t="s">
        <v>284</v>
      </c>
      <c r="N2870" t="s">
        <v>294</v>
      </c>
      <c r="O2870" t="s">
        <v>302</v>
      </c>
      <c r="P2870" t="s">
        <v>310</v>
      </c>
      <c r="Q2870" t="s">
        <v>316</v>
      </c>
      <c r="R2870" t="s">
        <v>322</v>
      </c>
      <c r="S2870" t="s">
        <v>329</v>
      </c>
      <c r="AK2870" t="s">
        <v>359</v>
      </c>
    </row>
    <row r="2871" spans="1:37">
      <c r="A2871" t="s">
        <v>39</v>
      </c>
      <c r="B2871" t="s">
        <v>54</v>
      </c>
      <c r="C2871" t="s">
        <v>54</v>
      </c>
      <c r="D2871" t="s">
        <v>54</v>
      </c>
      <c r="E2871" t="s">
        <v>54</v>
      </c>
      <c r="F2871" t="s">
        <v>54</v>
      </c>
      <c r="G2871" t="s">
        <v>54</v>
      </c>
      <c r="H2871" t="s">
        <v>54</v>
      </c>
      <c r="I2871" t="s">
        <v>54</v>
      </c>
      <c r="J2871" t="s">
        <v>54</v>
      </c>
      <c r="K2871" t="s">
        <v>54</v>
      </c>
      <c r="L2871" t="s">
        <v>54</v>
      </c>
      <c r="M2871" t="s">
        <v>54</v>
      </c>
      <c r="N2871" t="s">
        <v>54</v>
      </c>
      <c r="O2871" t="s">
        <v>54</v>
      </c>
      <c r="P2871" t="s">
        <v>54</v>
      </c>
      <c r="Q2871" t="s">
        <v>54</v>
      </c>
      <c r="R2871" t="s">
        <v>323</v>
      </c>
      <c r="S2871" t="s">
        <v>330</v>
      </c>
      <c r="AK2871" t="s">
        <v>359</v>
      </c>
    </row>
    <row r="2872" spans="1:37">
      <c r="B2872" t="s">
        <v>55</v>
      </c>
      <c r="C2872" t="s">
        <v>78</v>
      </c>
      <c r="D2872" t="s">
        <v>55</v>
      </c>
      <c r="E2872" t="s">
        <v>78</v>
      </c>
      <c r="F2872" t="s">
        <v>55</v>
      </c>
      <c r="G2872" t="s">
        <v>78</v>
      </c>
      <c r="H2872" t="s">
        <v>55</v>
      </c>
      <c r="I2872" t="s">
        <v>78</v>
      </c>
      <c r="J2872" t="s">
        <v>55</v>
      </c>
      <c r="K2872" t="s">
        <v>78</v>
      </c>
      <c r="L2872" t="s">
        <v>55</v>
      </c>
      <c r="M2872" t="s">
        <v>78</v>
      </c>
      <c r="N2872" t="s">
        <v>55</v>
      </c>
      <c r="O2872" t="s">
        <v>78</v>
      </c>
      <c r="P2872" t="s">
        <v>55</v>
      </c>
      <c r="Q2872" t="s">
        <v>78</v>
      </c>
      <c r="R2872" t="s">
        <v>55</v>
      </c>
      <c r="S2872" t="s">
        <v>78</v>
      </c>
      <c r="T2872" t="s">
        <v>55</v>
      </c>
      <c r="U2872" t="s">
        <v>78</v>
      </c>
      <c r="V2872" t="s">
        <v>55</v>
      </c>
      <c r="W2872" t="s">
        <v>78</v>
      </c>
      <c r="X2872" t="s">
        <v>55</v>
      </c>
      <c r="Y2872" t="s">
        <v>78</v>
      </c>
      <c r="Z2872" t="s">
        <v>55</v>
      </c>
      <c r="AA2872" t="s">
        <v>78</v>
      </c>
      <c r="AB2872" t="s">
        <v>55</v>
      </c>
      <c r="AC2872" t="s">
        <v>78</v>
      </c>
      <c r="AD2872" t="s">
        <v>55</v>
      </c>
      <c r="AE2872" t="s">
        <v>78</v>
      </c>
      <c r="AF2872" t="s">
        <v>55</v>
      </c>
      <c r="AG2872" t="s">
        <v>78</v>
      </c>
      <c r="AH2872" t="s">
        <v>55</v>
      </c>
      <c r="AI2872" t="s">
        <v>78</v>
      </c>
      <c r="AK2872" t="s">
        <v>359</v>
      </c>
    </row>
    <row r="2873" spans="1:37">
      <c r="B2873" t="s">
        <v>56</v>
      </c>
      <c r="C2873" t="s">
        <v>56</v>
      </c>
      <c r="D2873" t="s">
        <v>56</v>
      </c>
      <c r="E2873" t="s">
        <v>56</v>
      </c>
      <c r="F2873" t="s">
        <v>56</v>
      </c>
      <c r="G2873" t="s">
        <v>176</v>
      </c>
      <c r="H2873" t="s">
        <v>211</v>
      </c>
      <c r="I2873" t="s">
        <v>231</v>
      </c>
      <c r="J2873" t="s">
        <v>250</v>
      </c>
      <c r="K2873" t="s">
        <v>264</v>
      </c>
      <c r="L2873" t="s">
        <v>276</v>
      </c>
      <c r="M2873" t="s">
        <v>285</v>
      </c>
      <c r="N2873" t="s">
        <v>295</v>
      </c>
      <c r="O2873" t="s">
        <v>303</v>
      </c>
      <c r="P2873" t="s">
        <v>56</v>
      </c>
      <c r="Q2873" t="s">
        <v>317</v>
      </c>
      <c r="R2873" t="s">
        <v>324</v>
      </c>
      <c r="S2873" t="s">
        <v>331</v>
      </c>
      <c r="T2873" t="s">
        <v>334</v>
      </c>
      <c r="U2873" t="s">
        <v>338</v>
      </c>
      <c r="V2873" t="s">
        <v>342</v>
      </c>
      <c r="W2873" t="s">
        <v>346</v>
      </c>
      <c r="X2873" t="s">
        <v>351</v>
      </c>
      <c r="AK2873" t="s">
        <v>359</v>
      </c>
    </row>
    <row r="2874" spans="1:37">
      <c r="B2874" t="s">
        <v>57</v>
      </c>
      <c r="C2874" t="s">
        <v>79</v>
      </c>
      <c r="D2874" t="s">
        <v>98</v>
      </c>
      <c r="E2874" t="s">
        <v>117</v>
      </c>
      <c r="F2874" t="s">
        <v>151</v>
      </c>
      <c r="G2874" t="s">
        <v>177</v>
      </c>
      <c r="H2874" t="s">
        <v>212</v>
      </c>
      <c r="I2874" t="s">
        <v>232</v>
      </c>
      <c r="J2874" t="s">
        <v>251</v>
      </c>
      <c r="K2874" t="s">
        <v>265</v>
      </c>
      <c r="L2874" t="s">
        <v>277</v>
      </c>
      <c r="M2874" t="s">
        <v>286</v>
      </c>
      <c r="N2874" t="s">
        <v>296</v>
      </c>
      <c r="O2874" t="s">
        <v>304</v>
      </c>
      <c r="P2874" t="s">
        <v>311</v>
      </c>
      <c r="Q2874" t="s">
        <v>318</v>
      </c>
      <c r="R2874" t="s">
        <v>185</v>
      </c>
      <c r="S2874" t="s">
        <v>159</v>
      </c>
      <c r="T2874" t="s">
        <v>185</v>
      </c>
      <c r="U2874" t="s">
        <v>339</v>
      </c>
      <c r="V2874" t="s">
        <v>72</v>
      </c>
      <c r="W2874" t="s">
        <v>347</v>
      </c>
      <c r="X2874" t="s">
        <v>72</v>
      </c>
      <c r="Y2874" t="s">
        <v>96</v>
      </c>
      <c r="AK2874" t="s">
        <v>359</v>
      </c>
    </row>
    <row r="2875" spans="1:37">
      <c r="B2875" t="s">
        <v>58</v>
      </c>
      <c r="C2875" t="s">
        <v>80</v>
      </c>
      <c r="D2875" t="s">
        <v>99</v>
      </c>
      <c r="E2875" t="s">
        <v>118</v>
      </c>
      <c r="F2875" t="s">
        <v>152</v>
      </c>
      <c r="G2875" t="s">
        <v>178</v>
      </c>
      <c r="H2875" t="s">
        <v>213</v>
      </c>
      <c r="I2875" t="s">
        <v>233</v>
      </c>
      <c r="J2875" t="s">
        <v>252</v>
      </c>
      <c r="K2875" t="s">
        <v>266</v>
      </c>
      <c r="L2875" t="s">
        <v>278</v>
      </c>
      <c r="M2875" t="s">
        <v>287</v>
      </c>
      <c r="N2875" t="s">
        <v>297</v>
      </c>
      <c r="O2875" t="s">
        <v>305</v>
      </c>
      <c r="P2875" t="s">
        <v>312</v>
      </c>
      <c r="Q2875" t="s">
        <v>319</v>
      </c>
      <c r="R2875">
        <f>&gt;10       ветра      1.7     13  11</f>
        <v>0</v>
      </c>
      <c r="AK2875" t="s">
        <v>359</v>
      </c>
    </row>
    <row r="2876" spans="1:37">
      <c r="A2876" t="s">
        <v>40</v>
      </c>
      <c r="B2876" t="s">
        <v>59</v>
      </c>
      <c r="C2876" t="s">
        <v>81</v>
      </c>
      <c r="D2876" t="s">
        <v>100</v>
      </c>
      <c r="E2876" t="s">
        <v>119</v>
      </c>
      <c r="F2876" t="s">
        <v>153</v>
      </c>
      <c r="G2876" t="s">
        <v>179</v>
      </c>
      <c r="H2876" t="s">
        <v>214</v>
      </c>
      <c r="I2876" t="s">
        <v>234</v>
      </c>
      <c r="AK2876" t="s">
        <v>359</v>
      </c>
    </row>
    <row r="2877" spans="1:37">
      <c r="A2877" t="s">
        <v>40</v>
      </c>
      <c r="B2877" t="s">
        <v>60</v>
      </c>
      <c r="C2877" t="s">
        <v>82</v>
      </c>
      <c r="D2877" t="s">
        <v>101</v>
      </c>
      <c r="E2877" t="s">
        <v>120</v>
      </c>
      <c r="F2877" t="s">
        <v>154</v>
      </c>
      <c r="G2877" t="s">
        <v>180</v>
      </c>
      <c r="H2877" t="s">
        <v>215</v>
      </c>
      <c r="I2877" t="s">
        <v>235</v>
      </c>
      <c r="J2877" t="s">
        <v>253</v>
      </c>
      <c r="K2877" t="s">
        <v>267</v>
      </c>
      <c r="L2877" t="s">
        <v>279</v>
      </c>
      <c r="M2877" t="s">
        <v>288</v>
      </c>
      <c r="N2877" t="s">
        <v>100</v>
      </c>
      <c r="O2877" t="s">
        <v>306</v>
      </c>
      <c r="P2877" t="s">
        <v>313</v>
      </c>
      <c r="Q2877" t="s">
        <v>320</v>
      </c>
      <c r="R2877" t="s">
        <v>325</v>
      </c>
      <c r="S2877" t="s">
        <v>332</v>
      </c>
      <c r="T2877" t="s">
        <v>119</v>
      </c>
      <c r="U2877" t="s">
        <v>234</v>
      </c>
      <c r="V2877" t="s">
        <v>343</v>
      </c>
      <c r="W2877" t="s">
        <v>348</v>
      </c>
      <c r="X2877" t="s">
        <v>352</v>
      </c>
      <c r="Y2877" t="s">
        <v>354</v>
      </c>
      <c r="AK2877" t="s">
        <v>359</v>
      </c>
    </row>
    <row r="2878" spans="1:37">
      <c r="A2878" t="s">
        <v>41</v>
      </c>
      <c r="B2878" t="s">
        <v>61</v>
      </c>
      <c r="C2878" t="s">
        <v>83</v>
      </c>
      <c r="D2878" t="s">
        <v>102</v>
      </c>
      <c r="E2878" t="s">
        <v>121</v>
      </c>
      <c r="F2878" t="s">
        <v>155</v>
      </c>
      <c r="G2878" t="s">
        <v>181</v>
      </c>
      <c r="H2878" t="s">
        <v>216</v>
      </c>
      <c r="I2878" t="s">
        <v>236</v>
      </c>
      <c r="AK2878" t="s">
        <v>359</v>
      </c>
    </row>
    <row r="2879" spans="1:37">
      <c r="A2879" t="s">
        <v>42</v>
      </c>
      <c r="B2879" t="s">
        <v>62</v>
      </c>
      <c r="C2879" t="s">
        <v>84</v>
      </c>
      <c r="D2879" t="s">
        <v>103</v>
      </c>
      <c r="E2879" t="s">
        <v>122</v>
      </c>
      <c r="F2879" t="s">
        <v>156</v>
      </c>
      <c r="G2879" t="s">
        <v>182</v>
      </c>
      <c r="H2879" t="s">
        <v>83</v>
      </c>
      <c r="I2879" t="s">
        <v>237</v>
      </c>
      <c r="J2879" t="s">
        <v>254</v>
      </c>
      <c r="K2879" t="s">
        <v>268</v>
      </c>
      <c r="L2879" t="s">
        <v>280</v>
      </c>
      <c r="M2879" t="s">
        <v>289</v>
      </c>
      <c r="N2879" t="s">
        <v>298</v>
      </c>
      <c r="O2879" t="s">
        <v>307</v>
      </c>
      <c r="P2879" t="s">
        <v>314</v>
      </c>
      <c r="Q2879" t="s">
        <v>216</v>
      </c>
      <c r="R2879" t="s">
        <v>326</v>
      </c>
      <c r="S2879" t="s">
        <v>333</v>
      </c>
      <c r="T2879" t="s">
        <v>335</v>
      </c>
      <c r="U2879" t="s">
        <v>340</v>
      </c>
      <c r="V2879" t="s">
        <v>344</v>
      </c>
      <c r="W2879" t="s">
        <v>349</v>
      </c>
      <c r="AK2879" t="s">
        <v>359</v>
      </c>
    </row>
    <row r="2880" spans="1:37">
      <c r="A2880" t="s">
        <v>43</v>
      </c>
      <c r="B2880" t="s">
        <v>63</v>
      </c>
      <c r="C2880" t="s">
        <v>85</v>
      </c>
      <c r="D2880" t="s">
        <v>104</v>
      </c>
      <c r="E2880" t="s">
        <v>123</v>
      </c>
      <c r="F2880" t="s">
        <v>157</v>
      </c>
      <c r="G2880" t="s">
        <v>183</v>
      </c>
      <c r="AK2880" t="s">
        <v>359</v>
      </c>
    </row>
    <row r="2881" spans="1:37">
      <c r="A2881" t="s">
        <v>44</v>
      </c>
      <c r="B2881" t="s">
        <v>64</v>
      </c>
      <c r="C2881" t="s">
        <v>86</v>
      </c>
      <c r="D2881" t="s">
        <v>105</v>
      </c>
      <c r="E2881" t="s">
        <v>124</v>
      </c>
      <c r="F2881" t="s">
        <v>158</v>
      </c>
      <c r="G2881" t="s">
        <v>184</v>
      </c>
      <c r="AK2881" t="s">
        <v>359</v>
      </c>
    </row>
    <row r="2882" spans="1:37">
      <c r="A2882" t="s">
        <v>45</v>
      </c>
      <c r="B2882" t="s">
        <v>65</v>
      </c>
      <c r="C2882" t="s">
        <v>87</v>
      </c>
      <c r="D2882" t="s">
        <v>106</v>
      </c>
      <c r="E2882" t="s">
        <v>125</v>
      </c>
      <c r="F2882" t="s">
        <v>159</v>
      </c>
      <c r="G2882" t="s">
        <v>185</v>
      </c>
      <c r="H2882" t="s">
        <v>159</v>
      </c>
      <c r="I2882" t="s">
        <v>185</v>
      </c>
      <c r="J2882" t="s">
        <v>255</v>
      </c>
      <c r="AK2882" t="s">
        <v>359</v>
      </c>
    </row>
    <row r="2883" spans="1:37">
      <c r="A2883" t="s">
        <v>46</v>
      </c>
      <c r="B2883" t="s">
        <v>66</v>
      </c>
      <c r="C2883" t="s">
        <v>88</v>
      </c>
      <c r="D2883" t="s">
        <v>76</v>
      </c>
      <c r="E2883" t="s">
        <v>126</v>
      </c>
      <c r="F2883" t="s">
        <v>160</v>
      </c>
      <c r="G2883" t="s">
        <v>186</v>
      </c>
      <c r="H2883" t="s">
        <v>217</v>
      </c>
      <c r="I2883" t="s">
        <v>238</v>
      </c>
      <c r="J2883" t="s">
        <v>256</v>
      </c>
      <c r="K2883" t="s">
        <v>265</v>
      </c>
      <c r="L2883" t="s">
        <v>281</v>
      </c>
      <c r="M2883" t="s">
        <v>290</v>
      </c>
      <c r="N2883" t="s">
        <v>299</v>
      </c>
      <c r="O2883" t="s">
        <v>308</v>
      </c>
      <c r="P2883" t="s">
        <v>228</v>
      </c>
      <c r="Q2883" t="s">
        <v>72</v>
      </c>
      <c r="R2883" t="s">
        <v>327</v>
      </c>
      <c r="S2883" t="s">
        <v>327</v>
      </c>
      <c r="T2883" t="s">
        <v>336</v>
      </c>
      <c r="U2883" t="s">
        <v>336</v>
      </c>
      <c r="V2883" t="s">
        <v>336</v>
      </c>
      <c r="W2883" t="s">
        <v>336</v>
      </c>
      <c r="X2883" t="s">
        <v>353</v>
      </c>
      <c r="AK2883" t="s">
        <v>359</v>
      </c>
    </row>
    <row r="2884" spans="1:37">
      <c r="B2884" t="s">
        <v>67</v>
      </c>
      <c r="C2884" t="s">
        <v>89</v>
      </c>
      <c r="D2884" t="s">
        <v>107</v>
      </c>
      <c r="AK2884" t="s">
        <v>359</v>
      </c>
    </row>
    <row r="2885" spans="1:37">
      <c r="B2885" t="s">
        <v>68</v>
      </c>
      <c r="C2885" t="s">
        <v>90</v>
      </c>
      <c r="D2885" t="s">
        <v>108</v>
      </c>
      <c r="AK2885" t="s">
        <v>359</v>
      </c>
    </row>
    <row r="2886" spans="1:37">
      <c r="A2886" t="s">
        <v>47</v>
      </c>
      <c r="B2886" t="s">
        <v>69</v>
      </c>
      <c r="C2886" t="s">
        <v>91</v>
      </c>
      <c r="D2886" t="s">
        <v>109</v>
      </c>
      <c r="E2886" t="s">
        <v>109</v>
      </c>
      <c r="F2886" t="s">
        <v>109</v>
      </c>
      <c r="G2886" t="s">
        <v>109</v>
      </c>
      <c r="H2886" t="s">
        <v>109</v>
      </c>
      <c r="I2886" t="s">
        <v>239</v>
      </c>
      <c r="AK2886" t="s">
        <v>359</v>
      </c>
    </row>
    <row r="2887" spans="1:37">
      <c r="B2887" t="s">
        <v>70</v>
      </c>
      <c r="C2887" t="s">
        <v>92</v>
      </c>
      <c r="D2887" t="s">
        <v>110</v>
      </c>
      <c r="E2887" t="s">
        <v>127</v>
      </c>
      <c r="F2887" t="s">
        <v>161</v>
      </c>
      <c r="G2887" t="s">
        <v>187</v>
      </c>
      <c r="H2887" t="s">
        <v>218</v>
      </c>
      <c r="AK2887" t="s">
        <v>359</v>
      </c>
    </row>
    <row r="2888" spans="1:37">
      <c r="B2888" t="s">
        <v>71</v>
      </c>
      <c r="C2888" t="s">
        <v>93</v>
      </c>
      <c r="D2888" t="s">
        <v>111</v>
      </c>
      <c r="E2888" t="s">
        <v>128</v>
      </c>
      <c r="F2888" t="s">
        <v>162</v>
      </c>
      <c r="G2888" t="s">
        <v>188</v>
      </c>
      <c r="H2888" t="s">
        <v>219</v>
      </c>
      <c r="I2888" t="s">
        <v>240</v>
      </c>
      <c r="J2888" t="s">
        <v>257</v>
      </c>
      <c r="K2888" t="s">
        <v>269</v>
      </c>
      <c r="L2888" t="s">
        <v>109</v>
      </c>
      <c r="M2888" t="s">
        <v>109</v>
      </c>
      <c r="N2888" t="s">
        <v>109</v>
      </c>
      <c r="O2888" t="s">
        <v>109</v>
      </c>
      <c r="P2888" t="s">
        <v>109</v>
      </c>
      <c r="Q2888" t="s">
        <v>321</v>
      </c>
      <c r="AK2888" t="s">
        <v>359</v>
      </c>
    </row>
    <row r="2889" spans="1:37">
      <c r="A2889" t="s">
        <v>48</v>
      </c>
      <c r="B2889" t="s">
        <v>71</v>
      </c>
      <c r="C2889" t="s">
        <v>93</v>
      </c>
      <c r="D2889" t="s">
        <v>111</v>
      </c>
      <c r="E2889" t="s">
        <v>128</v>
      </c>
      <c r="F2889" t="s">
        <v>163</v>
      </c>
      <c r="G2889" t="s">
        <v>189</v>
      </c>
      <c r="H2889" t="s">
        <v>220</v>
      </c>
      <c r="I2889" t="s">
        <v>241</v>
      </c>
      <c r="J2889" t="s">
        <v>258</v>
      </c>
      <c r="K2889" t="s">
        <v>270</v>
      </c>
      <c r="AK2889" t="s">
        <v>359</v>
      </c>
    </row>
    <row r="2890" spans="1:37">
      <c r="B2890" t="s">
        <v>72</v>
      </c>
      <c r="C2890" t="s">
        <v>72</v>
      </c>
      <c r="D2890" t="s">
        <v>72</v>
      </c>
      <c r="E2890" t="s">
        <v>72</v>
      </c>
      <c r="F2890" t="s">
        <v>72</v>
      </c>
      <c r="G2890" t="s">
        <v>72</v>
      </c>
      <c r="H2890" t="s">
        <v>72</v>
      </c>
      <c r="I2890" t="s">
        <v>72</v>
      </c>
      <c r="J2890" t="s">
        <v>72</v>
      </c>
      <c r="K2890" t="s">
        <v>272</v>
      </c>
      <c r="AK2890" t="s">
        <v>359</v>
      </c>
    </row>
    <row r="2891" spans="1:37">
      <c r="A2891" t="s">
        <v>37</v>
      </c>
      <c r="B2891" t="s">
        <v>49</v>
      </c>
      <c r="C2891" t="s">
        <v>73</v>
      </c>
      <c r="D2891" t="s">
        <v>94</v>
      </c>
      <c r="E2891" t="s">
        <v>112</v>
      </c>
      <c r="F2891" t="s">
        <v>146</v>
      </c>
      <c r="G2891" t="s">
        <v>172</v>
      </c>
      <c r="H2891" t="s">
        <v>207</v>
      </c>
      <c r="I2891" t="s">
        <v>226</v>
      </c>
      <c r="J2891" t="s">
        <v>246</v>
      </c>
      <c r="K2891" t="s">
        <v>259</v>
      </c>
      <c r="AK2891" t="s">
        <v>359</v>
      </c>
    </row>
    <row r="2892" spans="1:37">
      <c r="A2892" t="s">
        <v>38</v>
      </c>
      <c r="B2892" t="s">
        <v>50</v>
      </c>
      <c r="C2892" t="s">
        <v>74</v>
      </c>
      <c r="D2892" t="s">
        <v>95</v>
      </c>
      <c r="E2892" t="s">
        <v>113</v>
      </c>
      <c r="F2892" t="s">
        <v>147</v>
      </c>
      <c r="G2892" t="s">
        <v>173</v>
      </c>
      <c r="H2892" t="s">
        <v>208</v>
      </c>
      <c r="I2892" t="s">
        <v>227</v>
      </c>
      <c r="J2892" t="s">
        <v>115</v>
      </c>
      <c r="K2892" t="s">
        <v>260</v>
      </c>
      <c r="L2892" t="s">
        <v>273</v>
      </c>
      <c r="M2892" t="s">
        <v>282</v>
      </c>
      <c r="N2892" t="s">
        <v>291</v>
      </c>
      <c r="AK2892" t="s">
        <v>359</v>
      </c>
    </row>
    <row r="2893" spans="1:37">
      <c r="B2893" t="s">
        <v>51</v>
      </c>
      <c r="C2893" t="s">
        <v>75</v>
      </c>
      <c r="D2893" t="s">
        <v>52</v>
      </c>
      <c r="E2893" t="s">
        <v>114</v>
      </c>
      <c r="F2893" t="s">
        <v>148</v>
      </c>
      <c r="G2893" t="s">
        <v>148</v>
      </c>
      <c r="H2893" t="s">
        <v>209</v>
      </c>
      <c r="I2893" t="s">
        <v>228</v>
      </c>
      <c r="J2893" t="s">
        <v>247</v>
      </c>
      <c r="K2893" t="s">
        <v>261</v>
      </c>
      <c r="L2893" t="s">
        <v>274</v>
      </c>
      <c r="M2893" t="s">
        <v>283</v>
      </c>
      <c r="N2893" t="s">
        <v>292</v>
      </c>
      <c r="O2893" t="s">
        <v>300</v>
      </c>
      <c r="AK2893" t="s">
        <v>359</v>
      </c>
    </row>
    <row r="2894" spans="1:37">
      <c r="B2894" t="s">
        <v>52</v>
      </c>
      <c r="C2894" t="s">
        <v>76</v>
      </c>
      <c r="D2894" t="s">
        <v>96</v>
      </c>
      <c r="E2894" t="s">
        <v>115</v>
      </c>
      <c r="F2894" t="s">
        <v>149</v>
      </c>
      <c r="G2894" t="s">
        <v>174</v>
      </c>
      <c r="H2894" t="s">
        <v>96</v>
      </c>
      <c r="I2894" t="s">
        <v>229</v>
      </c>
      <c r="J2894" t="s">
        <v>248</v>
      </c>
      <c r="K2894" t="s">
        <v>262</v>
      </c>
      <c r="L2894" t="s">
        <v>52</v>
      </c>
      <c r="M2894" t="s">
        <v>76</v>
      </c>
      <c r="N2894" t="s">
        <v>293</v>
      </c>
      <c r="O2894" t="s">
        <v>301</v>
      </c>
      <c r="P2894" t="s">
        <v>309</v>
      </c>
      <c r="Q2894" t="s">
        <v>315</v>
      </c>
      <c r="R2894" t="s">
        <v>228</v>
      </c>
      <c r="S2894" t="s">
        <v>328</v>
      </c>
      <c r="T2894" t="s">
        <v>149</v>
      </c>
      <c r="U2894" t="s">
        <v>337</v>
      </c>
      <c r="V2894" t="s">
        <v>341</v>
      </c>
      <c r="W2894" t="s">
        <v>345</v>
      </c>
      <c r="X2894" t="s">
        <v>350</v>
      </c>
      <c r="AK2894" t="s">
        <v>359</v>
      </c>
    </row>
    <row r="2895" spans="1:37">
      <c r="B2895" t="s">
        <v>53</v>
      </c>
      <c r="C2895" t="s">
        <v>77</v>
      </c>
      <c r="D2895" t="s">
        <v>97</v>
      </c>
      <c r="E2895" t="s">
        <v>116</v>
      </c>
      <c r="F2895" t="s">
        <v>150</v>
      </c>
      <c r="G2895" t="s">
        <v>175</v>
      </c>
      <c r="H2895" t="s">
        <v>210</v>
      </c>
      <c r="I2895" t="s">
        <v>230</v>
      </c>
      <c r="J2895" t="s">
        <v>249</v>
      </c>
      <c r="K2895" t="s">
        <v>263</v>
      </c>
      <c r="L2895" t="s">
        <v>275</v>
      </c>
      <c r="M2895" t="s">
        <v>284</v>
      </c>
      <c r="N2895" t="s">
        <v>294</v>
      </c>
      <c r="O2895" t="s">
        <v>302</v>
      </c>
      <c r="P2895" t="s">
        <v>310</v>
      </c>
      <c r="Q2895" t="s">
        <v>316</v>
      </c>
      <c r="R2895" t="s">
        <v>322</v>
      </c>
      <c r="S2895" t="s">
        <v>329</v>
      </c>
      <c r="AK2895" t="s">
        <v>359</v>
      </c>
    </row>
    <row r="2896" spans="1:37">
      <c r="A2896" t="s">
        <v>39</v>
      </c>
      <c r="B2896" t="s">
        <v>54</v>
      </c>
      <c r="C2896" t="s">
        <v>54</v>
      </c>
      <c r="D2896" t="s">
        <v>54</v>
      </c>
      <c r="E2896" t="s">
        <v>54</v>
      </c>
      <c r="F2896" t="s">
        <v>54</v>
      </c>
      <c r="G2896" t="s">
        <v>54</v>
      </c>
      <c r="H2896" t="s">
        <v>54</v>
      </c>
      <c r="I2896" t="s">
        <v>54</v>
      </c>
      <c r="J2896" t="s">
        <v>54</v>
      </c>
      <c r="K2896" t="s">
        <v>54</v>
      </c>
      <c r="L2896" t="s">
        <v>54</v>
      </c>
      <c r="M2896" t="s">
        <v>54</v>
      </c>
      <c r="N2896" t="s">
        <v>54</v>
      </c>
      <c r="O2896" t="s">
        <v>54</v>
      </c>
      <c r="P2896" t="s">
        <v>54</v>
      </c>
      <c r="Q2896" t="s">
        <v>54</v>
      </c>
      <c r="R2896" t="s">
        <v>323</v>
      </c>
      <c r="S2896" t="s">
        <v>330</v>
      </c>
      <c r="AK2896" t="s">
        <v>359</v>
      </c>
    </row>
    <row r="2897" spans="1:37">
      <c r="B2897" t="s">
        <v>55</v>
      </c>
      <c r="C2897" t="s">
        <v>78</v>
      </c>
      <c r="D2897" t="s">
        <v>55</v>
      </c>
      <c r="E2897" t="s">
        <v>78</v>
      </c>
      <c r="F2897" t="s">
        <v>55</v>
      </c>
      <c r="G2897" t="s">
        <v>78</v>
      </c>
      <c r="H2897" t="s">
        <v>55</v>
      </c>
      <c r="I2897" t="s">
        <v>78</v>
      </c>
      <c r="J2897" t="s">
        <v>55</v>
      </c>
      <c r="K2897" t="s">
        <v>78</v>
      </c>
      <c r="L2897" t="s">
        <v>55</v>
      </c>
      <c r="M2897" t="s">
        <v>78</v>
      </c>
      <c r="N2897" t="s">
        <v>55</v>
      </c>
      <c r="O2897" t="s">
        <v>78</v>
      </c>
      <c r="P2897" t="s">
        <v>55</v>
      </c>
      <c r="Q2897" t="s">
        <v>78</v>
      </c>
      <c r="R2897" t="s">
        <v>55</v>
      </c>
      <c r="S2897" t="s">
        <v>78</v>
      </c>
      <c r="T2897" t="s">
        <v>55</v>
      </c>
      <c r="U2897" t="s">
        <v>78</v>
      </c>
      <c r="V2897" t="s">
        <v>55</v>
      </c>
      <c r="W2897" t="s">
        <v>78</v>
      </c>
      <c r="X2897" t="s">
        <v>55</v>
      </c>
      <c r="Y2897" t="s">
        <v>78</v>
      </c>
      <c r="Z2897" t="s">
        <v>55</v>
      </c>
      <c r="AA2897" t="s">
        <v>78</v>
      </c>
      <c r="AB2897" t="s">
        <v>55</v>
      </c>
      <c r="AC2897" t="s">
        <v>78</v>
      </c>
      <c r="AD2897" t="s">
        <v>55</v>
      </c>
      <c r="AE2897" t="s">
        <v>78</v>
      </c>
      <c r="AF2897" t="s">
        <v>55</v>
      </c>
      <c r="AG2897" t="s">
        <v>78</v>
      </c>
      <c r="AH2897" t="s">
        <v>55</v>
      </c>
      <c r="AI2897" t="s">
        <v>78</v>
      </c>
      <c r="AK2897" t="s">
        <v>359</v>
      </c>
    </row>
    <row r="2898" spans="1:37">
      <c r="B2898" t="s">
        <v>56</v>
      </c>
      <c r="C2898" t="s">
        <v>56</v>
      </c>
      <c r="D2898" t="s">
        <v>56</v>
      </c>
      <c r="E2898" t="s">
        <v>56</v>
      </c>
      <c r="F2898" t="s">
        <v>56</v>
      </c>
      <c r="G2898" t="s">
        <v>176</v>
      </c>
      <c r="H2898" t="s">
        <v>211</v>
      </c>
      <c r="I2898" t="s">
        <v>231</v>
      </c>
      <c r="J2898" t="s">
        <v>250</v>
      </c>
      <c r="K2898" t="s">
        <v>264</v>
      </c>
      <c r="L2898" t="s">
        <v>276</v>
      </c>
      <c r="M2898" t="s">
        <v>285</v>
      </c>
      <c r="N2898" t="s">
        <v>295</v>
      </c>
      <c r="O2898" t="s">
        <v>303</v>
      </c>
      <c r="P2898" t="s">
        <v>56</v>
      </c>
      <c r="Q2898" t="s">
        <v>317</v>
      </c>
      <c r="R2898" t="s">
        <v>324</v>
      </c>
      <c r="S2898" t="s">
        <v>331</v>
      </c>
      <c r="T2898" t="s">
        <v>334</v>
      </c>
      <c r="U2898" t="s">
        <v>338</v>
      </c>
      <c r="V2898" t="s">
        <v>342</v>
      </c>
      <c r="W2898" t="s">
        <v>346</v>
      </c>
      <c r="X2898" t="s">
        <v>351</v>
      </c>
      <c r="AK2898" t="s">
        <v>359</v>
      </c>
    </row>
    <row r="2899" spans="1:37">
      <c r="B2899" t="s">
        <v>57</v>
      </c>
      <c r="C2899" t="s">
        <v>79</v>
      </c>
      <c r="D2899" t="s">
        <v>98</v>
      </c>
      <c r="E2899" t="s">
        <v>117</v>
      </c>
      <c r="F2899" t="s">
        <v>151</v>
      </c>
      <c r="G2899" t="s">
        <v>177</v>
      </c>
      <c r="H2899" t="s">
        <v>212</v>
      </c>
      <c r="I2899" t="s">
        <v>232</v>
      </c>
      <c r="J2899" t="s">
        <v>251</v>
      </c>
      <c r="K2899" t="s">
        <v>265</v>
      </c>
      <c r="L2899" t="s">
        <v>277</v>
      </c>
      <c r="M2899" t="s">
        <v>286</v>
      </c>
      <c r="N2899" t="s">
        <v>296</v>
      </c>
      <c r="O2899" t="s">
        <v>304</v>
      </c>
      <c r="P2899" t="s">
        <v>311</v>
      </c>
      <c r="Q2899" t="s">
        <v>318</v>
      </c>
      <c r="R2899" t="s">
        <v>185</v>
      </c>
      <c r="S2899" t="s">
        <v>159</v>
      </c>
      <c r="T2899" t="s">
        <v>185</v>
      </c>
      <c r="U2899" t="s">
        <v>339</v>
      </c>
      <c r="V2899" t="s">
        <v>72</v>
      </c>
      <c r="W2899" t="s">
        <v>347</v>
      </c>
      <c r="X2899" t="s">
        <v>72</v>
      </c>
      <c r="Y2899" t="s">
        <v>96</v>
      </c>
      <c r="AK2899" t="s">
        <v>359</v>
      </c>
    </row>
    <row r="2900" spans="1:37">
      <c r="B2900" t="s">
        <v>58</v>
      </c>
      <c r="C2900" t="s">
        <v>80</v>
      </c>
      <c r="D2900" t="s">
        <v>99</v>
      </c>
      <c r="E2900" t="s">
        <v>118</v>
      </c>
      <c r="F2900" t="s">
        <v>152</v>
      </c>
      <c r="G2900" t="s">
        <v>178</v>
      </c>
      <c r="H2900" t="s">
        <v>213</v>
      </c>
      <c r="I2900" t="s">
        <v>233</v>
      </c>
      <c r="J2900" t="s">
        <v>252</v>
      </c>
      <c r="K2900" t="s">
        <v>266</v>
      </c>
      <c r="L2900" t="s">
        <v>278</v>
      </c>
      <c r="M2900" t="s">
        <v>287</v>
      </c>
      <c r="N2900" t="s">
        <v>297</v>
      </c>
      <c r="O2900" t="s">
        <v>305</v>
      </c>
      <c r="P2900" t="s">
        <v>312</v>
      </c>
      <c r="Q2900" t="s">
        <v>319</v>
      </c>
      <c r="R2900">
        <f>&gt;10       ветра      3.1     17   3 20</f>
        <v>0</v>
      </c>
      <c r="AK2900" t="s">
        <v>359</v>
      </c>
    </row>
    <row r="2901" spans="1:37">
      <c r="A2901" t="s">
        <v>40</v>
      </c>
      <c r="B2901" t="s">
        <v>59</v>
      </c>
      <c r="C2901" t="s">
        <v>81</v>
      </c>
      <c r="D2901" t="s">
        <v>100</v>
      </c>
      <c r="E2901" t="s">
        <v>119</v>
      </c>
      <c r="F2901" t="s">
        <v>153</v>
      </c>
      <c r="G2901" t="s">
        <v>179</v>
      </c>
      <c r="H2901" t="s">
        <v>214</v>
      </c>
      <c r="I2901" t="s">
        <v>234</v>
      </c>
      <c r="AK2901" t="s">
        <v>359</v>
      </c>
    </row>
    <row r="2902" spans="1:37">
      <c r="A2902" t="s">
        <v>40</v>
      </c>
      <c r="B2902" t="s">
        <v>60</v>
      </c>
      <c r="C2902" t="s">
        <v>82</v>
      </c>
      <c r="D2902" t="s">
        <v>101</v>
      </c>
      <c r="E2902" t="s">
        <v>120</v>
      </c>
      <c r="F2902" t="s">
        <v>154</v>
      </c>
      <c r="G2902" t="s">
        <v>180</v>
      </c>
      <c r="H2902" t="s">
        <v>215</v>
      </c>
      <c r="I2902" t="s">
        <v>235</v>
      </c>
      <c r="J2902" t="s">
        <v>253</v>
      </c>
      <c r="K2902" t="s">
        <v>267</v>
      </c>
      <c r="L2902" t="s">
        <v>279</v>
      </c>
      <c r="M2902" t="s">
        <v>288</v>
      </c>
      <c r="N2902" t="s">
        <v>100</v>
      </c>
      <c r="O2902" t="s">
        <v>306</v>
      </c>
      <c r="P2902" t="s">
        <v>313</v>
      </c>
      <c r="Q2902" t="s">
        <v>320</v>
      </c>
      <c r="R2902" t="s">
        <v>325</v>
      </c>
      <c r="S2902" t="s">
        <v>332</v>
      </c>
      <c r="T2902" t="s">
        <v>119</v>
      </c>
      <c r="U2902" t="s">
        <v>234</v>
      </c>
      <c r="V2902" t="s">
        <v>343</v>
      </c>
      <c r="W2902" t="s">
        <v>348</v>
      </c>
      <c r="X2902" t="s">
        <v>352</v>
      </c>
      <c r="Y2902" t="s">
        <v>354</v>
      </c>
      <c r="AK2902" t="s">
        <v>359</v>
      </c>
    </row>
    <row r="2903" spans="1:37">
      <c r="A2903" t="s">
        <v>41</v>
      </c>
      <c r="B2903" t="s">
        <v>61</v>
      </c>
      <c r="C2903" t="s">
        <v>83</v>
      </c>
      <c r="D2903" t="s">
        <v>102</v>
      </c>
      <c r="E2903" t="s">
        <v>121</v>
      </c>
      <c r="F2903" t="s">
        <v>155</v>
      </c>
      <c r="G2903" t="s">
        <v>181</v>
      </c>
      <c r="H2903" t="s">
        <v>216</v>
      </c>
      <c r="I2903" t="s">
        <v>236</v>
      </c>
      <c r="AK2903" t="s">
        <v>359</v>
      </c>
    </row>
    <row r="2904" spans="1:37">
      <c r="A2904" t="s">
        <v>42</v>
      </c>
      <c r="B2904" t="s">
        <v>62</v>
      </c>
      <c r="C2904" t="s">
        <v>84</v>
      </c>
      <c r="D2904" t="s">
        <v>103</v>
      </c>
      <c r="E2904" t="s">
        <v>122</v>
      </c>
      <c r="F2904" t="s">
        <v>156</v>
      </c>
      <c r="G2904" t="s">
        <v>182</v>
      </c>
      <c r="H2904" t="s">
        <v>83</v>
      </c>
      <c r="I2904" t="s">
        <v>237</v>
      </c>
      <c r="J2904" t="s">
        <v>254</v>
      </c>
      <c r="K2904" t="s">
        <v>268</v>
      </c>
      <c r="L2904" t="s">
        <v>280</v>
      </c>
      <c r="M2904" t="s">
        <v>289</v>
      </c>
      <c r="N2904" t="s">
        <v>298</v>
      </c>
      <c r="O2904" t="s">
        <v>307</v>
      </c>
      <c r="P2904" t="s">
        <v>314</v>
      </c>
      <c r="Q2904" t="s">
        <v>216</v>
      </c>
      <c r="R2904" t="s">
        <v>326</v>
      </c>
      <c r="S2904" t="s">
        <v>333</v>
      </c>
      <c r="T2904" t="s">
        <v>335</v>
      </c>
      <c r="U2904" t="s">
        <v>340</v>
      </c>
      <c r="V2904" t="s">
        <v>344</v>
      </c>
      <c r="W2904" t="s">
        <v>349</v>
      </c>
      <c r="AK2904" t="s">
        <v>359</v>
      </c>
    </row>
    <row r="2905" spans="1:37">
      <c r="A2905" t="s">
        <v>43</v>
      </c>
      <c r="B2905" t="s">
        <v>63</v>
      </c>
      <c r="C2905" t="s">
        <v>85</v>
      </c>
      <c r="D2905" t="s">
        <v>104</v>
      </c>
      <c r="E2905" t="s">
        <v>123</v>
      </c>
      <c r="F2905" t="s">
        <v>157</v>
      </c>
      <c r="G2905" t="s">
        <v>183</v>
      </c>
      <c r="AK2905" t="s">
        <v>359</v>
      </c>
    </row>
    <row r="2906" spans="1:37">
      <c r="A2906" t="s">
        <v>44</v>
      </c>
      <c r="B2906" t="s">
        <v>64</v>
      </c>
      <c r="C2906" t="s">
        <v>86</v>
      </c>
      <c r="D2906" t="s">
        <v>105</v>
      </c>
      <c r="E2906" t="s">
        <v>124</v>
      </c>
      <c r="F2906" t="s">
        <v>158</v>
      </c>
      <c r="G2906" t="s">
        <v>184</v>
      </c>
      <c r="AK2906" t="s">
        <v>359</v>
      </c>
    </row>
    <row r="2907" spans="1:37">
      <c r="A2907" t="s">
        <v>45</v>
      </c>
      <c r="B2907" t="s">
        <v>65</v>
      </c>
      <c r="C2907" t="s">
        <v>87</v>
      </c>
      <c r="D2907" t="s">
        <v>106</v>
      </c>
      <c r="E2907" t="s">
        <v>125</v>
      </c>
      <c r="F2907" t="s">
        <v>159</v>
      </c>
      <c r="G2907" t="s">
        <v>185</v>
      </c>
      <c r="H2907" t="s">
        <v>159</v>
      </c>
      <c r="I2907" t="s">
        <v>185</v>
      </c>
      <c r="J2907" t="s">
        <v>255</v>
      </c>
      <c r="AK2907" t="s">
        <v>359</v>
      </c>
    </row>
    <row r="2908" spans="1:37">
      <c r="A2908" t="s">
        <v>46</v>
      </c>
      <c r="B2908" t="s">
        <v>66</v>
      </c>
      <c r="C2908" t="s">
        <v>88</v>
      </c>
      <c r="D2908" t="s">
        <v>76</v>
      </c>
      <c r="E2908" t="s">
        <v>126</v>
      </c>
      <c r="F2908" t="s">
        <v>160</v>
      </c>
      <c r="G2908" t="s">
        <v>186</v>
      </c>
      <c r="H2908" t="s">
        <v>217</v>
      </c>
      <c r="I2908" t="s">
        <v>238</v>
      </c>
      <c r="J2908" t="s">
        <v>256</v>
      </c>
      <c r="K2908" t="s">
        <v>265</v>
      </c>
      <c r="L2908" t="s">
        <v>281</v>
      </c>
      <c r="M2908" t="s">
        <v>290</v>
      </c>
      <c r="N2908" t="s">
        <v>299</v>
      </c>
      <c r="O2908" t="s">
        <v>308</v>
      </c>
      <c r="P2908" t="s">
        <v>228</v>
      </c>
      <c r="Q2908" t="s">
        <v>72</v>
      </c>
      <c r="R2908" t="s">
        <v>327</v>
      </c>
      <c r="S2908" t="s">
        <v>327</v>
      </c>
      <c r="T2908" t="s">
        <v>336</v>
      </c>
      <c r="U2908" t="s">
        <v>336</v>
      </c>
      <c r="V2908" t="s">
        <v>336</v>
      </c>
      <c r="W2908" t="s">
        <v>336</v>
      </c>
      <c r="X2908" t="s">
        <v>353</v>
      </c>
      <c r="AK2908" t="s">
        <v>359</v>
      </c>
    </row>
    <row r="2909" spans="1:37">
      <c r="B2909" t="s">
        <v>67</v>
      </c>
      <c r="C2909" t="s">
        <v>89</v>
      </c>
      <c r="D2909" t="s">
        <v>107</v>
      </c>
      <c r="AK2909" t="s">
        <v>359</v>
      </c>
    </row>
    <row r="2910" spans="1:37">
      <c r="B2910" t="s">
        <v>68</v>
      </c>
      <c r="C2910" t="s">
        <v>90</v>
      </c>
      <c r="D2910" t="s">
        <v>108</v>
      </c>
      <c r="AK2910" t="s">
        <v>359</v>
      </c>
    </row>
    <row r="2911" spans="1:37">
      <c r="A2911" t="s">
        <v>47</v>
      </c>
      <c r="B2911" t="s">
        <v>69</v>
      </c>
      <c r="C2911" t="s">
        <v>91</v>
      </c>
      <c r="D2911" t="s">
        <v>109</v>
      </c>
      <c r="E2911" t="s">
        <v>109</v>
      </c>
      <c r="F2911" t="s">
        <v>109</v>
      </c>
      <c r="G2911" t="s">
        <v>109</v>
      </c>
      <c r="H2911" t="s">
        <v>109</v>
      </c>
      <c r="I2911" t="s">
        <v>239</v>
      </c>
      <c r="AK2911" t="s">
        <v>359</v>
      </c>
    </row>
    <row r="2912" spans="1:37">
      <c r="B2912" t="s">
        <v>70</v>
      </c>
      <c r="C2912" t="s">
        <v>92</v>
      </c>
      <c r="D2912" t="s">
        <v>110</v>
      </c>
      <c r="E2912" t="s">
        <v>127</v>
      </c>
      <c r="F2912" t="s">
        <v>161</v>
      </c>
      <c r="G2912" t="s">
        <v>187</v>
      </c>
      <c r="H2912" t="s">
        <v>218</v>
      </c>
      <c r="AK2912" t="s">
        <v>359</v>
      </c>
    </row>
    <row r="2913" spans="1:37">
      <c r="B2913" t="s">
        <v>71</v>
      </c>
      <c r="C2913" t="s">
        <v>93</v>
      </c>
      <c r="D2913" t="s">
        <v>111</v>
      </c>
      <c r="E2913" t="s">
        <v>128</v>
      </c>
      <c r="F2913" t="s">
        <v>162</v>
      </c>
      <c r="G2913" t="s">
        <v>188</v>
      </c>
      <c r="H2913" t="s">
        <v>219</v>
      </c>
      <c r="I2913" t="s">
        <v>240</v>
      </c>
      <c r="J2913" t="s">
        <v>257</v>
      </c>
      <c r="K2913" t="s">
        <v>269</v>
      </c>
      <c r="L2913" t="s">
        <v>109</v>
      </c>
      <c r="M2913" t="s">
        <v>109</v>
      </c>
      <c r="N2913" t="s">
        <v>109</v>
      </c>
      <c r="O2913" t="s">
        <v>109</v>
      </c>
      <c r="P2913" t="s">
        <v>109</v>
      </c>
      <c r="Q2913" t="s">
        <v>321</v>
      </c>
      <c r="AK2913" t="s">
        <v>359</v>
      </c>
    </row>
    <row r="2914" spans="1:37">
      <c r="A2914" t="s">
        <v>48</v>
      </c>
      <c r="B2914" t="s">
        <v>71</v>
      </c>
      <c r="C2914" t="s">
        <v>93</v>
      </c>
      <c r="D2914" t="s">
        <v>111</v>
      </c>
      <c r="E2914" t="s">
        <v>128</v>
      </c>
      <c r="F2914" t="s">
        <v>163</v>
      </c>
      <c r="G2914" t="s">
        <v>189</v>
      </c>
      <c r="H2914" t="s">
        <v>220</v>
      </c>
      <c r="I2914" t="s">
        <v>241</v>
      </c>
      <c r="J2914" t="s">
        <v>258</v>
      </c>
      <c r="K2914" t="s">
        <v>270</v>
      </c>
      <c r="AK2914" t="s">
        <v>359</v>
      </c>
    </row>
    <row r="2915" spans="1:37">
      <c r="B2915" t="s">
        <v>72</v>
      </c>
      <c r="C2915" t="s">
        <v>72</v>
      </c>
      <c r="D2915" t="s">
        <v>72</v>
      </c>
      <c r="E2915" t="s">
        <v>72</v>
      </c>
      <c r="F2915" t="s">
        <v>72</v>
      </c>
      <c r="G2915" t="s">
        <v>72</v>
      </c>
      <c r="H2915" t="s">
        <v>72</v>
      </c>
      <c r="I2915" t="s">
        <v>72</v>
      </c>
      <c r="J2915" t="s">
        <v>72</v>
      </c>
      <c r="K2915" t="s">
        <v>272</v>
      </c>
      <c r="AK2915" t="s">
        <v>359</v>
      </c>
    </row>
    <row r="2916" spans="1:37">
      <c r="A2916" t="s">
        <v>37</v>
      </c>
      <c r="B2916" t="s">
        <v>49</v>
      </c>
      <c r="C2916" t="s">
        <v>73</v>
      </c>
      <c r="D2916" t="s">
        <v>94</v>
      </c>
      <c r="E2916" t="s">
        <v>112</v>
      </c>
      <c r="F2916" t="s">
        <v>146</v>
      </c>
      <c r="G2916" t="s">
        <v>172</v>
      </c>
      <c r="H2916" t="s">
        <v>207</v>
      </c>
      <c r="I2916" t="s">
        <v>226</v>
      </c>
      <c r="J2916" t="s">
        <v>246</v>
      </c>
      <c r="K2916" t="s">
        <v>259</v>
      </c>
      <c r="AK2916" t="s">
        <v>359</v>
      </c>
    </row>
    <row r="2917" spans="1:37">
      <c r="A2917" t="s">
        <v>38</v>
      </c>
      <c r="B2917" t="s">
        <v>50</v>
      </c>
      <c r="C2917" t="s">
        <v>74</v>
      </c>
      <c r="D2917" t="s">
        <v>95</v>
      </c>
      <c r="E2917" t="s">
        <v>113</v>
      </c>
      <c r="F2917" t="s">
        <v>147</v>
      </c>
      <c r="G2917" t="s">
        <v>173</v>
      </c>
      <c r="H2917" t="s">
        <v>208</v>
      </c>
      <c r="I2917" t="s">
        <v>227</v>
      </c>
      <c r="J2917" t="s">
        <v>115</v>
      </c>
      <c r="K2917" t="s">
        <v>260</v>
      </c>
      <c r="L2917" t="s">
        <v>273</v>
      </c>
      <c r="M2917" t="s">
        <v>282</v>
      </c>
      <c r="N2917" t="s">
        <v>291</v>
      </c>
      <c r="AK2917" t="s">
        <v>359</v>
      </c>
    </row>
    <row r="2918" spans="1:37">
      <c r="B2918" t="s">
        <v>51</v>
      </c>
      <c r="C2918" t="s">
        <v>75</v>
      </c>
      <c r="D2918" t="s">
        <v>52</v>
      </c>
      <c r="E2918" t="s">
        <v>114</v>
      </c>
      <c r="F2918" t="s">
        <v>148</v>
      </c>
      <c r="G2918" t="s">
        <v>148</v>
      </c>
      <c r="H2918" t="s">
        <v>209</v>
      </c>
      <c r="I2918" t="s">
        <v>228</v>
      </c>
      <c r="J2918" t="s">
        <v>247</v>
      </c>
      <c r="K2918" t="s">
        <v>261</v>
      </c>
      <c r="L2918" t="s">
        <v>274</v>
      </c>
      <c r="M2918" t="s">
        <v>283</v>
      </c>
      <c r="N2918" t="s">
        <v>292</v>
      </c>
      <c r="O2918" t="s">
        <v>300</v>
      </c>
      <c r="AK2918" t="s">
        <v>359</v>
      </c>
    </row>
    <row r="2919" spans="1:37">
      <c r="B2919" t="s">
        <v>52</v>
      </c>
      <c r="C2919" t="s">
        <v>76</v>
      </c>
      <c r="D2919" t="s">
        <v>96</v>
      </c>
      <c r="E2919" t="s">
        <v>115</v>
      </c>
      <c r="F2919" t="s">
        <v>149</v>
      </c>
      <c r="G2919" t="s">
        <v>174</v>
      </c>
      <c r="H2919" t="s">
        <v>96</v>
      </c>
      <c r="I2919" t="s">
        <v>229</v>
      </c>
      <c r="J2919" t="s">
        <v>248</v>
      </c>
      <c r="K2919" t="s">
        <v>262</v>
      </c>
      <c r="L2919" t="s">
        <v>52</v>
      </c>
      <c r="M2919" t="s">
        <v>76</v>
      </c>
      <c r="N2919" t="s">
        <v>293</v>
      </c>
      <c r="O2919" t="s">
        <v>301</v>
      </c>
      <c r="P2919" t="s">
        <v>309</v>
      </c>
      <c r="Q2919" t="s">
        <v>315</v>
      </c>
      <c r="R2919" t="s">
        <v>228</v>
      </c>
      <c r="S2919" t="s">
        <v>328</v>
      </c>
      <c r="T2919" t="s">
        <v>149</v>
      </c>
      <c r="U2919" t="s">
        <v>337</v>
      </c>
      <c r="V2919" t="s">
        <v>341</v>
      </c>
      <c r="W2919" t="s">
        <v>345</v>
      </c>
      <c r="X2919" t="s">
        <v>350</v>
      </c>
      <c r="AK2919" t="s">
        <v>359</v>
      </c>
    </row>
    <row r="2920" spans="1:37">
      <c r="B2920" t="s">
        <v>53</v>
      </c>
      <c r="C2920" t="s">
        <v>77</v>
      </c>
      <c r="D2920" t="s">
        <v>97</v>
      </c>
      <c r="E2920" t="s">
        <v>116</v>
      </c>
      <c r="F2920" t="s">
        <v>150</v>
      </c>
      <c r="G2920" t="s">
        <v>175</v>
      </c>
      <c r="H2920" t="s">
        <v>210</v>
      </c>
      <c r="I2920" t="s">
        <v>230</v>
      </c>
      <c r="J2920" t="s">
        <v>249</v>
      </c>
      <c r="K2920" t="s">
        <v>263</v>
      </c>
      <c r="L2920" t="s">
        <v>275</v>
      </c>
      <c r="M2920" t="s">
        <v>284</v>
      </c>
      <c r="N2920" t="s">
        <v>294</v>
      </c>
      <c r="O2920" t="s">
        <v>302</v>
      </c>
      <c r="P2920" t="s">
        <v>310</v>
      </c>
      <c r="Q2920" t="s">
        <v>316</v>
      </c>
      <c r="R2920" t="s">
        <v>322</v>
      </c>
      <c r="S2920" t="s">
        <v>329</v>
      </c>
      <c r="AK2920" t="s">
        <v>359</v>
      </c>
    </row>
    <row r="2921" spans="1:37">
      <c r="A2921" t="s">
        <v>39</v>
      </c>
      <c r="B2921" t="s">
        <v>54</v>
      </c>
      <c r="C2921" t="s">
        <v>54</v>
      </c>
      <c r="D2921" t="s">
        <v>54</v>
      </c>
      <c r="E2921" t="s">
        <v>54</v>
      </c>
      <c r="F2921" t="s">
        <v>54</v>
      </c>
      <c r="G2921" t="s">
        <v>54</v>
      </c>
      <c r="H2921" t="s">
        <v>54</v>
      </c>
      <c r="I2921" t="s">
        <v>54</v>
      </c>
      <c r="J2921" t="s">
        <v>54</v>
      </c>
      <c r="K2921" t="s">
        <v>54</v>
      </c>
      <c r="L2921" t="s">
        <v>54</v>
      </c>
      <c r="M2921" t="s">
        <v>54</v>
      </c>
      <c r="N2921" t="s">
        <v>54</v>
      </c>
      <c r="O2921" t="s">
        <v>54</v>
      </c>
      <c r="P2921" t="s">
        <v>54</v>
      </c>
      <c r="Q2921" t="s">
        <v>54</v>
      </c>
      <c r="R2921" t="s">
        <v>323</v>
      </c>
      <c r="S2921" t="s">
        <v>330</v>
      </c>
      <c r="AK2921" t="s">
        <v>359</v>
      </c>
    </row>
    <row r="2922" spans="1:37">
      <c r="B2922" t="s">
        <v>55</v>
      </c>
      <c r="C2922" t="s">
        <v>78</v>
      </c>
      <c r="D2922" t="s">
        <v>55</v>
      </c>
      <c r="E2922" t="s">
        <v>78</v>
      </c>
      <c r="F2922" t="s">
        <v>55</v>
      </c>
      <c r="G2922" t="s">
        <v>78</v>
      </c>
      <c r="H2922" t="s">
        <v>55</v>
      </c>
      <c r="I2922" t="s">
        <v>78</v>
      </c>
      <c r="J2922" t="s">
        <v>55</v>
      </c>
      <c r="K2922" t="s">
        <v>78</v>
      </c>
      <c r="L2922" t="s">
        <v>55</v>
      </c>
      <c r="M2922" t="s">
        <v>78</v>
      </c>
      <c r="N2922" t="s">
        <v>55</v>
      </c>
      <c r="O2922" t="s">
        <v>78</v>
      </c>
      <c r="P2922" t="s">
        <v>55</v>
      </c>
      <c r="Q2922" t="s">
        <v>78</v>
      </c>
      <c r="R2922" t="s">
        <v>55</v>
      </c>
      <c r="S2922" t="s">
        <v>78</v>
      </c>
      <c r="T2922" t="s">
        <v>55</v>
      </c>
      <c r="U2922" t="s">
        <v>78</v>
      </c>
      <c r="V2922" t="s">
        <v>55</v>
      </c>
      <c r="W2922" t="s">
        <v>78</v>
      </c>
      <c r="X2922" t="s">
        <v>55</v>
      </c>
      <c r="Y2922" t="s">
        <v>78</v>
      </c>
      <c r="Z2922" t="s">
        <v>55</v>
      </c>
      <c r="AA2922" t="s">
        <v>78</v>
      </c>
      <c r="AB2922" t="s">
        <v>55</v>
      </c>
      <c r="AC2922" t="s">
        <v>78</v>
      </c>
      <c r="AD2922" t="s">
        <v>55</v>
      </c>
      <c r="AE2922" t="s">
        <v>78</v>
      </c>
      <c r="AF2922" t="s">
        <v>55</v>
      </c>
      <c r="AG2922" t="s">
        <v>78</v>
      </c>
      <c r="AH2922" t="s">
        <v>55</v>
      </c>
      <c r="AI2922" t="s">
        <v>78</v>
      </c>
      <c r="AK2922" t="s">
        <v>359</v>
      </c>
    </row>
    <row r="2923" spans="1:37">
      <c r="B2923" t="s">
        <v>56</v>
      </c>
      <c r="C2923" t="s">
        <v>56</v>
      </c>
      <c r="D2923" t="s">
        <v>56</v>
      </c>
      <c r="E2923" t="s">
        <v>56</v>
      </c>
      <c r="F2923" t="s">
        <v>56</v>
      </c>
      <c r="G2923" t="s">
        <v>176</v>
      </c>
      <c r="H2923" t="s">
        <v>211</v>
      </c>
      <c r="I2923" t="s">
        <v>231</v>
      </c>
      <c r="J2923" t="s">
        <v>250</v>
      </c>
      <c r="K2923" t="s">
        <v>264</v>
      </c>
      <c r="L2923" t="s">
        <v>276</v>
      </c>
      <c r="M2923" t="s">
        <v>285</v>
      </c>
      <c r="N2923" t="s">
        <v>295</v>
      </c>
      <c r="O2923" t="s">
        <v>303</v>
      </c>
      <c r="P2923" t="s">
        <v>56</v>
      </c>
      <c r="Q2923" t="s">
        <v>317</v>
      </c>
      <c r="R2923" t="s">
        <v>324</v>
      </c>
      <c r="S2923" t="s">
        <v>331</v>
      </c>
      <c r="T2923" t="s">
        <v>334</v>
      </c>
      <c r="U2923" t="s">
        <v>338</v>
      </c>
      <c r="V2923" t="s">
        <v>342</v>
      </c>
      <c r="W2923" t="s">
        <v>346</v>
      </c>
      <c r="X2923" t="s">
        <v>351</v>
      </c>
      <c r="AK2923" t="s">
        <v>359</v>
      </c>
    </row>
    <row r="2924" spans="1:37">
      <c r="B2924" t="s">
        <v>57</v>
      </c>
      <c r="C2924" t="s">
        <v>79</v>
      </c>
      <c r="D2924" t="s">
        <v>98</v>
      </c>
      <c r="E2924" t="s">
        <v>117</v>
      </c>
      <c r="F2924" t="s">
        <v>151</v>
      </c>
      <c r="G2924" t="s">
        <v>177</v>
      </c>
      <c r="H2924" t="s">
        <v>212</v>
      </c>
      <c r="I2924" t="s">
        <v>232</v>
      </c>
      <c r="J2924" t="s">
        <v>251</v>
      </c>
      <c r="K2924" t="s">
        <v>265</v>
      </c>
      <c r="L2924" t="s">
        <v>277</v>
      </c>
      <c r="M2924" t="s">
        <v>286</v>
      </c>
      <c r="N2924" t="s">
        <v>296</v>
      </c>
      <c r="O2924" t="s">
        <v>304</v>
      </c>
      <c r="P2924" t="s">
        <v>311</v>
      </c>
      <c r="Q2924" t="s">
        <v>318</v>
      </c>
      <c r="R2924" t="s">
        <v>185</v>
      </c>
      <c r="S2924" t="s">
        <v>159</v>
      </c>
      <c r="T2924" t="s">
        <v>185</v>
      </c>
      <c r="U2924" t="s">
        <v>339</v>
      </c>
      <c r="V2924" t="s">
        <v>72</v>
      </c>
      <c r="W2924" t="s">
        <v>347</v>
      </c>
      <c r="X2924" t="s">
        <v>72</v>
      </c>
      <c r="Y2924" t="s">
        <v>96</v>
      </c>
      <c r="AK2924" t="s">
        <v>359</v>
      </c>
    </row>
    <row r="2925" spans="1:37">
      <c r="B2925" t="s">
        <v>58</v>
      </c>
      <c r="C2925" t="s">
        <v>80</v>
      </c>
      <c r="D2925" t="s">
        <v>99</v>
      </c>
      <c r="E2925" t="s">
        <v>118</v>
      </c>
      <c r="F2925" t="s">
        <v>152</v>
      </c>
      <c r="G2925" t="s">
        <v>178</v>
      </c>
      <c r="H2925" t="s">
        <v>213</v>
      </c>
      <c r="I2925" t="s">
        <v>233</v>
      </c>
      <c r="J2925" t="s">
        <v>252</v>
      </c>
      <c r="K2925" t="s">
        <v>266</v>
      </c>
      <c r="L2925" t="s">
        <v>278</v>
      </c>
      <c r="M2925" t="s">
        <v>287</v>
      </c>
      <c r="N2925" t="s">
        <v>297</v>
      </c>
      <c r="O2925" t="s">
        <v>305</v>
      </c>
      <c r="P2925" t="s">
        <v>312</v>
      </c>
      <c r="Q2925" t="s">
        <v>319</v>
      </c>
      <c r="R2925">
        <f>&gt;10       ветра      1.8     17   3</f>
        <v>0</v>
      </c>
      <c r="AK2925" t="s">
        <v>359</v>
      </c>
    </row>
    <row r="2926" spans="1:37">
      <c r="A2926" t="s">
        <v>40</v>
      </c>
      <c r="B2926" t="s">
        <v>59</v>
      </c>
      <c r="C2926" t="s">
        <v>81</v>
      </c>
      <c r="D2926" t="s">
        <v>100</v>
      </c>
      <c r="E2926" t="s">
        <v>119</v>
      </c>
      <c r="F2926" t="s">
        <v>153</v>
      </c>
      <c r="G2926" t="s">
        <v>179</v>
      </c>
      <c r="H2926" t="s">
        <v>214</v>
      </c>
      <c r="I2926" t="s">
        <v>234</v>
      </c>
      <c r="AK2926" t="s">
        <v>359</v>
      </c>
    </row>
    <row r="2927" spans="1:37">
      <c r="A2927" t="s">
        <v>40</v>
      </c>
      <c r="B2927" t="s">
        <v>60</v>
      </c>
      <c r="C2927" t="s">
        <v>82</v>
      </c>
      <c r="D2927" t="s">
        <v>101</v>
      </c>
      <c r="E2927" t="s">
        <v>120</v>
      </c>
      <c r="F2927" t="s">
        <v>154</v>
      </c>
      <c r="G2927" t="s">
        <v>180</v>
      </c>
      <c r="H2927" t="s">
        <v>215</v>
      </c>
      <c r="I2927" t="s">
        <v>235</v>
      </c>
      <c r="J2927" t="s">
        <v>253</v>
      </c>
      <c r="K2927" t="s">
        <v>267</v>
      </c>
      <c r="L2927" t="s">
        <v>279</v>
      </c>
      <c r="M2927" t="s">
        <v>288</v>
      </c>
      <c r="N2927" t="s">
        <v>100</v>
      </c>
      <c r="O2927" t="s">
        <v>306</v>
      </c>
      <c r="P2927" t="s">
        <v>313</v>
      </c>
      <c r="Q2927" t="s">
        <v>320</v>
      </c>
      <c r="R2927" t="s">
        <v>325</v>
      </c>
      <c r="S2927" t="s">
        <v>332</v>
      </c>
      <c r="T2927" t="s">
        <v>119</v>
      </c>
      <c r="U2927" t="s">
        <v>234</v>
      </c>
      <c r="V2927" t="s">
        <v>343</v>
      </c>
      <c r="W2927" t="s">
        <v>348</v>
      </c>
      <c r="X2927" t="s">
        <v>352</v>
      </c>
      <c r="Y2927" t="s">
        <v>354</v>
      </c>
      <c r="AK2927" t="s">
        <v>359</v>
      </c>
    </row>
    <row r="2928" spans="1:37">
      <c r="A2928" t="s">
        <v>41</v>
      </c>
      <c r="B2928" t="s">
        <v>61</v>
      </c>
      <c r="C2928" t="s">
        <v>83</v>
      </c>
      <c r="D2928" t="s">
        <v>102</v>
      </c>
      <c r="E2928" t="s">
        <v>121</v>
      </c>
      <c r="F2928" t="s">
        <v>155</v>
      </c>
      <c r="G2928" t="s">
        <v>181</v>
      </c>
      <c r="H2928" t="s">
        <v>216</v>
      </c>
      <c r="I2928" t="s">
        <v>236</v>
      </c>
      <c r="AK2928" t="s">
        <v>359</v>
      </c>
    </row>
    <row r="2929" spans="1:37">
      <c r="A2929" t="s">
        <v>42</v>
      </c>
      <c r="B2929" t="s">
        <v>62</v>
      </c>
      <c r="C2929" t="s">
        <v>84</v>
      </c>
      <c r="D2929" t="s">
        <v>103</v>
      </c>
      <c r="E2929" t="s">
        <v>122</v>
      </c>
      <c r="F2929" t="s">
        <v>156</v>
      </c>
      <c r="G2929" t="s">
        <v>182</v>
      </c>
      <c r="H2929" t="s">
        <v>83</v>
      </c>
      <c r="I2929" t="s">
        <v>237</v>
      </c>
      <c r="J2929" t="s">
        <v>254</v>
      </c>
      <c r="K2929" t="s">
        <v>268</v>
      </c>
      <c r="L2929" t="s">
        <v>280</v>
      </c>
      <c r="M2929" t="s">
        <v>289</v>
      </c>
      <c r="N2929" t="s">
        <v>298</v>
      </c>
      <c r="O2929" t="s">
        <v>307</v>
      </c>
      <c r="P2929" t="s">
        <v>314</v>
      </c>
      <c r="Q2929" t="s">
        <v>216</v>
      </c>
      <c r="R2929" t="s">
        <v>326</v>
      </c>
      <c r="S2929" t="s">
        <v>333</v>
      </c>
      <c r="T2929" t="s">
        <v>335</v>
      </c>
      <c r="U2929" t="s">
        <v>340</v>
      </c>
      <c r="V2929" t="s">
        <v>344</v>
      </c>
      <c r="W2929" t="s">
        <v>349</v>
      </c>
      <c r="AK2929" t="s">
        <v>359</v>
      </c>
    </row>
    <row r="2930" spans="1:37">
      <c r="A2930" t="s">
        <v>43</v>
      </c>
      <c r="B2930" t="s">
        <v>63</v>
      </c>
      <c r="C2930" t="s">
        <v>85</v>
      </c>
      <c r="D2930" t="s">
        <v>104</v>
      </c>
      <c r="E2930" t="s">
        <v>123</v>
      </c>
      <c r="F2930" t="s">
        <v>157</v>
      </c>
      <c r="G2930" t="s">
        <v>183</v>
      </c>
      <c r="AK2930" t="s">
        <v>359</v>
      </c>
    </row>
    <row r="2931" spans="1:37">
      <c r="A2931" t="s">
        <v>44</v>
      </c>
      <c r="B2931" t="s">
        <v>64</v>
      </c>
      <c r="C2931" t="s">
        <v>86</v>
      </c>
      <c r="D2931" t="s">
        <v>105</v>
      </c>
      <c r="E2931" t="s">
        <v>124</v>
      </c>
      <c r="F2931" t="s">
        <v>158</v>
      </c>
      <c r="G2931" t="s">
        <v>184</v>
      </c>
      <c r="AK2931" t="s">
        <v>359</v>
      </c>
    </row>
    <row r="2932" spans="1:37">
      <c r="A2932" t="s">
        <v>45</v>
      </c>
      <c r="B2932" t="s">
        <v>65</v>
      </c>
      <c r="C2932" t="s">
        <v>87</v>
      </c>
      <c r="D2932" t="s">
        <v>106</v>
      </c>
      <c r="E2932" t="s">
        <v>125</v>
      </c>
      <c r="F2932" t="s">
        <v>159</v>
      </c>
      <c r="G2932" t="s">
        <v>185</v>
      </c>
      <c r="H2932" t="s">
        <v>159</v>
      </c>
      <c r="I2932" t="s">
        <v>185</v>
      </c>
      <c r="J2932" t="s">
        <v>255</v>
      </c>
      <c r="AK2932" t="s">
        <v>359</v>
      </c>
    </row>
    <row r="2933" spans="1:37">
      <c r="A2933" t="s">
        <v>46</v>
      </c>
      <c r="B2933" t="s">
        <v>66</v>
      </c>
      <c r="C2933" t="s">
        <v>88</v>
      </c>
      <c r="D2933" t="s">
        <v>76</v>
      </c>
      <c r="E2933" t="s">
        <v>126</v>
      </c>
      <c r="F2933" t="s">
        <v>160</v>
      </c>
      <c r="G2933" t="s">
        <v>186</v>
      </c>
      <c r="H2933" t="s">
        <v>217</v>
      </c>
      <c r="I2933" t="s">
        <v>238</v>
      </c>
      <c r="J2933" t="s">
        <v>256</v>
      </c>
      <c r="K2933" t="s">
        <v>265</v>
      </c>
      <c r="L2933" t="s">
        <v>281</v>
      </c>
      <c r="M2933" t="s">
        <v>290</v>
      </c>
      <c r="N2933" t="s">
        <v>299</v>
      </c>
      <c r="O2933" t="s">
        <v>308</v>
      </c>
      <c r="P2933" t="s">
        <v>228</v>
      </c>
      <c r="Q2933" t="s">
        <v>72</v>
      </c>
      <c r="R2933" t="s">
        <v>327</v>
      </c>
      <c r="S2933" t="s">
        <v>327</v>
      </c>
      <c r="T2933" t="s">
        <v>336</v>
      </c>
      <c r="U2933" t="s">
        <v>336</v>
      </c>
      <c r="V2933" t="s">
        <v>336</v>
      </c>
      <c r="W2933" t="s">
        <v>336</v>
      </c>
      <c r="X2933" t="s">
        <v>353</v>
      </c>
      <c r="AK2933" t="s">
        <v>359</v>
      </c>
    </row>
    <row r="2934" spans="1:37">
      <c r="B2934" t="s">
        <v>67</v>
      </c>
      <c r="C2934" t="s">
        <v>89</v>
      </c>
      <c r="D2934" t="s">
        <v>107</v>
      </c>
      <c r="AK2934" t="s">
        <v>359</v>
      </c>
    </row>
    <row r="2935" spans="1:37">
      <c r="B2935" t="s">
        <v>68</v>
      </c>
      <c r="C2935" t="s">
        <v>90</v>
      </c>
      <c r="D2935" t="s">
        <v>108</v>
      </c>
      <c r="AK2935" t="s">
        <v>359</v>
      </c>
    </row>
    <row r="2936" spans="1:37">
      <c r="A2936" t="s">
        <v>47</v>
      </c>
      <c r="B2936" t="s">
        <v>69</v>
      </c>
      <c r="C2936" t="s">
        <v>91</v>
      </c>
      <c r="D2936" t="s">
        <v>109</v>
      </c>
      <c r="E2936" t="s">
        <v>109</v>
      </c>
      <c r="F2936" t="s">
        <v>109</v>
      </c>
      <c r="G2936" t="s">
        <v>109</v>
      </c>
      <c r="H2936" t="s">
        <v>109</v>
      </c>
      <c r="I2936" t="s">
        <v>239</v>
      </c>
      <c r="AK2936" t="s">
        <v>359</v>
      </c>
    </row>
    <row r="2937" spans="1:37">
      <c r="B2937" t="s">
        <v>70</v>
      </c>
      <c r="C2937" t="s">
        <v>92</v>
      </c>
      <c r="D2937" t="s">
        <v>110</v>
      </c>
      <c r="E2937" t="s">
        <v>127</v>
      </c>
      <c r="F2937" t="s">
        <v>161</v>
      </c>
      <c r="G2937" t="s">
        <v>187</v>
      </c>
      <c r="H2937" t="s">
        <v>218</v>
      </c>
      <c r="AK2937" t="s">
        <v>359</v>
      </c>
    </row>
    <row r="2938" spans="1:37">
      <c r="B2938" t="s">
        <v>71</v>
      </c>
      <c r="C2938" t="s">
        <v>93</v>
      </c>
      <c r="D2938" t="s">
        <v>111</v>
      </c>
      <c r="E2938" t="s">
        <v>128</v>
      </c>
      <c r="F2938" t="s">
        <v>162</v>
      </c>
      <c r="G2938" t="s">
        <v>188</v>
      </c>
      <c r="H2938" t="s">
        <v>219</v>
      </c>
      <c r="I2938" t="s">
        <v>240</v>
      </c>
      <c r="J2938" t="s">
        <v>257</v>
      </c>
      <c r="K2938" t="s">
        <v>269</v>
      </c>
      <c r="L2938" t="s">
        <v>109</v>
      </c>
      <c r="M2938" t="s">
        <v>109</v>
      </c>
      <c r="N2938" t="s">
        <v>109</v>
      </c>
      <c r="O2938" t="s">
        <v>109</v>
      </c>
      <c r="P2938" t="s">
        <v>109</v>
      </c>
      <c r="Q2938" t="s">
        <v>321</v>
      </c>
      <c r="AK2938" t="s">
        <v>359</v>
      </c>
    </row>
    <row r="2939" spans="1:37">
      <c r="A2939" t="s">
        <v>48</v>
      </c>
      <c r="B2939" t="s">
        <v>71</v>
      </c>
      <c r="C2939" t="s">
        <v>93</v>
      </c>
      <c r="D2939" t="s">
        <v>111</v>
      </c>
      <c r="E2939" t="s">
        <v>128</v>
      </c>
      <c r="F2939" t="s">
        <v>163</v>
      </c>
      <c r="G2939" t="s">
        <v>189</v>
      </c>
      <c r="H2939" t="s">
        <v>220</v>
      </c>
      <c r="I2939" t="s">
        <v>241</v>
      </c>
      <c r="J2939" t="s">
        <v>258</v>
      </c>
      <c r="K2939" t="s">
        <v>270</v>
      </c>
      <c r="AK2939" t="s">
        <v>359</v>
      </c>
    </row>
    <row r="2940" spans="1:37">
      <c r="B2940" t="s">
        <v>72</v>
      </c>
      <c r="C2940" t="s">
        <v>72</v>
      </c>
      <c r="D2940" t="s">
        <v>72</v>
      </c>
      <c r="E2940" t="s">
        <v>72</v>
      </c>
      <c r="F2940" t="s">
        <v>72</v>
      </c>
      <c r="G2940" t="s">
        <v>72</v>
      </c>
      <c r="H2940" t="s">
        <v>72</v>
      </c>
      <c r="I2940" t="s">
        <v>72</v>
      </c>
      <c r="J2940" t="s">
        <v>72</v>
      </c>
      <c r="K2940" t="s">
        <v>272</v>
      </c>
      <c r="AK2940" t="s">
        <v>359</v>
      </c>
    </row>
    <row r="2941" spans="1:37">
      <c r="A2941" t="s">
        <v>37</v>
      </c>
      <c r="B2941" t="s">
        <v>49</v>
      </c>
      <c r="C2941" t="s">
        <v>73</v>
      </c>
      <c r="D2941" t="s">
        <v>94</v>
      </c>
      <c r="E2941" t="s">
        <v>112</v>
      </c>
      <c r="F2941" t="s">
        <v>146</v>
      </c>
      <c r="G2941" t="s">
        <v>172</v>
      </c>
      <c r="H2941" t="s">
        <v>207</v>
      </c>
      <c r="I2941" t="s">
        <v>226</v>
      </c>
      <c r="J2941" t="s">
        <v>246</v>
      </c>
      <c r="K2941" t="s">
        <v>259</v>
      </c>
      <c r="AK2941" t="s">
        <v>359</v>
      </c>
    </row>
    <row r="2942" spans="1:37">
      <c r="A2942" t="s">
        <v>38</v>
      </c>
      <c r="B2942" t="s">
        <v>50</v>
      </c>
      <c r="C2942" t="s">
        <v>74</v>
      </c>
      <c r="D2942" t="s">
        <v>95</v>
      </c>
      <c r="E2942" t="s">
        <v>113</v>
      </c>
      <c r="F2942" t="s">
        <v>147</v>
      </c>
      <c r="G2942" t="s">
        <v>173</v>
      </c>
      <c r="H2942" t="s">
        <v>208</v>
      </c>
      <c r="I2942" t="s">
        <v>227</v>
      </c>
      <c r="J2942" t="s">
        <v>115</v>
      </c>
      <c r="K2942" t="s">
        <v>260</v>
      </c>
      <c r="L2942" t="s">
        <v>273</v>
      </c>
      <c r="M2942" t="s">
        <v>282</v>
      </c>
      <c r="N2942" t="s">
        <v>291</v>
      </c>
      <c r="AK2942" t="s">
        <v>359</v>
      </c>
    </row>
    <row r="2943" spans="1:37">
      <c r="B2943" t="s">
        <v>51</v>
      </c>
      <c r="C2943" t="s">
        <v>75</v>
      </c>
      <c r="D2943" t="s">
        <v>52</v>
      </c>
      <c r="E2943" t="s">
        <v>114</v>
      </c>
      <c r="F2943" t="s">
        <v>148</v>
      </c>
      <c r="G2943" t="s">
        <v>148</v>
      </c>
      <c r="H2943" t="s">
        <v>209</v>
      </c>
      <c r="I2943" t="s">
        <v>228</v>
      </c>
      <c r="J2943" t="s">
        <v>247</v>
      </c>
      <c r="K2943" t="s">
        <v>261</v>
      </c>
      <c r="L2943" t="s">
        <v>274</v>
      </c>
      <c r="M2943" t="s">
        <v>283</v>
      </c>
      <c r="N2943" t="s">
        <v>292</v>
      </c>
      <c r="O2943" t="s">
        <v>300</v>
      </c>
      <c r="AK2943" t="s">
        <v>359</v>
      </c>
    </row>
    <row r="2944" spans="1:37">
      <c r="B2944" t="s">
        <v>52</v>
      </c>
      <c r="C2944" t="s">
        <v>76</v>
      </c>
      <c r="D2944" t="s">
        <v>96</v>
      </c>
      <c r="E2944" t="s">
        <v>115</v>
      </c>
      <c r="F2944" t="s">
        <v>149</v>
      </c>
      <c r="G2944" t="s">
        <v>174</v>
      </c>
      <c r="H2944" t="s">
        <v>96</v>
      </c>
      <c r="I2944" t="s">
        <v>229</v>
      </c>
      <c r="J2944" t="s">
        <v>248</v>
      </c>
      <c r="K2944" t="s">
        <v>262</v>
      </c>
      <c r="L2944" t="s">
        <v>52</v>
      </c>
      <c r="M2944" t="s">
        <v>76</v>
      </c>
      <c r="N2944" t="s">
        <v>293</v>
      </c>
      <c r="O2944" t="s">
        <v>301</v>
      </c>
      <c r="P2944" t="s">
        <v>309</v>
      </c>
      <c r="Q2944" t="s">
        <v>315</v>
      </c>
      <c r="R2944" t="s">
        <v>228</v>
      </c>
      <c r="S2944" t="s">
        <v>328</v>
      </c>
      <c r="T2944" t="s">
        <v>149</v>
      </c>
      <c r="U2944" t="s">
        <v>337</v>
      </c>
      <c r="V2944" t="s">
        <v>341</v>
      </c>
      <c r="W2944" t="s">
        <v>345</v>
      </c>
      <c r="X2944" t="s">
        <v>350</v>
      </c>
      <c r="AK2944" t="s">
        <v>359</v>
      </c>
    </row>
    <row r="2945" spans="1:37">
      <c r="B2945" t="s">
        <v>53</v>
      </c>
      <c r="C2945" t="s">
        <v>77</v>
      </c>
      <c r="D2945" t="s">
        <v>97</v>
      </c>
      <c r="E2945" t="s">
        <v>116</v>
      </c>
      <c r="F2945" t="s">
        <v>150</v>
      </c>
      <c r="G2945" t="s">
        <v>175</v>
      </c>
      <c r="H2945" t="s">
        <v>210</v>
      </c>
      <c r="I2945" t="s">
        <v>230</v>
      </c>
      <c r="J2945" t="s">
        <v>249</v>
      </c>
      <c r="K2945" t="s">
        <v>263</v>
      </c>
      <c r="L2945" t="s">
        <v>275</v>
      </c>
      <c r="M2945" t="s">
        <v>284</v>
      </c>
      <c r="N2945" t="s">
        <v>294</v>
      </c>
      <c r="O2945" t="s">
        <v>302</v>
      </c>
      <c r="P2945" t="s">
        <v>310</v>
      </c>
      <c r="Q2945" t="s">
        <v>316</v>
      </c>
      <c r="R2945" t="s">
        <v>322</v>
      </c>
      <c r="S2945" t="s">
        <v>329</v>
      </c>
      <c r="AK2945" t="s">
        <v>359</v>
      </c>
    </row>
    <row r="2946" spans="1:37">
      <c r="A2946" t="s">
        <v>39</v>
      </c>
      <c r="B2946" t="s">
        <v>54</v>
      </c>
      <c r="C2946" t="s">
        <v>54</v>
      </c>
      <c r="D2946" t="s">
        <v>54</v>
      </c>
      <c r="E2946" t="s">
        <v>54</v>
      </c>
      <c r="F2946" t="s">
        <v>54</v>
      </c>
      <c r="G2946" t="s">
        <v>54</v>
      </c>
      <c r="H2946" t="s">
        <v>54</v>
      </c>
      <c r="I2946" t="s">
        <v>54</v>
      </c>
      <c r="J2946" t="s">
        <v>54</v>
      </c>
      <c r="K2946" t="s">
        <v>54</v>
      </c>
      <c r="L2946" t="s">
        <v>54</v>
      </c>
      <c r="M2946" t="s">
        <v>54</v>
      </c>
      <c r="N2946" t="s">
        <v>54</v>
      </c>
      <c r="O2946" t="s">
        <v>54</v>
      </c>
      <c r="P2946" t="s">
        <v>54</v>
      </c>
      <c r="Q2946" t="s">
        <v>54</v>
      </c>
      <c r="R2946" t="s">
        <v>323</v>
      </c>
      <c r="S2946" t="s">
        <v>330</v>
      </c>
      <c r="AK2946" t="s">
        <v>359</v>
      </c>
    </row>
    <row r="2947" spans="1:37">
      <c r="B2947" t="s">
        <v>55</v>
      </c>
      <c r="C2947" t="s">
        <v>78</v>
      </c>
      <c r="D2947" t="s">
        <v>55</v>
      </c>
      <c r="E2947" t="s">
        <v>78</v>
      </c>
      <c r="F2947" t="s">
        <v>55</v>
      </c>
      <c r="G2947" t="s">
        <v>78</v>
      </c>
      <c r="H2947" t="s">
        <v>55</v>
      </c>
      <c r="I2947" t="s">
        <v>78</v>
      </c>
      <c r="J2947" t="s">
        <v>55</v>
      </c>
      <c r="K2947" t="s">
        <v>78</v>
      </c>
      <c r="L2947" t="s">
        <v>55</v>
      </c>
      <c r="M2947" t="s">
        <v>78</v>
      </c>
      <c r="N2947" t="s">
        <v>55</v>
      </c>
      <c r="O2947" t="s">
        <v>78</v>
      </c>
      <c r="P2947" t="s">
        <v>55</v>
      </c>
      <c r="Q2947" t="s">
        <v>78</v>
      </c>
      <c r="R2947" t="s">
        <v>55</v>
      </c>
      <c r="S2947" t="s">
        <v>78</v>
      </c>
      <c r="T2947" t="s">
        <v>55</v>
      </c>
      <c r="U2947" t="s">
        <v>78</v>
      </c>
      <c r="V2947" t="s">
        <v>55</v>
      </c>
      <c r="W2947" t="s">
        <v>78</v>
      </c>
      <c r="X2947" t="s">
        <v>55</v>
      </c>
      <c r="Y2947" t="s">
        <v>78</v>
      </c>
      <c r="Z2947" t="s">
        <v>55</v>
      </c>
      <c r="AA2947" t="s">
        <v>78</v>
      </c>
      <c r="AB2947" t="s">
        <v>55</v>
      </c>
      <c r="AC2947" t="s">
        <v>78</v>
      </c>
      <c r="AD2947" t="s">
        <v>55</v>
      </c>
      <c r="AE2947" t="s">
        <v>78</v>
      </c>
      <c r="AF2947" t="s">
        <v>55</v>
      </c>
      <c r="AG2947" t="s">
        <v>78</v>
      </c>
      <c r="AH2947" t="s">
        <v>55</v>
      </c>
      <c r="AI2947" t="s">
        <v>78</v>
      </c>
      <c r="AK2947" t="s">
        <v>359</v>
      </c>
    </row>
    <row r="2948" spans="1:37">
      <c r="B2948" t="s">
        <v>56</v>
      </c>
      <c r="C2948" t="s">
        <v>56</v>
      </c>
      <c r="D2948" t="s">
        <v>56</v>
      </c>
      <c r="E2948" t="s">
        <v>56</v>
      </c>
      <c r="F2948" t="s">
        <v>56</v>
      </c>
      <c r="G2948" t="s">
        <v>176</v>
      </c>
      <c r="H2948" t="s">
        <v>211</v>
      </c>
      <c r="I2948" t="s">
        <v>231</v>
      </c>
      <c r="J2948" t="s">
        <v>250</v>
      </c>
      <c r="K2948" t="s">
        <v>264</v>
      </c>
      <c r="L2948" t="s">
        <v>276</v>
      </c>
      <c r="M2948" t="s">
        <v>285</v>
      </c>
      <c r="N2948" t="s">
        <v>295</v>
      </c>
      <c r="O2948" t="s">
        <v>303</v>
      </c>
      <c r="P2948" t="s">
        <v>56</v>
      </c>
      <c r="Q2948" t="s">
        <v>317</v>
      </c>
      <c r="R2948" t="s">
        <v>324</v>
      </c>
      <c r="S2948" t="s">
        <v>331</v>
      </c>
      <c r="T2948" t="s">
        <v>334</v>
      </c>
      <c r="U2948" t="s">
        <v>338</v>
      </c>
      <c r="V2948" t="s">
        <v>342</v>
      </c>
      <c r="W2948" t="s">
        <v>346</v>
      </c>
      <c r="X2948" t="s">
        <v>351</v>
      </c>
      <c r="AK2948" t="s">
        <v>359</v>
      </c>
    </row>
    <row r="2949" spans="1:37">
      <c r="B2949" t="s">
        <v>57</v>
      </c>
      <c r="C2949" t="s">
        <v>79</v>
      </c>
      <c r="D2949" t="s">
        <v>98</v>
      </c>
      <c r="E2949" t="s">
        <v>117</v>
      </c>
      <c r="F2949" t="s">
        <v>151</v>
      </c>
      <c r="G2949" t="s">
        <v>177</v>
      </c>
      <c r="H2949" t="s">
        <v>212</v>
      </c>
      <c r="I2949" t="s">
        <v>232</v>
      </c>
      <c r="J2949" t="s">
        <v>251</v>
      </c>
      <c r="K2949" t="s">
        <v>265</v>
      </c>
      <c r="L2949" t="s">
        <v>277</v>
      </c>
      <c r="M2949" t="s">
        <v>286</v>
      </c>
      <c r="N2949" t="s">
        <v>296</v>
      </c>
      <c r="O2949" t="s">
        <v>304</v>
      </c>
      <c r="P2949" t="s">
        <v>311</v>
      </c>
      <c r="Q2949" t="s">
        <v>318</v>
      </c>
      <c r="R2949" t="s">
        <v>185</v>
      </c>
      <c r="S2949" t="s">
        <v>159</v>
      </c>
      <c r="T2949" t="s">
        <v>185</v>
      </c>
      <c r="U2949" t="s">
        <v>339</v>
      </c>
      <c r="V2949" t="s">
        <v>72</v>
      </c>
      <c r="W2949" t="s">
        <v>347</v>
      </c>
      <c r="X2949" t="s">
        <v>72</v>
      </c>
      <c r="Y2949" t="s">
        <v>96</v>
      </c>
      <c r="AK2949" t="s">
        <v>359</v>
      </c>
    </row>
    <row r="2950" spans="1:37">
      <c r="B2950" t="s">
        <v>58</v>
      </c>
      <c r="C2950" t="s">
        <v>80</v>
      </c>
      <c r="D2950" t="s">
        <v>99</v>
      </c>
      <c r="E2950" t="s">
        <v>118</v>
      </c>
      <c r="F2950" t="s">
        <v>152</v>
      </c>
      <c r="G2950" t="s">
        <v>178</v>
      </c>
      <c r="H2950" t="s">
        <v>213</v>
      </c>
      <c r="I2950" t="s">
        <v>233</v>
      </c>
      <c r="J2950" t="s">
        <v>252</v>
      </c>
      <c r="K2950" t="s">
        <v>266</v>
      </c>
      <c r="L2950" t="s">
        <v>278</v>
      </c>
      <c r="M2950" t="s">
        <v>287</v>
      </c>
      <c r="N2950" t="s">
        <v>297</v>
      </c>
      <c r="O2950" t="s">
        <v>305</v>
      </c>
      <c r="P2950" t="s">
        <v>312</v>
      </c>
      <c r="Q2950" t="s">
        <v>319</v>
      </c>
      <c r="R2950">
        <f>&gt;10       ветра      1.8     14  11</f>
        <v>0</v>
      </c>
      <c r="AK2950" t="s">
        <v>359</v>
      </c>
    </row>
    <row r="2951" spans="1:37">
      <c r="A2951" t="s">
        <v>40</v>
      </c>
      <c r="B2951" t="s">
        <v>59</v>
      </c>
      <c r="C2951" t="s">
        <v>81</v>
      </c>
      <c r="D2951" t="s">
        <v>100</v>
      </c>
      <c r="E2951" t="s">
        <v>119</v>
      </c>
      <c r="F2951" t="s">
        <v>153</v>
      </c>
      <c r="G2951" t="s">
        <v>179</v>
      </c>
      <c r="H2951" t="s">
        <v>214</v>
      </c>
      <c r="I2951" t="s">
        <v>234</v>
      </c>
      <c r="AK2951" t="s">
        <v>359</v>
      </c>
    </row>
    <row r="2952" spans="1:37">
      <c r="A2952" t="s">
        <v>40</v>
      </c>
      <c r="B2952" t="s">
        <v>60</v>
      </c>
      <c r="C2952" t="s">
        <v>82</v>
      </c>
      <c r="D2952" t="s">
        <v>101</v>
      </c>
      <c r="E2952" t="s">
        <v>120</v>
      </c>
      <c r="F2952" t="s">
        <v>154</v>
      </c>
      <c r="G2952" t="s">
        <v>180</v>
      </c>
      <c r="H2952" t="s">
        <v>215</v>
      </c>
      <c r="I2952" t="s">
        <v>235</v>
      </c>
      <c r="J2952" t="s">
        <v>253</v>
      </c>
      <c r="K2952" t="s">
        <v>267</v>
      </c>
      <c r="L2952" t="s">
        <v>279</v>
      </c>
      <c r="M2952" t="s">
        <v>288</v>
      </c>
      <c r="N2952" t="s">
        <v>100</v>
      </c>
      <c r="O2952" t="s">
        <v>306</v>
      </c>
      <c r="P2952" t="s">
        <v>313</v>
      </c>
      <c r="Q2952" t="s">
        <v>320</v>
      </c>
      <c r="R2952" t="s">
        <v>325</v>
      </c>
      <c r="S2952" t="s">
        <v>332</v>
      </c>
      <c r="T2952" t="s">
        <v>119</v>
      </c>
      <c r="U2952" t="s">
        <v>234</v>
      </c>
      <c r="V2952" t="s">
        <v>343</v>
      </c>
      <c r="W2952" t="s">
        <v>348</v>
      </c>
      <c r="X2952" t="s">
        <v>352</v>
      </c>
      <c r="Y2952" t="s">
        <v>354</v>
      </c>
      <c r="AK2952" t="s">
        <v>359</v>
      </c>
    </row>
    <row r="2953" spans="1:37">
      <c r="A2953" t="s">
        <v>41</v>
      </c>
      <c r="B2953" t="s">
        <v>61</v>
      </c>
      <c r="C2953" t="s">
        <v>83</v>
      </c>
      <c r="D2953" t="s">
        <v>102</v>
      </c>
      <c r="E2953" t="s">
        <v>121</v>
      </c>
      <c r="F2953" t="s">
        <v>155</v>
      </c>
      <c r="G2953" t="s">
        <v>181</v>
      </c>
      <c r="H2953" t="s">
        <v>216</v>
      </c>
      <c r="I2953" t="s">
        <v>236</v>
      </c>
      <c r="AK2953" t="s">
        <v>359</v>
      </c>
    </row>
    <row r="2954" spans="1:37">
      <c r="A2954" t="s">
        <v>42</v>
      </c>
      <c r="B2954" t="s">
        <v>62</v>
      </c>
      <c r="C2954" t="s">
        <v>84</v>
      </c>
      <c r="D2954" t="s">
        <v>103</v>
      </c>
      <c r="E2954" t="s">
        <v>122</v>
      </c>
      <c r="F2954" t="s">
        <v>156</v>
      </c>
      <c r="G2954" t="s">
        <v>182</v>
      </c>
      <c r="H2954" t="s">
        <v>83</v>
      </c>
      <c r="I2954" t="s">
        <v>237</v>
      </c>
      <c r="J2954" t="s">
        <v>254</v>
      </c>
      <c r="K2954" t="s">
        <v>268</v>
      </c>
      <c r="L2954" t="s">
        <v>280</v>
      </c>
      <c r="M2954" t="s">
        <v>289</v>
      </c>
      <c r="N2954" t="s">
        <v>298</v>
      </c>
      <c r="O2954" t="s">
        <v>307</v>
      </c>
      <c r="P2954" t="s">
        <v>314</v>
      </c>
      <c r="Q2954" t="s">
        <v>216</v>
      </c>
      <c r="R2954" t="s">
        <v>326</v>
      </c>
      <c r="S2954" t="s">
        <v>333</v>
      </c>
      <c r="T2954" t="s">
        <v>335</v>
      </c>
      <c r="U2954" t="s">
        <v>340</v>
      </c>
      <c r="V2954" t="s">
        <v>344</v>
      </c>
      <c r="W2954" t="s">
        <v>349</v>
      </c>
      <c r="AK2954" t="s">
        <v>359</v>
      </c>
    </row>
    <row r="2955" spans="1:37">
      <c r="A2955" t="s">
        <v>43</v>
      </c>
      <c r="B2955" t="s">
        <v>63</v>
      </c>
      <c r="C2955" t="s">
        <v>85</v>
      </c>
      <c r="D2955" t="s">
        <v>104</v>
      </c>
      <c r="E2955" t="s">
        <v>123</v>
      </c>
      <c r="F2955" t="s">
        <v>157</v>
      </c>
      <c r="G2955" t="s">
        <v>183</v>
      </c>
      <c r="AK2955" t="s">
        <v>359</v>
      </c>
    </row>
    <row r="2956" spans="1:37">
      <c r="A2956" t="s">
        <v>44</v>
      </c>
      <c r="B2956" t="s">
        <v>64</v>
      </c>
      <c r="C2956" t="s">
        <v>86</v>
      </c>
      <c r="D2956" t="s">
        <v>105</v>
      </c>
      <c r="E2956" t="s">
        <v>124</v>
      </c>
      <c r="F2956" t="s">
        <v>158</v>
      </c>
      <c r="G2956" t="s">
        <v>184</v>
      </c>
      <c r="AK2956" t="s">
        <v>359</v>
      </c>
    </row>
    <row r="2957" spans="1:37">
      <c r="A2957" t="s">
        <v>45</v>
      </c>
      <c r="B2957" t="s">
        <v>65</v>
      </c>
      <c r="C2957" t="s">
        <v>87</v>
      </c>
      <c r="D2957" t="s">
        <v>106</v>
      </c>
      <c r="E2957" t="s">
        <v>125</v>
      </c>
      <c r="F2957" t="s">
        <v>159</v>
      </c>
      <c r="G2957" t="s">
        <v>185</v>
      </c>
      <c r="H2957" t="s">
        <v>159</v>
      </c>
      <c r="I2957" t="s">
        <v>185</v>
      </c>
      <c r="J2957" t="s">
        <v>255</v>
      </c>
      <c r="AK2957" t="s">
        <v>359</v>
      </c>
    </row>
    <row r="2958" spans="1:37">
      <c r="A2958" t="s">
        <v>46</v>
      </c>
      <c r="B2958" t="s">
        <v>66</v>
      </c>
      <c r="C2958" t="s">
        <v>88</v>
      </c>
      <c r="D2958" t="s">
        <v>76</v>
      </c>
      <c r="E2958" t="s">
        <v>126</v>
      </c>
      <c r="F2958" t="s">
        <v>160</v>
      </c>
      <c r="G2958" t="s">
        <v>186</v>
      </c>
      <c r="H2958" t="s">
        <v>217</v>
      </c>
      <c r="I2958" t="s">
        <v>238</v>
      </c>
      <c r="J2958" t="s">
        <v>256</v>
      </c>
      <c r="K2958" t="s">
        <v>265</v>
      </c>
      <c r="L2958" t="s">
        <v>281</v>
      </c>
      <c r="M2958" t="s">
        <v>290</v>
      </c>
      <c r="N2958" t="s">
        <v>299</v>
      </c>
      <c r="O2958" t="s">
        <v>308</v>
      </c>
      <c r="P2958" t="s">
        <v>228</v>
      </c>
      <c r="Q2958" t="s">
        <v>72</v>
      </c>
      <c r="R2958" t="s">
        <v>327</v>
      </c>
      <c r="S2958" t="s">
        <v>327</v>
      </c>
      <c r="T2958" t="s">
        <v>336</v>
      </c>
      <c r="U2958" t="s">
        <v>336</v>
      </c>
      <c r="V2958" t="s">
        <v>336</v>
      </c>
      <c r="W2958" t="s">
        <v>336</v>
      </c>
      <c r="X2958" t="s">
        <v>353</v>
      </c>
      <c r="AK2958" t="s">
        <v>359</v>
      </c>
    </row>
    <row r="2959" spans="1:37">
      <c r="B2959" t="s">
        <v>67</v>
      </c>
      <c r="C2959" t="s">
        <v>89</v>
      </c>
      <c r="D2959" t="s">
        <v>107</v>
      </c>
      <c r="AK2959" t="s">
        <v>359</v>
      </c>
    </row>
    <row r="2960" spans="1:37">
      <c r="B2960" t="s">
        <v>68</v>
      </c>
      <c r="C2960" t="s">
        <v>90</v>
      </c>
      <c r="D2960" t="s">
        <v>108</v>
      </c>
      <c r="AK2960" t="s">
        <v>359</v>
      </c>
    </row>
    <row r="2961" spans="1:37">
      <c r="A2961" t="s">
        <v>47</v>
      </c>
      <c r="B2961" t="s">
        <v>69</v>
      </c>
      <c r="C2961" t="s">
        <v>91</v>
      </c>
      <c r="D2961" t="s">
        <v>109</v>
      </c>
      <c r="E2961" t="s">
        <v>109</v>
      </c>
      <c r="F2961" t="s">
        <v>109</v>
      </c>
      <c r="G2961" t="s">
        <v>109</v>
      </c>
      <c r="H2961" t="s">
        <v>109</v>
      </c>
      <c r="I2961" t="s">
        <v>239</v>
      </c>
      <c r="AK2961" t="s">
        <v>359</v>
      </c>
    </row>
    <row r="2962" spans="1:37">
      <c r="B2962" t="s">
        <v>70</v>
      </c>
      <c r="C2962" t="s">
        <v>92</v>
      </c>
      <c r="D2962" t="s">
        <v>110</v>
      </c>
      <c r="E2962" t="s">
        <v>127</v>
      </c>
      <c r="F2962" t="s">
        <v>161</v>
      </c>
      <c r="G2962" t="s">
        <v>187</v>
      </c>
      <c r="H2962" t="s">
        <v>218</v>
      </c>
      <c r="AK2962" t="s">
        <v>359</v>
      </c>
    </row>
    <row r="2963" spans="1:37">
      <c r="B2963" t="s">
        <v>71</v>
      </c>
      <c r="C2963" t="s">
        <v>93</v>
      </c>
      <c r="D2963" t="s">
        <v>111</v>
      </c>
      <c r="E2963" t="s">
        <v>128</v>
      </c>
      <c r="F2963" t="s">
        <v>162</v>
      </c>
      <c r="G2963" t="s">
        <v>188</v>
      </c>
      <c r="H2963" t="s">
        <v>219</v>
      </c>
      <c r="I2963" t="s">
        <v>240</v>
      </c>
      <c r="J2963" t="s">
        <v>257</v>
      </c>
      <c r="K2963" t="s">
        <v>269</v>
      </c>
      <c r="L2963" t="s">
        <v>109</v>
      </c>
      <c r="M2963" t="s">
        <v>109</v>
      </c>
      <c r="N2963" t="s">
        <v>109</v>
      </c>
      <c r="O2963" t="s">
        <v>109</v>
      </c>
      <c r="P2963" t="s">
        <v>109</v>
      </c>
      <c r="Q2963" t="s">
        <v>321</v>
      </c>
      <c r="AK2963" t="s">
        <v>359</v>
      </c>
    </row>
    <row r="2964" spans="1:37">
      <c r="A2964" t="s">
        <v>48</v>
      </c>
      <c r="B2964" t="s">
        <v>71</v>
      </c>
      <c r="C2964" t="s">
        <v>93</v>
      </c>
      <c r="D2964" t="s">
        <v>111</v>
      </c>
      <c r="E2964" t="s">
        <v>128</v>
      </c>
      <c r="F2964" t="s">
        <v>163</v>
      </c>
      <c r="G2964" t="s">
        <v>189</v>
      </c>
      <c r="H2964" t="s">
        <v>220</v>
      </c>
      <c r="I2964" t="s">
        <v>241</v>
      </c>
      <c r="J2964" t="s">
        <v>258</v>
      </c>
      <c r="K2964" t="s">
        <v>270</v>
      </c>
      <c r="AK2964" t="s">
        <v>359</v>
      </c>
    </row>
    <row r="2965" spans="1:37">
      <c r="B2965" t="s">
        <v>72</v>
      </c>
      <c r="C2965" t="s">
        <v>72</v>
      </c>
      <c r="D2965" t="s">
        <v>72</v>
      </c>
      <c r="E2965" t="s">
        <v>139</v>
      </c>
      <c r="F2965" t="s">
        <v>169</v>
      </c>
      <c r="G2965" t="s">
        <v>192</v>
      </c>
      <c r="H2965" t="s">
        <v>192</v>
      </c>
      <c r="I2965" t="s">
        <v>192</v>
      </c>
      <c r="J2965" t="s">
        <v>192</v>
      </c>
      <c r="K2965" t="s">
        <v>271</v>
      </c>
      <c r="AK2965" t="s">
        <v>359</v>
      </c>
    </row>
    <row r="2966" spans="1:37">
      <c r="A2966" t="s">
        <v>37</v>
      </c>
      <c r="B2966" t="s">
        <v>49</v>
      </c>
      <c r="C2966" t="s">
        <v>73</v>
      </c>
      <c r="D2966" t="s">
        <v>94</v>
      </c>
      <c r="E2966" t="s">
        <v>112</v>
      </c>
      <c r="F2966" t="s">
        <v>146</v>
      </c>
      <c r="G2966" t="s">
        <v>172</v>
      </c>
      <c r="H2966" t="s">
        <v>207</v>
      </c>
      <c r="I2966" t="s">
        <v>226</v>
      </c>
      <c r="J2966" t="s">
        <v>246</v>
      </c>
      <c r="K2966" t="s">
        <v>259</v>
      </c>
      <c r="AK2966" t="s">
        <v>359</v>
      </c>
    </row>
    <row r="2967" spans="1:37">
      <c r="A2967" t="s">
        <v>38</v>
      </c>
      <c r="B2967" t="s">
        <v>50</v>
      </c>
      <c r="C2967" t="s">
        <v>74</v>
      </c>
      <c r="D2967" t="s">
        <v>95</v>
      </c>
      <c r="E2967" t="s">
        <v>113</v>
      </c>
      <c r="F2967" t="s">
        <v>147</v>
      </c>
      <c r="G2967" t="s">
        <v>173</v>
      </c>
      <c r="H2967" t="s">
        <v>208</v>
      </c>
      <c r="I2967" t="s">
        <v>227</v>
      </c>
      <c r="J2967" t="s">
        <v>115</v>
      </c>
      <c r="K2967" t="s">
        <v>260</v>
      </c>
      <c r="L2967" t="s">
        <v>273</v>
      </c>
      <c r="M2967" t="s">
        <v>282</v>
      </c>
      <c r="N2967" t="s">
        <v>291</v>
      </c>
      <c r="AK2967" t="s">
        <v>359</v>
      </c>
    </row>
    <row r="2968" spans="1:37">
      <c r="B2968" t="s">
        <v>51</v>
      </c>
      <c r="C2968" t="s">
        <v>75</v>
      </c>
      <c r="D2968" t="s">
        <v>52</v>
      </c>
      <c r="E2968" t="s">
        <v>114</v>
      </c>
      <c r="F2968" t="s">
        <v>148</v>
      </c>
      <c r="G2968" t="s">
        <v>148</v>
      </c>
      <c r="H2968" t="s">
        <v>209</v>
      </c>
      <c r="I2968" t="s">
        <v>228</v>
      </c>
      <c r="J2968" t="s">
        <v>247</v>
      </c>
      <c r="K2968" t="s">
        <v>261</v>
      </c>
      <c r="L2968" t="s">
        <v>274</v>
      </c>
      <c r="M2968" t="s">
        <v>283</v>
      </c>
      <c r="N2968" t="s">
        <v>292</v>
      </c>
      <c r="O2968" t="s">
        <v>300</v>
      </c>
      <c r="AK2968" t="s">
        <v>359</v>
      </c>
    </row>
    <row r="2969" spans="1:37">
      <c r="B2969" t="s">
        <v>52</v>
      </c>
      <c r="C2969" t="s">
        <v>76</v>
      </c>
      <c r="D2969" t="s">
        <v>96</v>
      </c>
      <c r="E2969" t="s">
        <v>115</v>
      </c>
      <c r="F2969" t="s">
        <v>149</v>
      </c>
      <c r="G2969" t="s">
        <v>174</v>
      </c>
      <c r="H2969" t="s">
        <v>96</v>
      </c>
      <c r="I2969" t="s">
        <v>229</v>
      </c>
      <c r="J2969" t="s">
        <v>248</v>
      </c>
      <c r="K2969" t="s">
        <v>262</v>
      </c>
      <c r="L2969" t="s">
        <v>52</v>
      </c>
      <c r="M2969" t="s">
        <v>76</v>
      </c>
      <c r="N2969" t="s">
        <v>293</v>
      </c>
      <c r="O2969" t="s">
        <v>301</v>
      </c>
      <c r="P2969" t="s">
        <v>309</v>
      </c>
      <c r="Q2969" t="s">
        <v>315</v>
      </c>
      <c r="R2969" t="s">
        <v>228</v>
      </c>
      <c r="S2969" t="s">
        <v>328</v>
      </c>
      <c r="T2969" t="s">
        <v>149</v>
      </c>
      <c r="U2969" t="s">
        <v>337</v>
      </c>
      <c r="V2969" t="s">
        <v>341</v>
      </c>
      <c r="W2969" t="s">
        <v>345</v>
      </c>
      <c r="X2969" t="s">
        <v>350</v>
      </c>
      <c r="AK2969" t="s">
        <v>359</v>
      </c>
    </row>
    <row r="2970" spans="1:37">
      <c r="B2970" t="s">
        <v>53</v>
      </c>
      <c r="C2970" t="s">
        <v>77</v>
      </c>
      <c r="D2970" t="s">
        <v>97</v>
      </c>
      <c r="E2970" t="s">
        <v>116</v>
      </c>
      <c r="F2970" t="s">
        <v>150</v>
      </c>
      <c r="G2970" t="s">
        <v>175</v>
      </c>
      <c r="H2970" t="s">
        <v>210</v>
      </c>
      <c r="I2970" t="s">
        <v>230</v>
      </c>
      <c r="J2970" t="s">
        <v>249</v>
      </c>
      <c r="K2970" t="s">
        <v>263</v>
      </c>
      <c r="L2970" t="s">
        <v>275</v>
      </c>
      <c r="M2970" t="s">
        <v>284</v>
      </c>
      <c r="N2970" t="s">
        <v>294</v>
      </c>
      <c r="O2970" t="s">
        <v>302</v>
      </c>
      <c r="P2970" t="s">
        <v>310</v>
      </c>
      <c r="Q2970" t="s">
        <v>316</v>
      </c>
      <c r="R2970" t="s">
        <v>322</v>
      </c>
      <c r="S2970" t="s">
        <v>329</v>
      </c>
      <c r="AK2970" t="s">
        <v>359</v>
      </c>
    </row>
    <row r="2971" spans="1:37">
      <c r="A2971" t="s">
        <v>39</v>
      </c>
      <c r="B2971" t="s">
        <v>54</v>
      </c>
      <c r="C2971" t="s">
        <v>54</v>
      </c>
      <c r="D2971" t="s">
        <v>54</v>
      </c>
      <c r="E2971" t="s">
        <v>54</v>
      </c>
      <c r="F2971" t="s">
        <v>54</v>
      </c>
      <c r="G2971" t="s">
        <v>54</v>
      </c>
      <c r="H2971" t="s">
        <v>54</v>
      </c>
      <c r="I2971" t="s">
        <v>54</v>
      </c>
      <c r="J2971" t="s">
        <v>54</v>
      </c>
      <c r="K2971" t="s">
        <v>54</v>
      </c>
      <c r="L2971" t="s">
        <v>54</v>
      </c>
      <c r="M2971" t="s">
        <v>54</v>
      </c>
      <c r="N2971" t="s">
        <v>54</v>
      </c>
      <c r="O2971" t="s">
        <v>54</v>
      </c>
      <c r="P2971" t="s">
        <v>54</v>
      </c>
      <c r="Q2971" t="s">
        <v>54</v>
      </c>
      <c r="R2971" t="s">
        <v>323</v>
      </c>
      <c r="S2971" t="s">
        <v>330</v>
      </c>
      <c r="AK2971" t="s">
        <v>359</v>
      </c>
    </row>
    <row r="2972" spans="1:37">
      <c r="B2972" t="s">
        <v>55</v>
      </c>
      <c r="C2972" t="s">
        <v>78</v>
      </c>
      <c r="D2972" t="s">
        <v>55</v>
      </c>
      <c r="E2972" t="s">
        <v>78</v>
      </c>
      <c r="F2972" t="s">
        <v>55</v>
      </c>
      <c r="G2972" t="s">
        <v>78</v>
      </c>
      <c r="H2972" t="s">
        <v>55</v>
      </c>
      <c r="I2972" t="s">
        <v>78</v>
      </c>
      <c r="J2972" t="s">
        <v>55</v>
      </c>
      <c r="K2972" t="s">
        <v>78</v>
      </c>
      <c r="L2972" t="s">
        <v>55</v>
      </c>
      <c r="M2972" t="s">
        <v>78</v>
      </c>
      <c r="N2972" t="s">
        <v>55</v>
      </c>
      <c r="O2972" t="s">
        <v>78</v>
      </c>
      <c r="P2972" t="s">
        <v>55</v>
      </c>
      <c r="Q2972" t="s">
        <v>78</v>
      </c>
      <c r="R2972" t="s">
        <v>55</v>
      </c>
      <c r="S2972" t="s">
        <v>78</v>
      </c>
      <c r="T2972" t="s">
        <v>55</v>
      </c>
      <c r="U2972" t="s">
        <v>78</v>
      </c>
      <c r="V2972" t="s">
        <v>55</v>
      </c>
      <c r="W2972" t="s">
        <v>78</v>
      </c>
      <c r="X2972" t="s">
        <v>55</v>
      </c>
      <c r="Y2972" t="s">
        <v>78</v>
      </c>
      <c r="Z2972" t="s">
        <v>55</v>
      </c>
      <c r="AA2972" t="s">
        <v>78</v>
      </c>
      <c r="AB2972" t="s">
        <v>55</v>
      </c>
      <c r="AC2972" t="s">
        <v>78</v>
      </c>
      <c r="AD2972" t="s">
        <v>55</v>
      </c>
      <c r="AE2972" t="s">
        <v>78</v>
      </c>
      <c r="AF2972" t="s">
        <v>55</v>
      </c>
      <c r="AG2972" t="s">
        <v>78</v>
      </c>
      <c r="AH2972" t="s">
        <v>55</v>
      </c>
      <c r="AI2972" t="s">
        <v>78</v>
      </c>
      <c r="AK2972" t="s">
        <v>359</v>
      </c>
    </row>
    <row r="2973" spans="1:37">
      <c r="B2973" t="s">
        <v>56</v>
      </c>
      <c r="C2973" t="s">
        <v>56</v>
      </c>
      <c r="D2973" t="s">
        <v>56</v>
      </c>
      <c r="E2973" t="s">
        <v>56</v>
      </c>
      <c r="F2973" t="s">
        <v>56</v>
      </c>
      <c r="G2973" t="s">
        <v>176</v>
      </c>
      <c r="H2973" t="s">
        <v>211</v>
      </c>
      <c r="I2973" t="s">
        <v>231</v>
      </c>
      <c r="J2973" t="s">
        <v>250</v>
      </c>
      <c r="K2973" t="s">
        <v>264</v>
      </c>
      <c r="L2973" t="s">
        <v>276</v>
      </c>
      <c r="M2973" t="s">
        <v>285</v>
      </c>
      <c r="N2973" t="s">
        <v>295</v>
      </c>
      <c r="O2973" t="s">
        <v>303</v>
      </c>
      <c r="P2973" t="s">
        <v>56</v>
      </c>
      <c r="Q2973" t="s">
        <v>317</v>
      </c>
      <c r="R2973" t="s">
        <v>324</v>
      </c>
      <c r="S2973" t="s">
        <v>331</v>
      </c>
      <c r="T2973" t="s">
        <v>334</v>
      </c>
      <c r="U2973" t="s">
        <v>338</v>
      </c>
      <c r="V2973" t="s">
        <v>342</v>
      </c>
      <c r="W2973" t="s">
        <v>346</v>
      </c>
      <c r="X2973" t="s">
        <v>351</v>
      </c>
      <c r="AK2973" t="s">
        <v>359</v>
      </c>
    </row>
    <row r="2974" spans="1:37">
      <c r="B2974" t="s">
        <v>57</v>
      </c>
      <c r="C2974" t="s">
        <v>79</v>
      </c>
      <c r="D2974" t="s">
        <v>98</v>
      </c>
      <c r="E2974" t="s">
        <v>117</v>
      </c>
      <c r="F2974" t="s">
        <v>151</v>
      </c>
      <c r="G2974" t="s">
        <v>177</v>
      </c>
      <c r="H2974" t="s">
        <v>212</v>
      </c>
      <c r="I2974" t="s">
        <v>232</v>
      </c>
      <c r="J2974" t="s">
        <v>251</v>
      </c>
      <c r="K2974" t="s">
        <v>265</v>
      </c>
      <c r="L2974" t="s">
        <v>277</v>
      </c>
      <c r="M2974" t="s">
        <v>286</v>
      </c>
      <c r="N2974" t="s">
        <v>296</v>
      </c>
      <c r="O2974" t="s">
        <v>304</v>
      </c>
      <c r="P2974" t="s">
        <v>311</v>
      </c>
      <c r="Q2974" t="s">
        <v>318</v>
      </c>
      <c r="R2974" t="s">
        <v>185</v>
      </c>
      <c r="S2974" t="s">
        <v>159</v>
      </c>
      <c r="T2974" t="s">
        <v>185</v>
      </c>
      <c r="U2974" t="s">
        <v>339</v>
      </c>
      <c r="V2974" t="s">
        <v>72</v>
      </c>
      <c r="W2974" t="s">
        <v>347</v>
      </c>
      <c r="X2974" t="s">
        <v>72</v>
      </c>
      <c r="Y2974" t="s">
        <v>96</v>
      </c>
      <c r="AK2974" t="s">
        <v>359</v>
      </c>
    </row>
    <row r="2975" spans="1:37">
      <c r="B2975" t="s">
        <v>58</v>
      </c>
      <c r="C2975" t="s">
        <v>80</v>
      </c>
      <c r="D2975" t="s">
        <v>99</v>
      </c>
      <c r="E2975" t="s">
        <v>118</v>
      </c>
      <c r="F2975" t="s">
        <v>152</v>
      </c>
      <c r="G2975" t="s">
        <v>178</v>
      </c>
      <c r="H2975" t="s">
        <v>213</v>
      </c>
      <c r="I2975" t="s">
        <v>233</v>
      </c>
      <c r="J2975" t="s">
        <v>252</v>
      </c>
      <c r="K2975" t="s">
        <v>266</v>
      </c>
      <c r="L2975" t="s">
        <v>278</v>
      </c>
      <c r="M2975" t="s">
        <v>287</v>
      </c>
      <c r="N2975" t="s">
        <v>297</v>
      </c>
      <c r="O2975" t="s">
        <v>305</v>
      </c>
      <c r="P2975" t="s">
        <v>312</v>
      </c>
      <c r="Q2975" t="s">
        <v>319</v>
      </c>
      <c r="R2975">
        <f>&gt;10       ветра      1.6     14   3 20</f>
        <v>0</v>
      </c>
      <c r="AK2975" t="s">
        <v>359</v>
      </c>
    </row>
    <row r="2976" spans="1:37">
      <c r="A2976" t="s">
        <v>40</v>
      </c>
      <c r="B2976" t="s">
        <v>59</v>
      </c>
      <c r="C2976" t="s">
        <v>81</v>
      </c>
      <c r="D2976" t="s">
        <v>100</v>
      </c>
      <c r="E2976" t="s">
        <v>119</v>
      </c>
      <c r="F2976" t="s">
        <v>153</v>
      </c>
      <c r="G2976" t="s">
        <v>179</v>
      </c>
      <c r="H2976" t="s">
        <v>214</v>
      </c>
      <c r="I2976" t="s">
        <v>234</v>
      </c>
      <c r="AK2976" t="s">
        <v>359</v>
      </c>
    </row>
    <row r="2977" spans="1:37">
      <c r="A2977" t="s">
        <v>40</v>
      </c>
      <c r="B2977" t="s">
        <v>60</v>
      </c>
      <c r="C2977" t="s">
        <v>82</v>
      </c>
      <c r="D2977" t="s">
        <v>101</v>
      </c>
      <c r="E2977" t="s">
        <v>120</v>
      </c>
      <c r="F2977" t="s">
        <v>154</v>
      </c>
      <c r="G2977" t="s">
        <v>180</v>
      </c>
      <c r="H2977" t="s">
        <v>215</v>
      </c>
      <c r="I2977" t="s">
        <v>235</v>
      </c>
      <c r="J2977" t="s">
        <v>253</v>
      </c>
      <c r="K2977" t="s">
        <v>267</v>
      </c>
      <c r="L2977" t="s">
        <v>279</v>
      </c>
      <c r="M2977" t="s">
        <v>288</v>
      </c>
      <c r="N2977" t="s">
        <v>100</v>
      </c>
      <c r="O2977" t="s">
        <v>306</v>
      </c>
      <c r="P2977" t="s">
        <v>313</v>
      </c>
      <c r="Q2977" t="s">
        <v>320</v>
      </c>
      <c r="R2977" t="s">
        <v>325</v>
      </c>
      <c r="S2977" t="s">
        <v>332</v>
      </c>
      <c r="T2977" t="s">
        <v>119</v>
      </c>
      <c r="U2977" t="s">
        <v>234</v>
      </c>
      <c r="V2977" t="s">
        <v>343</v>
      </c>
      <c r="W2977" t="s">
        <v>348</v>
      </c>
      <c r="X2977" t="s">
        <v>352</v>
      </c>
      <c r="Y2977" t="s">
        <v>354</v>
      </c>
      <c r="AK2977" t="s">
        <v>359</v>
      </c>
    </row>
    <row r="2978" spans="1:37">
      <c r="A2978" t="s">
        <v>41</v>
      </c>
      <c r="B2978" t="s">
        <v>61</v>
      </c>
      <c r="C2978" t="s">
        <v>83</v>
      </c>
      <c r="D2978" t="s">
        <v>102</v>
      </c>
      <c r="E2978" t="s">
        <v>121</v>
      </c>
      <c r="F2978" t="s">
        <v>155</v>
      </c>
      <c r="G2978" t="s">
        <v>181</v>
      </c>
      <c r="H2978" t="s">
        <v>216</v>
      </c>
      <c r="I2978" t="s">
        <v>236</v>
      </c>
      <c r="AK2978" t="s">
        <v>359</v>
      </c>
    </row>
    <row r="2979" spans="1:37">
      <c r="A2979" t="s">
        <v>42</v>
      </c>
      <c r="B2979" t="s">
        <v>62</v>
      </c>
      <c r="C2979" t="s">
        <v>84</v>
      </c>
      <c r="D2979" t="s">
        <v>103</v>
      </c>
      <c r="E2979" t="s">
        <v>122</v>
      </c>
      <c r="F2979" t="s">
        <v>156</v>
      </c>
      <c r="G2979" t="s">
        <v>182</v>
      </c>
      <c r="H2979" t="s">
        <v>83</v>
      </c>
      <c r="I2979" t="s">
        <v>237</v>
      </c>
      <c r="J2979" t="s">
        <v>254</v>
      </c>
      <c r="K2979" t="s">
        <v>268</v>
      </c>
      <c r="L2979" t="s">
        <v>280</v>
      </c>
      <c r="M2979" t="s">
        <v>289</v>
      </c>
      <c r="N2979" t="s">
        <v>298</v>
      </c>
      <c r="O2979" t="s">
        <v>307</v>
      </c>
      <c r="P2979" t="s">
        <v>314</v>
      </c>
      <c r="Q2979" t="s">
        <v>216</v>
      </c>
      <c r="R2979" t="s">
        <v>326</v>
      </c>
      <c r="S2979" t="s">
        <v>333</v>
      </c>
      <c r="T2979" t="s">
        <v>335</v>
      </c>
      <c r="U2979" t="s">
        <v>340</v>
      </c>
      <c r="V2979" t="s">
        <v>344</v>
      </c>
      <c r="W2979" t="s">
        <v>349</v>
      </c>
      <c r="AK2979" t="s">
        <v>359</v>
      </c>
    </row>
    <row r="2980" spans="1:37">
      <c r="A2980" t="s">
        <v>43</v>
      </c>
      <c r="B2980" t="s">
        <v>63</v>
      </c>
      <c r="C2980" t="s">
        <v>85</v>
      </c>
      <c r="D2980" t="s">
        <v>104</v>
      </c>
      <c r="E2980" t="s">
        <v>123</v>
      </c>
      <c r="F2980" t="s">
        <v>157</v>
      </c>
      <c r="G2980" t="s">
        <v>183</v>
      </c>
      <c r="AK2980" t="s">
        <v>359</v>
      </c>
    </row>
    <row r="2981" spans="1:37">
      <c r="A2981" t="s">
        <v>44</v>
      </c>
      <c r="B2981" t="s">
        <v>64</v>
      </c>
      <c r="C2981" t="s">
        <v>86</v>
      </c>
      <c r="D2981" t="s">
        <v>105</v>
      </c>
      <c r="E2981" t="s">
        <v>124</v>
      </c>
      <c r="F2981" t="s">
        <v>158</v>
      </c>
      <c r="G2981" t="s">
        <v>184</v>
      </c>
      <c r="AK2981" t="s">
        <v>359</v>
      </c>
    </row>
    <row r="2982" spans="1:37">
      <c r="A2982" t="s">
        <v>45</v>
      </c>
      <c r="B2982" t="s">
        <v>65</v>
      </c>
      <c r="C2982" t="s">
        <v>87</v>
      </c>
      <c r="D2982" t="s">
        <v>106</v>
      </c>
      <c r="E2982" t="s">
        <v>125</v>
      </c>
      <c r="F2982" t="s">
        <v>159</v>
      </c>
      <c r="G2982" t="s">
        <v>185</v>
      </c>
      <c r="H2982" t="s">
        <v>159</v>
      </c>
      <c r="I2982" t="s">
        <v>185</v>
      </c>
      <c r="J2982" t="s">
        <v>255</v>
      </c>
      <c r="AK2982" t="s">
        <v>359</v>
      </c>
    </row>
    <row r="2983" spans="1:37">
      <c r="A2983" t="s">
        <v>46</v>
      </c>
      <c r="B2983" t="s">
        <v>66</v>
      </c>
      <c r="C2983" t="s">
        <v>88</v>
      </c>
      <c r="D2983" t="s">
        <v>76</v>
      </c>
      <c r="E2983" t="s">
        <v>126</v>
      </c>
      <c r="F2983" t="s">
        <v>160</v>
      </c>
      <c r="G2983" t="s">
        <v>186</v>
      </c>
      <c r="H2983" t="s">
        <v>217</v>
      </c>
      <c r="I2983" t="s">
        <v>238</v>
      </c>
      <c r="J2983" t="s">
        <v>256</v>
      </c>
      <c r="K2983" t="s">
        <v>265</v>
      </c>
      <c r="L2983" t="s">
        <v>281</v>
      </c>
      <c r="M2983" t="s">
        <v>290</v>
      </c>
      <c r="N2983" t="s">
        <v>299</v>
      </c>
      <c r="O2983" t="s">
        <v>308</v>
      </c>
      <c r="P2983" t="s">
        <v>228</v>
      </c>
      <c r="Q2983" t="s">
        <v>72</v>
      </c>
      <c r="R2983" t="s">
        <v>327</v>
      </c>
      <c r="S2983" t="s">
        <v>327</v>
      </c>
      <c r="T2983" t="s">
        <v>336</v>
      </c>
      <c r="U2983" t="s">
        <v>336</v>
      </c>
      <c r="V2983" t="s">
        <v>336</v>
      </c>
      <c r="W2983" t="s">
        <v>336</v>
      </c>
      <c r="X2983" t="s">
        <v>353</v>
      </c>
      <c r="AK2983" t="s">
        <v>359</v>
      </c>
    </row>
    <row r="2984" spans="1:37">
      <c r="B2984" t="s">
        <v>67</v>
      </c>
      <c r="C2984" t="s">
        <v>89</v>
      </c>
      <c r="D2984" t="s">
        <v>107</v>
      </c>
      <c r="AK2984" t="s">
        <v>359</v>
      </c>
    </row>
    <row r="2985" spans="1:37">
      <c r="B2985" t="s">
        <v>68</v>
      </c>
      <c r="C2985" t="s">
        <v>90</v>
      </c>
      <c r="D2985" t="s">
        <v>108</v>
      </c>
      <c r="AK2985" t="s">
        <v>359</v>
      </c>
    </row>
    <row r="2986" spans="1:37">
      <c r="A2986" t="s">
        <v>47</v>
      </c>
      <c r="B2986" t="s">
        <v>69</v>
      </c>
      <c r="C2986" t="s">
        <v>91</v>
      </c>
      <c r="D2986" t="s">
        <v>109</v>
      </c>
      <c r="E2986" t="s">
        <v>109</v>
      </c>
      <c r="F2986" t="s">
        <v>109</v>
      </c>
      <c r="G2986" t="s">
        <v>109</v>
      </c>
      <c r="H2986" t="s">
        <v>109</v>
      </c>
      <c r="I2986" t="s">
        <v>239</v>
      </c>
      <c r="AK2986" t="s">
        <v>359</v>
      </c>
    </row>
    <row r="2987" spans="1:37">
      <c r="B2987" t="s">
        <v>70</v>
      </c>
      <c r="C2987" t="s">
        <v>92</v>
      </c>
      <c r="D2987" t="s">
        <v>110</v>
      </c>
      <c r="E2987" t="s">
        <v>127</v>
      </c>
      <c r="F2987" t="s">
        <v>161</v>
      </c>
      <c r="G2987" t="s">
        <v>187</v>
      </c>
      <c r="H2987" t="s">
        <v>218</v>
      </c>
      <c r="AK2987" t="s">
        <v>359</v>
      </c>
    </row>
    <row r="2988" spans="1:37">
      <c r="B2988" t="s">
        <v>71</v>
      </c>
      <c r="C2988" t="s">
        <v>93</v>
      </c>
      <c r="D2988" t="s">
        <v>111</v>
      </c>
      <c r="E2988" t="s">
        <v>128</v>
      </c>
      <c r="F2988" t="s">
        <v>162</v>
      </c>
      <c r="G2988" t="s">
        <v>188</v>
      </c>
      <c r="H2988" t="s">
        <v>219</v>
      </c>
      <c r="I2988" t="s">
        <v>240</v>
      </c>
      <c r="J2988" t="s">
        <v>257</v>
      </c>
      <c r="K2988" t="s">
        <v>269</v>
      </c>
      <c r="L2988" t="s">
        <v>109</v>
      </c>
      <c r="M2988" t="s">
        <v>109</v>
      </c>
      <c r="N2988" t="s">
        <v>109</v>
      </c>
      <c r="O2988" t="s">
        <v>109</v>
      </c>
      <c r="P2988" t="s">
        <v>109</v>
      </c>
      <c r="Q2988" t="s">
        <v>321</v>
      </c>
      <c r="AK2988" t="s">
        <v>359</v>
      </c>
    </row>
    <row r="2989" spans="1:37">
      <c r="A2989" t="s">
        <v>48</v>
      </c>
      <c r="B2989" t="s">
        <v>71</v>
      </c>
      <c r="C2989" t="s">
        <v>93</v>
      </c>
      <c r="D2989" t="s">
        <v>111</v>
      </c>
      <c r="E2989" t="s">
        <v>128</v>
      </c>
      <c r="F2989" t="s">
        <v>163</v>
      </c>
      <c r="G2989" t="s">
        <v>189</v>
      </c>
      <c r="H2989" t="s">
        <v>220</v>
      </c>
      <c r="I2989" t="s">
        <v>241</v>
      </c>
      <c r="J2989" t="s">
        <v>258</v>
      </c>
      <c r="K2989" t="s">
        <v>270</v>
      </c>
      <c r="AK2989" t="s">
        <v>359</v>
      </c>
    </row>
    <row r="2990" spans="1:37">
      <c r="B2990" t="s">
        <v>72</v>
      </c>
      <c r="C2990" t="s">
        <v>72</v>
      </c>
      <c r="D2990" t="s">
        <v>72</v>
      </c>
      <c r="E2990" t="s">
        <v>72</v>
      </c>
      <c r="F2990" t="s">
        <v>72</v>
      </c>
      <c r="G2990" t="s">
        <v>72</v>
      </c>
      <c r="H2990" t="s">
        <v>72</v>
      </c>
      <c r="I2990" t="s">
        <v>72</v>
      </c>
      <c r="J2990" t="s">
        <v>72</v>
      </c>
      <c r="K2990" t="s">
        <v>272</v>
      </c>
      <c r="AK2990" t="s">
        <v>359</v>
      </c>
    </row>
    <row r="2991" spans="1:37">
      <c r="A2991" t="s">
        <v>37</v>
      </c>
      <c r="B2991" t="s">
        <v>49</v>
      </c>
      <c r="C2991" t="s">
        <v>73</v>
      </c>
      <c r="D2991" t="s">
        <v>94</v>
      </c>
      <c r="E2991" t="s">
        <v>112</v>
      </c>
      <c r="F2991" t="s">
        <v>146</v>
      </c>
      <c r="G2991" t="s">
        <v>172</v>
      </c>
      <c r="H2991" t="s">
        <v>207</v>
      </c>
      <c r="I2991" t="s">
        <v>226</v>
      </c>
      <c r="J2991" t="s">
        <v>246</v>
      </c>
      <c r="K2991" t="s">
        <v>259</v>
      </c>
      <c r="AK2991" t="s">
        <v>359</v>
      </c>
    </row>
    <row r="2992" spans="1:37">
      <c r="A2992" t="s">
        <v>38</v>
      </c>
      <c r="B2992" t="s">
        <v>50</v>
      </c>
      <c r="C2992" t="s">
        <v>74</v>
      </c>
      <c r="D2992" t="s">
        <v>95</v>
      </c>
      <c r="E2992" t="s">
        <v>113</v>
      </c>
      <c r="F2992" t="s">
        <v>147</v>
      </c>
      <c r="G2992" t="s">
        <v>173</v>
      </c>
      <c r="H2992" t="s">
        <v>208</v>
      </c>
      <c r="I2992" t="s">
        <v>227</v>
      </c>
      <c r="J2992" t="s">
        <v>115</v>
      </c>
      <c r="K2992" t="s">
        <v>260</v>
      </c>
      <c r="L2992" t="s">
        <v>273</v>
      </c>
      <c r="M2992" t="s">
        <v>282</v>
      </c>
      <c r="N2992" t="s">
        <v>291</v>
      </c>
      <c r="AK2992" t="s">
        <v>359</v>
      </c>
    </row>
    <row r="2993" spans="1:37">
      <c r="B2993" t="s">
        <v>51</v>
      </c>
      <c r="C2993" t="s">
        <v>75</v>
      </c>
      <c r="D2993" t="s">
        <v>52</v>
      </c>
      <c r="E2993" t="s">
        <v>114</v>
      </c>
      <c r="F2993" t="s">
        <v>148</v>
      </c>
      <c r="G2993" t="s">
        <v>148</v>
      </c>
      <c r="H2993" t="s">
        <v>209</v>
      </c>
      <c r="I2993" t="s">
        <v>228</v>
      </c>
      <c r="J2993" t="s">
        <v>247</v>
      </c>
      <c r="K2993" t="s">
        <v>261</v>
      </c>
      <c r="L2993" t="s">
        <v>274</v>
      </c>
      <c r="M2993" t="s">
        <v>283</v>
      </c>
      <c r="N2993" t="s">
        <v>292</v>
      </c>
      <c r="O2993" t="s">
        <v>300</v>
      </c>
      <c r="AK2993" t="s">
        <v>359</v>
      </c>
    </row>
    <row r="2994" spans="1:37">
      <c r="B2994" t="s">
        <v>52</v>
      </c>
      <c r="C2994" t="s">
        <v>76</v>
      </c>
      <c r="D2994" t="s">
        <v>96</v>
      </c>
      <c r="E2994" t="s">
        <v>115</v>
      </c>
      <c r="F2994" t="s">
        <v>149</v>
      </c>
      <c r="G2994" t="s">
        <v>174</v>
      </c>
      <c r="H2994" t="s">
        <v>96</v>
      </c>
      <c r="I2994" t="s">
        <v>229</v>
      </c>
      <c r="J2994" t="s">
        <v>248</v>
      </c>
      <c r="K2994" t="s">
        <v>262</v>
      </c>
      <c r="L2994" t="s">
        <v>52</v>
      </c>
      <c r="M2994" t="s">
        <v>76</v>
      </c>
      <c r="N2994" t="s">
        <v>293</v>
      </c>
      <c r="O2994" t="s">
        <v>301</v>
      </c>
      <c r="P2994" t="s">
        <v>309</v>
      </c>
      <c r="Q2994" t="s">
        <v>315</v>
      </c>
      <c r="R2994" t="s">
        <v>228</v>
      </c>
      <c r="S2994" t="s">
        <v>328</v>
      </c>
      <c r="T2994" t="s">
        <v>149</v>
      </c>
      <c r="U2994" t="s">
        <v>337</v>
      </c>
      <c r="V2994" t="s">
        <v>341</v>
      </c>
      <c r="W2994" t="s">
        <v>345</v>
      </c>
      <c r="X2994" t="s">
        <v>350</v>
      </c>
      <c r="AK2994" t="s">
        <v>359</v>
      </c>
    </row>
    <row r="2995" spans="1:37">
      <c r="B2995" t="s">
        <v>53</v>
      </c>
      <c r="C2995" t="s">
        <v>77</v>
      </c>
      <c r="D2995" t="s">
        <v>97</v>
      </c>
      <c r="E2995" t="s">
        <v>116</v>
      </c>
      <c r="F2995" t="s">
        <v>150</v>
      </c>
      <c r="G2995" t="s">
        <v>175</v>
      </c>
      <c r="H2995" t="s">
        <v>210</v>
      </c>
      <c r="I2995" t="s">
        <v>230</v>
      </c>
      <c r="J2995" t="s">
        <v>249</v>
      </c>
      <c r="K2995" t="s">
        <v>263</v>
      </c>
      <c r="L2995" t="s">
        <v>275</v>
      </c>
      <c r="M2995" t="s">
        <v>284</v>
      </c>
      <c r="N2995" t="s">
        <v>294</v>
      </c>
      <c r="O2995" t="s">
        <v>302</v>
      </c>
      <c r="P2995" t="s">
        <v>310</v>
      </c>
      <c r="Q2995" t="s">
        <v>316</v>
      </c>
      <c r="R2995" t="s">
        <v>322</v>
      </c>
      <c r="S2995" t="s">
        <v>329</v>
      </c>
      <c r="AK2995" t="s">
        <v>359</v>
      </c>
    </row>
    <row r="2996" spans="1:37">
      <c r="A2996" t="s">
        <v>39</v>
      </c>
      <c r="B2996" t="s">
        <v>54</v>
      </c>
      <c r="C2996" t="s">
        <v>54</v>
      </c>
      <c r="D2996" t="s">
        <v>54</v>
      </c>
      <c r="E2996" t="s">
        <v>54</v>
      </c>
      <c r="F2996" t="s">
        <v>54</v>
      </c>
      <c r="G2996" t="s">
        <v>54</v>
      </c>
      <c r="H2996" t="s">
        <v>54</v>
      </c>
      <c r="I2996" t="s">
        <v>54</v>
      </c>
      <c r="J2996" t="s">
        <v>54</v>
      </c>
      <c r="K2996" t="s">
        <v>54</v>
      </c>
      <c r="L2996" t="s">
        <v>54</v>
      </c>
      <c r="M2996" t="s">
        <v>54</v>
      </c>
      <c r="N2996" t="s">
        <v>54</v>
      </c>
      <c r="O2996" t="s">
        <v>54</v>
      </c>
      <c r="P2996" t="s">
        <v>54</v>
      </c>
      <c r="Q2996" t="s">
        <v>54</v>
      </c>
      <c r="R2996" t="s">
        <v>323</v>
      </c>
      <c r="S2996" t="s">
        <v>330</v>
      </c>
      <c r="AK2996" t="s">
        <v>359</v>
      </c>
    </row>
    <row r="2997" spans="1:37">
      <c r="B2997" t="s">
        <v>55</v>
      </c>
      <c r="C2997" t="s">
        <v>78</v>
      </c>
      <c r="D2997" t="s">
        <v>55</v>
      </c>
      <c r="E2997" t="s">
        <v>78</v>
      </c>
      <c r="F2997" t="s">
        <v>55</v>
      </c>
      <c r="G2997" t="s">
        <v>78</v>
      </c>
      <c r="H2997" t="s">
        <v>55</v>
      </c>
      <c r="I2997" t="s">
        <v>78</v>
      </c>
      <c r="J2997" t="s">
        <v>55</v>
      </c>
      <c r="K2997" t="s">
        <v>78</v>
      </c>
      <c r="L2997" t="s">
        <v>55</v>
      </c>
      <c r="M2997" t="s">
        <v>78</v>
      </c>
      <c r="N2997" t="s">
        <v>55</v>
      </c>
      <c r="O2997" t="s">
        <v>78</v>
      </c>
      <c r="P2997" t="s">
        <v>55</v>
      </c>
      <c r="Q2997" t="s">
        <v>78</v>
      </c>
      <c r="R2997" t="s">
        <v>55</v>
      </c>
      <c r="S2997" t="s">
        <v>78</v>
      </c>
      <c r="T2997" t="s">
        <v>55</v>
      </c>
      <c r="U2997" t="s">
        <v>78</v>
      </c>
      <c r="V2997" t="s">
        <v>55</v>
      </c>
      <c r="W2997" t="s">
        <v>78</v>
      </c>
      <c r="X2997" t="s">
        <v>55</v>
      </c>
      <c r="Y2997" t="s">
        <v>78</v>
      </c>
      <c r="Z2997" t="s">
        <v>55</v>
      </c>
      <c r="AA2997" t="s">
        <v>78</v>
      </c>
      <c r="AB2997" t="s">
        <v>55</v>
      </c>
      <c r="AC2997" t="s">
        <v>78</v>
      </c>
      <c r="AD2997" t="s">
        <v>55</v>
      </c>
      <c r="AE2997" t="s">
        <v>78</v>
      </c>
      <c r="AF2997" t="s">
        <v>55</v>
      </c>
      <c r="AG2997" t="s">
        <v>78</v>
      </c>
      <c r="AH2997" t="s">
        <v>55</v>
      </c>
      <c r="AI2997" t="s">
        <v>78</v>
      </c>
      <c r="AK2997" t="s">
        <v>359</v>
      </c>
    </row>
    <row r="2998" spans="1:37">
      <c r="B2998" t="s">
        <v>56</v>
      </c>
      <c r="C2998" t="s">
        <v>56</v>
      </c>
      <c r="D2998" t="s">
        <v>56</v>
      </c>
      <c r="E2998" t="s">
        <v>56</v>
      </c>
      <c r="F2998" t="s">
        <v>56</v>
      </c>
      <c r="G2998" t="s">
        <v>176</v>
      </c>
      <c r="H2998" t="s">
        <v>211</v>
      </c>
      <c r="I2998" t="s">
        <v>231</v>
      </c>
      <c r="J2998" t="s">
        <v>250</v>
      </c>
      <c r="K2998" t="s">
        <v>264</v>
      </c>
      <c r="L2998" t="s">
        <v>276</v>
      </c>
      <c r="M2998" t="s">
        <v>285</v>
      </c>
      <c r="N2998" t="s">
        <v>295</v>
      </c>
      <c r="O2998" t="s">
        <v>303</v>
      </c>
      <c r="P2998" t="s">
        <v>56</v>
      </c>
      <c r="Q2998" t="s">
        <v>317</v>
      </c>
      <c r="R2998" t="s">
        <v>324</v>
      </c>
      <c r="S2998" t="s">
        <v>331</v>
      </c>
      <c r="T2998" t="s">
        <v>334</v>
      </c>
      <c r="U2998" t="s">
        <v>338</v>
      </c>
      <c r="V2998" t="s">
        <v>342</v>
      </c>
      <c r="W2998" t="s">
        <v>346</v>
      </c>
      <c r="X2998" t="s">
        <v>351</v>
      </c>
      <c r="AK2998" t="s">
        <v>359</v>
      </c>
    </row>
    <row r="2999" spans="1:37">
      <c r="B2999" t="s">
        <v>57</v>
      </c>
      <c r="C2999" t="s">
        <v>79</v>
      </c>
      <c r="D2999" t="s">
        <v>98</v>
      </c>
      <c r="E2999" t="s">
        <v>117</v>
      </c>
      <c r="F2999" t="s">
        <v>151</v>
      </c>
      <c r="G2999" t="s">
        <v>177</v>
      </c>
      <c r="H2999" t="s">
        <v>212</v>
      </c>
      <c r="I2999" t="s">
        <v>232</v>
      </c>
      <c r="J2999" t="s">
        <v>251</v>
      </c>
      <c r="K2999" t="s">
        <v>265</v>
      </c>
      <c r="L2999" t="s">
        <v>277</v>
      </c>
      <c r="M2999" t="s">
        <v>286</v>
      </c>
      <c r="N2999" t="s">
        <v>296</v>
      </c>
      <c r="O2999" t="s">
        <v>304</v>
      </c>
      <c r="P2999" t="s">
        <v>311</v>
      </c>
      <c r="Q2999" t="s">
        <v>318</v>
      </c>
      <c r="R2999" t="s">
        <v>185</v>
      </c>
      <c r="S2999" t="s">
        <v>159</v>
      </c>
      <c r="T2999" t="s">
        <v>185</v>
      </c>
      <c r="U2999" t="s">
        <v>339</v>
      </c>
      <c r="V2999" t="s">
        <v>72</v>
      </c>
      <c r="W2999" t="s">
        <v>347</v>
      </c>
      <c r="X2999" t="s">
        <v>72</v>
      </c>
      <c r="Y2999" t="s">
        <v>96</v>
      </c>
      <c r="AK2999" t="s">
        <v>359</v>
      </c>
    </row>
    <row r="3000" spans="1:37">
      <c r="B3000" t="s">
        <v>58</v>
      </c>
      <c r="C3000" t="s">
        <v>80</v>
      </c>
      <c r="D3000" t="s">
        <v>99</v>
      </c>
      <c r="E3000" t="s">
        <v>118</v>
      </c>
      <c r="F3000" t="s">
        <v>152</v>
      </c>
      <c r="G3000" t="s">
        <v>178</v>
      </c>
      <c r="H3000" t="s">
        <v>213</v>
      </c>
      <c r="I3000" t="s">
        <v>233</v>
      </c>
      <c r="J3000" t="s">
        <v>252</v>
      </c>
      <c r="K3000" t="s">
        <v>266</v>
      </c>
      <c r="L3000" t="s">
        <v>278</v>
      </c>
      <c r="M3000" t="s">
        <v>287</v>
      </c>
      <c r="N3000" t="s">
        <v>297</v>
      </c>
      <c r="O3000" t="s">
        <v>305</v>
      </c>
      <c r="P3000" t="s">
        <v>312</v>
      </c>
      <c r="Q3000" t="s">
        <v>319</v>
      </c>
      <c r="R3000">
        <f>&gt;10       ветра      1.8     16   3</f>
        <v>0</v>
      </c>
      <c r="AK3000" t="s">
        <v>359</v>
      </c>
    </row>
    <row r="3001" spans="1:37">
      <c r="A3001" t="s">
        <v>40</v>
      </c>
      <c r="B3001" t="s">
        <v>59</v>
      </c>
      <c r="C3001" t="s">
        <v>81</v>
      </c>
      <c r="D3001" t="s">
        <v>100</v>
      </c>
      <c r="E3001" t="s">
        <v>119</v>
      </c>
      <c r="F3001" t="s">
        <v>153</v>
      </c>
      <c r="G3001" t="s">
        <v>179</v>
      </c>
      <c r="H3001" t="s">
        <v>214</v>
      </c>
      <c r="I3001" t="s">
        <v>234</v>
      </c>
      <c r="AK3001" t="s">
        <v>359</v>
      </c>
    </row>
    <row r="3002" spans="1:37">
      <c r="A3002" t="s">
        <v>40</v>
      </c>
      <c r="B3002" t="s">
        <v>60</v>
      </c>
      <c r="C3002" t="s">
        <v>82</v>
      </c>
      <c r="D3002" t="s">
        <v>101</v>
      </c>
      <c r="E3002" t="s">
        <v>120</v>
      </c>
      <c r="F3002" t="s">
        <v>154</v>
      </c>
      <c r="G3002" t="s">
        <v>180</v>
      </c>
      <c r="H3002" t="s">
        <v>215</v>
      </c>
      <c r="I3002" t="s">
        <v>235</v>
      </c>
      <c r="J3002" t="s">
        <v>253</v>
      </c>
      <c r="K3002" t="s">
        <v>267</v>
      </c>
      <c r="L3002" t="s">
        <v>279</v>
      </c>
      <c r="M3002" t="s">
        <v>288</v>
      </c>
      <c r="N3002" t="s">
        <v>100</v>
      </c>
      <c r="O3002" t="s">
        <v>306</v>
      </c>
      <c r="P3002" t="s">
        <v>313</v>
      </c>
      <c r="Q3002" t="s">
        <v>320</v>
      </c>
      <c r="R3002" t="s">
        <v>325</v>
      </c>
      <c r="S3002" t="s">
        <v>332</v>
      </c>
      <c r="T3002" t="s">
        <v>119</v>
      </c>
      <c r="U3002" t="s">
        <v>234</v>
      </c>
      <c r="V3002" t="s">
        <v>343</v>
      </c>
      <c r="W3002" t="s">
        <v>348</v>
      </c>
      <c r="X3002" t="s">
        <v>352</v>
      </c>
      <c r="Y3002" t="s">
        <v>354</v>
      </c>
      <c r="AK3002" t="s">
        <v>359</v>
      </c>
    </row>
    <row r="3003" spans="1:37">
      <c r="A3003" t="s">
        <v>41</v>
      </c>
      <c r="B3003" t="s">
        <v>61</v>
      </c>
      <c r="C3003" t="s">
        <v>83</v>
      </c>
      <c r="D3003" t="s">
        <v>102</v>
      </c>
      <c r="E3003" t="s">
        <v>121</v>
      </c>
      <c r="F3003" t="s">
        <v>155</v>
      </c>
      <c r="G3003" t="s">
        <v>181</v>
      </c>
      <c r="H3003" t="s">
        <v>216</v>
      </c>
      <c r="I3003" t="s">
        <v>236</v>
      </c>
      <c r="AK3003" t="s">
        <v>359</v>
      </c>
    </row>
    <row r="3004" spans="1:37">
      <c r="A3004" t="s">
        <v>42</v>
      </c>
      <c r="B3004" t="s">
        <v>62</v>
      </c>
      <c r="C3004" t="s">
        <v>84</v>
      </c>
      <c r="D3004" t="s">
        <v>103</v>
      </c>
      <c r="E3004" t="s">
        <v>122</v>
      </c>
      <c r="F3004" t="s">
        <v>156</v>
      </c>
      <c r="G3004" t="s">
        <v>182</v>
      </c>
      <c r="H3004" t="s">
        <v>83</v>
      </c>
      <c r="I3004" t="s">
        <v>237</v>
      </c>
      <c r="J3004" t="s">
        <v>254</v>
      </c>
      <c r="K3004" t="s">
        <v>268</v>
      </c>
      <c r="L3004" t="s">
        <v>280</v>
      </c>
      <c r="M3004" t="s">
        <v>289</v>
      </c>
      <c r="N3004" t="s">
        <v>298</v>
      </c>
      <c r="O3004" t="s">
        <v>307</v>
      </c>
      <c r="P3004" t="s">
        <v>314</v>
      </c>
      <c r="Q3004" t="s">
        <v>216</v>
      </c>
      <c r="R3004" t="s">
        <v>326</v>
      </c>
      <c r="S3004" t="s">
        <v>333</v>
      </c>
      <c r="T3004" t="s">
        <v>335</v>
      </c>
      <c r="U3004" t="s">
        <v>340</v>
      </c>
      <c r="V3004" t="s">
        <v>344</v>
      </c>
      <c r="W3004" t="s">
        <v>349</v>
      </c>
      <c r="AK3004" t="s">
        <v>359</v>
      </c>
    </row>
    <row r="3005" spans="1:37">
      <c r="A3005" t="s">
        <v>43</v>
      </c>
      <c r="B3005" t="s">
        <v>63</v>
      </c>
      <c r="C3005" t="s">
        <v>85</v>
      </c>
      <c r="D3005" t="s">
        <v>104</v>
      </c>
      <c r="E3005" t="s">
        <v>123</v>
      </c>
      <c r="F3005" t="s">
        <v>157</v>
      </c>
      <c r="G3005" t="s">
        <v>183</v>
      </c>
      <c r="AK3005" t="s">
        <v>359</v>
      </c>
    </row>
    <row r="3006" spans="1:37">
      <c r="A3006" t="s">
        <v>44</v>
      </c>
      <c r="B3006" t="s">
        <v>64</v>
      </c>
      <c r="C3006" t="s">
        <v>86</v>
      </c>
      <c r="D3006" t="s">
        <v>105</v>
      </c>
      <c r="E3006" t="s">
        <v>124</v>
      </c>
      <c r="F3006" t="s">
        <v>158</v>
      </c>
      <c r="G3006" t="s">
        <v>184</v>
      </c>
      <c r="AK3006" t="s">
        <v>359</v>
      </c>
    </row>
    <row r="3007" spans="1:37">
      <c r="A3007" t="s">
        <v>45</v>
      </c>
      <c r="B3007" t="s">
        <v>65</v>
      </c>
      <c r="C3007" t="s">
        <v>87</v>
      </c>
      <c r="D3007" t="s">
        <v>106</v>
      </c>
      <c r="E3007" t="s">
        <v>125</v>
      </c>
      <c r="F3007" t="s">
        <v>159</v>
      </c>
      <c r="G3007" t="s">
        <v>185</v>
      </c>
      <c r="H3007" t="s">
        <v>159</v>
      </c>
      <c r="I3007" t="s">
        <v>185</v>
      </c>
      <c r="J3007" t="s">
        <v>255</v>
      </c>
      <c r="AK3007" t="s">
        <v>359</v>
      </c>
    </row>
    <row r="3008" spans="1:37">
      <c r="A3008" t="s">
        <v>46</v>
      </c>
      <c r="B3008" t="s">
        <v>66</v>
      </c>
      <c r="C3008" t="s">
        <v>88</v>
      </c>
      <c r="D3008" t="s">
        <v>76</v>
      </c>
      <c r="E3008" t="s">
        <v>126</v>
      </c>
      <c r="F3008" t="s">
        <v>160</v>
      </c>
      <c r="G3008" t="s">
        <v>186</v>
      </c>
      <c r="H3008" t="s">
        <v>217</v>
      </c>
      <c r="I3008" t="s">
        <v>238</v>
      </c>
      <c r="J3008" t="s">
        <v>256</v>
      </c>
      <c r="K3008" t="s">
        <v>265</v>
      </c>
      <c r="L3008" t="s">
        <v>281</v>
      </c>
      <c r="M3008" t="s">
        <v>290</v>
      </c>
      <c r="N3008" t="s">
        <v>299</v>
      </c>
      <c r="O3008" t="s">
        <v>308</v>
      </c>
      <c r="P3008" t="s">
        <v>228</v>
      </c>
      <c r="Q3008" t="s">
        <v>72</v>
      </c>
      <c r="R3008" t="s">
        <v>327</v>
      </c>
      <c r="S3008" t="s">
        <v>327</v>
      </c>
      <c r="T3008" t="s">
        <v>336</v>
      </c>
      <c r="U3008" t="s">
        <v>336</v>
      </c>
      <c r="V3008" t="s">
        <v>336</v>
      </c>
      <c r="W3008" t="s">
        <v>336</v>
      </c>
      <c r="X3008" t="s">
        <v>353</v>
      </c>
      <c r="AK3008" t="s">
        <v>359</v>
      </c>
    </row>
    <row r="3009" spans="1:37">
      <c r="B3009" t="s">
        <v>67</v>
      </c>
      <c r="C3009" t="s">
        <v>89</v>
      </c>
      <c r="D3009" t="s">
        <v>107</v>
      </c>
      <c r="AK3009" t="s">
        <v>359</v>
      </c>
    </row>
    <row r="3010" spans="1:37">
      <c r="B3010" t="s">
        <v>68</v>
      </c>
      <c r="C3010" t="s">
        <v>90</v>
      </c>
      <c r="D3010" t="s">
        <v>108</v>
      </c>
      <c r="AK3010" t="s">
        <v>359</v>
      </c>
    </row>
    <row r="3011" spans="1:37">
      <c r="A3011" t="s">
        <v>47</v>
      </c>
      <c r="B3011" t="s">
        <v>69</v>
      </c>
      <c r="C3011" t="s">
        <v>91</v>
      </c>
      <c r="D3011" t="s">
        <v>109</v>
      </c>
      <c r="E3011" t="s">
        <v>109</v>
      </c>
      <c r="F3011" t="s">
        <v>109</v>
      </c>
      <c r="G3011" t="s">
        <v>109</v>
      </c>
      <c r="H3011" t="s">
        <v>109</v>
      </c>
      <c r="I3011" t="s">
        <v>239</v>
      </c>
      <c r="AK3011" t="s">
        <v>359</v>
      </c>
    </row>
    <row r="3012" spans="1:37">
      <c r="B3012" t="s">
        <v>70</v>
      </c>
      <c r="C3012" t="s">
        <v>92</v>
      </c>
      <c r="D3012" t="s">
        <v>110</v>
      </c>
      <c r="E3012" t="s">
        <v>127</v>
      </c>
      <c r="F3012" t="s">
        <v>161</v>
      </c>
      <c r="G3012" t="s">
        <v>187</v>
      </c>
      <c r="H3012" t="s">
        <v>218</v>
      </c>
      <c r="AK3012" t="s">
        <v>359</v>
      </c>
    </row>
    <row r="3013" spans="1:37">
      <c r="B3013" t="s">
        <v>71</v>
      </c>
      <c r="C3013" t="s">
        <v>93</v>
      </c>
      <c r="D3013" t="s">
        <v>111</v>
      </c>
      <c r="E3013" t="s">
        <v>128</v>
      </c>
      <c r="F3013" t="s">
        <v>162</v>
      </c>
      <c r="G3013" t="s">
        <v>188</v>
      </c>
      <c r="H3013" t="s">
        <v>219</v>
      </c>
      <c r="I3013" t="s">
        <v>240</v>
      </c>
      <c r="J3013" t="s">
        <v>257</v>
      </c>
      <c r="K3013" t="s">
        <v>269</v>
      </c>
      <c r="L3013" t="s">
        <v>109</v>
      </c>
      <c r="M3013" t="s">
        <v>109</v>
      </c>
      <c r="N3013" t="s">
        <v>109</v>
      </c>
      <c r="O3013" t="s">
        <v>109</v>
      </c>
      <c r="P3013" t="s">
        <v>109</v>
      </c>
      <c r="Q3013" t="s">
        <v>321</v>
      </c>
      <c r="AK3013" t="s">
        <v>359</v>
      </c>
    </row>
    <row r="3014" spans="1:37">
      <c r="A3014" t="s">
        <v>48</v>
      </c>
      <c r="B3014" t="s">
        <v>71</v>
      </c>
      <c r="C3014" t="s">
        <v>93</v>
      </c>
      <c r="D3014" t="s">
        <v>111</v>
      </c>
      <c r="E3014" t="s">
        <v>128</v>
      </c>
      <c r="F3014" t="s">
        <v>163</v>
      </c>
      <c r="G3014" t="s">
        <v>189</v>
      </c>
      <c r="H3014" t="s">
        <v>220</v>
      </c>
      <c r="I3014" t="s">
        <v>241</v>
      </c>
      <c r="J3014" t="s">
        <v>258</v>
      </c>
      <c r="K3014" t="s">
        <v>270</v>
      </c>
      <c r="AK3014" t="s">
        <v>359</v>
      </c>
    </row>
    <row r="3015" spans="1:37">
      <c r="B3015" t="s">
        <v>72</v>
      </c>
      <c r="C3015" t="s">
        <v>72</v>
      </c>
      <c r="D3015" t="s">
        <v>72</v>
      </c>
      <c r="E3015" t="s">
        <v>139</v>
      </c>
      <c r="F3015" t="s">
        <v>139</v>
      </c>
      <c r="G3015" t="s">
        <v>192</v>
      </c>
      <c r="H3015" t="s">
        <v>192</v>
      </c>
      <c r="I3015" t="s">
        <v>192</v>
      </c>
      <c r="J3015" t="s">
        <v>192</v>
      </c>
      <c r="K3015" t="s">
        <v>272</v>
      </c>
      <c r="AK3015" t="s">
        <v>359</v>
      </c>
    </row>
    <row r="3016" spans="1:37">
      <c r="A3016" t="s">
        <v>37</v>
      </c>
      <c r="B3016" t="s">
        <v>49</v>
      </c>
      <c r="C3016" t="s">
        <v>73</v>
      </c>
      <c r="D3016" t="s">
        <v>94</v>
      </c>
      <c r="E3016" t="s">
        <v>112</v>
      </c>
      <c r="F3016" t="s">
        <v>146</v>
      </c>
      <c r="G3016" t="s">
        <v>172</v>
      </c>
      <c r="H3016" t="s">
        <v>207</v>
      </c>
      <c r="I3016" t="s">
        <v>226</v>
      </c>
      <c r="J3016" t="s">
        <v>246</v>
      </c>
      <c r="K3016" t="s">
        <v>259</v>
      </c>
      <c r="AK3016" t="s">
        <v>359</v>
      </c>
    </row>
    <row r="3017" spans="1:37">
      <c r="A3017" t="s">
        <v>38</v>
      </c>
      <c r="B3017" t="s">
        <v>50</v>
      </c>
      <c r="C3017" t="s">
        <v>74</v>
      </c>
      <c r="D3017" t="s">
        <v>95</v>
      </c>
      <c r="E3017" t="s">
        <v>113</v>
      </c>
      <c r="F3017" t="s">
        <v>147</v>
      </c>
      <c r="G3017" t="s">
        <v>173</v>
      </c>
      <c r="H3017" t="s">
        <v>208</v>
      </c>
      <c r="I3017" t="s">
        <v>227</v>
      </c>
      <c r="J3017" t="s">
        <v>115</v>
      </c>
      <c r="K3017" t="s">
        <v>260</v>
      </c>
      <c r="L3017" t="s">
        <v>273</v>
      </c>
      <c r="M3017" t="s">
        <v>282</v>
      </c>
      <c r="N3017" t="s">
        <v>291</v>
      </c>
      <c r="AK3017" t="s">
        <v>359</v>
      </c>
    </row>
    <row r="3018" spans="1:37">
      <c r="B3018" t="s">
        <v>51</v>
      </c>
      <c r="C3018" t="s">
        <v>75</v>
      </c>
      <c r="D3018" t="s">
        <v>52</v>
      </c>
      <c r="E3018" t="s">
        <v>114</v>
      </c>
      <c r="F3018" t="s">
        <v>148</v>
      </c>
      <c r="G3018" t="s">
        <v>148</v>
      </c>
      <c r="H3018" t="s">
        <v>209</v>
      </c>
      <c r="I3018" t="s">
        <v>228</v>
      </c>
      <c r="J3018" t="s">
        <v>247</v>
      </c>
      <c r="K3018" t="s">
        <v>261</v>
      </c>
      <c r="L3018" t="s">
        <v>274</v>
      </c>
      <c r="M3018" t="s">
        <v>283</v>
      </c>
      <c r="N3018" t="s">
        <v>292</v>
      </c>
      <c r="O3018" t="s">
        <v>300</v>
      </c>
      <c r="AK3018" t="s">
        <v>359</v>
      </c>
    </row>
    <row r="3019" spans="1:37">
      <c r="B3019" t="s">
        <v>52</v>
      </c>
      <c r="C3019" t="s">
        <v>76</v>
      </c>
      <c r="D3019" t="s">
        <v>96</v>
      </c>
      <c r="E3019" t="s">
        <v>115</v>
      </c>
      <c r="F3019" t="s">
        <v>149</v>
      </c>
      <c r="G3019" t="s">
        <v>174</v>
      </c>
      <c r="H3019" t="s">
        <v>96</v>
      </c>
      <c r="I3019" t="s">
        <v>229</v>
      </c>
      <c r="J3019" t="s">
        <v>248</v>
      </c>
      <c r="K3019" t="s">
        <v>262</v>
      </c>
      <c r="L3019" t="s">
        <v>52</v>
      </c>
      <c r="M3019" t="s">
        <v>76</v>
      </c>
      <c r="N3019" t="s">
        <v>293</v>
      </c>
      <c r="O3019" t="s">
        <v>301</v>
      </c>
      <c r="P3019" t="s">
        <v>309</v>
      </c>
      <c r="Q3019" t="s">
        <v>315</v>
      </c>
      <c r="R3019" t="s">
        <v>228</v>
      </c>
      <c r="S3019" t="s">
        <v>328</v>
      </c>
      <c r="T3019" t="s">
        <v>149</v>
      </c>
      <c r="U3019" t="s">
        <v>337</v>
      </c>
      <c r="V3019" t="s">
        <v>341</v>
      </c>
      <c r="W3019" t="s">
        <v>345</v>
      </c>
      <c r="X3019" t="s">
        <v>350</v>
      </c>
      <c r="AK3019" t="s">
        <v>359</v>
      </c>
    </row>
    <row r="3020" spans="1:37">
      <c r="B3020" t="s">
        <v>53</v>
      </c>
      <c r="C3020" t="s">
        <v>77</v>
      </c>
      <c r="D3020" t="s">
        <v>97</v>
      </c>
      <c r="E3020" t="s">
        <v>116</v>
      </c>
      <c r="F3020" t="s">
        <v>150</v>
      </c>
      <c r="G3020" t="s">
        <v>175</v>
      </c>
      <c r="H3020" t="s">
        <v>210</v>
      </c>
      <c r="I3020" t="s">
        <v>230</v>
      </c>
      <c r="J3020" t="s">
        <v>249</v>
      </c>
      <c r="K3020" t="s">
        <v>263</v>
      </c>
      <c r="L3020" t="s">
        <v>275</v>
      </c>
      <c r="M3020" t="s">
        <v>284</v>
      </c>
      <c r="N3020" t="s">
        <v>294</v>
      </c>
      <c r="O3020" t="s">
        <v>302</v>
      </c>
      <c r="P3020" t="s">
        <v>310</v>
      </c>
      <c r="Q3020" t="s">
        <v>316</v>
      </c>
      <c r="R3020" t="s">
        <v>322</v>
      </c>
      <c r="S3020" t="s">
        <v>329</v>
      </c>
      <c r="AK3020" t="s">
        <v>359</v>
      </c>
    </row>
    <row r="3021" spans="1:37">
      <c r="A3021" t="s">
        <v>39</v>
      </c>
      <c r="B3021" t="s">
        <v>54</v>
      </c>
      <c r="C3021" t="s">
        <v>54</v>
      </c>
      <c r="D3021" t="s">
        <v>54</v>
      </c>
      <c r="E3021" t="s">
        <v>54</v>
      </c>
      <c r="F3021" t="s">
        <v>54</v>
      </c>
      <c r="G3021" t="s">
        <v>54</v>
      </c>
      <c r="H3021" t="s">
        <v>54</v>
      </c>
      <c r="I3021" t="s">
        <v>54</v>
      </c>
      <c r="J3021" t="s">
        <v>54</v>
      </c>
      <c r="K3021" t="s">
        <v>54</v>
      </c>
      <c r="L3021" t="s">
        <v>54</v>
      </c>
      <c r="M3021" t="s">
        <v>54</v>
      </c>
      <c r="N3021" t="s">
        <v>54</v>
      </c>
      <c r="O3021" t="s">
        <v>54</v>
      </c>
      <c r="P3021" t="s">
        <v>54</v>
      </c>
      <c r="Q3021" t="s">
        <v>54</v>
      </c>
      <c r="R3021" t="s">
        <v>323</v>
      </c>
      <c r="S3021" t="s">
        <v>330</v>
      </c>
      <c r="AK3021" t="s">
        <v>359</v>
      </c>
    </row>
    <row r="3022" spans="1:37">
      <c r="B3022" t="s">
        <v>55</v>
      </c>
      <c r="C3022" t="s">
        <v>78</v>
      </c>
      <c r="D3022" t="s">
        <v>55</v>
      </c>
      <c r="E3022" t="s">
        <v>78</v>
      </c>
      <c r="F3022" t="s">
        <v>55</v>
      </c>
      <c r="G3022" t="s">
        <v>78</v>
      </c>
      <c r="H3022" t="s">
        <v>55</v>
      </c>
      <c r="I3022" t="s">
        <v>78</v>
      </c>
      <c r="J3022" t="s">
        <v>55</v>
      </c>
      <c r="K3022" t="s">
        <v>78</v>
      </c>
      <c r="L3022" t="s">
        <v>55</v>
      </c>
      <c r="M3022" t="s">
        <v>78</v>
      </c>
      <c r="N3022" t="s">
        <v>55</v>
      </c>
      <c r="O3022" t="s">
        <v>78</v>
      </c>
      <c r="P3022" t="s">
        <v>55</v>
      </c>
      <c r="Q3022" t="s">
        <v>78</v>
      </c>
      <c r="R3022" t="s">
        <v>55</v>
      </c>
      <c r="S3022" t="s">
        <v>78</v>
      </c>
      <c r="T3022" t="s">
        <v>55</v>
      </c>
      <c r="U3022" t="s">
        <v>78</v>
      </c>
      <c r="V3022" t="s">
        <v>55</v>
      </c>
      <c r="W3022" t="s">
        <v>78</v>
      </c>
      <c r="X3022" t="s">
        <v>55</v>
      </c>
      <c r="Y3022" t="s">
        <v>78</v>
      </c>
      <c r="Z3022" t="s">
        <v>55</v>
      </c>
      <c r="AA3022" t="s">
        <v>78</v>
      </c>
      <c r="AB3022" t="s">
        <v>55</v>
      </c>
      <c r="AC3022" t="s">
        <v>78</v>
      </c>
      <c r="AD3022" t="s">
        <v>55</v>
      </c>
      <c r="AE3022" t="s">
        <v>78</v>
      </c>
      <c r="AF3022" t="s">
        <v>55</v>
      </c>
      <c r="AG3022" t="s">
        <v>78</v>
      </c>
      <c r="AH3022" t="s">
        <v>55</v>
      </c>
      <c r="AI3022" t="s">
        <v>78</v>
      </c>
      <c r="AK3022" t="s">
        <v>359</v>
      </c>
    </row>
    <row r="3023" spans="1:37">
      <c r="B3023" t="s">
        <v>56</v>
      </c>
      <c r="C3023" t="s">
        <v>56</v>
      </c>
      <c r="D3023" t="s">
        <v>56</v>
      </c>
      <c r="E3023" t="s">
        <v>56</v>
      </c>
      <c r="F3023" t="s">
        <v>56</v>
      </c>
      <c r="G3023" t="s">
        <v>176</v>
      </c>
      <c r="H3023" t="s">
        <v>211</v>
      </c>
      <c r="I3023" t="s">
        <v>231</v>
      </c>
      <c r="J3023" t="s">
        <v>250</v>
      </c>
      <c r="K3023" t="s">
        <v>264</v>
      </c>
      <c r="L3023" t="s">
        <v>276</v>
      </c>
      <c r="M3023" t="s">
        <v>285</v>
      </c>
      <c r="N3023" t="s">
        <v>295</v>
      </c>
      <c r="O3023" t="s">
        <v>303</v>
      </c>
      <c r="P3023" t="s">
        <v>56</v>
      </c>
      <c r="Q3023" t="s">
        <v>317</v>
      </c>
      <c r="R3023" t="s">
        <v>324</v>
      </c>
      <c r="S3023" t="s">
        <v>331</v>
      </c>
      <c r="T3023" t="s">
        <v>334</v>
      </c>
      <c r="U3023" t="s">
        <v>338</v>
      </c>
      <c r="V3023" t="s">
        <v>342</v>
      </c>
      <c r="W3023" t="s">
        <v>346</v>
      </c>
      <c r="X3023" t="s">
        <v>351</v>
      </c>
      <c r="AK3023" t="s">
        <v>359</v>
      </c>
    </row>
    <row r="3024" spans="1:37">
      <c r="B3024" t="s">
        <v>57</v>
      </c>
      <c r="C3024" t="s">
        <v>79</v>
      </c>
      <c r="D3024" t="s">
        <v>98</v>
      </c>
      <c r="E3024" t="s">
        <v>117</v>
      </c>
      <c r="F3024" t="s">
        <v>151</v>
      </c>
      <c r="G3024" t="s">
        <v>177</v>
      </c>
      <c r="H3024" t="s">
        <v>212</v>
      </c>
      <c r="I3024" t="s">
        <v>232</v>
      </c>
      <c r="J3024" t="s">
        <v>251</v>
      </c>
      <c r="K3024" t="s">
        <v>265</v>
      </c>
      <c r="L3024" t="s">
        <v>277</v>
      </c>
      <c r="M3024" t="s">
        <v>286</v>
      </c>
      <c r="N3024" t="s">
        <v>296</v>
      </c>
      <c r="O3024" t="s">
        <v>304</v>
      </c>
      <c r="P3024" t="s">
        <v>311</v>
      </c>
      <c r="Q3024" t="s">
        <v>318</v>
      </c>
      <c r="R3024" t="s">
        <v>185</v>
      </c>
      <c r="S3024" t="s">
        <v>159</v>
      </c>
      <c r="T3024" t="s">
        <v>185</v>
      </c>
      <c r="U3024" t="s">
        <v>339</v>
      </c>
      <c r="V3024" t="s">
        <v>72</v>
      </c>
      <c r="W3024" t="s">
        <v>347</v>
      </c>
      <c r="X3024" t="s">
        <v>72</v>
      </c>
      <c r="Y3024" t="s">
        <v>96</v>
      </c>
      <c r="AK3024" t="s">
        <v>359</v>
      </c>
    </row>
    <row r="3025" spans="1:37">
      <c r="B3025" t="s">
        <v>58</v>
      </c>
      <c r="C3025" t="s">
        <v>80</v>
      </c>
      <c r="D3025" t="s">
        <v>99</v>
      </c>
      <c r="E3025" t="s">
        <v>118</v>
      </c>
      <c r="F3025" t="s">
        <v>152</v>
      </c>
      <c r="G3025" t="s">
        <v>178</v>
      </c>
      <c r="H3025" t="s">
        <v>213</v>
      </c>
      <c r="I3025" t="s">
        <v>233</v>
      </c>
      <c r="J3025" t="s">
        <v>252</v>
      </c>
      <c r="K3025" t="s">
        <v>266</v>
      </c>
      <c r="L3025" t="s">
        <v>278</v>
      </c>
      <c r="M3025" t="s">
        <v>287</v>
      </c>
      <c r="N3025" t="s">
        <v>297</v>
      </c>
      <c r="O3025" t="s">
        <v>305</v>
      </c>
      <c r="P3025" t="s">
        <v>312</v>
      </c>
      <c r="Q3025" t="s">
        <v>319</v>
      </c>
      <c r="R3025">
        <f>&gt;10       ветра      3.6     17   3 28</f>
        <v>0</v>
      </c>
      <c r="AK3025" t="s">
        <v>359</v>
      </c>
    </row>
    <row r="3026" spans="1:37">
      <c r="A3026" t="s">
        <v>40</v>
      </c>
      <c r="B3026" t="s">
        <v>59</v>
      </c>
      <c r="C3026" t="s">
        <v>81</v>
      </c>
      <c r="D3026" t="s">
        <v>100</v>
      </c>
      <c r="E3026" t="s">
        <v>119</v>
      </c>
      <c r="F3026" t="s">
        <v>153</v>
      </c>
      <c r="G3026" t="s">
        <v>179</v>
      </c>
      <c r="H3026" t="s">
        <v>214</v>
      </c>
      <c r="I3026" t="s">
        <v>234</v>
      </c>
      <c r="AK3026" t="s">
        <v>359</v>
      </c>
    </row>
    <row r="3027" spans="1:37">
      <c r="A3027" t="s">
        <v>40</v>
      </c>
      <c r="B3027" t="s">
        <v>60</v>
      </c>
      <c r="C3027" t="s">
        <v>82</v>
      </c>
      <c r="D3027" t="s">
        <v>101</v>
      </c>
      <c r="E3027" t="s">
        <v>120</v>
      </c>
      <c r="F3027" t="s">
        <v>154</v>
      </c>
      <c r="G3027" t="s">
        <v>180</v>
      </c>
      <c r="H3027" t="s">
        <v>215</v>
      </c>
      <c r="I3027" t="s">
        <v>235</v>
      </c>
      <c r="J3027" t="s">
        <v>253</v>
      </c>
      <c r="K3027" t="s">
        <v>267</v>
      </c>
      <c r="L3027" t="s">
        <v>279</v>
      </c>
      <c r="M3027" t="s">
        <v>288</v>
      </c>
      <c r="N3027" t="s">
        <v>100</v>
      </c>
      <c r="O3027" t="s">
        <v>306</v>
      </c>
      <c r="P3027" t="s">
        <v>313</v>
      </c>
      <c r="Q3027" t="s">
        <v>320</v>
      </c>
      <c r="R3027" t="s">
        <v>325</v>
      </c>
      <c r="S3027" t="s">
        <v>332</v>
      </c>
      <c r="T3027" t="s">
        <v>119</v>
      </c>
      <c r="U3027" t="s">
        <v>234</v>
      </c>
      <c r="V3027" t="s">
        <v>343</v>
      </c>
      <c r="W3027" t="s">
        <v>348</v>
      </c>
      <c r="X3027" t="s">
        <v>352</v>
      </c>
      <c r="Y3027" t="s">
        <v>354</v>
      </c>
      <c r="AK3027" t="s">
        <v>359</v>
      </c>
    </row>
    <row r="3028" spans="1:37">
      <c r="A3028" t="s">
        <v>41</v>
      </c>
      <c r="B3028" t="s">
        <v>61</v>
      </c>
      <c r="C3028" t="s">
        <v>83</v>
      </c>
      <c r="D3028" t="s">
        <v>102</v>
      </c>
      <c r="E3028" t="s">
        <v>121</v>
      </c>
      <c r="F3028" t="s">
        <v>155</v>
      </c>
      <c r="G3028" t="s">
        <v>181</v>
      </c>
      <c r="H3028" t="s">
        <v>216</v>
      </c>
      <c r="I3028" t="s">
        <v>236</v>
      </c>
      <c r="AK3028" t="s">
        <v>359</v>
      </c>
    </row>
    <row r="3029" spans="1:37">
      <c r="A3029" t="s">
        <v>42</v>
      </c>
      <c r="B3029" t="s">
        <v>62</v>
      </c>
      <c r="C3029" t="s">
        <v>84</v>
      </c>
      <c r="D3029" t="s">
        <v>103</v>
      </c>
      <c r="E3029" t="s">
        <v>122</v>
      </c>
      <c r="F3029" t="s">
        <v>156</v>
      </c>
      <c r="G3029" t="s">
        <v>182</v>
      </c>
      <c r="H3029" t="s">
        <v>83</v>
      </c>
      <c r="I3029" t="s">
        <v>237</v>
      </c>
      <c r="J3029" t="s">
        <v>254</v>
      </c>
      <c r="K3029" t="s">
        <v>268</v>
      </c>
      <c r="L3029" t="s">
        <v>280</v>
      </c>
      <c r="M3029" t="s">
        <v>289</v>
      </c>
      <c r="N3029" t="s">
        <v>298</v>
      </c>
      <c r="O3029" t="s">
        <v>307</v>
      </c>
      <c r="P3029" t="s">
        <v>314</v>
      </c>
      <c r="Q3029" t="s">
        <v>216</v>
      </c>
      <c r="R3029" t="s">
        <v>326</v>
      </c>
      <c r="S3029" t="s">
        <v>333</v>
      </c>
      <c r="T3029" t="s">
        <v>335</v>
      </c>
      <c r="U3029" t="s">
        <v>340</v>
      </c>
      <c r="V3029" t="s">
        <v>344</v>
      </c>
      <c r="W3029" t="s">
        <v>349</v>
      </c>
      <c r="AK3029" t="s">
        <v>359</v>
      </c>
    </row>
    <row r="3030" spans="1:37">
      <c r="A3030" t="s">
        <v>43</v>
      </c>
      <c r="B3030" t="s">
        <v>63</v>
      </c>
      <c r="C3030" t="s">
        <v>85</v>
      </c>
      <c r="D3030" t="s">
        <v>104</v>
      </c>
      <c r="E3030" t="s">
        <v>123</v>
      </c>
      <c r="F3030" t="s">
        <v>157</v>
      </c>
      <c r="G3030" t="s">
        <v>183</v>
      </c>
      <c r="AK3030" t="s">
        <v>359</v>
      </c>
    </row>
    <row r="3031" spans="1:37">
      <c r="A3031" t="s">
        <v>44</v>
      </c>
      <c r="B3031" t="s">
        <v>64</v>
      </c>
      <c r="C3031" t="s">
        <v>86</v>
      </c>
      <c r="D3031" t="s">
        <v>105</v>
      </c>
      <c r="E3031" t="s">
        <v>124</v>
      </c>
      <c r="F3031" t="s">
        <v>158</v>
      </c>
      <c r="G3031" t="s">
        <v>184</v>
      </c>
      <c r="AK3031" t="s">
        <v>359</v>
      </c>
    </row>
    <row r="3032" spans="1:37">
      <c r="A3032" t="s">
        <v>45</v>
      </c>
      <c r="B3032" t="s">
        <v>65</v>
      </c>
      <c r="C3032" t="s">
        <v>87</v>
      </c>
      <c r="D3032" t="s">
        <v>106</v>
      </c>
      <c r="E3032" t="s">
        <v>125</v>
      </c>
      <c r="F3032" t="s">
        <v>159</v>
      </c>
      <c r="G3032" t="s">
        <v>185</v>
      </c>
      <c r="H3032" t="s">
        <v>159</v>
      </c>
      <c r="I3032" t="s">
        <v>185</v>
      </c>
      <c r="J3032" t="s">
        <v>255</v>
      </c>
      <c r="AK3032" t="s">
        <v>359</v>
      </c>
    </row>
    <row r="3033" spans="1:37">
      <c r="A3033" t="s">
        <v>46</v>
      </c>
      <c r="B3033" t="s">
        <v>66</v>
      </c>
      <c r="C3033" t="s">
        <v>88</v>
      </c>
      <c r="D3033" t="s">
        <v>76</v>
      </c>
      <c r="E3033" t="s">
        <v>126</v>
      </c>
      <c r="F3033" t="s">
        <v>160</v>
      </c>
      <c r="G3033" t="s">
        <v>186</v>
      </c>
      <c r="H3033" t="s">
        <v>217</v>
      </c>
      <c r="I3033" t="s">
        <v>238</v>
      </c>
      <c r="J3033" t="s">
        <v>256</v>
      </c>
      <c r="K3033" t="s">
        <v>265</v>
      </c>
      <c r="L3033" t="s">
        <v>281</v>
      </c>
      <c r="M3033" t="s">
        <v>290</v>
      </c>
      <c r="N3033" t="s">
        <v>299</v>
      </c>
      <c r="O3033" t="s">
        <v>308</v>
      </c>
      <c r="P3033" t="s">
        <v>228</v>
      </c>
      <c r="Q3033" t="s">
        <v>72</v>
      </c>
      <c r="R3033" t="s">
        <v>327</v>
      </c>
      <c r="S3033" t="s">
        <v>327</v>
      </c>
      <c r="T3033" t="s">
        <v>336</v>
      </c>
      <c r="U3033" t="s">
        <v>336</v>
      </c>
      <c r="V3033" t="s">
        <v>336</v>
      </c>
      <c r="W3033" t="s">
        <v>336</v>
      </c>
      <c r="X3033" t="s">
        <v>353</v>
      </c>
      <c r="AK3033" t="s">
        <v>359</v>
      </c>
    </row>
    <row r="3034" spans="1:37">
      <c r="B3034" t="s">
        <v>67</v>
      </c>
      <c r="C3034" t="s">
        <v>89</v>
      </c>
      <c r="D3034" t="s">
        <v>107</v>
      </c>
      <c r="AK3034" t="s">
        <v>359</v>
      </c>
    </row>
    <row r="3035" spans="1:37">
      <c r="B3035" t="s">
        <v>68</v>
      </c>
      <c r="C3035" t="s">
        <v>90</v>
      </c>
      <c r="D3035" t="s">
        <v>108</v>
      </c>
      <c r="AK3035" t="s">
        <v>359</v>
      </c>
    </row>
    <row r="3036" spans="1:37">
      <c r="A3036" t="s">
        <v>47</v>
      </c>
      <c r="B3036" t="s">
        <v>69</v>
      </c>
      <c r="C3036" t="s">
        <v>91</v>
      </c>
      <c r="D3036" t="s">
        <v>109</v>
      </c>
      <c r="E3036" t="s">
        <v>109</v>
      </c>
      <c r="F3036" t="s">
        <v>109</v>
      </c>
      <c r="G3036" t="s">
        <v>109</v>
      </c>
      <c r="H3036" t="s">
        <v>109</v>
      </c>
      <c r="I3036" t="s">
        <v>239</v>
      </c>
      <c r="AK3036" t="s">
        <v>359</v>
      </c>
    </row>
    <row r="3037" spans="1:37">
      <c r="B3037" t="s">
        <v>70</v>
      </c>
      <c r="C3037" t="s">
        <v>92</v>
      </c>
      <c r="D3037" t="s">
        <v>110</v>
      </c>
      <c r="E3037" t="s">
        <v>127</v>
      </c>
      <c r="F3037" t="s">
        <v>161</v>
      </c>
      <c r="G3037" t="s">
        <v>187</v>
      </c>
      <c r="H3037" t="s">
        <v>218</v>
      </c>
      <c r="AK3037" t="s">
        <v>359</v>
      </c>
    </row>
    <row r="3038" spans="1:37">
      <c r="B3038" t="s">
        <v>71</v>
      </c>
      <c r="C3038" t="s">
        <v>93</v>
      </c>
      <c r="D3038" t="s">
        <v>111</v>
      </c>
      <c r="E3038" t="s">
        <v>128</v>
      </c>
      <c r="F3038" t="s">
        <v>162</v>
      </c>
      <c r="G3038" t="s">
        <v>188</v>
      </c>
      <c r="H3038" t="s">
        <v>219</v>
      </c>
      <c r="I3038" t="s">
        <v>240</v>
      </c>
      <c r="J3038" t="s">
        <v>257</v>
      </c>
      <c r="K3038" t="s">
        <v>269</v>
      </c>
      <c r="L3038" t="s">
        <v>109</v>
      </c>
      <c r="M3038" t="s">
        <v>109</v>
      </c>
      <c r="N3038" t="s">
        <v>109</v>
      </c>
      <c r="O3038" t="s">
        <v>109</v>
      </c>
      <c r="P3038" t="s">
        <v>109</v>
      </c>
      <c r="Q3038" t="s">
        <v>321</v>
      </c>
      <c r="AK3038" t="s">
        <v>359</v>
      </c>
    </row>
    <row r="3039" spans="1:37">
      <c r="A3039" t="s">
        <v>48</v>
      </c>
      <c r="B3039" t="s">
        <v>71</v>
      </c>
      <c r="C3039" t="s">
        <v>93</v>
      </c>
      <c r="D3039" t="s">
        <v>111</v>
      </c>
      <c r="E3039" t="s">
        <v>128</v>
      </c>
      <c r="F3039" t="s">
        <v>163</v>
      </c>
      <c r="G3039" t="s">
        <v>189</v>
      </c>
      <c r="H3039" t="s">
        <v>220</v>
      </c>
      <c r="I3039" t="s">
        <v>241</v>
      </c>
      <c r="J3039" t="s">
        <v>258</v>
      </c>
      <c r="K3039" t="s">
        <v>270</v>
      </c>
      <c r="AK3039" t="s">
        <v>359</v>
      </c>
    </row>
    <row r="3040" spans="1:37">
      <c r="B3040" t="s">
        <v>72</v>
      </c>
      <c r="C3040" t="s">
        <v>72</v>
      </c>
      <c r="D3040" t="s">
        <v>72</v>
      </c>
      <c r="E3040" t="s">
        <v>139</v>
      </c>
      <c r="F3040" t="s">
        <v>139</v>
      </c>
      <c r="G3040" t="s">
        <v>192</v>
      </c>
      <c r="H3040" t="s">
        <v>192</v>
      </c>
      <c r="I3040" t="s">
        <v>192</v>
      </c>
      <c r="J3040" t="s">
        <v>192</v>
      </c>
      <c r="K3040" t="s">
        <v>271</v>
      </c>
      <c r="AK3040" t="s">
        <v>359</v>
      </c>
    </row>
    <row r="3041" spans="1:37">
      <c r="A3041" t="s">
        <v>37</v>
      </c>
      <c r="B3041" t="s">
        <v>49</v>
      </c>
      <c r="C3041" t="s">
        <v>73</v>
      </c>
      <c r="D3041" t="s">
        <v>94</v>
      </c>
      <c r="E3041" t="s">
        <v>112</v>
      </c>
      <c r="F3041" t="s">
        <v>146</v>
      </c>
      <c r="G3041" t="s">
        <v>172</v>
      </c>
      <c r="H3041" t="s">
        <v>207</v>
      </c>
      <c r="I3041" t="s">
        <v>226</v>
      </c>
      <c r="J3041" t="s">
        <v>246</v>
      </c>
      <c r="K3041" t="s">
        <v>259</v>
      </c>
      <c r="AK3041" t="s">
        <v>359</v>
      </c>
    </row>
    <row r="3042" spans="1:37">
      <c r="A3042" t="s">
        <v>38</v>
      </c>
      <c r="B3042" t="s">
        <v>50</v>
      </c>
      <c r="C3042" t="s">
        <v>74</v>
      </c>
      <c r="D3042" t="s">
        <v>95</v>
      </c>
      <c r="E3042" t="s">
        <v>113</v>
      </c>
      <c r="F3042" t="s">
        <v>147</v>
      </c>
      <c r="G3042" t="s">
        <v>173</v>
      </c>
      <c r="H3042" t="s">
        <v>208</v>
      </c>
      <c r="I3042" t="s">
        <v>227</v>
      </c>
      <c r="J3042" t="s">
        <v>115</v>
      </c>
      <c r="K3042" t="s">
        <v>260</v>
      </c>
      <c r="L3042" t="s">
        <v>273</v>
      </c>
      <c r="M3042" t="s">
        <v>282</v>
      </c>
      <c r="N3042" t="s">
        <v>291</v>
      </c>
      <c r="AK3042" t="s">
        <v>359</v>
      </c>
    </row>
    <row r="3043" spans="1:37">
      <c r="B3043" t="s">
        <v>51</v>
      </c>
      <c r="C3043" t="s">
        <v>75</v>
      </c>
      <c r="D3043" t="s">
        <v>52</v>
      </c>
      <c r="E3043" t="s">
        <v>114</v>
      </c>
      <c r="F3043" t="s">
        <v>148</v>
      </c>
      <c r="G3043" t="s">
        <v>148</v>
      </c>
      <c r="H3043" t="s">
        <v>209</v>
      </c>
      <c r="I3043" t="s">
        <v>228</v>
      </c>
      <c r="J3043" t="s">
        <v>247</v>
      </c>
      <c r="K3043" t="s">
        <v>261</v>
      </c>
      <c r="L3043" t="s">
        <v>274</v>
      </c>
      <c r="M3043" t="s">
        <v>283</v>
      </c>
      <c r="N3043" t="s">
        <v>292</v>
      </c>
      <c r="O3043" t="s">
        <v>300</v>
      </c>
      <c r="AK3043" t="s">
        <v>359</v>
      </c>
    </row>
    <row r="3044" spans="1:37">
      <c r="B3044" t="s">
        <v>52</v>
      </c>
      <c r="C3044" t="s">
        <v>76</v>
      </c>
      <c r="D3044" t="s">
        <v>96</v>
      </c>
      <c r="E3044" t="s">
        <v>115</v>
      </c>
      <c r="F3044" t="s">
        <v>149</v>
      </c>
      <c r="G3044" t="s">
        <v>174</v>
      </c>
      <c r="H3044" t="s">
        <v>96</v>
      </c>
      <c r="I3044" t="s">
        <v>229</v>
      </c>
      <c r="J3044" t="s">
        <v>248</v>
      </c>
      <c r="K3044" t="s">
        <v>262</v>
      </c>
      <c r="L3044" t="s">
        <v>52</v>
      </c>
      <c r="M3044" t="s">
        <v>76</v>
      </c>
      <c r="N3044" t="s">
        <v>293</v>
      </c>
      <c r="O3044" t="s">
        <v>301</v>
      </c>
      <c r="P3044" t="s">
        <v>309</v>
      </c>
      <c r="Q3044" t="s">
        <v>315</v>
      </c>
      <c r="R3044" t="s">
        <v>228</v>
      </c>
      <c r="S3044" t="s">
        <v>328</v>
      </c>
      <c r="T3044" t="s">
        <v>149</v>
      </c>
      <c r="U3044" t="s">
        <v>337</v>
      </c>
      <c r="V3044" t="s">
        <v>341</v>
      </c>
      <c r="W3044" t="s">
        <v>345</v>
      </c>
      <c r="X3044" t="s">
        <v>350</v>
      </c>
      <c r="AK3044" t="s">
        <v>359</v>
      </c>
    </row>
    <row r="3045" spans="1:37">
      <c r="B3045" t="s">
        <v>53</v>
      </c>
      <c r="C3045" t="s">
        <v>77</v>
      </c>
      <c r="D3045" t="s">
        <v>97</v>
      </c>
      <c r="E3045" t="s">
        <v>116</v>
      </c>
      <c r="F3045" t="s">
        <v>150</v>
      </c>
      <c r="G3045" t="s">
        <v>175</v>
      </c>
      <c r="H3045" t="s">
        <v>210</v>
      </c>
      <c r="I3045" t="s">
        <v>230</v>
      </c>
      <c r="J3045" t="s">
        <v>249</v>
      </c>
      <c r="K3045" t="s">
        <v>263</v>
      </c>
      <c r="L3045" t="s">
        <v>275</v>
      </c>
      <c r="M3045" t="s">
        <v>284</v>
      </c>
      <c r="N3045" t="s">
        <v>294</v>
      </c>
      <c r="O3045" t="s">
        <v>302</v>
      </c>
      <c r="P3045" t="s">
        <v>310</v>
      </c>
      <c r="Q3045" t="s">
        <v>316</v>
      </c>
      <c r="R3045" t="s">
        <v>322</v>
      </c>
      <c r="S3045" t="s">
        <v>329</v>
      </c>
      <c r="AK3045" t="s">
        <v>359</v>
      </c>
    </row>
    <row r="3046" spans="1:37">
      <c r="A3046" t="s">
        <v>39</v>
      </c>
      <c r="B3046" t="s">
        <v>54</v>
      </c>
      <c r="C3046" t="s">
        <v>54</v>
      </c>
      <c r="D3046" t="s">
        <v>54</v>
      </c>
      <c r="E3046" t="s">
        <v>54</v>
      </c>
      <c r="F3046" t="s">
        <v>54</v>
      </c>
      <c r="G3046" t="s">
        <v>54</v>
      </c>
      <c r="H3046" t="s">
        <v>54</v>
      </c>
      <c r="I3046" t="s">
        <v>54</v>
      </c>
      <c r="J3046" t="s">
        <v>54</v>
      </c>
      <c r="K3046" t="s">
        <v>54</v>
      </c>
      <c r="L3046" t="s">
        <v>54</v>
      </c>
      <c r="M3046" t="s">
        <v>54</v>
      </c>
      <c r="N3046" t="s">
        <v>54</v>
      </c>
      <c r="O3046" t="s">
        <v>54</v>
      </c>
      <c r="P3046" t="s">
        <v>54</v>
      </c>
      <c r="Q3046" t="s">
        <v>54</v>
      </c>
      <c r="R3046" t="s">
        <v>323</v>
      </c>
      <c r="S3046" t="s">
        <v>330</v>
      </c>
      <c r="AK3046" t="s">
        <v>359</v>
      </c>
    </row>
    <row r="3047" spans="1:37">
      <c r="B3047" t="s">
        <v>55</v>
      </c>
      <c r="C3047" t="s">
        <v>78</v>
      </c>
      <c r="D3047" t="s">
        <v>55</v>
      </c>
      <c r="E3047" t="s">
        <v>78</v>
      </c>
      <c r="F3047" t="s">
        <v>55</v>
      </c>
      <c r="G3047" t="s">
        <v>78</v>
      </c>
      <c r="H3047" t="s">
        <v>55</v>
      </c>
      <c r="I3047" t="s">
        <v>78</v>
      </c>
      <c r="J3047" t="s">
        <v>55</v>
      </c>
      <c r="K3047" t="s">
        <v>78</v>
      </c>
      <c r="L3047" t="s">
        <v>55</v>
      </c>
      <c r="M3047" t="s">
        <v>78</v>
      </c>
      <c r="N3047" t="s">
        <v>55</v>
      </c>
      <c r="O3047" t="s">
        <v>78</v>
      </c>
      <c r="P3047" t="s">
        <v>55</v>
      </c>
      <c r="Q3047" t="s">
        <v>78</v>
      </c>
      <c r="R3047" t="s">
        <v>55</v>
      </c>
      <c r="S3047" t="s">
        <v>78</v>
      </c>
      <c r="T3047" t="s">
        <v>55</v>
      </c>
      <c r="U3047" t="s">
        <v>78</v>
      </c>
      <c r="V3047" t="s">
        <v>55</v>
      </c>
      <c r="W3047" t="s">
        <v>78</v>
      </c>
      <c r="X3047" t="s">
        <v>55</v>
      </c>
      <c r="Y3047" t="s">
        <v>78</v>
      </c>
      <c r="Z3047" t="s">
        <v>55</v>
      </c>
      <c r="AA3047" t="s">
        <v>78</v>
      </c>
      <c r="AB3047" t="s">
        <v>55</v>
      </c>
      <c r="AC3047" t="s">
        <v>78</v>
      </c>
      <c r="AD3047" t="s">
        <v>55</v>
      </c>
      <c r="AE3047" t="s">
        <v>78</v>
      </c>
      <c r="AF3047" t="s">
        <v>55</v>
      </c>
      <c r="AG3047" t="s">
        <v>78</v>
      </c>
      <c r="AH3047" t="s">
        <v>55</v>
      </c>
      <c r="AI3047" t="s">
        <v>78</v>
      </c>
      <c r="AK3047" t="s">
        <v>359</v>
      </c>
    </row>
    <row r="3048" spans="1:37">
      <c r="B3048" t="s">
        <v>56</v>
      </c>
      <c r="C3048" t="s">
        <v>56</v>
      </c>
      <c r="D3048" t="s">
        <v>56</v>
      </c>
      <c r="E3048" t="s">
        <v>56</v>
      </c>
      <c r="F3048" t="s">
        <v>56</v>
      </c>
      <c r="G3048" t="s">
        <v>176</v>
      </c>
      <c r="H3048" t="s">
        <v>211</v>
      </c>
      <c r="I3048" t="s">
        <v>231</v>
      </c>
      <c r="J3048" t="s">
        <v>250</v>
      </c>
      <c r="K3048" t="s">
        <v>264</v>
      </c>
      <c r="L3048" t="s">
        <v>276</v>
      </c>
      <c r="M3048" t="s">
        <v>285</v>
      </c>
      <c r="N3048" t="s">
        <v>295</v>
      </c>
      <c r="O3048" t="s">
        <v>303</v>
      </c>
      <c r="P3048" t="s">
        <v>56</v>
      </c>
      <c r="Q3048" t="s">
        <v>317</v>
      </c>
      <c r="R3048" t="s">
        <v>324</v>
      </c>
      <c r="S3048" t="s">
        <v>331</v>
      </c>
      <c r="T3048" t="s">
        <v>334</v>
      </c>
      <c r="U3048" t="s">
        <v>338</v>
      </c>
      <c r="V3048" t="s">
        <v>342</v>
      </c>
      <c r="W3048" t="s">
        <v>346</v>
      </c>
      <c r="X3048" t="s">
        <v>351</v>
      </c>
      <c r="AK3048" t="s">
        <v>359</v>
      </c>
    </row>
    <row r="3049" spans="1:37">
      <c r="B3049" t="s">
        <v>57</v>
      </c>
      <c r="C3049" t="s">
        <v>79</v>
      </c>
      <c r="D3049" t="s">
        <v>98</v>
      </c>
      <c r="E3049" t="s">
        <v>117</v>
      </c>
      <c r="F3049" t="s">
        <v>151</v>
      </c>
      <c r="G3049" t="s">
        <v>177</v>
      </c>
      <c r="H3049" t="s">
        <v>212</v>
      </c>
      <c r="I3049" t="s">
        <v>232</v>
      </c>
      <c r="J3049" t="s">
        <v>251</v>
      </c>
      <c r="K3049" t="s">
        <v>265</v>
      </c>
      <c r="L3049" t="s">
        <v>277</v>
      </c>
      <c r="M3049" t="s">
        <v>286</v>
      </c>
      <c r="N3049" t="s">
        <v>296</v>
      </c>
      <c r="O3049" t="s">
        <v>304</v>
      </c>
      <c r="P3049" t="s">
        <v>311</v>
      </c>
      <c r="Q3049" t="s">
        <v>318</v>
      </c>
      <c r="R3049" t="s">
        <v>185</v>
      </c>
      <c r="S3049" t="s">
        <v>159</v>
      </c>
      <c r="T3049" t="s">
        <v>185</v>
      </c>
      <c r="U3049" t="s">
        <v>339</v>
      </c>
      <c r="V3049" t="s">
        <v>72</v>
      </c>
      <c r="W3049" t="s">
        <v>347</v>
      </c>
      <c r="X3049" t="s">
        <v>72</v>
      </c>
      <c r="Y3049" t="s">
        <v>96</v>
      </c>
      <c r="AK3049" t="s">
        <v>359</v>
      </c>
    </row>
    <row r="3050" spans="1:37">
      <c r="B3050" t="s">
        <v>58</v>
      </c>
      <c r="C3050" t="s">
        <v>80</v>
      </c>
      <c r="D3050" t="s">
        <v>99</v>
      </c>
      <c r="E3050" t="s">
        <v>118</v>
      </c>
      <c r="F3050" t="s">
        <v>152</v>
      </c>
      <c r="G3050" t="s">
        <v>178</v>
      </c>
      <c r="H3050" t="s">
        <v>213</v>
      </c>
      <c r="I3050" t="s">
        <v>233</v>
      </c>
      <c r="J3050" t="s">
        <v>252</v>
      </c>
      <c r="K3050" t="s">
        <v>266</v>
      </c>
      <c r="L3050" t="s">
        <v>278</v>
      </c>
      <c r="M3050" t="s">
        <v>287</v>
      </c>
      <c r="N3050" t="s">
        <v>297</v>
      </c>
      <c r="O3050" t="s">
        <v>305</v>
      </c>
      <c r="P3050" t="s">
        <v>312</v>
      </c>
      <c r="Q3050" t="s">
        <v>319</v>
      </c>
      <c r="R3050">
        <f>&gt;10       ветра      1.8     16   1 20</f>
        <v>0</v>
      </c>
      <c r="AK3050" t="s">
        <v>359</v>
      </c>
    </row>
    <row r="3051" spans="1:37">
      <c r="A3051" t="s">
        <v>40</v>
      </c>
      <c r="B3051" t="s">
        <v>59</v>
      </c>
      <c r="C3051" t="s">
        <v>81</v>
      </c>
      <c r="D3051" t="s">
        <v>100</v>
      </c>
      <c r="E3051" t="s">
        <v>119</v>
      </c>
      <c r="F3051" t="s">
        <v>153</v>
      </c>
      <c r="G3051" t="s">
        <v>179</v>
      </c>
      <c r="H3051" t="s">
        <v>214</v>
      </c>
      <c r="I3051" t="s">
        <v>234</v>
      </c>
      <c r="AK3051" t="s">
        <v>359</v>
      </c>
    </row>
    <row r="3052" spans="1:37">
      <c r="A3052" t="s">
        <v>40</v>
      </c>
      <c r="B3052" t="s">
        <v>60</v>
      </c>
      <c r="C3052" t="s">
        <v>82</v>
      </c>
      <c r="D3052" t="s">
        <v>101</v>
      </c>
      <c r="E3052" t="s">
        <v>120</v>
      </c>
      <c r="F3052" t="s">
        <v>154</v>
      </c>
      <c r="G3052" t="s">
        <v>180</v>
      </c>
      <c r="H3052" t="s">
        <v>215</v>
      </c>
      <c r="I3052" t="s">
        <v>235</v>
      </c>
      <c r="J3052" t="s">
        <v>253</v>
      </c>
      <c r="K3052" t="s">
        <v>267</v>
      </c>
      <c r="L3052" t="s">
        <v>279</v>
      </c>
      <c r="M3052" t="s">
        <v>288</v>
      </c>
      <c r="N3052" t="s">
        <v>100</v>
      </c>
      <c r="O3052" t="s">
        <v>306</v>
      </c>
      <c r="P3052" t="s">
        <v>313</v>
      </c>
      <c r="Q3052" t="s">
        <v>320</v>
      </c>
      <c r="R3052" t="s">
        <v>325</v>
      </c>
      <c r="S3052" t="s">
        <v>332</v>
      </c>
      <c r="T3052" t="s">
        <v>119</v>
      </c>
      <c r="U3052" t="s">
        <v>234</v>
      </c>
      <c r="V3052" t="s">
        <v>343</v>
      </c>
      <c r="W3052" t="s">
        <v>348</v>
      </c>
      <c r="X3052" t="s">
        <v>352</v>
      </c>
      <c r="Y3052" t="s">
        <v>354</v>
      </c>
      <c r="AK3052" t="s">
        <v>359</v>
      </c>
    </row>
    <row r="3053" spans="1:37">
      <c r="A3053" t="s">
        <v>41</v>
      </c>
      <c r="B3053" t="s">
        <v>61</v>
      </c>
      <c r="C3053" t="s">
        <v>83</v>
      </c>
      <c r="D3053" t="s">
        <v>102</v>
      </c>
      <c r="E3053" t="s">
        <v>121</v>
      </c>
      <c r="F3053" t="s">
        <v>155</v>
      </c>
      <c r="G3053" t="s">
        <v>181</v>
      </c>
      <c r="H3053" t="s">
        <v>216</v>
      </c>
      <c r="I3053" t="s">
        <v>236</v>
      </c>
      <c r="AK3053" t="s">
        <v>359</v>
      </c>
    </row>
    <row r="3054" spans="1:37">
      <c r="A3054" t="s">
        <v>42</v>
      </c>
      <c r="B3054" t="s">
        <v>62</v>
      </c>
      <c r="C3054" t="s">
        <v>84</v>
      </c>
      <c r="D3054" t="s">
        <v>103</v>
      </c>
      <c r="E3054" t="s">
        <v>122</v>
      </c>
      <c r="F3054" t="s">
        <v>156</v>
      </c>
      <c r="G3054" t="s">
        <v>182</v>
      </c>
      <c r="H3054" t="s">
        <v>83</v>
      </c>
      <c r="I3054" t="s">
        <v>237</v>
      </c>
      <c r="J3054" t="s">
        <v>254</v>
      </c>
      <c r="K3054" t="s">
        <v>268</v>
      </c>
      <c r="L3054" t="s">
        <v>280</v>
      </c>
      <c r="M3054" t="s">
        <v>289</v>
      </c>
      <c r="N3054" t="s">
        <v>298</v>
      </c>
      <c r="O3054" t="s">
        <v>307</v>
      </c>
      <c r="P3054" t="s">
        <v>314</v>
      </c>
      <c r="Q3054" t="s">
        <v>216</v>
      </c>
      <c r="R3054" t="s">
        <v>326</v>
      </c>
      <c r="S3054" t="s">
        <v>333</v>
      </c>
      <c r="T3054" t="s">
        <v>335</v>
      </c>
      <c r="U3054" t="s">
        <v>340</v>
      </c>
      <c r="V3054" t="s">
        <v>344</v>
      </c>
      <c r="W3054" t="s">
        <v>349</v>
      </c>
      <c r="AK3054" t="s">
        <v>359</v>
      </c>
    </row>
    <row r="3055" spans="1:37">
      <c r="A3055" t="s">
        <v>43</v>
      </c>
      <c r="B3055" t="s">
        <v>63</v>
      </c>
      <c r="C3055" t="s">
        <v>85</v>
      </c>
      <c r="D3055" t="s">
        <v>104</v>
      </c>
      <c r="E3055" t="s">
        <v>123</v>
      </c>
      <c r="F3055" t="s">
        <v>157</v>
      </c>
      <c r="G3055" t="s">
        <v>183</v>
      </c>
      <c r="AK3055" t="s">
        <v>359</v>
      </c>
    </row>
    <row r="3056" spans="1:37">
      <c r="A3056" t="s">
        <v>44</v>
      </c>
      <c r="B3056" t="s">
        <v>64</v>
      </c>
      <c r="C3056" t="s">
        <v>86</v>
      </c>
      <c r="D3056" t="s">
        <v>105</v>
      </c>
      <c r="E3056" t="s">
        <v>124</v>
      </c>
      <c r="F3056" t="s">
        <v>158</v>
      </c>
      <c r="G3056" t="s">
        <v>184</v>
      </c>
      <c r="AK3056" t="s">
        <v>359</v>
      </c>
    </row>
    <row r="3057" spans="1:37">
      <c r="A3057" t="s">
        <v>45</v>
      </c>
      <c r="B3057" t="s">
        <v>65</v>
      </c>
      <c r="C3057" t="s">
        <v>87</v>
      </c>
      <c r="D3057" t="s">
        <v>106</v>
      </c>
      <c r="E3057" t="s">
        <v>125</v>
      </c>
      <c r="F3057" t="s">
        <v>159</v>
      </c>
      <c r="G3057" t="s">
        <v>185</v>
      </c>
      <c r="H3057" t="s">
        <v>159</v>
      </c>
      <c r="I3057" t="s">
        <v>185</v>
      </c>
      <c r="J3057" t="s">
        <v>255</v>
      </c>
      <c r="AK3057" t="s">
        <v>359</v>
      </c>
    </row>
    <row r="3058" spans="1:37">
      <c r="A3058" t="s">
        <v>46</v>
      </c>
      <c r="B3058" t="s">
        <v>66</v>
      </c>
      <c r="C3058" t="s">
        <v>88</v>
      </c>
      <c r="D3058" t="s">
        <v>76</v>
      </c>
      <c r="E3058" t="s">
        <v>126</v>
      </c>
      <c r="F3058" t="s">
        <v>160</v>
      </c>
      <c r="G3058" t="s">
        <v>186</v>
      </c>
      <c r="H3058" t="s">
        <v>217</v>
      </c>
      <c r="I3058" t="s">
        <v>238</v>
      </c>
      <c r="J3058" t="s">
        <v>256</v>
      </c>
      <c r="K3058" t="s">
        <v>265</v>
      </c>
      <c r="L3058" t="s">
        <v>281</v>
      </c>
      <c r="M3058" t="s">
        <v>290</v>
      </c>
      <c r="N3058" t="s">
        <v>299</v>
      </c>
      <c r="O3058" t="s">
        <v>308</v>
      </c>
      <c r="P3058" t="s">
        <v>228</v>
      </c>
      <c r="Q3058" t="s">
        <v>72</v>
      </c>
      <c r="R3058" t="s">
        <v>327</v>
      </c>
      <c r="S3058" t="s">
        <v>327</v>
      </c>
      <c r="T3058" t="s">
        <v>336</v>
      </c>
      <c r="U3058" t="s">
        <v>336</v>
      </c>
      <c r="V3058" t="s">
        <v>336</v>
      </c>
      <c r="W3058" t="s">
        <v>336</v>
      </c>
      <c r="X3058" t="s">
        <v>353</v>
      </c>
      <c r="AK3058" t="s">
        <v>359</v>
      </c>
    </row>
    <row r="3059" spans="1:37">
      <c r="B3059" t="s">
        <v>67</v>
      </c>
      <c r="C3059" t="s">
        <v>89</v>
      </c>
      <c r="D3059" t="s">
        <v>107</v>
      </c>
      <c r="AK3059" t="s">
        <v>359</v>
      </c>
    </row>
    <row r="3060" spans="1:37">
      <c r="B3060" t="s">
        <v>68</v>
      </c>
      <c r="C3060" t="s">
        <v>90</v>
      </c>
      <c r="D3060" t="s">
        <v>108</v>
      </c>
      <c r="AK3060" t="s">
        <v>359</v>
      </c>
    </row>
    <row r="3061" spans="1:37">
      <c r="A3061" t="s">
        <v>47</v>
      </c>
      <c r="B3061" t="s">
        <v>69</v>
      </c>
      <c r="C3061" t="s">
        <v>91</v>
      </c>
      <c r="D3061" t="s">
        <v>109</v>
      </c>
      <c r="E3061" t="s">
        <v>109</v>
      </c>
      <c r="F3061" t="s">
        <v>109</v>
      </c>
      <c r="G3061" t="s">
        <v>109</v>
      </c>
      <c r="H3061" t="s">
        <v>109</v>
      </c>
      <c r="I3061" t="s">
        <v>239</v>
      </c>
      <c r="AK3061" t="s">
        <v>359</v>
      </c>
    </row>
    <row r="3062" spans="1:37">
      <c r="B3062" t="s">
        <v>70</v>
      </c>
      <c r="C3062" t="s">
        <v>92</v>
      </c>
      <c r="D3062" t="s">
        <v>110</v>
      </c>
      <c r="E3062" t="s">
        <v>127</v>
      </c>
      <c r="F3062" t="s">
        <v>161</v>
      </c>
      <c r="G3062" t="s">
        <v>187</v>
      </c>
      <c r="H3062" t="s">
        <v>218</v>
      </c>
      <c r="AK3062" t="s">
        <v>359</v>
      </c>
    </row>
    <row r="3063" spans="1:37">
      <c r="B3063" t="s">
        <v>71</v>
      </c>
      <c r="C3063" t="s">
        <v>93</v>
      </c>
      <c r="D3063" t="s">
        <v>111</v>
      </c>
      <c r="E3063" t="s">
        <v>128</v>
      </c>
      <c r="F3063" t="s">
        <v>162</v>
      </c>
      <c r="G3063" t="s">
        <v>188</v>
      </c>
      <c r="H3063" t="s">
        <v>219</v>
      </c>
      <c r="I3063" t="s">
        <v>240</v>
      </c>
      <c r="J3063" t="s">
        <v>257</v>
      </c>
      <c r="K3063" t="s">
        <v>269</v>
      </c>
      <c r="L3063" t="s">
        <v>109</v>
      </c>
      <c r="M3063" t="s">
        <v>109</v>
      </c>
      <c r="N3063" t="s">
        <v>109</v>
      </c>
      <c r="O3063" t="s">
        <v>109</v>
      </c>
      <c r="P3063" t="s">
        <v>109</v>
      </c>
      <c r="Q3063" t="s">
        <v>321</v>
      </c>
      <c r="AK3063" t="s">
        <v>359</v>
      </c>
    </row>
    <row r="3064" spans="1:37">
      <c r="A3064" t="s">
        <v>48</v>
      </c>
      <c r="B3064" t="s">
        <v>71</v>
      </c>
      <c r="C3064" t="s">
        <v>93</v>
      </c>
      <c r="D3064" t="s">
        <v>111</v>
      </c>
      <c r="E3064" t="s">
        <v>128</v>
      </c>
      <c r="F3064" t="s">
        <v>163</v>
      </c>
      <c r="G3064" t="s">
        <v>189</v>
      </c>
      <c r="H3064" t="s">
        <v>220</v>
      </c>
      <c r="I3064" t="s">
        <v>241</v>
      </c>
      <c r="J3064" t="s">
        <v>258</v>
      </c>
      <c r="K3064" t="s">
        <v>270</v>
      </c>
      <c r="AK3064" t="s">
        <v>359</v>
      </c>
    </row>
    <row r="3065" spans="1:37">
      <c r="B3065" t="s">
        <v>72</v>
      </c>
      <c r="C3065" t="s">
        <v>72</v>
      </c>
      <c r="D3065" t="s">
        <v>72</v>
      </c>
      <c r="E3065" t="s">
        <v>72</v>
      </c>
      <c r="F3065" t="s">
        <v>72</v>
      </c>
      <c r="G3065" t="s">
        <v>72</v>
      </c>
      <c r="H3065" t="s">
        <v>72</v>
      </c>
      <c r="I3065" t="s">
        <v>72</v>
      </c>
      <c r="J3065" t="s">
        <v>72</v>
      </c>
      <c r="K3065" t="s">
        <v>272</v>
      </c>
      <c r="AK3065" t="s">
        <v>359</v>
      </c>
    </row>
    <row r="3066" spans="1:37">
      <c r="A3066" t="s">
        <v>37</v>
      </c>
      <c r="B3066" t="s">
        <v>49</v>
      </c>
      <c r="C3066" t="s">
        <v>73</v>
      </c>
      <c r="D3066" t="s">
        <v>94</v>
      </c>
      <c r="E3066" t="s">
        <v>112</v>
      </c>
      <c r="F3066" t="s">
        <v>146</v>
      </c>
      <c r="G3066" t="s">
        <v>172</v>
      </c>
      <c r="H3066" t="s">
        <v>207</v>
      </c>
      <c r="I3066" t="s">
        <v>226</v>
      </c>
      <c r="J3066" t="s">
        <v>246</v>
      </c>
      <c r="K3066" t="s">
        <v>259</v>
      </c>
      <c r="AK3066" t="s">
        <v>359</v>
      </c>
    </row>
    <row r="3067" spans="1:37">
      <c r="A3067" t="s">
        <v>38</v>
      </c>
      <c r="B3067" t="s">
        <v>50</v>
      </c>
      <c r="C3067" t="s">
        <v>74</v>
      </c>
      <c r="D3067" t="s">
        <v>95</v>
      </c>
      <c r="E3067" t="s">
        <v>113</v>
      </c>
      <c r="F3067" t="s">
        <v>147</v>
      </c>
      <c r="G3067" t="s">
        <v>173</v>
      </c>
      <c r="H3067" t="s">
        <v>208</v>
      </c>
      <c r="I3067" t="s">
        <v>227</v>
      </c>
      <c r="J3067" t="s">
        <v>115</v>
      </c>
      <c r="K3067" t="s">
        <v>260</v>
      </c>
      <c r="L3067" t="s">
        <v>273</v>
      </c>
      <c r="M3067" t="s">
        <v>282</v>
      </c>
      <c r="N3067" t="s">
        <v>291</v>
      </c>
      <c r="AK3067" t="s">
        <v>359</v>
      </c>
    </row>
    <row r="3068" spans="1:37">
      <c r="B3068" t="s">
        <v>51</v>
      </c>
      <c r="C3068" t="s">
        <v>75</v>
      </c>
      <c r="D3068" t="s">
        <v>52</v>
      </c>
      <c r="E3068" t="s">
        <v>114</v>
      </c>
      <c r="F3068" t="s">
        <v>148</v>
      </c>
      <c r="G3068" t="s">
        <v>148</v>
      </c>
      <c r="H3068" t="s">
        <v>209</v>
      </c>
      <c r="I3068" t="s">
        <v>228</v>
      </c>
      <c r="J3068" t="s">
        <v>247</v>
      </c>
      <c r="K3068" t="s">
        <v>261</v>
      </c>
      <c r="L3068" t="s">
        <v>274</v>
      </c>
      <c r="M3068" t="s">
        <v>283</v>
      </c>
      <c r="N3068" t="s">
        <v>292</v>
      </c>
      <c r="O3068" t="s">
        <v>300</v>
      </c>
      <c r="AK3068" t="s">
        <v>359</v>
      </c>
    </row>
    <row r="3069" spans="1:37">
      <c r="B3069" t="s">
        <v>52</v>
      </c>
      <c r="C3069" t="s">
        <v>76</v>
      </c>
      <c r="D3069" t="s">
        <v>96</v>
      </c>
      <c r="E3069" t="s">
        <v>115</v>
      </c>
      <c r="F3069" t="s">
        <v>149</v>
      </c>
      <c r="G3069" t="s">
        <v>174</v>
      </c>
      <c r="H3069" t="s">
        <v>96</v>
      </c>
      <c r="I3069" t="s">
        <v>229</v>
      </c>
      <c r="J3069" t="s">
        <v>248</v>
      </c>
      <c r="K3069" t="s">
        <v>262</v>
      </c>
      <c r="L3069" t="s">
        <v>52</v>
      </c>
      <c r="M3069" t="s">
        <v>76</v>
      </c>
      <c r="N3069" t="s">
        <v>293</v>
      </c>
      <c r="O3069" t="s">
        <v>301</v>
      </c>
      <c r="P3069" t="s">
        <v>309</v>
      </c>
      <c r="Q3069" t="s">
        <v>315</v>
      </c>
      <c r="R3069" t="s">
        <v>228</v>
      </c>
      <c r="S3069" t="s">
        <v>328</v>
      </c>
      <c r="T3069" t="s">
        <v>149</v>
      </c>
      <c r="U3069" t="s">
        <v>337</v>
      </c>
      <c r="V3069" t="s">
        <v>341</v>
      </c>
      <c r="W3069" t="s">
        <v>345</v>
      </c>
      <c r="X3069" t="s">
        <v>350</v>
      </c>
      <c r="AK3069" t="s">
        <v>359</v>
      </c>
    </row>
    <row r="3070" spans="1:37">
      <c r="B3070" t="s">
        <v>53</v>
      </c>
      <c r="C3070" t="s">
        <v>77</v>
      </c>
      <c r="D3070" t="s">
        <v>97</v>
      </c>
      <c r="E3070" t="s">
        <v>116</v>
      </c>
      <c r="F3070" t="s">
        <v>150</v>
      </c>
      <c r="G3070" t="s">
        <v>175</v>
      </c>
      <c r="H3070" t="s">
        <v>210</v>
      </c>
      <c r="I3070" t="s">
        <v>230</v>
      </c>
      <c r="J3070" t="s">
        <v>249</v>
      </c>
      <c r="K3070" t="s">
        <v>263</v>
      </c>
      <c r="L3070" t="s">
        <v>275</v>
      </c>
      <c r="M3070" t="s">
        <v>284</v>
      </c>
      <c r="N3070" t="s">
        <v>294</v>
      </c>
      <c r="O3070" t="s">
        <v>302</v>
      </c>
      <c r="P3070" t="s">
        <v>310</v>
      </c>
      <c r="Q3070" t="s">
        <v>316</v>
      </c>
      <c r="R3070" t="s">
        <v>322</v>
      </c>
      <c r="S3070" t="s">
        <v>329</v>
      </c>
      <c r="AK3070" t="s">
        <v>359</v>
      </c>
    </row>
    <row r="3071" spans="1:37">
      <c r="A3071" t="s">
        <v>39</v>
      </c>
      <c r="B3071" t="s">
        <v>54</v>
      </c>
      <c r="C3071" t="s">
        <v>54</v>
      </c>
      <c r="D3071" t="s">
        <v>54</v>
      </c>
      <c r="E3071" t="s">
        <v>54</v>
      </c>
      <c r="F3071" t="s">
        <v>54</v>
      </c>
      <c r="G3071" t="s">
        <v>54</v>
      </c>
      <c r="H3071" t="s">
        <v>54</v>
      </c>
      <c r="I3071" t="s">
        <v>54</v>
      </c>
      <c r="J3071" t="s">
        <v>54</v>
      </c>
      <c r="K3071" t="s">
        <v>54</v>
      </c>
      <c r="L3071" t="s">
        <v>54</v>
      </c>
      <c r="M3071" t="s">
        <v>54</v>
      </c>
      <c r="N3071" t="s">
        <v>54</v>
      </c>
      <c r="O3071" t="s">
        <v>54</v>
      </c>
      <c r="P3071" t="s">
        <v>54</v>
      </c>
      <c r="Q3071" t="s">
        <v>54</v>
      </c>
      <c r="R3071" t="s">
        <v>323</v>
      </c>
      <c r="S3071" t="s">
        <v>330</v>
      </c>
      <c r="AK3071" t="s">
        <v>359</v>
      </c>
    </row>
    <row r="3072" spans="1:37">
      <c r="B3072" t="s">
        <v>55</v>
      </c>
      <c r="C3072" t="s">
        <v>78</v>
      </c>
      <c r="D3072" t="s">
        <v>55</v>
      </c>
      <c r="E3072" t="s">
        <v>78</v>
      </c>
      <c r="F3072" t="s">
        <v>55</v>
      </c>
      <c r="G3072" t="s">
        <v>78</v>
      </c>
      <c r="H3072" t="s">
        <v>55</v>
      </c>
      <c r="I3072" t="s">
        <v>78</v>
      </c>
      <c r="J3072" t="s">
        <v>55</v>
      </c>
      <c r="K3072" t="s">
        <v>78</v>
      </c>
      <c r="L3072" t="s">
        <v>55</v>
      </c>
      <c r="M3072" t="s">
        <v>78</v>
      </c>
      <c r="N3072" t="s">
        <v>55</v>
      </c>
      <c r="O3072" t="s">
        <v>78</v>
      </c>
      <c r="P3072" t="s">
        <v>55</v>
      </c>
      <c r="Q3072" t="s">
        <v>78</v>
      </c>
      <c r="R3072" t="s">
        <v>55</v>
      </c>
      <c r="S3072" t="s">
        <v>78</v>
      </c>
      <c r="T3072" t="s">
        <v>55</v>
      </c>
      <c r="U3072" t="s">
        <v>78</v>
      </c>
      <c r="V3072" t="s">
        <v>55</v>
      </c>
      <c r="W3072" t="s">
        <v>78</v>
      </c>
      <c r="X3072" t="s">
        <v>55</v>
      </c>
      <c r="Y3072" t="s">
        <v>78</v>
      </c>
      <c r="Z3072" t="s">
        <v>55</v>
      </c>
      <c r="AA3072" t="s">
        <v>78</v>
      </c>
      <c r="AB3072" t="s">
        <v>55</v>
      </c>
      <c r="AC3072" t="s">
        <v>78</v>
      </c>
      <c r="AD3072" t="s">
        <v>55</v>
      </c>
      <c r="AE3072" t="s">
        <v>78</v>
      </c>
      <c r="AF3072" t="s">
        <v>55</v>
      </c>
      <c r="AG3072" t="s">
        <v>78</v>
      </c>
      <c r="AH3072" t="s">
        <v>55</v>
      </c>
      <c r="AI3072" t="s">
        <v>78</v>
      </c>
      <c r="AK3072" t="s">
        <v>359</v>
      </c>
    </row>
    <row r="3073" spans="1:37">
      <c r="B3073" t="s">
        <v>56</v>
      </c>
      <c r="C3073" t="s">
        <v>56</v>
      </c>
      <c r="D3073" t="s">
        <v>56</v>
      </c>
      <c r="E3073" t="s">
        <v>56</v>
      </c>
      <c r="F3073" t="s">
        <v>56</v>
      </c>
      <c r="G3073" t="s">
        <v>176</v>
      </c>
      <c r="H3073" t="s">
        <v>211</v>
      </c>
      <c r="I3073" t="s">
        <v>231</v>
      </c>
      <c r="J3073" t="s">
        <v>250</v>
      </c>
      <c r="K3073" t="s">
        <v>264</v>
      </c>
      <c r="L3073" t="s">
        <v>276</v>
      </c>
      <c r="M3073" t="s">
        <v>285</v>
      </c>
      <c r="N3073" t="s">
        <v>295</v>
      </c>
      <c r="O3073" t="s">
        <v>303</v>
      </c>
      <c r="P3073" t="s">
        <v>56</v>
      </c>
      <c r="Q3073" t="s">
        <v>317</v>
      </c>
      <c r="R3073" t="s">
        <v>324</v>
      </c>
      <c r="S3073" t="s">
        <v>331</v>
      </c>
      <c r="T3073" t="s">
        <v>334</v>
      </c>
      <c r="U3073" t="s">
        <v>338</v>
      </c>
      <c r="V3073" t="s">
        <v>342</v>
      </c>
      <c r="W3073" t="s">
        <v>346</v>
      </c>
      <c r="X3073" t="s">
        <v>351</v>
      </c>
      <c r="AK3073" t="s">
        <v>359</v>
      </c>
    </row>
    <row r="3074" spans="1:37">
      <c r="B3074" t="s">
        <v>57</v>
      </c>
      <c r="C3074" t="s">
        <v>79</v>
      </c>
      <c r="D3074" t="s">
        <v>98</v>
      </c>
      <c r="E3074" t="s">
        <v>117</v>
      </c>
      <c r="F3074" t="s">
        <v>151</v>
      </c>
      <c r="G3074" t="s">
        <v>177</v>
      </c>
      <c r="H3074" t="s">
        <v>212</v>
      </c>
      <c r="I3074" t="s">
        <v>232</v>
      </c>
      <c r="J3074" t="s">
        <v>251</v>
      </c>
      <c r="K3074" t="s">
        <v>265</v>
      </c>
      <c r="L3074" t="s">
        <v>277</v>
      </c>
      <c r="M3074" t="s">
        <v>286</v>
      </c>
      <c r="N3074" t="s">
        <v>296</v>
      </c>
      <c r="O3074" t="s">
        <v>304</v>
      </c>
      <c r="P3074" t="s">
        <v>311</v>
      </c>
      <c r="Q3074" t="s">
        <v>318</v>
      </c>
      <c r="R3074" t="s">
        <v>185</v>
      </c>
      <c r="S3074" t="s">
        <v>159</v>
      </c>
      <c r="T3074" t="s">
        <v>185</v>
      </c>
      <c r="U3074" t="s">
        <v>339</v>
      </c>
      <c r="V3074" t="s">
        <v>72</v>
      </c>
      <c r="W3074" t="s">
        <v>347</v>
      </c>
      <c r="X3074" t="s">
        <v>72</v>
      </c>
      <c r="Y3074" t="s">
        <v>96</v>
      </c>
      <c r="AK3074" t="s">
        <v>359</v>
      </c>
    </row>
    <row r="3075" spans="1:37">
      <c r="B3075" t="s">
        <v>58</v>
      </c>
      <c r="C3075" t="s">
        <v>80</v>
      </c>
      <c r="D3075" t="s">
        <v>99</v>
      </c>
      <c r="E3075" t="s">
        <v>118</v>
      </c>
      <c r="F3075" t="s">
        <v>152</v>
      </c>
      <c r="G3075" t="s">
        <v>178</v>
      </c>
      <c r="H3075" t="s">
        <v>213</v>
      </c>
      <c r="I3075" t="s">
        <v>233</v>
      </c>
      <c r="J3075" t="s">
        <v>252</v>
      </c>
      <c r="K3075" t="s">
        <v>266</v>
      </c>
      <c r="L3075" t="s">
        <v>278</v>
      </c>
      <c r="M3075" t="s">
        <v>287</v>
      </c>
      <c r="N3075" t="s">
        <v>297</v>
      </c>
      <c r="O3075" t="s">
        <v>305</v>
      </c>
      <c r="P3075" t="s">
        <v>312</v>
      </c>
      <c r="Q3075" t="s">
        <v>319</v>
      </c>
      <c r="R3075">
        <f>&gt;10       ветра      2.6     19  19</f>
        <v>0</v>
      </c>
      <c r="AK3075" t="s">
        <v>359</v>
      </c>
    </row>
    <row r="3076" spans="1:37">
      <c r="A3076" t="s">
        <v>40</v>
      </c>
      <c r="B3076" t="s">
        <v>59</v>
      </c>
      <c r="C3076" t="s">
        <v>81</v>
      </c>
      <c r="D3076" t="s">
        <v>100</v>
      </c>
      <c r="E3076" t="s">
        <v>119</v>
      </c>
      <c r="F3076" t="s">
        <v>153</v>
      </c>
      <c r="G3076" t="s">
        <v>179</v>
      </c>
      <c r="H3076" t="s">
        <v>214</v>
      </c>
      <c r="I3076" t="s">
        <v>234</v>
      </c>
      <c r="AK3076" t="s">
        <v>359</v>
      </c>
    </row>
    <row r="3077" spans="1:37">
      <c r="A3077" t="s">
        <v>40</v>
      </c>
      <c r="B3077" t="s">
        <v>60</v>
      </c>
      <c r="C3077" t="s">
        <v>82</v>
      </c>
      <c r="D3077" t="s">
        <v>101</v>
      </c>
      <c r="E3077" t="s">
        <v>120</v>
      </c>
      <c r="F3077" t="s">
        <v>154</v>
      </c>
      <c r="G3077" t="s">
        <v>180</v>
      </c>
      <c r="H3077" t="s">
        <v>215</v>
      </c>
      <c r="I3077" t="s">
        <v>235</v>
      </c>
      <c r="J3077" t="s">
        <v>253</v>
      </c>
      <c r="K3077" t="s">
        <v>267</v>
      </c>
      <c r="L3077" t="s">
        <v>279</v>
      </c>
      <c r="M3077" t="s">
        <v>288</v>
      </c>
      <c r="N3077" t="s">
        <v>100</v>
      </c>
      <c r="O3077" t="s">
        <v>306</v>
      </c>
      <c r="P3077" t="s">
        <v>313</v>
      </c>
      <c r="Q3077" t="s">
        <v>320</v>
      </c>
      <c r="R3077" t="s">
        <v>325</v>
      </c>
      <c r="S3077" t="s">
        <v>332</v>
      </c>
      <c r="T3077" t="s">
        <v>119</v>
      </c>
      <c r="U3077" t="s">
        <v>234</v>
      </c>
      <c r="V3077" t="s">
        <v>343</v>
      </c>
      <c r="W3077" t="s">
        <v>348</v>
      </c>
      <c r="X3077" t="s">
        <v>352</v>
      </c>
      <c r="Y3077" t="s">
        <v>354</v>
      </c>
      <c r="AK3077" t="s">
        <v>359</v>
      </c>
    </row>
    <row r="3078" spans="1:37">
      <c r="A3078" t="s">
        <v>41</v>
      </c>
      <c r="B3078" t="s">
        <v>61</v>
      </c>
      <c r="C3078" t="s">
        <v>83</v>
      </c>
      <c r="D3078" t="s">
        <v>102</v>
      </c>
      <c r="E3078" t="s">
        <v>121</v>
      </c>
      <c r="F3078" t="s">
        <v>155</v>
      </c>
      <c r="G3078" t="s">
        <v>181</v>
      </c>
      <c r="H3078" t="s">
        <v>216</v>
      </c>
      <c r="I3078" t="s">
        <v>236</v>
      </c>
      <c r="AK3078" t="s">
        <v>359</v>
      </c>
    </row>
    <row r="3079" spans="1:37">
      <c r="A3079" t="s">
        <v>42</v>
      </c>
      <c r="B3079" t="s">
        <v>62</v>
      </c>
      <c r="C3079" t="s">
        <v>84</v>
      </c>
      <c r="D3079" t="s">
        <v>103</v>
      </c>
      <c r="E3079" t="s">
        <v>122</v>
      </c>
      <c r="F3079" t="s">
        <v>156</v>
      </c>
      <c r="G3079" t="s">
        <v>182</v>
      </c>
      <c r="H3079" t="s">
        <v>83</v>
      </c>
      <c r="I3079" t="s">
        <v>237</v>
      </c>
      <c r="J3079" t="s">
        <v>254</v>
      </c>
      <c r="K3079" t="s">
        <v>268</v>
      </c>
      <c r="L3079" t="s">
        <v>280</v>
      </c>
      <c r="M3079" t="s">
        <v>289</v>
      </c>
      <c r="N3079" t="s">
        <v>298</v>
      </c>
      <c r="O3079" t="s">
        <v>307</v>
      </c>
      <c r="P3079" t="s">
        <v>314</v>
      </c>
      <c r="Q3079" t="s">
        <v>216</v>
      </c>
      <c r="R3079" t="s">
        <v>326</v>
      </c>
      <c r="S3079" t="s">
        <v>333</v>
      </c>
      <c r="T3079" t="s">
        <v>335</v>
      </c>
      <c r="U3079" t="s">
        <v>340</v>
      </c>
      <c r="V3079" t="s">
        <v>344</v>
      </c>
      <c r="W3079" t="s">
        <v>349</v>
      </c>
      <c r="AK3079" t="s">
        <v>359</v>
      </c>
    </row>
    <row r="3080" spans="1:37">
      <c r="A3080" t="s">
        <v>43</v>
      </c>
      <c r="B3080" t="s">
        <v>63</v>
      </c>
      <c r="C3080" t="s">
        <v>85</v>
      </c>
      <c r="D3080" t="s">
        <v>104</v>
      </c>
      <c r="E3080" t="s">
        <v>123</v>
      </c>
      <c r="F3080" t="s">
        <v>157</v>
      </c>
      <c r="G3080" t="s">
        <v>183</v>
      </c>
      <c r="AK3080" t="s">
        <v>359</v>
      </c>
    </row>
    <row r="3081" spans="1:37">
      <c r="A3081" t="s">
        <v>44</v>
      </c>
      <c r="B3081" t="s">
        <v>64</v>
      </c>
      <c r="C3081" t="s">
        <v>86</v>
      </c>
      <c r="D3081" t="s">
        <v>105</v>
      </c>
      <c r="E3081" t="s">
        <v>124</v>
      </c>
      <c r="F3081" t="s">
        <v>158</v>
      </c>
      <c r="G3081" t="s">
        <v>184</v>
      </c>
      <c r="AK3081" t="s">
        <v>359</v>
      </c>
    </row>
    <row r="3082" spans="1:37">
      <c r="A3082" t="s">
        <v>45</v>
      </c>
      <c r="B3082" t="s">
        <v>65</v>
      </c>
      <c r="C3082" t="s">
        <v>87</v>
      </c>
      <c r="D3082" t="s">
        <v>106</v>
      </c>
      <c r="E3082" t="s">
        <v>125</v>
      </c>
      <c r="F3082" t="s">
        <v>159</v>
      </c>
      <c r="G3082" t="s">
        <v>185</v>
      </c>
      <c r="H3082" t="s">
        <v>159</v>
      </c>
      <c r="I3082" t="s">
        <v>185</v>
      </c>
      <c r="J3082" t="s">
        <v>255</v>
      </c>
      <c r="AK3082" t="s">
        <v>359</v>
      </c>
    </row>
    <row r="3083" spans="1:37">
      <c r="A3083" t="s">
        <v>46</v>
      </c>
      <c r="B3083" t="s">
        <v>66</v>
      </c>
      <c r="C3083" t="s">
        <v>88</v>
      </c>
      <c r="D3083" t="s">
        <v>76</v>
      </c>
      <c r="E3083" t="s">
        <v>126</v>
      </c>
      <c r="F3083" t="s">
        <v>160</v>
      </c>
      <c r="G3083" t="s">
        <v>186</v>
      </c>
      <c r="H3083" t="s">
        <v>217</v>
      </c>
      <c r="I3083" t="s">
        <v>238</v>
      </c>
      <c r="J3083" t="s">
        <v>256</v>
      </c>
      <c r="K3083" t="s">
        <v>265</v>
      </c>
      <c r="L3083" t="s">
        <v>281</v>
      </c>
      <c r="M3083" t="s">
        <v>290</v>
      </c>
      <c r="N3083" t="s">
        <v>299</v>
      </c>
      <c r="O3083" t="s">
        <v>308</v>
      </c>
      <c r="P3083" t="s">
        <v>228</v>
      </c>
      <c r="Q3083" t="s">
        <v>72</v>
      </c>
      <c r="R3083" t="s">
        <v>327</v>
      </c>
      <c r="S3083" t="s">
        <v>327</v>
      </c>
      <c r="T3083" t="s">
        <v>336</v>
      </c>
      <c r="U3083" t="s">
        <v>336</v>
      </c>
      <c r="V3083" t="s">
        <v>336</v>
      </c>
      <c r="W3083" t="s">
        <v>336</v>
      </c>
      <c r="X3083" t="s">
        <v>353</v>
      </c>
      <c r="AK3083" t="s">
        <v>359</v>
      </c>
    </row>
    <row r="3084" spans="1:37">
      <c r="B3084" t="s">
        <v>67</v>
      </c>
      <c r="C3084" t="s">
        <v>89</v>
      </c>
      <c r="D3084" t="s">
        <v>107</v>
      </c>
      <c r="AK3084" t="s">
        <v>359</v>
      </c>
    </row>
    <row r="3085" spans="1:37">
      <c r="B3085" t="s">
        <v>68</v>
      </c>
      <c r="C3085" t="s">
        <v>90</v>
      </c>
      <c r="D3085" t="s">
        <v>108</v>
      </c>
      <c r="AK3085" t="s">
        <v>359</v>
      </c>
    </row>
    <row r="3086" spans="1:37">
      <c r="A3086" t="s">
        <v>47</v>
      </c>
      <c r="B3086" t="s">
        <v>69</v>
      </c>
      <c r="C3086" t="s">
        <v>91</v>
      </c>
      <c r="D3086" t="s">
        <v>109</v>
      </c>
      <c r="E3086" t="s">
        <v>109</v>
      </c>
      <c r="F3086" t="s">
        <v>109</v>
      </c>
      <c r="G3086" t="s">
        <v>109</v>
      </c>
      <c r="H3086" t="s">
        <v>109</v>
      </c>
      <c r="I3086" t="s">
        <v>239</v>
      </c>
      <c r="AK3086" t="s">
        <v>359</v>
      </c>
    </row>
    <row r="3087" spans="1:37">
      <c r="B3087" t="s">
        <v>70</v>
      </c>
      <c r="C3087" t="s">
        <v>92</v>
      </c>
      <c r="D3087" t="s">
        <v>110</v>
      </c>
      <c r="E3087" t="s">
        <v>127</v>
      </c>
      <c r="F3087" t="s">
        <v>161</v>
      </c>
      <c r="G3087" t="s">
        <v>187</v>
      </c>
      <c r="H3087" t="s">
        <v>218</v>
      </c>
      <c r="AK3087" t="s">
        <v>359</v>
      </c>
    </row>
    <row r="3088" spans="1:37">
      <c r="B3088" t="s">
        <v>71</v>
      </c>
      <c r="C3088" t="s">
        <v>93</v>
      </c>
      <c r="D3088" t="s">
        <v>111</v>
      </c>
      <c r="E3088" t="s">
        <v>128</v>
      </c>
      <c r="F3088" t="s">
        <v>162</v>
      </c>
      <c r="G3088" t="s">
        <v>188</v>
      </c>
      <c r="H3088" t="s">
        <v>219</v>
      </c>
      <c r="I3088" t="s">
        <v>240</v>
      </c>
      <c r="J3088" t="s">
        <v>257</v>
      </c>
      <c r="K3088" t="s">
        <v>269</v>
      </c>
      <c r="L3088" t="s">
        <v>109</v>
      </c>
      <c r="M3088" t="s">
        <v>109</v>
      </c>
      <c r="N3088" t="s">
        <v>109</v>
      </c>
      <c r="O3088" t="s">
        <v>109</v>
      </c>
      <c r="P3088" t="s">
        <v>109</v>
      </c>
      <c r="Q3088" t="s">
        <v>321</v>
      </c>
      <c r="AK3088" t="s">
        <v>359</v>
      </c>
    </row>
    <row r="3089" spans="1:37">
      <c r="A3089" t="s">
        <v>48</v>
      </c>
      <c r="B3089" t="s">
        <v>71</v>
      </c>
      <c r="C3089" t="s">
        <v>93</v>
      </c>
      <c r="D3089" t="s">
        <v>111</v>
      </c>
      <c r="E3089" t="s">
        <v>128</v>
      </c>
      <c r="F3089" t="s">
        <v>163</v>
      </c>
      <c r="G3089" t="s">
        <v>189</v>
      </c>
      <c r="H3089" t="s">
        <v>220</v>
      </c>
      <c r="I3089" t="s">
        <v>241</v>
      </c>
      <c r="J3089" t="s">
        <v>258</v>
      </c>
      <c r="K3089" t="s">
        <v>270</v>
      </c>
      <c r="AK3089" t="s">
        <v>359</v>
      </c>
    </row>
    <row r="3090" spans="1:37">
      <c r="B3090" t="s">
        <v>72</v>
      </c>
      <c r="C3090" t="s">
        <v>72</v>
      </c>
      <c r="D3090" t="s">
        <v>72</v>
      </c>
      <c r="E3090" t="s">
        <v>72</v>
      </c>
      <c r="F3090" t="s">
        <v>72</v>
      </c>
      <c r="G3090" t="s">
        <v>72</v>
      </c>
      <c r="H3090" t="s">
        <v>72</v>
      </c>
      <c r="I3090" t="s">
        <v>72</v>
      </c>
      <c r="J3090" t="s">
        <v>72</v>
      </c>
      <c r="K3090" t="s">
        <v>272</v>
      </c>
      <c r="AK3090" t="s">
        <v>359</v>
      </c>
    </row>
    <row r="3091" spans="1:37">
      <c r="A3091" t="s">
        <v>37</v>
      </c>
      <c r="B3091" t="s">
        <v>49</v>
      </c>
      <c r="C3091" t="s">
        <v>73</v>
      </c>
      <c r="D3091" t="s">
        <v>94</v>
      </c>
      <c r="E3091" t="s">
        <v>112</v>
      </c>
      <c r="F3091" t="s">
        <v>146</v>
      </c>
      <c r="G3091" t="s">
        <v>172</v>
      </c>
      <c r="H3091" t="s">
        <v>207</v>
      </c>
      <c r="I3091" t="s">
        <v>226</v>
      </c>
      <c r="J3091" t="s">
        <v>246</v>
      </c>
      <c r="K3091" t="s">
        <v>259</v>
      </c>
      <c r="AK3091" t="s">
        <v>359</v>
      </c>
    </row>
    <row r="3092" spans="1:37">
      <c r="A3092" t="s">
        <v>38</v>
      </c>
      <c r="B3092" t="s">
        <v>50</v>
      </c>
      <c r="C3092" t="s">
        <v>74</v>
      </c>
      <c r="D3092" t="s">
        <v>95</v>
      </c>
      <c r="E3092" t="s">
        <v>113</v>
      </c>
      <c r="F3092" t="s">
        <v>147</v>
      </c>
      <c r="G3092" t="s">
        <v>173</v>
      </c>
      <c r="H3092" t="s">
        <v>208</v>
      </c>
      <c r="I3092" t="s">
        <v>227</v>
      </c>
      <c r="J3092" t="s">
        <v>115</v>
      </c>
      <c r="K3092" t="s">
        <v>260</v>
      </c>
      <c r="L3092" t="s">
        <v>273</v>
      </c>
      <c r="M3092" t="s">
        <v>282</v>
      </c>
      <c r="N3092" t="s">
        <v>291</v>
      </c>
      <c r="AK3092" t="s">
        <v>359</v>
      </c>
    </row>
    <row r="3093" spans="1:37">
      <c r="B3093" t="s">
        <v>51</v>
      </c>
      <c r="C3093" t="s">
        <v>75</v>
      </c>
      <c r="D3093" t="s">
        <v>52</v>
      </c>
      <c r="E3093" t="s">
        <v>114</v>
      </c>
      <c r="F3093" t="s">
        <v>148</v>
      </c>
      <c r="G3093" t="s">
        <v>148</v>
      </c>
      <c r="H3093" t="s">
        <v>209</v>
      </c>
      <c r="I3093" t="s">
        <v>228</v>
      </c>
      <c r="J3093" t="s">
        <v>247</v>
      </c>
      <c r="K3093" t="s">
        <v>261</v>
      </c>
      <c r="L3093" t="s">
        <v>274</v>
      </c>
      <c r="M3093" t="s">
        <v>283</v>
      </c>
      <c r="N3093" t="s">
        <v>292</v>
      </c>
      <c r="O3093" t="s">
        <v>300</v>
      </c>
      <c r="AK3093" t="s">
        <v>359</v>
      </c>
    </row>
    <row r="3094" spans="1:37">
      <c r="B3094" t="s">
        <v>52</v>
      </c>
      <c r="C3094" t="s">
        <v>76</v>
      </c>
      <c r="D3094" t="s">
        <v>96</v>
      </c>
      <c r="E3094" t="s">
        <v>115</v>
      </c>
      <c r="F3094" t="s">
        <v>149</v>
      </c>
      <c r="G3094" t="s">
        <v>174</v>
      </c>
      <c r="H3094" t="s">
        <v>96</v>
      </c>
      <c r="I3094" t="s">
        <v>229</v>
      </c>
      <c r="J3094" t="s">
        <v>248</v>
      </c>
      <c r="K3094" t="s">
        <v>262</v>
      </c>
      <c r="L3094" t="s">
        <v>52</v>
      </c>
      <c r="M3094" t="s">
        <v>76</v>
      </c>
      <c r="N3094" t="s">
        <v>293</v>
      </c>
      <c r="O3094" t="s">
        <v>301</v>
      </c>
      <c r="P3094" t="s">
        <v>309</v>
      </c>
      <c r="Q3094" t="s">
        <v>315</v>
      </c>
      <c r="R3094" t="s">
        <v>228</v>
      </c>
      <c r="S3094" t="s">
        <v>328</v>
      </c>
      <c r="T3094" t="s">
        <v>149</v>
      </c>
      <c r="U3094" t="s">
        <v>337</v>
      </c>
      <c r="V3094" t="s">
        <v>341</v>
      </c>
      <c r="W3094" t="s">
        <v>345</v>
      </c>
      <c r="X3094" t="s">
        <v>350</v>
      </c>
      <c r="AK3094" t="s">
        <v>359</v>
      </c>
    </row>
    <row r="3095" spans="1:37">
      <c r="B3095" t="s">
        <v>53</v>
      </c>
      <c r="C3095" t="s">
        <v>77</v>
      </c>
      <c r="D3095" t="s">
        <v>97</v>
      </c>
      <c r="E3095" t="s">
        <v>116</v>
      </c>
      <c r="F3095" t="s">
        <v>150</v>
      </c>
      <c r="G3095" t="s">
        <v>175</v>
      </c>
      <c r="H3095" t="s">
        <v>210</v>
      </c>
      <c r="I3095" t="s">
        <v>230</v>
      </c>
      <c r="J3095" t="s">
        <v>249</v>
      </c>
      <c r="K3095" t="s">
        <v>263</v>
      </c>
      <c r="L3095" t="s">
        <v>275</v>
      </c>
      <c r="M3095" t="s">
        <v>284</v>
      </c>
      <c r="N3095" t="s">
        <v>294</v>
      </c>
      <c r="O3095" t="s">
        <v>302</v>
      </c>
      <c r="P3095" t="s">
        <v>310</v>
      </c>
      <c r="Q3095" t="s">
        <v>316</v>
      </c>
      <c r="R3095" t="s">
        <v>322</v>
      </c>
      <c r="S3095" t="s">
        <v>329</v>
      </c>
      <c r="AK3095" t="s">
        <v>359</v>
      </c>
    </row>
    <row r="3096" spans="1:37">
      <c r="A3096" t="s">
        <v>39</v>
      </c>
      <c r="B3096" t="s">
        <v>54</v>
      </c>
      <c r="C3096" t="s">
        <v>54</v>
      </c>
      <c r="D3096" t="s">
        <v>54</v>
      </c>
      <c r="E3096" t="s">
        <v>54</v>
      </c>
      <c r="F3096" t="s">
        <v>54</v>
      </c>
      <c r="G3096" t="s">
        <v>54</v>
      </c>
      <c r="H3096" t="s">
        <v>54</v>
      </c>
      <c r="I3096" t="s">
        <v>54</v>
      </c>
      <c r="J3096" t="s">
        <v>54</v>
      </c>
      <c r="K3096" t="s">
        <v>54</v>
      </c>
      <c r="L3096" t="s">
        <v>54</v>
      </c>
      <c r="M3096" t="s">
        <v>54</v>
      </c>
      <c r="N3096" t="s">
        <v>54</v>
      </c>
      <c r="O3096" t="s">
        <v>54</v>
      </c>
      <c r="P3096" t="s">
        <v>54</v>
      </c>
      <c r="Q3096" t="s">
        <v>54</v>
      </c>
      <c r="R3096" t="s">
        <v>323</v>
      </c>
      <c r="S3096" t="s">
        <v>330</v>
      </c>
      <c r="AK3096" t="s">
        <v>359</v>
      </c>
    </row>
    <row r="3097" spans="1:37">
      <c r="B3097" t="s">
        <v>55</v>
      </c>
      <c r="C3097" t="s">
        <v>78</v>
      </c>
      <c r="D3097" t="s">
        <v>55</v>
      </c>
      <c r="E3097" t="s">
        <v>78</v>
      </c>
      <c r="F3097" t="s">
        <v>55</v>
      </c>
      <c r="G3097" t="s">
        <v>78</v>
      </c>
      <c r="H3097" t="s">
        <v>55</v>
      </c>
      <c r="I3097" t="s">
        <v>78</v>
      </c>
      <c r="J3097" t="s">
        <v>55</v>
      </c>
      <c r="K3097" t="s">
        <v>78</v>
      </c>
      <c r="L3097" t="s">
        <v>55</v>
      </c>
      <c r="M3097" t="s">
        <v>78</v>
      </c>
      <c r="N3097" t="s">
        <v>55</v>
      </c>
      <c r="O3097" t="s">
        <v>78</v>
      </c>
      <c r="P3097" t="s">
        <v>55</v>
      </c>
      <c r="Q3097" t="s">
        <v>78</v>
      </c>
      <c r="R3097" t="s">
        <v>55</v>
      </c>
      <c r="S3097" t="s">
        <v>78</v>
      </c>
      <c r="T3097" t="s">
        <v>55</v>
      </c>
      <c r="U3097" t="s">
        <v>78</v>
      </c>
      <c r="V3097" t="s">
        <v>55</v>
      </c>
      <c r="W3097" t="s">
        <v>78</v>
      </c>
      <c r="X3097" t="s">
        <v>55</v>
      </c>
      <c r="Y3097" t="s">
        <v>78</v>
      </c>
      <c r="Z3097" t="s">
        <v>55</v>
      </c>
      <c r="AA3097" t="s">
        <v>78</v>
      </c>
      <c r="AB3097" t="s">
        <v>55</v>
      </c>
      <c r="AC3097" t="s">
        <v>78</v>
      </c>
      <c r="AD3097" t="s">
        <v>55</v>
      </c>
      <c r="AE3097" t="s">
        <v>78</v>
      </c>
      <c r="AF3097" t="s">
        <v>55</v>
      </c>
      <c r="AG3097" t="s">
        <v>78</v>
      </c>
      <c r="AH3097" t="s">
        <v>55</v>
      </c>
      <c r="AI3097" t="s">
        <v>78</v>
      </c>
      <c r="AK3097" t="s">
        <v>359</v>
      </c>
    </row>
    <row r="3098" spans="1:37">
      <c r="B3098" t="s">
        <v>56</v>
      </c>
      <c r="C3098" t="s">
        <v>56</v>
      </c>
      <c r="D3098" t="s">
        <v>56</v>
      </c>
      <c r="E3098" t="s">
        <v>56</v>
      </c>
      <c r="F3098" t="s">
        <v>56</v>
      </c>
      <c r="G3098" t="s">
        <v>176</v>
      </c>
      <c r="H3098" t="s">
        <v>211</v>
      </c>
      <c r="I3098" t="s">
        <v>231</v>
      </c>
      <c r="J3098" t="s">
        <v>250</v>
      </c>
      <c r="K3098" t="s">
        <v>264</v>
      </c>
      <c r="L3098" t="s">
        <v>276</v>
      </c>
      <c r="M3098" t="s">
        <v>285</v>
      </c>
      <c r="N3098" t="s">
        <v>295</v>
      </c>
      <c r="O3098" t="s">
        <v>303</v>
      </c>
      <c r="P3098" t="s">
        <v>56</v>
      </c>
      <c r="Q3098" t="s">
        <v>317</v>
      </c>
      <c r="R3098" t="s">
        <v>324</v>
      </c>
      <c r="S3098" t="s">
        <v>331</v>
      </c>
      <c r="T3098" t="s">
        <v>334</v>
      </c>
      <c r="U3098" t="s">
        <v>338</v>
      </c>
      <c r="V3098" t="s">
        <v>342</v>
      </c>
      <c r="W3098" t="s">
        <v>346</v>
      </c>
      <c r="X3098" t="s">
        <v>351</v>
      </c>
      <c r="AK3098" t="s">
        <v>359</v>
      </c>
    </row>
    <row r="3099" spans="1:37">
      <c r="B3099" t="s">
        <v>57</v>
      </c>
      <c r="C3099" t="s">
        <v>79</v>
      </c>
      <c r="D3099" t="s">
        <v>98</v>
      </c>
      <c r="E3099" t="s">
        <v>117</v>
      </c>
      <c r="F3099" t="s">
        <v>151</v>
      </c>
      <c r="G3099" t="s">
        <v>177</v>
      </c>
      <c r="H3099" t="s">
        <v>212</v>
      </c>
      <c r="I3099" t="s">
        <v>232</v>
      </c>
      <c r="J3099" t="s">
        <v>251</v>
      </c>
      <c r="K3099" t="s">
        <v>265</v>
      </c>
      <c r="L3099" t="s">
        <v>277</v>
      </c>
      <c r="M3099" t="s">
        <v>286</v>
      </c>
      <c r="N3099" t="s">
        <v>296</v>
      </c>
      <c r="O3099" t="s">
        <v>304</v>
      </c>
      <c r="P3099" t="s">
        <v>311</v>
      </c>
      <c r="Q3099" t="s">
        <v>318</v>
      </c>
      <c r="R3099" t="s">
        <v>185</v>
      </c>
      <c r="S3099" t="s">
        <v>159</v>
      </c>
      <c r="T3099" t="s">
        <v>185</v>
      </c>
      <c r="U3099" t="s">
        <v>339</v>
      </c>
      <c r="V3099" t="s">
        <v>72</v>
      </c>
      <c r="W3099" t="s">
        <v>347</v>
      </c>
      <c r="X3099" t="s">
        <v>72</v>
      </c>
      <c r="Y3099" t="s">
        <v>96</v>
      </c>
      <c r="AK3099" t="s">
        <v>359</v>
      </c>
    </row>
    <row r="3100" spans="1:37">
      <c r="B3100" t="s">
        <v>58</v>
      </c>
      <c r="C3100" t="s">
        <v>80</v>
      </c>
      <c r="D3100" t="s">
        <v>99</v>
      </c>
      <c r="E3100" t="s">
        <v>118</v>
      </c>
      <c r="F3100" t="s">
        <v>152</v>
      </c>
      <c r="G3100" t="s">
        <v>178</v>
      </c>
      <c r="H3100" t="s">
        <v>213</v>
      </c>
      <c r="I3100" t="s">
        <v>233</v>
      </c>
      <c r="J3100" t="s">
        <v>252</v>
      </c>
      <c r="K3100" t="s">
        <v>266</v>
      </c>
      <c r="L3100" t="s">
        <v>278</v>
      </c>
      <c r="M3100" t="s">
        <v>287</v>
      </c>
      <c r="N3100" t="s">
        <v>297</v>
      </c>
      <c r="O3100" t="s">
        <v>305</v>
      </c>
      <c r="P3100" t="s">
        <v>312</v>
      </c>
      <c r="Q3100" t="s">
        <v>319</v>
      </c>
      <c r="R3100">
        <f>&gt;10       ветра      1.8     16   3</f>
        <v>0</v>
      </c>
      <c r="AK3100" t="s">
        <v>359</v>
      </c>
    </row>
    <row r="3101" spans="1:37">
      <c r="A3101" t="s">
        <v>40</v>
      </c>
      <c r="B3101" t="s">
        <v>59</v>
      </c>
      <c r="C3101" t="s">
        <v>81</v>
      </c>
      <c r="D3101" t="s">
        <v>100</v>
      </c>
      <c r="E3101" t="s">
        <v>119</v>
      </c>
      <c r="F3101" t="s">
        <v>153</v>
      </c>
      <c r="G3101" t="s">
        <v>179</v>
      </c>
      <c r="H3101" t="s">
        <v>214</v>
      </c>
      <c r="I3101" t="s">
        <v>234</v>
      </c>
      <c r="AK3101" t="s">
        <v>359</v>
      </c>
    </row>
    <row r="3102" spans="1:37">
      <c r="A3102" t="s">
        <v>40</v>
      </c>
      <c r="B3102" t="s">
        <v>60</v>
      </c>
      <c r="C3102" t="s">
        <v>82</v>
      </c>
      <c r="D3102" t="s">
        <v>101</v>
      </c>
      <c r="E3102" t="s">
        <v>120</v>
      </c>
      <c r="F3102" t="s">
        <v>154</v>
      </c>
      <c r="G3102" t="s">
        <v>180</v>
      </c>
      <c r="H3102" t="s">
        <v>215</v>
      </c>
      <c r="I3102" t="s">
        <v>235</v>
      </c>
      <c r="J3102" t="s">
        <v>253</v>
      </c>
      <c r="K3102" t="s">
        <v>267</v>
      </c>
      <c r="L3102" t="s">
        <v>279</v>
      </c>
      <c r="M3102" t="s">
        <v>288</v>
      </c>
      <c r="N3102" t="s">
        <v>100</v>
      </c>
      <c r="O3102" t="s">
        <v>306</v>
      </c>
      <c r="P3102" t="s">
        <v>313</v>
      </c>
      <c r="Q3102" t="s">
        <v>320</v>
      </c>
      <c r="R3102" t="s">
        <v>325</v>
      </c>
      <c r="S3102" t="s">
        <v>332</v>
      </c>
      <c r="T3102" t="s">
        <v>119</v>
      </c>
      <c r="U3102" t="s">
        <v>234</v>
      </c>
      <c r="V3102" t="s">
        <v>343</v>
      </c>
      <c r="W3102" t="s">
        <v>348</v>
      </c>
      <c r="X3102" t="s">
        <v>352</v>
      </c>
      <c r="Y3102" t="s">
        <v>354</v>
      </c>
      <c r="AK3102" t="s">
        <v>359</v>
      </c>
    </row>
    <row r="3103" spans="1:37">
      <c r="A3103" t="s">
        <v>41</v>
      </c>
      <c r="B3103" t="s">
        <v>61</v>
      </c>
      <c r="C3103" t="s">
        <v>83</v>
      </c>
      <c r="D3103" t="s">
        <v>102</v>
      </c>
      <c r="E3103" t="s">
        <v>121</v>
      </c>
      <c r="F3103" t="s">
        <v>155</v>
      </c>
      <c r="G3103" t="s">
        <v>181</v>
      </c>
      <c r="H3103" t="s">
        <v>216</v>
      </c>
      <c r="I3103" t="s">
        <v>236</v>
      </c>
      <c r="AK3103" t="s">
        <v>359</v>
      </c>
    </row>
    <row r="3104" spans="1:37">
      <c r="A3104" t="s">
        <v>42</v>
      </c>
      <c r="B3104" t="s">
        <v>62</v>
      </c>
      <c r="C3104" t="s">
        <v>84</v>
      </c>
      <c r="D3104" t="s">
        <v>103</v>
      </c>
      <c r="E3104" t="s">
        <v>122</v>
      </c>
      <c r="F3104" t="s">
        <v>156</v>
      </c>
      <c r="G3104" t="s">
        <v>182</v>
      </c>
      <c r="H3104" t="s">
        <v>83</v>
      </c>
      <c r="I3104" t="s">
        <v>237</v>
      </c>
      <c r="J3104" t="s">
        <v>254</v>
      </c>
      <c r="K3104" t="s">
        <v>268</v>
      </c>
      <c r="L3104" t="s">
        <v>280</v>
      </c>
      <c r="M3104" t="s">
        <v>289</v>
      </c>
      <c r="N3104" t="s">
        <v>298</v>
      </c>
      <c r="O3104" t="s">
        <v>307</v>
      </c>
      <c r="P3104" t="s">
        <v>314</v>
      </c>
      <c r="Q3104" t="s">
        <v>216</v>
      </c>
      <c r="R3104" t="s">
        <v>326</v>
      </c>
      <c r="S3104" t="s">
        <v>333</v>
      </c>
      <c r="T3104" t="s">
        <v>335</v>
      </c>
      <c r="U3104" t="s">
        <v>340</v>
      </c>
      <c r="V3104" t="s">
        <v>344</v>
      </c>
      <c r="W3104" t="s">
        <v>349</v>
      </c>
      <c r="AK3104" t="s">
        <v>359</v>
      </c>
    </row>
    <row r="3105" spans="1:37">
      <c r="A3105" t="s">
        <v>43</v>
      </c>
      <c r="B3105" t="s">
        <v>63</v>
      </c>
      <c r="C3105" t="s">
        <v>85</v>
      </c>
      <c r="D3105" t="s">
        <v>104</v>
      </c>
      <c r="E3105" t="s">
        <v>123</v>
      </c>
      <c r="F3105" t="s">
        <v>157</v>
      </c>
      <c r="G3105" t="s">
        <v>183</v>
      </c>
      <c r="AK3105" t="s">
        <v>359</v>
      </c>
    </row>
    <row r="3106" spans="1:37">
      <c r="A3106" t="s">
        <v>44</v>
      </c>
      <c r="B3106" t="s">
        <v>64</v>
      </c>
      <c r="C3106" t="s">
        <v>86</v>
      </c>
      <c r="D3106" t="s">
        <v>105</v>
      </c>
      <c r="E3106" t="s">
        <v>124</v>
      </c>
      <c r="F3106" t="s">
        <v>158</v>
      </c>
      <c r="G3106" t="s">
        <v>184</v>
      </c>
      <c r="AK3106" t="s">
        <v>359</v>
      </c>
    </row>
    <row r="3107" spans="1:37">
      <c r="A3107" t="s">
        <v>45</v>
      </c>
      <c r="B3107" t="s">
        <v>65</v>
      </c>
      <c r="C3107" t="s">
        <v>87</v>
      </c>
      <c r="D3107" t="s">
        <v>106</v>
      </c>
      <c r="E3107" t="s">
        <v>125</v>
      </c>
      <c r="F3107" t="s">
        <v>159</v>
      </c>
      <c r="G3107" t="s">
        <v>185</v>
      </c>
      <c r="H3107" t="s">
        <v>159</v>
      </c>
      <c r="I3107" t="s">
        <v>185</v>
      </c>
      <c r="J3107" t="s">
        <v>255</v>
      </c>
      <c r="AK3107" t="s">
        <v>359</v>
      </c>
    </row>
    <row r="3108" spans="1:37">
      <c r="A3108" t="s">
        <v>46</v>
      </c>
      <c r="B3108" t="s">
        <v>66</v>
      </c>
      <c r="C3108" t="s">
        <v>88</v>
      </c>
      <c r="D3108" t="s">
        <v>76</v>
      </c>
      <c r="E3108" t="s">
        <v>126</v>
      </c>
      <c r="F3108" t="s">
        <v>160</v>
      </c>
      <c r="G3108" t="s">
        <v>186</v>
      </c>
      <c r="H3108" t="s">
        <v>217</v>
      </c>
      <c r="I3108" t="s">
        <v>238</v>
      </c>
      <c r="J3108" t="s">
        <v>256</v>
      </c>
      <c r="K3108" t="s">
        <v>265</v>
      </c>
      <c r="L3108" t="s">
        <v>281</v>
      </c>
      <c r="M3108" t="s">
        <v>290</v>
      </c>
      <c r="N3108" t="s">
        <v>299</v>
      </c>
      <c r="O3108" t="s">
        <v>308</v>
      </c>
      <c r="P3108" t="s">
        <v>228</v>
      </c>
      <c r="Q3108" t="s">
        <v>72</v>
      </c>
      <c r="R3108" t="s">
        <v>327</v>
      </c>
      <c r="S3108" t="s">
        <v>327</v>
      </c>
      <c r="T3108" t="s">
        <v>336</v>
      </c>
      <c r="U3108" t="s">
        <v>336</v>
      </c>
      <c r="V3108" t="s">
        <v>336</v>
      </c>
      <c r="W3108" t="s">
        <v>336</v>
      </c>
      <c r="X3108" t="s">
        <v>353</v>
      </c>
      <c r="AK3108" t="s">
        <v>359</v>
      </c>
    </row>
    <row r="3109" spans="1:37">
      <c r="B3109" t="s">
        <v>67</v>
      </c>
      <c r="C3109" t="s">
        <v>89</v>
      </c>
      <c r="D3109" t="s">
        <v>107</v>
      </c>
      <c r="AK3109" t="s">
        <v>359</v>
      </c>
    </row>
    <row r="3110" spans="1:37">
      <c r="B3110" t="s">
        <v>68</v>
      </c>
      <c r="C3110" t="s">
        <v>90</v>
      </c>
      <c r="D3110" t="s">
        <v>108</v>
      </c>
      <c r="AK3110" t="s">
        <v>359</v>
      </c>
    </row>
    <row r="3111" spans="1:37">
      <c r="A3111" t="s">
        <v>47</v>
      </c>
      <c r="B3111" t="s">
        <v>69</v>
      </c>
      <c r="C3111" t="s">
        <v>91</v>
      </c>
      <c r="D3111" t="s">
        <v>109</v>
      </c>
      <c r="E3111" t="s">
        <v>109</v>
      </c>
      <c r="F3111" t="s">
        <v>109</v>
      </c>
      <c r="G3111" t="s">
        <v>109</v>
      </c>
      <c r="H3111" t="s">
        <v>109</v>
      </c>
      <c r="I3111" t="s">
        <v>239</v>
      </c>
      <c r="AK3111" t="s">
        <v>359</v>
      </c>
    </row>
    <row r="3112" spans="1:37">
      <c r="B3112" t="s">
        <v>70</v>
      </c>
      <c r="C3112" t="s">
        <v>92</v>
      </c>
      <c r="D3112" t="s">
        <v>110</v>
      </c>
      <c r="E3112" t="s">
        <v>127</v>
      </c>
      <c r="F3112" t="s">
        <v>161</v>
      </c>
      <c r="G3112" t="s">
        <v>187</v>
      </c>
      <c r="H3112" t="s">
        <v>218</v>
      </c>
      <c r="AK3112" t="s">
        <v>359</v>
      </c>
    </row>
    <row r="3113" spans="1:37">
      <c r="B3113" t="s">
        <v>71</v>
      </c>
      <c r="C3113" t="s">
        <v>93</v>
      </c>
      <c r="D3113" t="s">
        <v>111</v>
      </c>
      <c r="E3113" t="s">
        <v>128</v>
      </c>
      <c r="F3113" t="s">
        <v>162</v>
      </c>
      <c r="G3113" t="s">
        <v>188</v>
      </c>
      <c r="H3113" t="s">
        <v>219</v>
      </c>
      <c r="I3113" t="s">
        <v>240</v>
      </c>
      <c r="J3113" t="s">
        <v>257</v>
      </c>
      <c r="K3113" t="s">
        <v>269</v>
      </c>
      <c r="L3113" t="s">
        <v>109</v>
      </c>
      <c r="M3113" t="s">
        <v>109</v>
      </c>
      <c r="N3113" t="s">
        <v>109</v>
      </c>
      <c r="O3113" t="s">
        <v>109</v>
      </c>
      <c r="P3113" t="s">
        <v>109</v>
      </c>
      <c r="Q3113" t="s">
        <v>321</v>
      </c>
      <c r="AK3113" t="s">
        <v>359</v>
      </c>
    </row>
    <row r="3114" spans="1:37">
      <c r="A3114" t="s">
        <v>48</v>
      </c>
      <c r="B3114" t="s">
        <v>71</v>
      </c>
      <c r="C3114" t="s">
        <v>93</v>
      </c>
      <c r="D3114" t="s">
        <v>111</v>
      </c>
      <c r="E3114" t="s">
        <v>128</v>
      </c>
      <c r="F3114" t="s">
        <v>163</v>
      </c>
      <c r="G3114" t="s">
        <v>189</v>
      </c>
      <c r="H3114" t="s">
        <v>220</v>
      </c>
      <c r="I3114" t="s">
        <v>241</v>
      </c>
      <c r="J3114" t="s">
        <v>258</v>
      </c>
      <c r="K3114" t="s">
        <v>270</v>
      </c>
      <c r="AK3114" t="s">
        <v>359</v>
      </c>
    </row>
    <row r="3115" spans="1:37">
      <c r="B3115" t="s">
        <v>72</v>
      </c>
      <c r="C3115" t="s">
        <v>72</v>
      </c>
      <c r="D3115" t="s">
        <v>72</v>
      </c>
      <c r="E3115" t="s">
        <v>72</v>
      </c>
      <c r="F3115" t="s">
        <v>72</v>
      </c>
      <c r="G3115" t="s">
        <v>72</v>
      </c>
      <c r="H3115" t="s">
        <v>72</v>
      </c>
      <c r="I3115" t="s">
        <v>72</v>
      </c>
      <c r="J3115" t="s">
        <v>72</v>
      </c>
      <c r="K3115" t="s">
        <v>272</v>
      </c>
      <c r="AK3115" t="s">
        <v>359</v>
      </c>
    </row>
    <row r="3116" spans="1:37">
      <c r="A3116" t="s">
        <v>37</v>
      </c>
      <c r="B3116" t="s">
        <v>49</v>
      </c>
      <c r="C3116" t="s">
        <v>73</v>
      </c>
      <c r="D3116" t="s">
        <v>94</v>
      </c>
      <c r="E3116" t="s">
        <v>112</v>
      </c>
      <c r="F3116" t="s">
        <v>146</v>
      </c>
      <c r="G3116" t="s">
        <v>172</v>
      </c>
      <c r="H3116" t="s">
        <v>207</v>
      </c>
      <c r="I3116" t="s">
        <v>226</v>
      </c>
      <c r="J3116" t="s">
        <v>246</v>
      </c>
      <c r="K3116" t="s">
        <v>259</v>
      </c>
      <c r="AK3116" t="s">
        <v>359</v>
      </c>
    </row>
    <row r="3117" spans="1:37">
      <c r="A3117" t="s">
        <v>38</v>
      </c>
      <c r="B3117" t="s">
        <v>50</v>
      </c>
      <c r="C3117" t="s">
        <v>74</v>
      </c>
      <c r="D3117" t="s">
        <v>95</v>
      </c>
      <c r="E3117" t="s">
        <v>113</v>
      </c>
      <c r="F3117" t="s">
        <v>147</v>
      </c>
      <c r="G3117" t="s">
        <v>173</v>
      </c>
      <c r="H3117" t="s">
        <v>208</v>
      </c>
      <c r="I3117" t="s">
        <v>227</v>
      </c>
      <c r="J3117" t="s">
        <v>115</v>
      </c>
      <c r="K3117" t="s">
        <v>260</v>
      </c>
      <c r="L3117" t="s">
        <v>273</v>
      </c>
      <c r="M3117" t="s">
        <v>282</v>
      </c>
      <c r="N3117" t="s">
        <v>291</v>
      </c>
      <c r="AK3117" t="s">
        <v>359</v>
      </c>
    </row>
    <row r="3118" spans="1:37">
      <c r="B3118" t="s">
        <v>51</v>
      </c>
      <c r="C3118" t="s">
        <v>75</v>
      </c>
      <c r="D3118" t="s">
        <v>52</v>
      </c>
      <c r="E3118" t="s">
        <v>114</v>
      </c>
      <c r="F3118" t="s">
        <v>148</v>
      </c>
      <c r="G3118" t="s">
        <v>148</v>
      </c>
      <c r="H3118" t="s">
        <v>209</v>
      </c>
      <c r="I3118" t="s">
        <v>228</v>
      </c>
      <c r="J3118" t="s">
        <v>247</v>
      </c>
      <c r="K3118" t="s">
        <v>261</v>
      </c>
      <c r="L3118" t="s">
        <v>274</v>
      </c>
      <c r="M3118" t="s">
        <v>283</v>
      </c>
      <c r="N3118" t="s">
        <v>292</v>
      </c>
      <c r="O3118" t="s">
        <v>300</v>
      </c>
      <c r="AK3118" t="s">
        <v>359</v>
      </c>
    </row>
    <row r="3119" spans="1:37">
      <c r="B3119" t="s">
        <v>52</v>
      </c>
      <c r="C3119" t="s">
        <v>76</v>
      </c>
      <c r="D3119" t="s">
        <v>96</v>
      </c>
      <c r="E3119" t="s">
        <v>115</v>
      </c>
      <c r="F3119" t="s">
        <v>149</v>
      </c>
      <c r="G3119" t="s">
        <v>174</v>
      </c>
      <c r="H3119" t="s">
        <v>96</v>
      </c>
      <c r="I3119" t="s">
        <v>229</v>
      </c>
      <c r="J3119" t="s">
        <v>248</v>
      </c>
      <c r="K3119" t="s">
        <v>262</v>
      </c>
      <c r="L3119" t="s">
        <v>52</v>
      </c>
      <c r="M3119" t="s">
        <v>76</v>
      </c>
      <c r="N3119" t="s">
        <v>293</v>
      </c>
      <c r="O3119" t="s">
        <v>301</v>
      </c>
      <c r="P3119" t="s">
        <v>309</v>
      </c>
      <c r="Q3119" t="s">
        <v>315</v>
      </c>
      <c r="R3119" t="s">
        <v>228</v>
      </c>
      <c r="S3119" t="s">
        <v>328</v>
      </c>
      <c r="T3119" t="s">
        <v>149</v>
      </c>
      <c r="U3119" t="s">
        <v>337</v>
      </c>
      <c r="V3119" t="s">
        <v>341</v>
      </c>
      <c r="W3119" t="s">
        <v>345</v>
      </c>
      <c r="X3119" t="s">
        <v>350</v>
      </c>
      <c r="AK3119" t="s">
        <v>359</v>
      </c>
    </row>
    <row r="3120" spans="1:37">
      <c r="B3120" t="s">
        <v>53</v>
      </c>
      <c r="C3120" t="s">
        <v>77</v>
      </c>
      <c r="D3120" t="s">
        <v>97</v>
      </c>
      <c r="E3120" t="s">
        <v>116</v>
      </c>
      <c r="F3120" t="s">
        <v>150</v>
      </c>
      <c r="G3120" t="s">
        <v>175</v>
      </c>
      <c r="H3120" t="s">
        <v>210</v>
      </c>
      <c r="I3120" t="s">
        <v>230</v>
      </c>
      <c r="J3120" t="s">
        <v>249</v>
      </c>
      <c r="K3120" t="s">
        <v>263</v>
      </c>
      <c r="L3120" t="s">
        <v>275</v>
      </c>
      <c r="M3120" t="s">
        <v>284</v>
      </c>
      <c r="N3120" t="s">
        <v>294</v>
      </c>
      <c r="O3120" t="s">
        <v>302</v>
      </c>
      <c r="P3120" t="s">
        <v>310</v>
      </c>
      <c r="Q3120" t="s">
        <v>316</v>
      </c>
      <c r="R3120" t="s">
        <v>322</v>
      </c>
      <c r="S3120" t="s">
        <v>329</v>
      </c>
      <c r="AK3120" t="s">
        <v>359</v>
      </c>
    </row>
    <row r="3121" spans="1:37">
      <c r="A3121" t="s">
        <v>39</v>
      </c>
      <c r="B3121" t="s">
        <v>54</v>
      </c>
      <c r="C3121" t="s">
        <v>54</v>
      </c>
      <c r="D3121" t="s">
        <v>54</v>
      </c>
      <c r="E3121" t="s">
        <v>54</v>
      </c>
      <c r="F3121" t="s">
        <v>54</v>
      </c>
      <c r="G3121" t="s">
        <v>54</v>
      </c>
      <c r="H3121" t="s">
        <v>54</v>
      </c>
      <c r="I3121" t="s">
        <v>54</v>
      </c>
      <c r="J3121" t="s">
        <v>54</v>
      </c>
      <c r="K3121" t="s">
        <v>54</v>
      </c>
      <c r="L3121" t="s">
        <v>54</v>
      </c>
      <c r="M3121" t="s">
        <v>54</v>
      </c>
      <c r="N3121" t="s">
        <v>54</v>
      </c>
      <c r="O3121" t="s">
        <v>54</v>
      </c>
      <c r="P3121" t="s">
        <v>54</v>
      </c>
      <c r="Q3121" t="s">
        <v>54</v>
      </c>
      <c r="R3121" t="s">
        <v>323</v>
      </c>
      <c r="S3121" t="s">
        <v>330</v>
      </c>
      <c r="AK3121" t="s">
        <v>359</v>
      </c>
    </row>
    <row r="3122" spans="1:37">
      <c r="B3122" t="s">
        <v>55</v>
      </c>
      <c r="C3122" t="s">
        <v>78</v>
      </c>
      <c r="D3122" t="s">
        <v>55</v>
      </c>
      <c r="E3122" t="s">
        <v>78</v>
      </c>
      <c r="F3122" t="s">
        <v>55</v>
      </c>
      <c r="G3122" t="s">
        <v>78</v>
      </c>
      <c r="H3122" t="s">
        <v>55</v>
      </c>
      <c r="I3122" t="s">
        <v>78</v>
      </c>
      <c r="J3122" t="s">
        <v>55</v>
      </c>
      <c r="K3122" t="s">
        <v>78</v>
      </c>
      <c r="L3122" t="s">
        <v>55</v>
      </c>
      <c r="M3122" t="s">
        <v>78</v>
      </c>
      <c r="N3122" t="s">
        <v>55</v>
      </c>
      <c r="O3122" t="s">
        <v>78</v>
      </c>
      <c r="P3122" t="s">
        <v>55</v>
      </c>
      <c r="Q3122" t="s">
        <v>78</v>
      </c>
      <c r="R3122" t="s">
        <v>55</v>
      </c>
      <c r="S3122" t="s">
        <v>78</v>
      </c>
      <c r="T3122" t="s">
        <v>55</v>
      </c>
      <c r="U3122" t="s">
        <v>78</v>
      </c>
      <c r="V3122" t="s">
        <v>55</v>
      </c>
      <c r="W3122" t="s">
        <v>78</v>
      </c>
      <c r="X3122" t="s">
        <v>55</v>
      </c>
      <c r="Y3122" t="s">
        <v>78</v>
      </c>
      <c r="Z3122" t="s">
        <v>55</v>
      </c>
      <c r="AA3122" t="s">
        <v>78</v>
      </c>
      <c r="AB3122" t="s">
        <v>55</v>
      </c>
      <c r="AC3122" t="s">
        <v>78</v>
      </c>
      <c r="AD3122" t="s">
        <v>55</v>
      </c>
      <c r="AE3122" t="s">
        <v>78</v>
      </c>
      <c r="AF3122" t="s">
        <v>55</v>
      </c>
      <c r="AG3122" t="s">
        <v>78</v>
      </c>
      <c r="AH3122" t="s">
        <v>55</v>
      </c>
      <c r="AI3122" t="s">
        <v>78</v>
      </c>
      <c r="AK3122" t="s">
        <v>359</v>
      </c>
    </row>
    <row r="3123" spans="1:37">
      <c r="B3123" t="s">
        <v>56</v>
      </c>
      <c r="C3123" t="s">
        <v>56</v>
      </c>
      <c r="D3123" t="s">
        <v>56</v>
      </c>
      <c r="E3123" t="s">
        <v>56</v>
      </c>
      <c r="F3123" t="s">
        <v>56</v>
      </c>
      <c r="G3123" t="s">
        <v>176</v>
      </c>
      <c r="H3123" t="s">
        <v>211</v>
      </c>
      <c r="I3123" t="s">
        <v>231</v>
      </c>
      <c r="J3123" t="s">
        <v>250</v>
      </c>
      <c r="K3123" t="s">
        <v>264</v>
      </c>
      <c r="L3123" t="s">
        <v>276</v>
      </c>
      <c r="M3123" t="s">
        <v>285</v>
      </c>
      <c r="N3123" t="s">
        <v>295</v>
      </c>
      <c r="O3123" t="s">
        <v>303</v>
      </c>
      <c r="P3123" t="s">
        <v>56</v>
      </c>
      <c r="Q3123" t="s">
        <v>317</v>
      </c>
      <c r="R3123" t="s">
        <v>324</v>
      </c>
      <c r="S3123" t="s">
        <v>331</v>
      </c>
      <c r="T3123" t="s">
        <v>334</v>
      </c>
      <c r="U3123" t="s">
        <v>338</v>
      </c>
      <c r="V3123" t="s">
        <v>342</v>
      </c>
      <c r="W3123" t="s">
        <v>346</v>
      </c>
      <c r="X3123" t="s">
        <v>351</v>
      </c>
      <c r="AK3123" t="s">
        <v>359</v>
      </c>
    </row>
    <row r="3124" spans="1:37">
      <c r="B3124" t="s">
        <v>57</v>
      </c>
      <c r="C3124" t="s">
        <v>79</v>
      </c>
      <c r="D3124" t="s">
        <v>98</v>
      </c>
      <c r="E3124" t="s">
        <v>117</v>
      </c>
      <c r="F3124" t="s">
        <v>151</v>
      </c>
      <c r="G3124" t="s">
        <v>177</v>
      </c>
      <c r="H3124" t="s">
        <v>212</v>
      </c>
      <c r="I3124" t="s">
        <v>232</v>
      </c>
      <c r="J3124" t="s">
        <v>251</v>
      </c>
      <c r="K3124" t="s">
        <v>265</v>
      </c>
      <c r="L3124" t="s">
        <v>277</v>
      </c>
      <c r="M3124" t="s">
        <v>286</v>
      </c>
      <c r="N3124" t="s">
        <v>296</v>
      </c>
      <c r="O3124" t="s">
        <v>304</v>
      </c>
      <c r="P3124" t="s">
        <v>311</v>
      </c>
      <c r="Q3124" t="s">
        <v>318</v>
      </c>
      <c r="R3124" t="s">
        <v>185</v>
      </c>
      <c r="S3124" t="s">
        <v>159</v>
      </c>
      <c r="T3124" t="s">
        <v>185</v>
      </c>
      <c r="U3124" t="s">
        <v>339</v>
      </c>
      <c r="V3124" t="s">
        <v>72</v>
      </c>
      <c r="W3124" t="s">
        <v>347</v>
      </c>
      <c r="X3124" t="s">
        <v>72</v>
      </c>
      <c r="Y3124" t="s">
        <v>96</v>
      </c>
      <c r="AK3124" t="s">
        <v>359</v>
      </c>
    </row>
    <row r="3125" spans="1:37">
      <c r="B3125" t="s">
        <v>58</v>
      </c>
      <c r="C3125" t="s">
        <v>80</v>
      </c>
      <c r="D3125" t="s">
        <v>99</v>
      </c>
      <c r="E3125" t="s">
        <v>118</v>
      </c>
      <c r="F3125" t="s">
        <v>152</v>
      </c>
      <c r="G3125" t="s">
        <v>178</v>
      </c>
      <c r="H3125" t="s">
        <v>213</v>
      </c>
      <c r="I3125" t="s">
        <v>233</v>
      </c>
      <c r="J3125" t="s">
        <v>252</v>
      </c>
      <c r="K3125" t="s">
        <v>266</v>
      </c>
      <c r="L3125" t="s">
        <v>278</v>
      </c>
      <c r="M3125" t="s">
        <v>287</v>
      </c>
      <c r="N3125" t="s">
        <v>297</v>
      </c>
      <c r="O3125" t="s">
        <v>305</v>
      </c>
      <c r="P3125" t="s">
        <v>312</v>
      </c>
      <c r="Q3125" t="s">
        <v>319</v>
      </c>
      <c r="R3125">
        <f>&gt;10       ветра      2.5     20   3</f>
        <v>0</v>
      </c>
      <c r="AK3125" t="s">
        <v>359</v>
      </c>
    </row>
    <row r="3126" spans="1:37">
      <c r="A3126" t="s">
        <v>40</v>
      </c>
      <c r="B3126" t="s">
        <v>59</v>
      </c>
      <c r="C3126" t="s">
        <v>81</v>
      </c>
      <c r="D3126" t="s">
        <v>100</v>
      </c>
      <c r="E3126" t="s">
        <v>119</v>
      </c>
      <c r="F3126" t="s">
        <v>153</v>
      </c>
      <c r="G3126" t="s">
        <v>179</v>
      </c>
      <c r="H3126" t="s">
        <v>214</v>
      </c>
      <c r="I3126" t="s">
        <v>234</v>
      </c>
      <c r="AK3126" t="s">
        <v>359</v>
      </c>
    </row>
    <row r="3127" spans="1:37">
      <c r="A3127" t="s">
        <v>40</v>
      </c>
      <c r="B3127" t="s">
        <v>60</v>
      </c>
      <c r="C3127" t="s">
        <v>82</v>
      </c>
      <c r="D3127" t="s">
        <v>101</v>
      </c>
      <c r="E3127" t="s">
        <v>120</v>
      </c>
      <c r="F3127" t="s">
        <v>154</v>
      </c>
      <c r="G3127" t="s">
        <v>180</v>
      </c>
      <c r="H3127" t="s">
        <v>215</v>
      </c>
      <c r="I3127" t="s">
        <v>235</v>
      </c>
      <c r="J3127" t="s">
        <v>253</v>
      </c>
      <c r="K3127" t="s">
        <v>267</v>
      </c>
      <c r="L3127" t="s">
        <v>279</v>
      </c>
      <c r="M3127" t="s">
        <v>288</v>
      </c>
      <c r="N3127" t="s">
        <v>100</v>
      </c>
      <c r="O3127" t="s">
        <v>306</v>
      </c>
      <c r="P3127" t="s">
        <v>313</v>
      </c>
      <c r="Q3127" t="s">
        <v>320</v>
      </c>
      <c r="R3127" t="s">
        <v>325</v>
      </c>
      <c r="S3127" t="s">
        <v>332</v>
      </c>
      <c r="T3127" t="s">
        <v>119</v>
      </c>
      <c r="U3127" t="s">
        <v>234</v>
      </c>
      <c r="V3127" t="s">
        <v>343</v>
      </c>
      <c r="W3127" t="s">
        <v>348</v>
      </c>
      <c r="X3127" t="s">
        <v>352</v>
      </c>
      <c r="Y3127" t="s">
        <v>354</v>
      </c>
      <c r="AK3127" t="s">
        <v>359</v>
      </c>
    </row>
    <row r="3128" spans="1:37">
      <c r="A3128" t="s">
        <v>41</v>
      </c>
      <c r="B3128" t="s">
        <v>61</v>
      </c>
      <c r="C3128" t="s">
        <v>83</v>
      </c>
      <c r="D3128" t="s">
        <v>102</v>
      </c>
      <c r="E3128" t="s">
        <v>121</v>
      </c>
      <c r="F3128" t="s">
        <v>155</v>
      </c>
      <c r="G3128" t="s">
        <v>181</v>
      </c>
      <c r="H3128" t="s">
        <v>216</v>
      </c>
      <c r="I3128" t="s">
        <v>236</v>
      </c>
      <c r="AK3128" t="s">
        <v>359</v>
      </c>
    </row>
    <row r="3129" spans="1:37">
      <c r="A3129" t="s">
        <v>42</v>
      </c>
      <c r="B3129" t="s">
        <v>62</v>
      </c>
      <c r="C3129" t="s">
        <v>84</v>
      </c>
      <c r="D3129" t="s">
        <v>103</v>
      </c>
      <c r="E3129" t="s">
        <v>122</v>
      </c>
      <c r="F3129" t="s">
        <v>156</v>
      </c>
      <c r="G3129" t="s">
        <v>182</v>
      </c>
      <c r="H3129" t="s">
        <v>83</v>
      </c>
      <c r="I3129" t="s">
        <v>237</v>
      </c>
      <c r="J3129" t="s">
        <v>254</v>
      </c>
      <c r="K3129" t="s">
        <v>268</v>
      </c>
      <c r="L3129" t="s">
        <v>280</v>
      </c>
      <c r="M3129" t="s">
        <v>289</v>
      </c>
      <c r="N3129" t="s">
        <v>298</v>
      </c>
      <c r="O3129" t="s">
        <v>307</v>
      </c>
      <c r="P3129" t="s">
        <v>314</v>
      </c>
      <c r="Q3129" t="s">
        <v>216</v>
      </c>
      <c r="R3129" t="s">
        <v>326</v>
      </c>
      <c r="S3129" t="s">
        <v>333</v>
      </c>
      <c r="T3129" t="s">
        <v>335</v>
      </c>
      <c r="U3129" t="s">
        <v>340</v>
      </c>
      <c r="V3129" t="s">
        <v>344</v>
      </c>
      <c r="W3129" t="s">
        <v>349</v>
      </c>
      <c r="AK3129" t="s">
        <v>359</v>
      </c>
    </row>
    <row r="3130" spans="1:37">
      <c r="A3130" t="s">
        <v>43</v>
      </c>
      <c r="B3130" t="s">
        <v>63</v>
      </c>
      <c r="C3130" t="s">
        <v>85</v>
      </c>
      <c r="D3130" t="s">
        <v>104</v>
      </c>
      <c r="E3130" t="s">
        <v>123</v>
      </c>
      <c r="F3130" t="s">
        <v>157</v>
      </c>
      <c r="G3130" t="s">
        <v>183</v>
      </c>
      <c r="AK3130" t="s">
        <v>359</v>
      </c>
    </row>
    <row r="3131" spans="1:37">
      <c r="A3131" t="s">
        <v>44</v>
      </c>
      <c r="B3131" t="s">
        <v>64</v>
      </c>
      <c r="C3131" t="s">
        <v>86</v>
      </c>
      <c r="D3131" t="s">
        <v>105</v>
      </c>
      <c r="E3131" t="s">
        <v>124</v>
      </c>
      <c r="F3131" t="s">
        <v>158</v>
      </c>
      <c r="G3131" t="s">
        <v>184</v>
      </c>
      <c r="AK3131" t="s">
        <v>359</v>
      </c>
    </row>
    <row r="3132" spans="1:37">
      <c r="A3132" t="s">
        <v>45</v>
      </c>
      <c r="B3132" t="s">
        <v>65</v>
      </c>
      <c r="C3132" t="s">
        <v>87</v>
      </c>
      <c r="D3132" t="s">
        <v>106</v>
      </c>
      <c r="E3132" t="s">
        <v>125</v>
      </c>
      <c r="F3132" t="s">
        <v>159</v>
      </c>
      <c r="G3132" t="s">
        <v>185</v>
      </c>
      <c r="H3132" t="s">
        <v>159</v>
      </c>
      <c r="I3132" t="s">
        <v>185</v>
      </c>
      <c r="J3132" t="s">
        <v>255</v>
      </c>
      <c r="AK3132" t="s">
        <v>359</v>
      </c>
    </row>
    <row r="3133" spans="1:37">
      <c r="A3133" t="s">
        <v>46</v>
      </c>
      <c r="B3133" t="s">
        <v>66</v>
      </c>
      <c r="C3133" t="s">
        <v>88</v>
      </c>
      <c r="D3133" t="s">
        <v>76</v>
      </c>
      <c r="E3133" t="s">
        <v>126</v>
      </c>
      <c r="F3133" t="s">
        <v>160</v>
      </c>
      <c r="G3133" t="s">
        <v>186</v>
      </c>
      <c r="H3133" t="s">
        <v>217</v>
      </c>
      <c r="I3133" t="s">
        <v>238</v>
      </c>
      <c r="J3133" t="s">
        <v>256</v>
      </c>
      <c r="K3133" t="s">
        <v>265</v>
      </c>
      <c r="L3133" t="s">
        <v>281</v>
      </c>
      <c r="M3133" t="s">
        <v>290</v>
      </c>
      <c r="N3133" t="s">
        <v>299</v>
      </c>
      <c r="O3133" t="s">
        <v>308</v>
      </c>
      <c r="P3133" t="s">
        <v>228</v>
      </c>
      <c r="Q3133" t="s">
        <v>72</v>
      </c>
      <c r="R3133" t="s">
        <v>327</v>
      </c>
      <c r="S3133" t="s">
        <v>327</v>
      </c>
      <c r="T3133" t="s">
        <v>336</v>
      </c>
      <c r="U3133" t="s">
        <v>336</v>
      </c>
      <c r="V3133" t="s">
        <v>336</v>
      </c>
      <c r="W3133" t="s">
        <v>336</v>
      </c>
      <c r="X3133" t="s">
        <v>353</v>
      </c>
      <c r="AK3133" t="s">
        <v>359</v>
      </c>
    </row>
    <row r="3134" spans="1:37">
      <c r="B3134" t="s">
        <v>67</v>
      </c>
      <c r="C3134" t="s">
        <v>89</v>
      </c>
      <c r="D3134" t="s">
        <v>107</v>
      </c>
      <c r="AK3134" t="s">
        <v>359</v>
      </c>
    </row>
    <row r="3135" spans="1:37">
      <c r="B3135" t="s">
        <v>68</v>
      </c>
      <c r="C3135" t="s">
        <v>90</v>
      </c>
      <c r="D3135" t="s">
        <v>108</v>
      </c>
      <c r="AK3135" t="s">
        <v>359</v>
      </c>
    </row>
    <row r="3136" spans="1:37">
      <c r="A3136" t="s">
        <v>47</v>
      </c>
      <c r="B3136" t="s">
        <v>69</v>
      </c>
      <c r="C3136" t="s">
        <v>91</v>
      </c>
      <c r="D3136" t="s">
        <v>109</v>
      </c>
      <c r="E3136" t="s">
        <v>109</v>
      </c>
      <c r="F3136" t="s">
        <v>109</v>
      </c>
      <c r="G3136" t="s">
        <v>109</v>
      </c>
      <c r="H3136" t="s">
        <v>109</v>
      </c>
      <c r="I3136" t="s">
        <v>239</v>
      </c>
      <c r="AK3136" t="s">
        <v>359</v>
      </c>
    </row>
    <row r="3137" spans="1:37">
      <c r="B3137" t="s">
        <v>70</v>
      </c>
      <c r="C3137" t="s">
        <v>92</v>
      </c>
      <c r="D3137" t="s">
        <v>110</v>
      </c>
      <c r="E3137" t="s">
        <v>127</v>
      </c>
      <c r="F3137" t="s">
        <v>161</v>
      </c>
      <c r="G3137" t="s">
        <v>187</v>
      </c>
      <c r="H3137" t="s">
        <v>218</v>
      </c>
      <c r="AK3137" t="s">
        <v>359</v>
      </c>
    </row>
    <row r="3138" spans="1:37">
      <c r="B3138" t="s">
        <v>71</v>
      </c>
      <c r="C3138" t="s">
        <v>93</v>
      </c>
      <c r="D3138" t="s">
        <v>111</v>
      </c>
      <c r="E3138" t="s">
        <v>128</v>
      </c>
      <c r="F3138" t="s">
        <v>162</v>
      </c>
      <c r="G3138" t="s">
        <v>188</v>
      </c>
      <c r="H3138" t="s">
        <v>219</v>
      </c>
      <c r="I3138" t="s">
        <v>240</v>
      </c>
      <c r="J3138" t="s">
        <v>257</v>
      </c>
      <c r="K3138" t="s">
        <v>269</v>
      </c>
      <c r="L3138" t="s">
        <v>109</v>
      </c>
      <c r="M3138" t="s">
        <v>109</v>
      </c>
      <c r="N3138" t="s">
        <v>109</v>
      </c>
      <c r="O3138" t="s">
        <v>109</v>
      </c>
      <c r="P3138" t="s">
        <v>109</v>
      </c>
      <c r="Q3138" t="s">
        <v>321</v>
      </c>
      <c r="AK3138" t="s">
        <v>359</v>
      </c>
    </row>
    <row r="3139" spans="1:37">
      <c r="A3139" t="s">
        <v>48</v>
      </c>
      <c r="B3139" t="s">
        <v>71</v>
      </c>
      <c r="C3139" t="s">
        <v>93</v>
      </c>
      <c r="D3139" t="s">
        <v>111</v>
      </c>
      <c r="E3139" t="s">
        <v>128</v>
      </c>
      <c r="F3139" t="s">
        <v>163</v>
      </c>
      <c r="G3139" t="s">
        <v>189</v>
      </c>
      <c r="H3139" t="s">
        <v>220</v>
      </c>
      <c r="I3139" t="s">
        <v>241</v>
      </c>
      <c r="J3139" t="s">
        <v>258</v>
      </c>
      <c r="K3139" t="s">
        <v>270</v>
      </c>
      <c r="AK3139" t="s">
        <v>359</v>
      </c>
    </row>
    <row r="3140" spans="1:37">
      <c r="B3140" t="s">
        <v>72</v>
      </c>
      <c r="C3140" t="s">
        <v>72</v>
      </c>
      <c r="D3140" t="s">
        <v>72</v>
      </c>
      <c r="E3140" t="s">
        <v>72</v>
      </c>
      <c r="F3140" t="s">
        <v>72</v>
      </c>
      <c r="G3140" t="s">
        <v>72</v>
      </c>
      <c r="H3140" t="s">
        <v>72</v>
      </c>
      <c r="I3140" t="s">
        <v>72</v>
      </c>
      <c r="J3140" t="s">
        <v>72</v>
      </c>
      <c r="K3140" t="s">
        <v>272</v>
      </c>
      <c r="AK3140" t="s">
        <v>359</v>
      </c>
    </row>
    <row r="3141" spans="1:37">
      <c r="A3141" t="s">
        <v>37</v>
      </c>
      <c r="B3141" t="s">
        <v>49</v>
      </c>
      <c r="C3141" t="s">
        <v>73</v>
      </c>
      <c r="D3141" t="s">
        <v>94</v>
      </c>
      <c r="E3141" t="s">
        <v>112</v>
      </c>
      <c r="F3141" t="s">
        <v>146</v>
      </c>
      <c r="G3141" t="s">
        <v>172</v>
      </c>
      <c r="H3141" t="s">
        <v>207</v>
      </c>
      <c r="I3141" t="s">
        <v>226</v>
      </c>
      <c r="J3141" t="s">
        <v>246</v>
      </c>
      <c r="K3141" t="s">
        <v>259</v>
      </c>
      <c r="AK3141" t="s">
        <v>359</v>
      </c>
    </row>
    <row r="3142" spans="1:37">
      <c r="A3142" t="s">
        <v>38</v>
      </c>
      <c r="B3142" t="s">
        <v>50</v>
      </c>
      <c r="C3142" t="s">
        <v>74</v>
      </c>
      <c r="D3142" t="s">
        <v>95</v>
      </c>
      <c r="E3142" t="s">
        <v>113</v>
      </c>
      <c r="F3142" t="s">
        <v>147</v>
      </c>
      <c r="G3142" t="s">
        <v>173</v>
      </c>
      <c r="H3142" t="s">
        <v>208</v>
      </c>
      <c r="I3142" t="s">
        <v>227</v>
      </c>
      <c r="J3142" t="s">
        <v>115</v>
      </c>
      <c r="K3142" t="s">
        <v>260</v>
      </c>
      <c r="L3142" t="s">
        <v>273</v>
      </c>
      <c r="M3142" t="s">
        <v>282</v>
      </c>
      <c r="N3142" t="s">
        <v>291</v>
      </c>
      <c r="AK3142" t="s">
        <v>359</v>
      </c>
    </row>
    <row r="3143" spans="1:37">
      <c r="B3143" t="s">
        <v>51</v>
      </c>
      <c r="C3143" t="s">
        <v>75</v>
      </c>
      <c r="D3143" t="s">
        <v>52</v>
      </c>
      <c r="E3143" t="s">
        <v>114</v>
      </c>
      <c r="F3143" t="s">
        <v>148</v>
      </c>
      <c r="G3143" t="s">
        <v>148</v>
      </c>
      <c r="H3143" t="s">
        <v>209</v>
      </c>
      <c r="I3143" t="s">
        <v>228</v>
      </c>
      <c r="J3143" t="s">
        <v>247</v>
      </c>
      <c r="K3143" t="s">
        <v>261</v>
      </c>
      <c r="L3143" t="s">
        <v>274</v>
      </c>
      <c r="M3143" t="s">
        <v>283</v>
      </c>
      <c r="N3143" t="s">
        <v>292</v>
      </c>
      <c r="O3143" t="s">
        <v>300</v>
      </c>
      <c r="AK3143" t="s">
        <v>359</v>
      </c>
    </row>
    <row r="3144" spans="1:37">
      <c r="B3144" t="s">
        <v>52</v>
      </c>
      <c r="C3144" t="s">
        <v>76</v>
      </c>
      <c r="D3144" t="s">
        <v>96</v>
      </c>
      <c r="E3144" t="s">
        <v>115</v>
      </c>
      <c r="F3144" t="s">
        <v>149</v>
      </c>
      <c r="G3144" t="s">
        <v>174</v>
      </c>
      <c r="H3144" t="s">
        <v>96</v>
      </c>
      <c r="I3144" t="s">
        <v>229</v>
      </c>
      <c r="J3144" t="s">
        <v>248</v>
      </c>
      <c r="K3144" t="s">
        <v>262</v>
      </c>
      <c r="L3144" t="s">
        <v>52</v>
      </c>
      <c r="M3144" t="s">
        <v>76</v>
      </c>
      <c r="N3144" t="s">
        <v>293</v>
      </c>
      <c r="O3144" t="s">
        <v>301</v>
      </c>
      <c r="P3144" t="s">
        <v>309</v>
      </c>
      <c r="Q3144" t="s">
        <v>315</v>
      </c>
      <c r="R3144" t="s">
        <v>228</v>
      </c>
      <c r="S3144" t="s">
        <v>328</v>
      </c>
      <c r="T3144" t="s">
        <v>149</v>
      </c>
      <c r="U3144" t="s">
        <v>337</v>
      </c>
      <c r="V3144" t="s">
        <v>341</v>
      </c>
      <c r="W3144" t="s">
        <v>345</v>
      </c>
      <c r="X3144" t="s">
        <v>350</v>
      </c>
      <c r="AK3144" t="s">
        <v>359</v>
      </c>
    </row>
    <row r="3145" spans="1:37">
      <c r="B3145" t="s">
        <v>53</v>
      </c>
      <c r="C3145" t="s">
        <v>77</v>
      </c>
      <c r="D3145" t="s">
        <v>97</v>
      </c>
      <c r="E3145" t="s">
        <v>116</v>
      </c>
      <c r="F3145" t="s">
        <v>150</v>
      </c>
      <c r="G3145" t="s">
        <v>175</v>
      </c>
      <c r="H3145" t="s">
        <v>210</v>
      </c>
      <c r="I3145" t="s">
        <v>230</v>
      </c>
      <c r="J3145" t="s">
        <v>249</v>
      </c>
      <c r="K3145" t="s">
        <v>263</v>
      </c>
      <c r="L3145" t="s">
        <v>275</v>
      </c>
      <c r="M3145" t="s">
        <v>284</v>
      </c>
      <c r="N3145" t="s">
        <v>294</v>
      </c>
      <c r="O3145" t="s">
        <v>302</v>
      </c>
      <c r="P3145" t="s">
        <v>310</v>
      </c>
      <c r="Q3145" t="s">
        <v>316</v>
      </c>
      <c r="R3145" t="s">
        <v>322</v>
      </c>
      <c r="S3145" t="s">
        <v>329</v>
      </c>
      <c r="AK3145" t="s">
        <v>359</v>
      </c>
    </row>
    <row r="3146" spans="1:37">
      <c r="A3146" t="s">
        <v>39</v>
      </c>
      <c r="B3146" t="s">
        <v>54</v>
      </c>
      <c r="C3146" t="s">
        <v>54</v>
      </c>
      <c r="D3146" t="s">
        <v>54</v>
      </c>
      <c r="E3146" t="s">
        <v>54</v>
      </c>
      <c r="F3146" t="s">
        <v>54</v>
      </c>
      <c r="G3146" t="s">
        <v>54</v>
      </c>
      <c r="H3146" t="s">
        <v>54</v>
      </c>
      <c r="I3146" t="s">
        <v>54</v>
      </c>
      <c r="J3146" t="s">
        <v>54</v>
      </c>
      <c r="K3146" t="s">
        <v>54</v>
      </c>
      <c r="L3146" t="s">
        <v>54</v>
      </c>
      <c r="M3146" t="s">
        <v>54</v>
      </c>
      <c r="N3146" t="s">
        <v>54</v>
      </c>
      <c r="O3146" t="s">
        <v>54</v>
      </c>
      <c r="P3146" t="s">
        <v>54</v>
      </c>
      <c r="Q3146" t="s">
        <v>54</v>
      </c>
      <c r="R3146" t="s">
        <v>323</v>
      </c>
      <c r="S3146" t="s">
        <v>330</v>
      </c>
      <c r="AK3146" t="s">
        <v>359</v>
      </c>
    </row>
    <row r="3147" spans="1:37">
      <c r="B3147" t="s">
        <v>55</v>
      </c>
      <c r="C3147" t="s">
        <v>78</v>
      </c>
      <c r="D3147" t="s">
        <v>55</v>
      </c>
      <c r="E3147" t="s">
        <v>78</v>
      </c>
      <c r="F3147" t="s">
        <v>55</v>
      </c>
      <c r="G3147" t="s">
        <v>78</v>
      </c>
      <c r="H3147" t="s">
        <v>55</v>
      </c>
      <c r="I3147" t="s">
        <v>78</v>
      </c>
      <c r="J3147" t="s">
        <v>55</v>
      </c>
      <c r="K3147" t="s">
        <v>78</v>
      </c>
      <c r="L3147" t="s">
        <v>55</v>
      </c>
      <c r="M3147" t="s">
        <v>78</v>
      </c>
      <c r="N3147" t="s">
        <v>55</v>
      </c>
      <c r="O3147" t="s">
        <v>78</v>
      </c>
      <c r="P3147" t="s">
        <v>55</v>
      </c>
      <c r="Q3147" t="s">
        <v>78</v>
      </c>
      <c r="R3147" t="s">
        <v>55</v>
      </c>
      <c r="S3147" t="s">
        <v>78</v>
      </c>
      <c r="T3147" t="s">
        <v>55</v>
      </c>
      <c r="U3147" t="s">
        <v>78</v>
      </c>
      <c r="V3147" t="s">
        <v>55</v>
      </c>
      <c r="W3147" t="s">
        <v>78</v>
      </c>
      <c r="X3147" t="s">
        <v>55</v>
      </c>
      <c r="Y3147" t="s">
        <v>78</v>
      </c>
      <c r="Z3147" t="s">
        <v>55</v>
      </c>
      <c r="AA3147" t="s">
        <v>78</v>
      </c>
      <c r="AB3147" t="s">
        <v>55</v>
      </c>
      <c r="AC3147" t="s">
        <v>78</v>
      </c>
      <c r="AD3147" t="s">
        <v>55</v>
      </c>
      <c r="AE3147" t="s">
        <v>78</v>
      </c>
      <c r="AF3147" t="s">
        <v>55</v>
      </c>
      <c r="AG3147" t="s">
        <v>78</v>
      </c>
      <c r="AH3147" t="s">
        <v>55</v>
      </c>
      <c r="AI3147" t="s">
        <v>78</v>
      </c>
      <c r="AK3147" t="s">
        <v>359</v>
      </c>
    </row>
    <row r="3148" spans="1:37">
      <c r="B3148" t="s">
        <v>56</v>
      </c>
      <c r="C3148" t="s">
        <v>56</v>
      </c>
      <c r="D3148" t="s">
        <v>56</v>
      </c>
      <c r="E3148" t="s">
        <v>56</v>
      </c>
      <c r="F3148" t="s">
        <v>56</v>
      </c>
      <c r="G3148" t="s">
        <v>176</v>
      </c>
      <c r="H3148" t="s">
        <v>211</v>
      </c>
      <c r="I3148" t="s">
        <v>231</v>
      </c>
      <c r="J3148" t="s">
        <v>250</v>
      </c>
      <c r="K3148" t="s">
        <v>264</v>
      </c>
      <c r="L3148" t="s">
        <v>276</v>
      </c>
      <c r="M3148" t="s">
        <v>285</v>
      </c>
      <c r="N3148" t="s">
        <v>295</v>
      </c>
      <c r="O3148" t="s">
        <v>303</v>
      </c>
      <c r="P3148" t="s">
        <v>56</v>
      </c>
      <c r="Q3148" t="s">
        <v>317</v>
      </c>
      <c r="R3148" t="s">
        <v>324</v>
      </c>
      <c r="S3148" t="s">
        <v>331</v>
      </c>
      <c r="T3148" t="s">
        <v>334</v>
      </c>
      <c r="U3148" t="s">
        <v>338</v>
      </c>
      <c r="V3148" t="s">
        <v>342</v>
      </c>
      <c r="W3148" t="s">
        <v>346</v>
      </c>
      <c r="X3148" t="s">
        <v>351</v>
      </c>
      <c r="AK3148" t="s">
        <v>359</v>
      </c>
    </row>
    <row r="3149" spans="1:37">
      <c r="B3149" t="s">
        <v>57</v>
      </c>
      <c r="C3149" t="s">
        <v>79</v>
      </c>
      <c r="D3149" t="s">
        <v>98</v>
      </c>
      <c r="E3149" t="s">
        <v>117</v>
      </c>
      <c r="F3149" t="s">
        <v>151</v>
      </c>
      <c r="G3149" t="s">
        <v>177</v>
      </c>
      <c r="H3149" t="s">
        <v>212</v>
      </c>
      <c r="I3149" t="s">
        <v>232</v>
      </c>
      <c r="J3149" t="s">
        <v>251</v>
      </c>
      <c r="K3149" t="s">
        <v>265</v>
      </c>
      <c r="L3149" t="s">
        <v>277</v>
      </c>
      <c r="M3149" t="s">
        <v>286</v>
      </c>
      <c r="N3149" t="s">
        <v>296</v>
      </c>
      <c r="O3149" t="s">
        <v>304</v>
      </c>
      <c r="P3149" t="s">
        <v>311</v>
      </c>
      <c r="Q3149" t="s">
        <v>318</v>
      </c>
      <c r="R3149" t="s">
        <v>185</v>
      </c>
      <c r="S3149" t="s">
        <v>159</v>
      </c>
      <c r="T3149" t="s">
        <v>185</v>
      </c>
      <c r="U3149" t="s">
        <v>339</v>
      </c>
      <c r="V3149" t="s">
        <v>72</v>
      </c>
      <c r="W3149" t="s">
        <v>347</v>
      </c>
      <c r="X3149" t="s">
        <v>72</v>
      </c>
      <c r="Y3149" t="s">
        <v>96</v>
      </c>
      <c r="AK3149" t="s">
        <v>359</v>
      </c>
    </row>
    <row r="3150" spans="1:37">
      <c r="B3150" t="s">
        <v>58</v>
      </c>
      <c r="C3150" t="s">
        <v>80</v>
      </c>
      <c r="D3150" t="s">
        <v>99</v>
      </c>
      <c r="E3150" t="s">
        <v>118</v>
      </c>
      <c r="F3150" t="s">
        <v>152</v>
      </c>
      <c r="G3150" t="s">
        <v>178</v>
      </c>
      <c r="H3150" t="s">
        <v>213</v>
      </c>
      <c r="I3150" t="s">
        <v>233</v>
      </c>
      <c r="J3150" t="s">
        <v>252</v>
      </c>
      <c r="K3150" t="s">
        <v>266</v>
      </c>
      <c r="L3150" t="s">
        <v>278</v>
      </c>
      <c r="M3150" t="s">
        <v>287</v>
      </c>
      <c r="N3150" t="s">
        <v>297</v>
      </c>
      <c r="O3150" t="s">
        <v>305</v>
      </c>
      <c r="P3150" t="s">
        <v>312</v>
      </c>
      <c r="Q3150" t="s">
        <v>319</v>
      </c>
      <c r="R3150">
        <f>&gt;10       ветра      3.5     19  20</f>
        <v>0</v>
      </c>
      <c r="AK3150" t="s">
        <v>359</v>
      </c>
    </row>
    <row r="3151" spans="1:37">
      <c r="A3151" t="s">
        <v>40</v>
      </c>
      <c r="B3151" t="s">
        <v>59</v>
      </c>
      <c r="C3151" t="s">
        <v>81</v>
      </c>
      <c r="D3151" t="s">
        <v>100</v>
      </c>
      <c r="E3151" t="s">
        <v>119</v>
      </c>
      <c r="F3151" t="s">
        <v>153</v>
      </c>
      <c r="G3151" t="s">
        <v>179</v>
      </c>
      <c r="H3151" t="s">
        <v>214</v>
      </c>
      <c r="I3151" t="s">
        <v>234</v>
      </c>
      <c r="AK3151" t="s">
        <v>359</v>
      </c>
    </row>
    <row r="3152" spans="1:37">
      <c r="A3152" t="s">
        <v>40</v>
      </c>
      <c r="B3152" t="s">
        <v>60</v>
      </c>
      <c r="C3152" t="s">
        <v>82</v>
      </c>
      <c r="D3152" t="s">
        <v>101</v>
      </c>
      <c r="E3152" t="s">
        <v>120</v>
      </c>
      <c r="F3152" t="s">
        <v>154</v>
      </c>
      <c r="G3152" t="s">
        <v>180</v>
      </c>
      <c r="H3152" t="s">
        <v>215</v>
      </c>
      <c r="I3152" t="s">
        <v>235</v>
      </c>
      <c r="J3152" t="s">
        <v>253</v>
      </c>
      <c r="K3152" t="s">
        <v>267</v>
      </c>
      <c r="L3152" t="s">
        <v>279</v>
      </c>
      <c r="M3152" t="s">
        <v>288</v>
      </c>
      <c r="N3152" t="s">
        <v>100</v>
      </c>
      <c r="O3152" t="s">
        <v>306</v>
      </c>
      <c r="P3152" t="s">
        <v>313</v>
      </c>
      <c r="Q3152" t="s">
        <v>320</v>
      </c>
      <c r="R3152" t="s">
        <v>325</v>
      </c>
      <c r="S3152" t="s">
        <v>332</v>
      </c>
      <c r="T3152" t="s">
        <v>119</v>
      </c>
      <c r="U3152" t="s">
        <v>234</v>
      </c>
      <c r="V3152" t="s">
        <v>343</v>
      </c>
      <c r="W3152" t="s">
        <v>348</v>
      </c>
      <c r="X3152" t="s">
        <v>352</v>
      </c>
      <c r="Y3152" t="s">
        <v>354</v>
      </c>
      <c r="AK3152" t="s">
        <v>359</v>
      </c>
    </row>
    <row r="3153" spans="1:37">
      <c r="A3153" t="s">
        <v>41</v>
      </c>
      <c r="B3153" t="s">
        <v>61</v>
      </c>
      <c r="C3153" t="s">
        <v>83</v>
      </c>
      <c r="D3153" t="s">
        <v>102</v>
      </c>
      <c r="E3153" t="s">
        <v>121</v>
      </c>
      <c r="F3153" t="s">
        <v>155</v>
      </c>
      <c r="G3153" t="s">
        <v>181</v>
      </c>
      <c r="H3153" t="s">
        <v>216</v>
      </c>
      <c r="I3153" t="s">
        <v>236</v>
      </c>
      <c r="AK3153" t="s">
        <v>359</v>
      </c>
    </row>
    <row r="3154" spans="1:37">
      <c r="A3154" t="s">
        <v>42</v>
      </c>
      <c r="B3154" t="s">
        <v>62</v>
      </c>
      <c r="C3154" t="s">
        <v>84</v>
      </c>
      <c r="D3154" t="s">
        <v>103</v>
      </c>
      <c r="E3154" t="s">
        <v>122</v>
      </c>
      <c r="F3154" t="s">
        <v>156</v>
      </c>
      <c r="G3154" t="s">
        <v>182</v>
      </c>
      <c r="H3154" t="s">
        <v>83</v>
      </c>
      <c r="I3154" t="s">
        <v>237</v>
      </c>
      <c r="J3154" t="s">
        <v>254</v>
      </c>
      <c r="K3154" t="s">
        <v>268</v>
      </c>
      <c r="L3154" t="s">
        <v>280</v>
      </c>
      <c r="M3154" t="s">
        <v>289</v>
      </c>
      <c r="N3154" t="s">
        <v>298</v>
      </c>
      <c r="O3154" t="s">
        <v>307</v>
      </c>
      <c r="P3154" t="s">
        <v>314</v>
      </c>
      <c r="Q3154" t="s">
        <v>216</v>
      </c>
      <c r="R3154" t="s">
        <v>326</v>
      </c>
      <c r="S3154" t="s">
        <v>333</v>
      </c>
      <c r="T3154" t="s">
        <v>335</v>
      </c>
      <c r="U3154" t="s">
        <v>340</v>
      </c>
      <c r="V3154" t="s">
        <v>344</v>
      </c>
      <c r="W3154" t="s">
        <v>349</v>
      </c>
      <c r="AK3154" t="s">
        <v>359</v>
      </c>
    </row>
    <row r="3155" spans="1:37">
      <c r="A3155" t="s">
        <v>43</v>
      </c>
      <c r="B3155" t="s">
        <v>63</v>
      </c>
      <c r="C3155" t="s">
        <v>85</v>
      </c>
      <c r="D3155" t="s">
        <v>104</v>
      </c>
      <c r="E3155" t="s">
        <v>123</v>
      </c>
      <c r="F3155" t="s">
        <v>157</v>
      </c>
      <c r="G3155" t="s">
        <v>183</v>
      </c>
      <c r="AK3155" t="s">
        <v>359</v>
      </c>
    </row>
    <row r="3156" spans="1:37">
      <c r="A3156" t="s">
        <v>44</v>
      </c>
      <c r="B3156" t="s">
        <v>64</v>
      </c>
      <c r="C3156" t="s">
        <v>86</v>
      </c>
      <c r="D3156" t="s">
        <v>105</v>
      </c>
      <c r="E3156" t="s">
        <v>124</v>
      </c>
      <c r="F3156" t="s">
        <v>158</v>
      </c>
      <c r="G3156" t="s">
        <v>184</v>
      </c>
      <c r="AK3156" t="s">
        <v>359</v>
      </c>
    </row>
    <row r="3157" spans="1:37">
      <c r="A3157" t="s">
        <v>45</v>
      </c>
      <c r="B3157" t="s">
        <v>65</v>
      </c>
      <c r="C3157" t="s">
        <v>87</v>
      </c>
      <c r="D3157" t="s">
        <v>106</v>
      </c>
      <c r="E3157" t="s">
        <v>125</v>
      </c>
      <c r="F3157" t="s">
        <v>159</v>
      </c>
      <c r="G3157" t="s">
        <v>185</v>
      </c>
      <c r="H3157" t="s">
        <v>159</v>
      </c>
      <c r="I3157" t="s">
        <v>185</v>
      </c>
      <c r="J3157" t="s">
        <v>255</v>
      </c>
      <c r="AK3157" t="s">
        <v>359</v>
      </c>
    </row>
    <row r="3158" spans="1:37">
      <c r="A3158" t="s">
        <v>46</v>
      </c>
      <c r="B3158" t="s">
        <v>66</v>
      </c>
      <c r="C3158" t="s">
        <v>88</v>
      </c>
      <c r="D3158" t="s">
        <v>76</v>
      </c>
      <c r="E3158" t="s">
        <v>126</v>
      </c>
      <c r="F3158" t="s">
        <v>160</v>
      </c>
      <c r="G3158" t="s">
        <v>186</v>
      </c>
      <c r="H3158" t="s">
        <v>217</v>
      </c>
      <c r="I3158" t="s">
        <v>238</v>
      </c>
      <c r="J3158" t="s">
        <v>256</v>
      </c>
      <c r="K3158" t="s">
        <v>265</v>
      </c>
      <c r="L3158" t="s">
        <v>281</v>
      </c>
      <c r="M3158" t="s">
        <v>290</v>
      </c>
      <c r="N3158" t="s">
        <v>299</v>
      </c>
      <c r="O3158" t="s">
        <v>308</v>
      </c>
      <c r="P3158" t="s">
        <v>228</v>
      </c>
      <c r="Q3158" t="s">
        <v>72</v>
      </c>
      <c r="R3158" t="s">
        <v>327</v>
      </c>
      <c r="S3158" t="s">
        <v>327</v>
      </c>
      <c r="T3158" t="s">
        <v>336</v>
      </c>
      <c r="U3158" t="s">
        <v>336</v>
      </c>
      <c r="V3158" t="s">
        <v>336</v>
      </c>
      <c r="W3158" t="s">
        <v>336</v>
      </c>
      <c r="X3158" t="s">
        <v>353</v>
      </c>
      <c r="AK3158" t="s">
        <v>359</v>
      </c>
    </row>
    <row r="3159" spans="1:37">
      <c r="B3159" t="s">
        <v>67</v>
      </c>
      <c r="C3159" t="s">
        <v>89</v>
      </c>
      <c r="D3159" t="s">
        <v>107</v>
      </c>
      <c r="AK3159" t="s">
        <v>359</v>
      </c>
    </row>
    <row r="3160" spans="1:37">
      <c r="B3160" t="s">
        <v>68</v>
      </c>
      <c r="C3160" t="s">
        <v>90</v>
      </c>
      <c r="D3160" t="s">
        <v>108</v>
      </c>
      <c r="AK3160" t="s">
        <v>359</v>
      </c>
    </row>
    <row r="3161" spans="1:37">
      <c r="A3161" t="s">
        <v>47</v>
      </c>
      <c r="B3161" t="s">
        <v>69</v>
      </c>
      <c r="C3161" t="s">
        <v>91</v>
      </c>
      <c r="D3161" t="s">
        <v>109</v>
      </c>
      <c r="E3161" t="s">
        <v>109</v>
      </c>
      <c r="F3161" t="s">
        <v>109</v>
      </c>
      <c r="G3161" t="s">
        <v>109</v>
      </c>
      <c r="H3161" t="s">
        <v>109</v>
      </c>
      <c r="I3161" t="s">
        <v>239</v>
      </c>
      <c r="AK3161" t="s">
        <v>359</v>
      </c>
    </row>
    <row r="3162" spans="1:37">
      <c r="B3162" t="s">
        <v>70</v>
      </c>
      <c r="C3162" t="s">
        <v>92</v>
      </c>
      <c r="D3162" t="s">
        <v>110</v>
      </c>
      <c r="E3162" t="s">
        <v>127</v>
      </c>
      <c r="F3162" t="s">
        <v>161</v>
      </c>
      <c r="G3162" t="s">
        <v>187</v>
      </c>
      <c r="H3162" t="s">
        <v>218</v>
      </c>
      <c r="AK3162" t="s">
        <v>359</v>
      </c>
    </row>
    <row r="3163" spans="1:37">
      <c r="B3163" t="s">
        <v>71</v>
      </c>
      <c r="C3163" t="s">
        <v>93</v>
      </c>
      <c r="D3163" t="s">
        <v>111</v>
      </c>
      <c r="E3163" t="s">
        <v>128</v>
      </c>
      <c r="F3163" t="s">
        <v>162</v>
      </c>
      <c r="G3163" t="s">
        <v>188</v>
      </c>
      <c r="H3163" t="s">
        <v>219</v>
      </c>
      <c r="I3163" t="s">
        <v>240</v>
      </c>
      <c r="J3163" t="s">
        <v>257</v>
      </c>
      <c r="K3163" t="s">
        <v>269</v>
      </c>
      <c r="L3163" t="s">
        <v>109</v>
      </c>
      <c r="M3163" t="s">
        <v>109</v>
      </c>
      <c r="N3163" t="s">
        <v>109</v>
      </c>
      <c r="O3163" t="s">
        <v>109</v>
      </c>
      <c r="P3163" t="s">
        <v>109</v>
      </c>
      <c r="Q3163" t="s">
        <v>321</v>
      </c>
      <c r="AK3163" t="s">
        <v>359</v>
      </c>
    </row>
    <row r="3164" spans="1:37">
      <c r="A3164" t="s">
        <v>48</v>
      </c>
      <c r="B3164" t="s">
        <v>71</v>
      </c>
      <c r="C3164" t="s">
        <v>93</v>
      </c>
      <c r="D3164" t="s">
        <v>111</v>
      </c>
      <c r="E3164" t="s">
        <v>128</v>
      </c>
      <c r="F3164" t="s">
        <v>163</v>
      </c>
      <c r="G3164" t="s">
        <v>189</v>
      </c>
      <c r="H3164" t="s">
        <v>220</v>
      </c>
      <c r="I3164" t="s">
        <v>241</v>
      </c>
      <c r="J3164" t="s">
        <v>258</v>
      </c>
      <c r="K3164" t="s">
        <v>270</v>
      </c>
      <c r="AK3164" t="s">
        <v>359</v>
      </c>
    </row>
    <row r="3165" spans="1:37">
      <c r="B3165" t="s">
        <v>72</v>
      </c>
      <c r="C3165" t="s">
        <v>72</v>
      </c>
      <c r="D3165" t="s">
        <v>72</v>
      </c>
      <c r="E3165" t="s">
        <v>72</v>
      </c>
      <c r="F3165" t="s">
        <v>72</v>
      </c>
      <c r="G3165" t="s">
        <v>72</v>
      </c>
      <c r="H3165" t="s">
        <v>72</v>
      </c>
      <c r="I3165" t="s">
        <v>72</v>
      </c>
      <c r="J3165" t="s">
        <v>72</v>
      </c>
      <c r="K3165" t="s">
        <v>272</v>
      </c>
      <c r="AK3165" t="s">
        <v>359</v>
      </c>
    </row>
    <row r="3166" spans="1:37">
      <c r="A3166" t="s">
        <v>37</v>
      </c>
      <c r="B3166" t="s">
        <v>49</v>
      </c>
      <c r="C3166" t="s">
        <v>73</v>
      </c>
      <c r="D3166" t="s">
        <v>94</v>
      </c>
      <c r="E3166" t="s">
        <v>112</v>
      </c>
      <c r="F3166" t="s">
        <v>146</v>
      </c>
      <c r="G3166" t="s">
        <v>172</v>
      </c>
      <c r="H3166" t="s">
        <v>207</v>
      </c>
      <c r="I3166" t="s">
        <v>226</v>
      </c>
      <c r="J3166" t="s">
        <v>246</v>
      </c>
      <c r="K3166" t="s">
        <v>259</v>
      </c>
      <c r="AK3166" t="s">
        <v>359</v>
      </c>
    </row>
    <row r="3167" spans="1:37">
      <c r="A3167" t="s">
        <v>38</v>
      </c>
      <c r="B3167" t="s">
        <v>50</v>
      </c>
      <c r="C3167" t="s">
        <v>74</v>
      </c>
      <c r="D3167" t="s">
        <v>95</v>
      </c>
      <c r="E3167" t="s">
        <v>113</v>
      </c>
      <c r="F3167" t="s">
        <v>147</v>
      </c>
      <c r="G3167" t="s">
        <v>173</v>
      </c>
      <c r="H3167" t="s">
        <v>208</v>
      </c>
      <c r="I3167" t="s">
        <v>227</v>
      </c>
      <c r="J3167" t="s">
        <v>115</v>
      </c>
      <c r="K3167" t="s">
        <v>260</v>
      </c>
      <c r="L3167" t="s">
        <v>273</v>
      </c>
      <c r="M3167" t="s">
        <v>282</v>
      </c>
      <c r="N3167" t="s">
        <v>291</v>
      </c>
      <c r="AK3167" t="s">
        <v>359</v>
      </c>
    </row>
    <row r="3168" spans="1:37">
      <c r="B3168" t="s">
        <v>51</v>
      </c>
      <c r="C3168" t="s">
        <v>75</v>
      </c>
      <c r="D3168" t="s">
        <v>52</v>
      </c>
      <c r="E3168" t="s">
        <v>114</v>
      </c>
      <c r="F3168" t="s">
        <v>148</v>
      </c>
      <c r="G3168" t="s">
        <v>148</v>
      </c>
      <c r="H3168" t="s">
        <v>209</v>
      </c>
      <c r="I3168" t="s">
        <v>228</v>
      </c>
      <c r="J3168" t="s">
        <v>247</v>
      </c>
      <c r="K3168" t="s">
        <v>261</v>
      </c>
      <c r="L3168" t="s">
        <v>274</v>
      </c>
      <c r="M3168" t="s">
        <v>283</v>
      </c>
      <c r="N3168" t="s">
        <v>292</v>
      </c>
      <c r="O3168" t="s">
        <v>300</v>
      </c>
      <c r="AK3168" t="s">
        <v>359</v>
      </c>
    </row>
    <row r="3169" spans="1:37">
      <c r="B3169" t="s">
        <v>52</v>
      </c>
      <c r="C3169" t="s">
        <v>76</v>
      </c>
      <c r="D3169" t="s">
        <v>96</v>
      </c>
      <c r="E3169" t="s">
        <v>115</v>
      </c>
      <c r="F3169" t="s">
        <v>149</v>
      </c>
      <c r="G3169" t="s">
        <v>174</v>
      </c>
      <c r="H3169" t="s">
        <v>96</v>
      </c>
      <c r="I3169" t="s">
        <v>229</v>
      </c>
      <c r="J3169" t="s">
        <v>248</v>
      </c>
      <c r="K3169" t="s">
        <v>262</v>
      </c>
      <c r="L3169" t="s">
        <v>52</v>
      </c>
      <c r="M3169" t="s">
        <v>76</v>
      </c>
      <c r="N3169" t="s">
        <v>293</v>
      </c>
      <c r="O3169" t="s">
        <v>301</v>
      </c>
      <c r="P3169" t="s">
        <v>309</v>
      </c>
      <c r="Q3169" t="s">
        <v>315</v>
      </c>
      <c r="R3169" t="s">
        <v>228</v>
      </c>
      <c r="S3169" t="s">
        <v>328</v>
      </c>
      <c r="T3169" t="s">
        <v>149</v>
      </c>
      <c r="U3169" t="s">
        <v>337</v>
      </c>
      <c r="V3169" t="s">
        <v>341</v>
      </c>
      <c r="W3169" t="s">
        <v>345</v>
      </c>
      <c r="X3169" t="s">
        <v>350</v>
      </c>
      <c r="AK3169" t="s">
        <v>359</v>
      </c>
    </row>
    <row r="3170" spans="1:37">
      <c r="B3170" t="s">
        <v>53</v>
      </c>
      <c r="C3170" t="s">
        <v>77</v>
      </c>
      <c r="D3170" t="s">
        <v>97</v>
      </c>
      <c r="E3170" t="s">
        <v>116</v>
      </c>
      <c r="F3170" t="s">
        <v>150</v>
      </c>
      <c r="G3170" t="s">
        <v>175</v>
      </c>
      <c r="H3170" t="s">
        <v>210</v>
      </c>
      <c r="I3170" t="s">
        <v>230</v>
      </c>
      <c r="J3170" t="s">
        <v>249</v>
      </c>
      <c r="K3170" t="s">
        <v>263</v>
      </c>
      <c r="L3170" t="s">
        <v>275</v>
      </c>
      <c r="M3170" t="s">
        <v>284</v>
      </c>
      <c r="N3170" t="s">
        <v>294</v>
      </c>
      <c r="O3170" t="s">
        <v>302</v>
      </c>
      <c r="P3170" t="s">
        <v>310</v>
      </c>
      <c r="Q3170" t="s">
        <v>316</v>
      </c>
      <c r="R3170" t="s">
        <v>322</v>
      </c>
      <c r="S3170" t="s">
        <v>329</v>
      </c>
      <c r="AK3170" t="s">
        <v>359</v>
      </c>
    </row>
    <row r="3171" spans="1:37">
      <c r="A3171" t="s">
        <v>39</v>
      </c>
      <c r="B3171" t="s">
        <v>54</v>
      </c>
      <c r="C3171" t="s">
        <v>54</v>
      </c>
      <c r="D3171" t="s">
        <v>54</v>
      </c>
      <c r="E3171" t="s">
        <v>54</v>
      </c>
      <c r="F3171" t="s">
        <v>54</v>
      </c>
      <c r="G3171" t="s">
        <v>54</v>
      </c>
      <c r="H3171" t="s">
        <v>54</v>
      </c>
      <c r="I3171" t="s">
        <v>54</v>
      </c>
      <c r="J3171" t="s">
        <v>54</v>
      </c>
      <c r="K3171" t="s">
        <v>54</v>
      </c>
      <c r="L3171" t="s">
        <v>54</v>
      </c>
      <c r="M3171" t="s">
        <v>54</v>
      </c>
      <c r="N3171" t="s">
        <v>54</v>
      </c>
      <c r="O3171" t="s">
        <v>54</v>
      </c>
      <c r="P3171" t="s">
        <v>54</v>
      </c>
      <c r="Q3171" t="s">
        <v>54</v>
      </c>
      <c r="R3171" t="s">
        <v>323</v>
      </c>
      <c r="S3171" t="s">
        <v>330</v>
      </c>
      <c r="AK3171" t="s">
        <v>359</v>
      </c>
    </row>
    <row r="3172" spans="1:37">
      <c r="B3172" t="s">
        <v>55</v>
      </c>
      <c r="C3172" t="s">
        <v>78</v>
      </c>
      <c r="D3172" t="s">
        <v>55</v>
      </c>
      <c r="E3172" t="s">
        <v>78</v>
      </c>
      <c r="F3172" t="s">
        <v>55</v>
      </c>
      <c r="G3172" t="s">
        <v>78</v>
      </c>
      <c r="H3172" t="s">
        <v>55</v>
      </c>
      <c r="I3172" t="s">
        <v>78</v>
      </c>
      <c r="J3172" t="s">
        <v>55</v>
      </c>
      <c r="K3172" t="s">
        <v>78</v>
      </c>
      <c r="L3172" t="s">
        <v>55</v>
      </c>
      <c r="M3172" t="s">
        <v>78</v>
      </c>
      <c r="N3172" t="s">
        <v>55</v>
      </c>
      <c r="O3172" t="s">
        <v>78</v>
      </c>
      <c r="P3172" t="s">
        <v>55</v>
      </c>
      <c r="Q3172" t="s">
        <v>78</v>
      </c>
      <c r="R3172" t="s">
        <v>55</v>
      </c>
      <c r="S3172" t="s">
        <v>78</v>
      </c>
      <c r="T3172" t="s">
        <v>55</v>
      </c>
      <c r="U3172" t="s">
        <v>78</v>
      </c>
      <c r="V3172" t="s">
        <v>55</v>
      </c>
      <c r="W3172" t="s">
        <v>78</v>
      </c>
      <c r="X3172" t="s">
        <v>55</v>
      </c>
      <c r="Y3172" t="s">
        <v>78</v>
      </c>
      <c r="Z3172" t="s">
        <v>55</v>
      </c>
      <c r="AA3172" t="s">
        <v>78</v>
      </c>
      <c r="AB3172" t="s">
        <v>55</v>
      </c>
      <c r="AC3172" t="s">
        <v>78</v>
      </c>
      <c r="AD3172" t="s">
        <v>55</v>
      </c>
      <c r="AE3172" t="s">
        <v>78</v>
      </c>
      <c r="AF3172" t="s">
        <v>55</v>
      </c>
      <c r="AG3172" t="s">
        <v>78</v>
      </c>
      <c r="AH3172" t="s">
        <v>55</v>
      </c>
      <c r="AI3172" t="s">
        <v>78</v>
      </c>
      <c r="AK3172" t="s">
        <v>359</v>
      </c>
    </row>
    <row r="3173" spans="1:37">
      <c r="B3173" t="s">
        <v>56</v>
      </c>
      <c r="C3173" t="s">
        <v>56</v>
      </c>
      <c r="D3173" t="s">
        <v>56</v>
      </c>
      <c r="E3173" t="s">
        <v>56</v>
      </c>
      <c r="F3173" t="s">
        <v>56</v>
      </c>
      <c r="G3173" t="s">
        <v>176</v>
      </c>
      <c r="H3173" t="s">
        <v>211</v>
      </c>
      <c r="I3173" t="s">
        <v>231</v>
      </c>
      <c r="J3173" t="s">
        <v>250</v>
      </c>
      <c r="K3173" t="s">
        <v>264</v>
      </c>
      <c r="L3173" t="s">
        <v>276</v>
      </c>
      <c r="M3173" t="s">
        <v>285</v>
      </c>
      <c r="N3173" t="s">
        <v>295</v>
      </c>
      <c r="O3173" t="s">
        <v>303</v>
      </c>
      <c r="P3173" t="s">
        <v>56</v>
      </c>
      <c r="Q3173" t="s">
        <v>317</v>
      </c>
      <c r="R3173" t="s">
        <v>324</v>
      </c>
      <c r="S3173" t="s">
        <v>331</v>
      </c>
      <c r="T3173" t="s">
        <v>334</v>
      </c>
      <c r="U3173" t="s">
        <v>338</v>
      </c>
      <c r="V3173" t="s">
        <v>342</v>
      </c>
      <c r="W3173" t="s">
        <v>346</v>
      </c>
      <c r="X3173" t="s">
        <v>351</v>
      </c>
      <c r="AK3173" t="s">
        <v>359</v>
      </c>
    </row>
    <row r="3174" spans="1:37">
      <c r="B3174" t="s">
        <v>57</v>
      </c>
      <c r="C3174" t="s">
        <v>79</v>
      </c>
      <c r="D3174" t="s">
        <v>98</v>
      </c>
      <c r="E3174" t="s">
        <v>117</v>
      </c>
      <c r="F3174" t="s">
        <v>151</v>
      </c>
      <c r="G3174" t="s">
        <v>177</v>
      </c>
      <c r="H3174" t="s">
        <v>212</v>
      </c>
      <c r="I3174" t="s">
        <v>232</v>
      </c>
      <c r="J3174" t="s">
        <v>251</v>
      </c>
      <c r="K3174" t="s">
        <v>265</v>
      </c>
      <c r="L3174" t="s">
        <v>277</v>
      </c>
      <c r="M3174" t="s">
        <v>286</v>
      </c>
      <c r="N3174" t="s">
        <v>296</v>
      </c>
      <c r="O3174" t="s">
        <v>304</v>
      </c>
      <c r="P3174" t="s">
        <v>311</v>
      </c>
      <c r="Q3174" t="s">
        <v>318</v>
      </c>
      <c r="R3174" t="s">
        <v>185</v>
      </c>
      <c r="S3174" t="s">
        <v>159</v>
      </c>
      <c r="T3174" t="s">
        <v>185</v>
      </c>
      <c r="U3174" t="s">
        <v>339</v>
      </c>
      <c r="V3174" t="s">
        <v>72</v>
      </c>
      <c r="W3174" t="s">
        <v>347</v>
      </c>
      <c r="X3174" t="s">
        <v>72</v>
      </c>
      <c r="Y3174" t="s">
        <v>96</v>
      </c>
      <c r="AK3174" t="s">
        <v>359</v>
      </c>
    </row>
    <row r="3175" spans="1:37">
      <c r="B3175" t="s">
        <v>58</v>
      </c>
      <c r="C3175" t="s">
        <v>80</v>
      </c>
      <c r="D3175" t="s">
        <v>99</v>
      </c>
      <c r="E3175" t="s">
        <v>118</v>
      </c>
      <c r="F3175" t="s">
        <v>152</v>
      </c>
      <c r="G3175" t="s">
        <v>178</v>
      </c>
      <c r="H3175" t="s">
        <v>213</v>
      </c>
      <c r="I3175" t="s">
        <v>233</v>
      </c>
      <c r="J3175" t="s">
        <v>252</v>
      </c>
      <c r="K3175" t="s">
        <v>266</v>
      </c>
      <c r="L3175" t="s">
        <v>278</v>
      </c>
      <c r="M3175" t="s">
        <v>287</v>
      </c>
      <c r="N3175" t="s">
        <v>297</v>
      </c>
      <c r="O3175" t="s">
        <v>305</v>
      </c>
      <c r="P3175" t="s">
        <v>312</v>
      </c>
      <c r="Q3175" t="s">
        <v>319</v>
      </c>
      <c r="R3175">
        <f>&gt;10       ветра      2.3     17   3</f>
        <v>0</v>
      </c>
      <c r="AK3175" t="s">
        <v>359</v>
      </c>
    </row>
    <row r="3176" spans="1:37">
      <c r="A3176" t="s">
        <v>40</v>
      </c>
      <c r="B3176" t="s">
        <v>59</v>
      </c>
      <c r="C3176" t="s">
        <v>81</v>
      </c>
      <c r="D3176" t="s">
        <v>100</v>
      </c>
      <c r="E3176" t="s">
        <v>119</v>
      </c>
      <c r="F3176" t="s">
        <v>153</v>
      </c>
      <c r="G3176" t="s">
        <v>179</v>
      </c>
      <c r="H3176" t="s">
        <v>214</v>
      </c>
      <c r="I3176" t="s">
        <v>234</v>
      </c>
      <c r="AK3176" t="s">
        <v>359</v>
      </c>
    </row>
    <row r="3177" spans="1:37">
      <c r="A3177" t="s">
        <v>40</v>
      </c>
      <c r="B3177" t="s">
        <v>60</v>
      </c>
      <c r="C3177" t="s">
        <v>82</v>
      </c>
      <c r="D3177" t="s">
        <v>101</v>
      </c>
      <c r="E3177" t="s">
        <v>120</v>
      </c>
      <c r="F3177" t="s">
        <v>154</v>
      </c>
      <c r="G3177" t="s">
        <v>180</v>
      </c>
      <c r="H3177" t="s">
        <v>215</v>
      </c>
      <c r="I3177" t="s">
        <v>235</v>
      </c>
      <c r="J3177" t="s">
        <v>253</v>
      </c>
      <c r="K3177" t="s">
        <v>267</v>
      </c>
      <c r="L3177" t="s">
        <v>279</v>
      </c>
      <c r="M3177" t="s">
        <v>288</v>
      </c>
      <c r="N3177" t="s">
        <v>100</v>
      </c>
      <c r="O3177" t="s">
        <v>306</v>
      </c>
      <c r="P3177" t="s">
        <v>313</v>
      </c>
      <c r="Q3177" t="s">
        <v>320</v>
      </c>
      <c r="R3177" t="s">
        <v>325</v>
      </c>
      <c r="S3177" t="s">
        <v>332</v>
      </c>
      <c r="T3177" t="s">
        <v>119</v>
      </c>
      <c r="U3177" t="s">
        <v>234</v>
      </c>
      <c r="V3177" t="s">
        <v>343</v>
      </c>
      <c r="W3177" t="s">
        <v>348</v>
      </c>
      <c r="X3177" t="s">
        <v>352</v>
      </c>
      <c r="Y3177" t="s">
        <v>354</v>
      </c>
      <c r="AK3177" t="s">
        <v>359</v>
      </c>
    </row>
    <row r="3178" spans="1:37">
      <c r="A3178" t="s">
        <v>41</v>
      </c>
      <c r="B3178" t="s">
        <v>61</v>
      </c>
      <c r="C3178" t="s">
        <v>83</v>
      </c>
      <c r="D3178" t="s">
        <v>102</v>
      </c>
      <c r="E3178" t="s">
        <v>121</v>
      </c>
      <c r="F3178" t="s">
        <v>155</v>
      </c>
      <c r="G3178" t="s">
        <v>181</v>
      </c>
      <c r="H3178" t="s">
        <v>216</v>
      </c>
      <c r="I3178" t="s">
        <v>236</v>
      </c>
      <c r="AK3178" t="s">
        <v>359</v>
      </c>
    </row>
    <row r="3179" spans="1:37">
      <c r="A3179" t="s">
        <v>42</v>
      </c>
      <c r="B3179" t="s">
        <v>62</v>
      </c>
      <c r="C3179" t="s">
        <v>84</v>
      </c>
      <c r="D3179" t="s">
        <v>103</v>
      </c>
      <c r="E3179" t="s">
        <v>122</v>
      </c>
      <c r="F3179" t="s">
        <v>156</v>
      </c>
      <c r="G3179" t="s">
        <v>182</v>
      </c>
      <c r="H3179" t="s">
        <v>83</v>
      </c>
      <c r="I3179" t="s">
        <v>237</v>
      </c>
      <c r="J3179" t="s">
        <v>254</v>
      </c>
      <c r="K3179" t="s">
        <v>268</v>
      </c>
      <c r="L3179" t="s">
        <v>280</v>
      </c>
      <c r="M3179" t="s">
        <v>289</v>
      </c>
      <c r="N3179" t="s">
        <v>298</v>
      </c>
      <c r="O3179" t="s">
        <v>307</v>
      </c>
      <c r="P3179" t="s">
        <v>314</v>
      </c>
      <c r="Q3179" t="s">
        <v>216</v>
      </c>
      <c r="R3179" t="s">
        <v>326</v>
      </c>
      <c r="S3179" t="s">
        <v>333</v>
      </c>
      <c r="T3179" t="s">
        <v>335</v>
      </c>
      <c r="U3179" t="s">
        <v>340</v>
      </c>
      <c r="V3179" t="s">
        <v>344</v>
      </c>
      <c r="W3179" t="s">
        <v>349</v>
      </c>
      <c r="AK3179" t="s">
        <v>359</v>
      </c>
    </row>
    <row r="3180" spans="1:37">
      <c r="A3180" t="s">
        <v>43</v>
      </c>
      <c r="B3180" t="s">
        <v>63</v>
      </c>
      <c r="C3180" t="s">
        <v>85</v>
      </c>
      <c r="D3180" t="s">
        <v>104</v>
      </c>
      <c r="E3180" t="s">
        <v>123</v>
      </c>
      <c r="F3180" t="s">
        <v>157</v>
      </c>
      <c r="G3180" t="s">
        <v>183</v>
      </c>
      <c r="AK3180" t="s">
        <v>359</v>
      </c>
    </row>
    <row r="3181" spans="1:37">
      <c r="A3181" t="s">
        <v>44</v>
      </c>
      <c r="B3181" t="s">
        <v>64</v>
      </c>
      <c r="C3181" t="s">
        <v>86</v>
      </c>
      <c r="D3181" t="s">
        <v>105</v>
      </c>
      <c r="E3181" t="s">
        <v>124</v>
      </c>
      <c r="F3181" t="s">
        <v>158</v>
      </c>
      <c r="G3181" t="s">
        <v>184</v>
      </c>
      <c r="AK3181" t="s">
        <v>359</v>
      </c>
    </row>
    <row r="3182" spans="1:37">
      <c r="A3182" t="s">
        <v>45</v>
      </c>
      <c r="B3182" t="s">
        <v>65</v>
      </c>
      <c r="C3182" t="s">
        <v>87</v>
      </c>
      <c r="D3182" t="s">
        <v>106</v>
      </c>
      <c r="E3182" t="s">
        <v>125</v>
      </c>
      <c r="F3182" t="s">
        <v>159</v>
      </c>
      <c r="G3182" t="s">
        <v>185</v>
      </c>
      <c r="H3182" t="s">
        <v>159</v>
      </c>
      <c r="I3182" t="s">
        <v>185</v>
      </c>
      <c r="J3182" t="s">
        <v>255</v>
      </c>
      <c r="AK3182" t="s">
        <v>359</v>
      </c>
    </row>
    <row r="3183" spans="1:37">
      <c r="A3183" t="s">
        <v>46</v>
      </c>
      <c r="B3183" t="s">
        <v>66</v>
      </c>
      <c r="C3183" t="s">
        <v>88</v>
      </c>
      <c r="D3183" t="s">
        <v>76</v>
      </c>
      <c r="E3183" t="s">
        <v>126</v>
      </c>
      <c r="F3183" t="s">
        <v>160</v>
      </c>
      <c r="G3183" t="s">
        <v>186</v>
      </c>
      <c r="H3183" t="s">
        <v>217</v>
      </c>
      <c r="I3183" t="s">
        <v>238</v>
      </c>
      <c r="J3183" t="s">
        <v>256</v>
      </c>
      <c r="K3183" t="s">
        <v>265</v>
      </c>
      <c r="L3183" t="s">
        <v>281</v>
      </c>
      <c r="M3183" t="s">
        <v>290</v>
      </c>
      <c r="N3183" t="s">
        <v>299</v>
      </c>
      <c r="O3183" t="s">
        <v>308</v>
      </c>
      <c r="P3183" t="s">
        <v>228</v>
      </c>
      <c r="Q3183" t="s">
        <v>72</v>
      </c>
      <c r="R3183" t="s">
        <v>327</v>
      </c>
      <c r="S3183" t="s">
        <v>327</v>
      </c>
      <c r="T3183" t="s">
        <v>336</v>
      </c>
      <c r="U3183" t="s">
        <v>336</v>
      </c>
      <c r="V3183" t="s">
        <v>336</v>
      </c>
      <c r="W3183" t="s">
        <v>336</v>
      </c>
      <c r="X3183" t="s">
        <v>353</v>
      </c>
      <c r="AK3183" t="s">
        <v>359</v>
      </c>
    </row>
    <row r="3184" spans="1:37">
      <c r="B3184" t="s">
        <v>67</v>
      </c>
      <c r="C3184" t="s">
        <v>89</v>
      </c>
      <c r="D3184" t="s">
        <v>107</v>
      </c>
      <c r="AK3184" t="s">
        <v>359</v>
      </c>
    </row>
    <row r="3185" spans="1:37">
      <c r="B3185" t="s">
        <v>68</v>
      </c>
      <c r="C3185" t="s">
        <v>90</v>
      </c>
      <c r="D3185" t="s">
        <v>108</v>
      </c>
      <c r="AK3185" t="s">
        <v>359</v>
      </c>
    </row>
    <row r="3186" spans="1:37">
      <c r="A3186" t="s">
        <v>47</v>
      </c>
      <c r="B3186" t="s">
        <v>69</v>
      </c>
      <c r="C3186" t="s">
        <v>91</v>
      </c>
      <c r="D3186" t="s">
        <v>109</v>
      </c>
      <c r="E3186" t="s">
        <v>109</v>
      </c>
      <c r="F3186" t="s">
        <v>109</v>
      </c>
      <c r="G3186" t="s">
        <v>109</v>
      </c>
      <c r="H3186" t="s">
        <v>109</v>
      </c>
      <c r="I3186" t="s">
        <v>239</v>
      </c>
      <c r="AK3186" t="s">
        <v>359</v>
      </c>
    </row>
    <row r="3187" spans="1:37">
      <c r="B3187" t="s">
        <v>70</v>
      </c>
      <c r="C3187" t="s">
        <v>92</v>
      </c>
      <c r="D3187" t="s">
        <v>110</v>
      </c>
      <c r="E3187" t="s">
        <v>127</v>
      </c>
      <c r="F3187" t="s">
        <v>161</v>
      </c>
      <c r="G3187" t="s">
        <v>187</v>
      </c>
      <c r="H3187" t="s">
        <v>218</v>
      </c>
      <c r="AK3187" t="s">
        <v>359</v>
      </c>
    </row>
    <row r="3188" spans="1:37">
      <c r="B3188" t="s">
        <v>71</v>
      </c>
      <c r="C3188" t="s">
        <v>93</v>
      </c>
      <c r="D3188" t="s">
        <v>111</v>
      </c>
      <c r="E3188" t="s">
        <v>128</v>
      </c>
      <c r="F3188" t="s">
        <v>162</v>
      </c>
      <c r="G3188" t="s">
        <v>188</v>
      </c>
      <c r="H3188" t="s">
        <v>219</v>
      </c>
      <c r="I3188" t="s">
        <v>240</v>
      </c>
      <c r="J3188" t="s">
        <v>257</v>
      </c>
      <c r="K3188" t="s">
        <v>269</v>
      </c>
      <c r="L3188" t="s">
        <v>109</v>
      </c>
      <c r="M3188" t="s">
        <v>109</v>
      </c>
      <c r="N3188" t="s">
        <v>109</v>
      </c>
      <c r="O3188" t="s">
        <v>109</v>
      </c>
      <c r="P3188" t="s">
        <v>109</v>
      </c>
      <c r="Q3188" t="s">
        <v>321</v>
      </c>
      <c r="AK3188" t="s">
        <v>359</v>
      </c>
    </row>
    <row r="3189" spans="1:37">
      <c r="A3189" t="s">
        <v>48</v>
      </c>
      <c r="B3189" t="s">
        <v>71</v>
      </c>
      <c r="C3189" t="s">
        <v>93</v>
      </c>
      <c r="D3189" t="s">
        <v>111</v>
      </c>
      <c r="E3189" t="s">
        <v>128</v>
      </c>
      <c r="F3189" t="s">
        <v>163</v>
      </c>
      <c r="G3189" t="s">
        <v>189</v>
      </c>
      <c r="H3189" t="s">
        <v>220</v>
      </c>
      <c r="I3189" t="s">
        <v>241</v>
      </c>
      <c r="J3189" t="s">
        <v>258</v>
      </c>
      <c r="K3189" t="s">
        <v>270</v>
      </c>
      <c r="AK3189" t="s">
        <v>359</v>
      </c>
    </row>
    <row r="3190" spans="1:37">
      <c r="B3190" t="s">
        <v>72</v>
      </c>
      <c r="C3190" t="s">
        <v>72</v>
      </c>
      <c r="D3190" t="s">
        <v>72</v>
      </c>
      <c r="E3190" t="s">
        <v>72</v>
      </c>
      <c r="F3190" t="s">
        <v>72</v>
      </c>
      <c r="G3190" t="s">
        <v>72</v>
      </c>
      <c r="H3190" t="s">
        <v>72</v>
      </c>
      <c r="I3190" t="s">
        <v>72</v>
      </c>
      <c r="J3190" t="s">
        <v>72</v>
      </c>
      <c r="K3190" t="s">
        <v>272</v>
      </c>
      <c r="AK3190" t="s">
        <v>359</v>
      </c>
    </row>
    <row r="3191" spans="1:37">
      <c r="A3191" t="s">
        <v>37</v>
      </c>
      <c r="B3191" t="s">
        <v>49</v>
      </c>
      <c r="C3191" t="s">
        <v>73</v>
      </c>
      <c r="D3191" t="s">
        <v>94</v>
      </c>
      <c r="E3191" t="s">
        <v>112</v>
      </c>
      <c r="F3191" t="s">
        <v>146</v>
      </c>
      <c r="G3191" t="s">
        <v>172</v>
      </c>
      <c r="H3191" t="s">
        <v>207</v>
      </c>
      <c r="I3191" t="s">
        <v>226</v>
      </c>
      <c r="J3191" t="s">
        <v>246</v>
      </c>
      <c r="K3191" t="s">
        <v>259</v>
      </c>
      <c r="AK3191" t="s">
        <v>359</v>
      </c>
    </row>
    <row r="3192" spans="1:37">
      <c r="A3192" t="s">
        <v>38</v>
      </c>
      <c r="B3192" t="s">
        <v>50</v>
      </c>
      <c r="C3192" t="s">
        <v>74</v>
      </c>
      <c r="D3192" t="s">
        <v>95</v>
      </c>
      <c r="E3192" t="s">
        <v>113</v>
      </c>
      <c r="F3192" t="s">
        <v>147</v>
      </c>
      <c r="G3192" t="s">
        <v>173</v>
      </c>
      <c r="H3192" t="s">
        <v>208</v>
      </c>
      <c r="I3192" t="s">
        <v>227</v>
      </c>
      <c r="J3192" t="s">
        <v>115</v>
      </c>
      <c r="K3192" t="s">
        <v>260</v>
      </c>
      <c r="L3192" t="s">
        <v>273</v>
      </c>
      <c r="M3192" t="s">
        <v>282</v>
      </c>
      <c r="N3192" t="s">
        <v>291</v>
      </c>
      <c r="AK3192" t="s">
        <v>359</v>
      </c>
    </row>
    <row r="3193" spans="1:37">
      <c r="B3193" t="s">
        <v>51</v>
      </c>
      <c r="C3193" t="s">
        <v>75</v>
      </c>
      <c r="D3193" t="s">
        <v>52</v>
      </c>
      <c r="E3193" t="s">
        <v>114</v>
      </c>
      <c r="F3193" t="s">
        <v>148</v>
      </c>
      <c r="G3193" t="s">
        <v>148</v>
      </c>
      <c r="H3193" t="s">
        <v>209</v>
      </c>
      <c r="I3193" t="s">
        <v>228</v>
      </c>
      <c r="J3193" t="s">
        <v>247</v>
      </c>
      <c r="K3193" t="s">
        <v>261</v>
      </c>
      <c r="L3193" t="s">
        <v>274</v>
      </c>
      <c r="M3193" t="s">
        <v>283</v>
      </c>
      <c r="N3193" t="s">
        <v>292</v>
      </c>
      <c r="O3193" t="s">
        <v>300</v>
      </c>
      <c r="AK3193" t="s">
        <v>359</v>
      </c>
    </row>
    <row r="3194" spans="1:37">
      <c r="B3194" t="s">
        <v>52</v>
      </c>
      <c r="C3194" t="s">
        <v>76</v>
      </c>
      <c r="D3194" t="s">
        <v>96</v>
      </c>
      <c r="E3194" t="s">
        <v>115</v>
      </c>
      <c r="F3194" t="s">
        <v>149</v>
      </c>
      <c r="G3194" t="s">
        <v>174</v>
      </c>
      <c r="H3194" t="s">
        <v>96</v>
      </c>
      <c r="I3194" t="s">
        <v>229</v>
      </c>
      <c r="J3194" t="s">
        <v>248</v>
      </c>
      <c r="K3194" t="s">
        <v>262</v>
      </c>
      <c r="L3194" t="s">
        <v>52</v>
      </c>
      <c r="M3194" t="s">
        <v>76</v>
      </c>
      <c r="N3194" t="s">
        <v>293</v>
      </c>
      <c r="O3194" t="s">
        <v>301</v>
      </c>
      <c r="P3194" t="s">
        <v>309</v>
      </c>
      <c r="Q3194" t="s">
        <v>315</v>
      </c>
      <c r="R3194" t="s">
        <v>228</v>
      </c>
      <c r="S3194" t="s">
        <v>328</v>
      </c>
      <c r="T3194" t="s">
        <v>149</v>
      </c>
      <c r="U3194" t="s">
        <v>337</v>
      </c>
      <c r="V3194" t="s">
        <v>341</v>
      </c>
      <c r="W3194" t="s">
        <v>345</v>
      </c>
      <c r="X3194" t="s">
        <v>350</v>
      </c>
      <c r="AK3194" t="s">
        <v>359</v>
      </c>
    </row>
    <row r="3195" spans="1:37">
      <c r="B3195" t="s">
        <v>53</v>
      </c>
      <c r="C3195" t="s">
        <v>77</v>
      </c>
      <c r="D3195" t="s">
        <v>97</v>
      </c>
      <c r="E3195" t="s">
        <v>116</v>
      </c>
      <c r="F3195" t="s">
        <v>150</v>
      </c>
      <c r="G3195" t="s">
        <v>175</v>
      </c>
      <c r="H3195" t="s">
        <v>210</v>
      </c>
      <c r="I3195" t="s">
        <v>230</v>
      </c>
      <c r="J3195" t="s">
        <v>249</v>
      </c>
      <c r="K3195" t="s">
        <v>263</v>
      </c>
      <c r="L3195" t="s">
        <v>275</v>
      </c>
      <c r="M3195" t="s">
        <v>284</v>
      </c>
      <c r="N3195" t="s">
        <v>294</v>
      </c>
      <c r="O3195" t="s">
        <v>302</v>
      </c>
      <c r="P3195" t="s">
        <v>310</v>
      </c>
      <c r="Q3195" t="s">
        <v>316</v>
      </c>
      <c r="R3195" t="s">
        <v>322</v>
      </c>
      <c r="S3195" t="s">
        <v>329</v>
      </c>
      <c r="AK3195" t="s">
        <v>359</v>
      </c>
    </row>
    <row r="3196" spans="1:37">
      <c r="A3196" t="s">
        <v>39</v>
      </c>
      <c r="B3196" t="s">
        <v>54</v>
      </c>
      <c r="C3196" t="s">
        <v>54</v>
      </c>
      <c r="D3196" t="s">
        <v>54</v>
      </c>
      <c r="E3196" t="s">
        <v>54</v>
      </c>
      <c r="F3196" t="s">
        <v>54</v>
      </c>
      <c r="G3196" t="s">
        <v>54</v>
      </c>
      <c r="H3196" t="s">
        <v>54</v>
      </c>
      <c r="I3196" t="s">
        <v>54</v>
      </c>
      <c r="J3196" t="s">
        <v>54</v>
      </c>
      <c r="K3196" t="s">
        <v>54</v>
      </c>
      <c r="L3196" t="s">
        <v>54</v>
      </c>
      <c r="M3196" t="s">
        <v>54</v>
      </c>
      <c r="N3196" t="s">
        <v>54</v>
      </c>
      <c r="O3196" t="s">
        <v>54</v>
      </c>
      <c r="P3196" t="s">
        <v>54</v>
      </c>
      <c r="Q3196" t="s">
        <v>54</v>
      </c>
      <c r="R3196" t="s">
        <v>323</v>
      </c>
      <c r="S3196" t="s">
        <v>330</v>
      </c>
      <c r="AK3196" t="s">
        <v>359</v>
      </c>
    </row>
    <row r="3197" spans="1:37">
      <c r="B3197" t="s">
        <v>55</v>
      </c>
      <c r="C3197" t="s">
        <v>78</v>
      </c>
      <c r="D3197" t="s">
        <v>55</v>
      </c>
      <c r="E3197" t="s">
        <v>78</v>
      </c>
      <c r="F3197" t="s">
        <v>55</v>
      </c>
      <c r="G3197" t="s">
        <v>78</v>
      </c>
      <c r="H3197" t="s">
        <v>55</v>
      </c>
      <c r="I3197" t="s">
        <v>78</v>
      </c>
      <c r="J3197" t="s">
        <v>55</v>
      </c>
      <c r="K3197" t="s">
        <v>78</v>
      </c>
      <c r="L3197" t="s">
        <v>55</v>
      </c>
      <c r="M3197" t="s">
        <v>78</v>
      </c>
      <c r="N3197" t="s">
        <v>55</v>
      </c>
      <c r="O3197" t="s">
        <v>78</v>
      </c>
      <c r="P3197" t="s">
        <v>55</v>
      </c>
      <c r="Q3197" t="s">
        <v>78</v>
      </c>
      <c r="R3197" t="s">
        <v>55</v>
      </c>
      <c r="S3197" t="s">
        <v>78</v>
      </c>
      <c r="T3197" t="s">
        <v>55</v>
      </c>
      <c r="U3197" t="s">
        <v>78</v>
      </c>
      <c r="V3197" t="s">
        <v>55</v>
      </c>
      <c r="W3197" t="s">
        <v>78</v>
      </c>
      <c r="X3197" t="s">
        <v>55</v>
      </c>
      <c r="Y3197" t="s">
        <v>78</v>
      </c>
      <c r="Z3197" t="s">
        <v>55</v>
      </c>
      <c r="AA3197" t="s">
        <v>78</v>
      </c>
      <c r="AB3197" t="s">
        <v>55</v>
      </c>
      <c r="AC3197" t="s">
        <v>78</v>
      </c>
      <c r="AD3197" t="s">
        <v>55</v>
      </c>
      <c r="AE3197" t="s">
        <v>78</v>
      </c>
      <c r="AF3197" t="s">
        <v>55</v>
      </c>
      <c r="AG3197" t="s">
        <v>78</v>
      </c>
      <c r="AH3197" t="s">
        <v>55</v>
      </c>
      <c r="AI3197" t="s">
        <v>78</v>
      </c>
      <c r="AK3197" t="s">
        <v>359</v>
      </c>
    </row>
    <row r="3198" spans="1:37">
      <c r="B3198" t="s">
        <v>56</v>
      </c>
      <c r="C3198" t="s">
        <v>56</v>
      </c>
      <c r="D3198" t="s">
        <v>56</v>
      </c>
      <c r="E3198" t="s">
        <v>56</v>
      </c>
      <c r="F3198" t="s">
        <v>56</v>
      </c>
      <c r="G3198" t="s">
        <v>176</v>
      </c>
      <c r="H3198" t="s">
        <v>211</v>
      </c>
      <c r="I3198" t="s">
        <v>231</v>
      </c>
      <c r="J3198" t="s">
        <v>250</v>
      </c>
      <c r="K3198" t="s">
        <v>264</v>
      </c>
      <c r="L3198" t="s">
        <v>276</v>
      </c>
      <c r="M3198" t="s">
        <v>285</v>
      </c>
      <c r="N3198" t="s">
        <v>295</v>
      </c>
      <c r="O3198" t="s">
        <v>303</v>
      </c>
      <c r="P3198" t="s">
        <v>56</v>
      </c>
      <c r="Q3198" t="s">
        <v>317</v>
      </c>
      <c r="R3198" t="s">
        <v>324</v>
      </c>
      <c r="S3198" t="s">
        <v>331</v>
      </c>
      <c r="T3198" t="s">
        <v>334</v>
      </c>
      <c r="U3198" t="s">
        <v>338</v>
      </c>
      <c r="V3198" t="s">
        <v>342</v>
      </c>
      <c r="W3198" t="s">
        <v>346</v>
      </c>
      <c r="X3198" t="s">
        <v>351</v>
      </c>
      <c r="AK3198" t="s">
        <v>359</v>
      </c>
    </row>
    <row r="3199" spans="1:37">
      <c r="B3199" t="s">
        <v>57</v>
      </c>
      <c r="C3199" t="s">
        <v>79</v>
      </c>
      <c r="D3199" t="s">
        <v>98</v>
      </c>
      <c r="E3199" t="s">
        <v>117</v>
      </c>
      <c r="F3199" t="s">
        <v>151</v>
      </c>
      <c r="G3199" t="s">
        <v>177</v>
      </c>
      <c r="H3199" t="s">
        <v>212</v>
      </c>
      <c r="I3199" t="s">
        <v>232</v>
      </c>
      <c r="J3199" t="s">
        <v>251</v>
      </c>
      <c r="K3199" t="s">
        <v>265</v>
      </c>
      <c r="L3199" t="s">
        <v>277</v>
      </c>
      <c r="M3199" t="s">
        <v>286</v>
      </c>
      <c r="N3199" t="s">
        <v>296</v>
      </c>
      <c r="O3199" t="s">
        <v>304</v>
      </c>
      <c r="P3199" t="s">
        <v>311</v>
      </c>
      <c r="Q3199" t="s">
        <v>318</v>
      </c>
      <c r="R3199" t="s">
        <v>185</v>
      </c>
      <c r="S3199" t="s">
        <v>159</v>
      </c>
      <c r="T3199" t="s">
        <v>185</v>
      </c>
      <c r="U3199" t="s">
        <v>339</v>
      </c>
      <c r="V3199" t="s">
        <v>72</v>
      </c>
      <c r="W3199" t="s">
        <v>347</v>
      </c>
      <c r="X3199" t="s">
        <v>72</v>
      </c>
      <c r="Y3199" t="s">
        <v>96</v>
      </c>
      <c r="AK3199" t="s">
        <v>359</v>
      </c>
    </row>
    <row r="3200" spans="1:37">
      <c r="B3200" t="s">
        <v>58</v>
      </c>
      <c r="C3200" t="s">
        <v>80</v>
      </c>
      <c r="D3200" t="s">
        <v>99</v>
      </c>
      <c r="E3200" t="s">
        <v>118</v>
      </c>
      <c r="F3200" t="s">
        <v>152</v>
      </c>
      <c r="G3200" t="s">
        <v>178</v>
      </c>
      <c r="H3200" t="s">
        <v>213</v>
      </c>
      <c r="I3200" t="s">
        <v>233</v>
      </c>
      <c r="J3200" t="s">
        <v>252</v>
      </c>
      <c r="K3200" t="s">
        <v>266</v>
      </c>
      <c r="L3200" t="s">
        <v>278</v>
      </c>
      <c r="M3200" t="s">
        <v>287</v>
      </c>
      <c r="N3200" t="s">
        <v>297</v>
      </c>
      <c r="O3200" t="s">
        <v>305</v>
      </c>
      <c r="P3200" t="s">
        <v>312</v>
      </c>
      <c r="Q3200" t="s">
        <v>319</v>
      </c>
      <c r="R3200">
        <f>&gt;10       ветра      1.4     18   4</f>
        <v>0</v>
      </c>
      <c r="AK3200" t="s">
        <v>359</v>
      </c>
    </row>
    <row r="3201" spans="1:37">
      <c r="A3201" t="s">
        <v>40</v>
      </c>
      <c r="B3201" t="s">
        <v>59</v>
      </c>
      <c r="C3201" t="s">
        <v>81</v>
      </c>
      <c r="D3201" t="s">
        <v>100</v>
      </c>
      <c r="E3201" t="s">
        <v>119</v>
      </c>
      <c r="F3201" t="s">
        <v>153</v>
      </c>
      <c r="G3201" t="s">
        <v>179</v>
      </c>
      <c r="H3201" t="s">
        <v>214</v>
      </c>
      <c r="I3201" t="s">
        <v>234</v>
      </c>
      <c r="AK3201" t="s">
        <v>359</v>
      </c>
    </row>
    <row r="3202" spans="1:37">
      <c r="A3202" t="s">
        <v>40</v>
      </c>
      <c r="B3202" t="s">
        <v>60</v>
      </c>
      <c r="C3202" t="s">
        <v>82</v>
      </c>
      <c r="D3202" t="s">
        <v>101</v>
      </c>
      <c r="E3202" t="s">
        <v>120</v>
      </c>
      <c r="F3202" t="s">
        <v>154</v>
      </c>
      <c r="G3202" t="s">
        <v>180</v>
      </c>
      <c r="H3202" t="s">
        <v>215</v>
      </c>
      <c r="I3202" t="s">
        <v>235</v>
      </c>
      <c r="J3202" t="s">
        <v>253</v>
      </c>
      <c r="K3202" t="s">
        <v>267</v>
      </c>
      <c r="L3202" t="s">
        <v>279</v>
      </c>
      <c r="M3202" t="s">
        <v>288</v>
      </c>
      <c r="N3202" t="s">
        <v>100</v>
      </c>
      <c r="O3202" t="s">
        <v>306</v>
      </c>
      <c r="P3202" t="s">
        <v>313</v>
      </c>
      <c r="Q3202" t="s">
        <v>320</v>
      </c>
      <c r="R3202" t="s">
        <v>325</v>
      </c>
      <c r="S3202" t="s">
        <v>332</v>
      </c>
      <c r="T3202" t="s">
        <v>119</v>
      </c>
      <c r="U3202" t="s">
        <v>234</v>
      </c>
      <c r="V3202" t="s">
        <v>343</v>
      </c>
      <c r="W3202" t="s">
        <v>348</v>
      </c>
      <c r="X3202" t="s">
        <v>352</v>
      </c>
      <c r="Y3202" t="s">
        <v>354</v>
      </c>
      <c r="AK3202" t="s">
        <v>359</v>
      </c>
    </row>
    <row r="3203" spans="1:37">
      <c r="A3203" t="s">
        <v>41</v>
      </c>
      <c r="B3203" t="s">
        <v>61</v>
      </c>
      <c r="C3203" t="s">
        <v>83</v>
      </c>
      <c r="D3203" t="s">
        <v>102</v>
      </c>
      <c r="E3203" t="s">
        <v>121</v>
      </c>
      <c r="F3203" t="s">
        <v>155</v>
      </c>
      <c r="G3203" t="s">
        <v>181</v>
      </c>
      <c r="H3203" t="s">
        <v>216</v>
      </c>
      <c r="I3203" t="s">
        <v>236</v>
      </c>
      <c r="AK3203" t="s">
        <v>359</v>
      </c>
    </row>
    <row r="3204" spans="1:37">
      <c r="A3204" t="s">
        <v>42</v>
      </c>
      <c r="B3204" t="s">
        <v>62</v>
      </c>
      <c r="C3204" t="s">
        <v>84</v>
      </c>
      <c r="D3204" t="s">
        <v>103</v>
      </c>
      <c r="E3204" t="s">
        <v>122</v>
      </c>
      <c r="F3204" t="s">
        <v>156</v>
      </c>
      <c r="G3204" t="s">
        <v>182</v>
      </c>
      <c r="H3204" t="s">
        <v>83</v>
      </c>
      <c r="I3204" t="s">
        <v>237</v>
      </c>
      <c r="J3204" t="s">
        <v>254</v>
      </c>
      <c r="K3204" t="s">
        <v>268</v>
      </c>
      <c r="L3204" t="s">
        <v>280</v>
      </c>
      <c r="M3204" t="s">
        <v>289</v>
      </c>
      <c r="N3204" t="s">
        <v>298</v>
      </c>
      <c r="O3204" t="s">
        <v>307</v>
      </c>
      <c r="P3204" t="s">
        <v>314</v>
      </c>
      <c r="Q3204" t="s">
        <v>216</v>
      </c>
      <c r="R3204" t="s">
        <v>326</v>
      </c>
      <c r="S3204" t="s">
        <v>333</v>
      </c>
      <c r="T3204" t="s">
        <v>335</v>
      </c>
      <c r="U3204" t="s">
        <v>340</v>
      </c>
      <c r="V3204" t="s">
        <v>344</v>
      </c>
      <c r="W3204" t="s">
        <v>349</v>
      </c>
      <c r="AK3204" t="s">
        <v>359</v>
      </c>
    </row>
    <row r="3205" spans="1:37">
      <c r="A3205" t="s">
        <v>43</v>
      </c>
      <c r="B3205" t="s">
        <v>63</v>
      </c>
      <c r="C3205" t="s">
        <v>85</v>
      </c>
      <c r="D3205" t="s">
        <v>104</v>
      </c>
      <c r="E3205" t="s">
        <v>123</v>
      </c>
      <c r="F3205" t="s">
        <v>157</v>
      </c>
      <c r="G3205" t="s">
        <v>183</v>
      </c>
      <c r="AK3205" t="s">
        <v>359</v>
      </c>
    </row>
    <row r="3206" spans="1:37">
      <c r="A3206" t="s">
        <v>44</v>
      </c>
      <c r="B3206" t="s">
        <v>64</v>
      </c>
      <c r="C3206" t="s">
        <v>86</v>
      </c>
      <c r="D3206" t="s">
        <v>105</v>
      </c>
      <c r="E3206" t="s">
        <v>124</v>
      </c>
      <c r="F3206" t="s">
        <v>158</v>
      </c>
      <c r="G3206" t="s">
        <v>184</v>
      </c>
      <c r="AK3206" t="s">
        <v>359</v>
      </c>
    </row>
    <row r="3207" spans="1:37">
      <c r="A3207" t="s">
        <v>45</v>
      </c>
      <c r="B3207" t="s">
        <v>65</v>
      </c>
      <c r="C3207" t="s">
        <v>87</v>
      </c>
      <c r="D3207" t="s">
        <v>106</v>
      </c>
      <c r="E3207" t="s">
        <v>125</v>
      </c>
      <c r="F3207" t="s">
        <v>159</v>
      </c>
      <c r="G3207" t="s">
        <v>185</v>
      </c>
      <c r="H3207" t="s">
        <v>159</v>
      </c>
      <c r="I3207" t="s">
        <v>185</v>
      </c>
      <c r="J3207" t="s">
        <v>255</v>
      </c>
      <c r="AK3207" t="s">
        <v>359</v>
      </c>
    </row>
    <row r="3208" spans="1:37">
      <c r="A3208" t="s">
        <v>46</v>
      </c>
      <c r="B3208" t="s">
        <v>66</v>
      </c>
      <c r="C3208" t="s">
        <v>88</v>
      </c>
      <c r="D3208" t="s">
        <v>76</v>
      </c>
      <c r="E3208" t="s">
        <v>126</v>
      </c>
      <c r="F3208" t="s">
        <v>160</v>
      </c>
      <c r="G3208" t="s">
        <v>186</v>
      </c>
      <c r="H3208" t="s">
        <v>217</v>
      </c>
      <c r="I3208" t="s">
        <v>238</v>
      </c>
      <c r="J3208" t="s">
        <v>256</v>
      </c>
      <c r="K3208" t="s">
        <v>265</v>
      </c>
      <c r="L3208" t="s">
        <v>281</v>
      </c>
      <c r="M3208" t="s">
        <v>290</v>
      </c>
      <c r="N3208" t="s">
        <v>299</v>
      </c>
      <c r="O3208" t="s">
        <v>308</v>
      </c>
      <c r="P3208" t="s">
        <v>228</v>
      </c>
      <c r="Q3208" t="s">
        <v>72</v>
      </c>
      <c r="R3208" t="s">
        <v>327</v>
      </c>
      <c r="S3208" t="s">
        <v>327</v>
      </c>
      <c r="T3208" t="s">
        <v>336</v>
      </c>
      <c r="U3208" t="s">
        <v>336</v>
      </c>
      <c r="V3208" t="s">
        <v>336</v>
      </c>
      <c r="W3208" t="s">
        <v>336</v>
      </c>
      <c r="X3208" t="s">
        <v>353</v>
      </c>
      <c r="AK3208" t="s">
        <v>359</v>
      </c>
    </row>
    <row r="3209" spans="1:37">
      <c r="B3209" t="s">
        <v>67</v>
      </c>
      <c r="C3209" t="s">
        <v>89</v>
      </c>
      <c r="D3209" t="s">
        <v>107</v>
      </c>
      <c r="AK3209" t="s">
        <v>359</v>
      </c>
    </row>
    <row r="3210" spans="1:37">
      <c r="B3210" t="s">
        <v>68</v>
      </c>
      <c r="C3210" t="s">
        <v>90</v>
      </c>
      <c r="D3210" t="s">
        <v>108</v>
      </c>
      <c r="AK3210" t="s">
        <v>359</v>
      </c>
    </row>
    <row r="3211" spans="1:37">
      <c r="A3211" t="s">
        <v>47</v>
      </c>
      <c r="B3211" t="s">
        <v>69</v>
      </c>
      <c r="C3211" t="s">
        <v>91</v>
      </c>
      <c r="D3211" t="s">
        <v>109</v>
      </c>
      <c r="E3211" t="s">
        <v>109</v>
      </c>
      <c r="F3211" t="s">
        <v>109</v>
      </c>
      <c r="G3211" t="s">
        <v>109</v>
      </c>
      <c r="H3211" t="s">
        <v>109</v>
      </c>
      <c r="I3211" t="s">
        <v>239</v>
      </c>
      <c r="AK3211" t="s">
        <v>359</v>
      </c>
    </row>
    <row r="3212" spans="1:37">
      <c r="B3212" t="s">
        <v>70</v>
      </c>
      <c r="C3212" t="s">
        <v>92</v>
      </c>
      <c r="D3212" t="s">
        <v>110</v>
      </c>
      <c r="E3212" t="s">
        <v>127</v>
      </c>
      <c r="F3212" t="s">
        <v>161</v>
      </c>
      <c r="G3212" t="s">
        <v>187</v>
      </c>
      <c r="H3212" t="s">
        <v>218</v>
      </c>
      <c r="AK3212" t="s">
        <v>359</v>
      </c>
    </row>
    <row r="3213" spans="1:37">
      <c r="B3213" t="s">
        <v>71</v>
      </c>
      <c r="C3213" t="s">
        <v>93</v>
      </c>
      <c r="D3213" t="s">
        <v>111</v>
      </c>
      <c r="E3213" t="s">
        <v>128</v>
      </c>
      <c r="F3213" t="s">
        <v>162</v>
      </c>
      <c r="G3213" t="s">
        <v>188</v>
      </c>
      <c r="H3213" t="s">
        <v>219</v>
      </c>
      <c r="I3213" t="s">
        <v>240</v>
      </c>
      <c r="J3213" t="s">
        <v>257</v>
      </c>
      <c r="K3213" t="s">
        <v>269</v>
      </c>
      <c r="L3213" t="s">
        <v>109</v>
      </c>
      <c r="M3213" t="s">
        <v>109</v>
      </c>
      <c r="N3213" t="s">
        <v>109</v>
      </c>
      <c r="O3213" t="s">
        <v>109</v>
      </c>
      <c r="P3213" t="s">
        <v>109</v>
      </c>
      <c r="Q3213" t="s">
        <v>321</v>
      </c>
      <c r="AK3213" t="s">
        <v>359</v>
      </c>
    </row>
    <row r="3214" spans="1:37">
      <c r="A3214" t="s">
        <v>48</v>
      </c>
      <c r="B3214" t="s">
        <v>71</v>
      </c>
      <c r="C3214" t="s">
        <v>93</v>
      </c>
      <c r="D3214" t="s">
        <v>111</v>
      </c>
      <c r="E3214" t="s">
        <v>128</v>
      </c>
      <c r="F3214" t="s">
        <v>163</v>
      </c>
      <c r="G3214" t="s">
        <v>189</v>
      </c>
      <c r="H3214" t="s">
        <v>220</v>
      </c>
      <c r="I3214" t="s">
        <v>241</v>
      </c>
      <c r="J3214" t="s">
        <v>258</v>
      </c>
      <c r="K3214" t="s">
        <v>270</v>
      </c>
      <c r="AK3214" t="s">
        <v>359</v>
      </c>
    </row>
    <row r="3215" spans="1:37">
      <c r="B3215" t="s">
        <v>72</v>
      </c>
      <c r="C3215" t="s">
        <v>72</v>
      </c>
      <c r="D3215" t="s">
        <v>72</v>
      </c>
      <c r="E3215" t="s">
        <v>72</v>
      </c>
      <c r="F3215" t="s">
        <v>72</v>
      </c>
      <c r="G3215" t="s">
        <v>72</v>
      </c>
      <c r="H3215" t="s">
        <v>72</v>
      </c>
      <c r="I3215" t="s">
        <v>72</v>
      </c>
      <c r="J3215" t="s">
        <v>72</v>
      </c>
      <c r="K3215" t="s">
        <v>272</v>
      </c>
      <c r="AK3215" t="s">
        <v>359</v>
      </c>
    </row>
    <row r="3216" spans="1:37">
      <c r="A3216" t="s">
        <v>37</v>
      </c>
      <c r="B3216" t="s">
        <v>49</v>
      </c>
      <c r="C3216" t="s">
        <v>73</v>
      </c>
      <c r="D3216" t="s">
        <v>94</v>
      </c>
      <c r="E3216" t="s">
        <v>112</v>
      </c>
      <c r="F3216" t="s">
        <v>146</v>
      </c>
      <c r="G3216" t="s">
        <v>172</v>
      </c>
      <c r="H3216" t="s">
        <v>207</v>
      </c>
      <c r="I3216" t="s">
        <v>226</v>
      </c>
      <c r="J3216" t="s">
        <v>246</v>
      </c>
      <c r="K3216" t="s">
        <v>259</v>
      </c>
      <c r="AK3216" t="s">
        <v>359</v>
      </c>
    </row>
    <row r="3217" spans="1:37">
      <c r="A3217" t="s">
        <v>38</v>
      </c>
      <c r="B3217" t="s">
        <v>50</v>
      </c>
      <c r="C3217" t="s">
        <v>74</v>
      </c>
      <c r="D3217" t="s">
        <v>95</v>
      </c>
      <c r="E3217" t="s">
        <v>113</v>
      </c>
      <c r="F3217" t="s">
        <v>147</v>
      </c>
      <c r="G3217" t="s">
        <v>173</v>
      </c>
      <c r="H3217" t="s">
        <v>208</v>
      </c>
      <c r="I3217" t="s">
        <v>227</v>
      </c>
      <c r="J3217" t="s">
        <v>115</v>
      </c>
      <c r="K3217" t="s">
        <v>260</v>
      </c>
      <c r="L3217" t="s">
        <v>273</v>
      </c>
      <c r="M3217" t="s">
        <v>282</v>
      </c>
      <c r="N3217" t="s">
        <v>291</v>
      </c>
      <c r="AK3217" t="s">
        <v>359</v>
      </c>
    </row>
    <row r="3218" spans="1:37">
      <c r="B3218" t="s">
        <v>51</v>
      </c>
      <c r="C3218" t="s">
        <v>75</v>
      </c>
      <c r="D3218" t="s">
        <v>52</v>
      </c>
      <c r="E3218" t="s">
        <v>114</v>
      </c>
      <c r="F3218" t="s">
        <v>148</v>
      </c>
      <c r="G3218" t="s">
        <v>148</v>
      </c>
      <c r="H3218" t="s">
        <v>209</v>
      </c>
      <c r="I3218" t="s">
        <v>228</v>
      </c>
      <c r="J3218" t="s">
        <v>247</v>
      </c>
      <c r="K3218" t="s">
        <v>261</v>
      </c>
      <c r="L3218" t="s">
        <v>274</v>
      </c>
      <c r="M3218" t="s">
        <v>283</v>
      </c>
      <c r="N3218" t="s">
        <v>292</v>
      </c>
      <c r="O3218" t="s">
        <v>300</v>
      </c>
      <c r="AK3218" t="s">
        <v>359</v>
      </c>
    </row>
    <row r="3219" spans="1:37">
      <c r="B3219" t="s">
        <v>52</v>
      </c>
      <c r="C3219" t="s">
        <v>76</v>
      </c>
      <c r="D3219" t="s">
        <v>96</v>
      </c>
      <c r="E3219" t="s">
        <v>115</v>
      </c>
      <c r="F3219" t="s">
        <v>149</v>
      </c>
      <c r="G3219" t="s">
        <v>174</v>
      </c>
      <c r="H3219" t="s">
        <v>96</v>
      </c>
      <c r="I3219" t="s">
        <v>229</v>
      </c>
      <c r="J3219" t="s">
        <v>248</v>
      </c>
      <c r="K3219" t="s">
        <v>262</v>
      </c>
      <c r="L3219" t="s">
        <v>52</v>
      </c>
      <c r="M3219" t="s">
        <v>76</v>
      </c>
      <c r="N3219" t="s">
        <v>293</v>
      </c>
      <c r="O3219" t="s">
        <v>301</v>
      </c>
      <c r="P3219" t="s">
        <v>309</v>
      </c>
      <c r="Q3219" t="s">
        <v>315</v>
      </c>
      <c r="R3219" t="s">
        <v>228</v>
      </c>
      <c r="S3219" t="s">
        <v>328</v>
      </c>
      <c r="T3219" t="s">
        <v>149</v>
      </c>
      <c r="U3219" t="s">
        <v>337</v>
      </c>
      <c r="V3219" t="s">
        <v>341</v>
      </c>
      <c r="W3219" t="s">
        <v>345</v>
      </c>
      <c r="X3219" t="s">
        <v>350</v>
      </c>
      <c r="AK3219" t="s">
        <v>359</v>
      </c>
    </row>
    <row r="3220" spans="1:37">
      <c r="B3220" t="s">
        <v>53</v>
      </c>
      <c r="C3220" t="s">
        <v>77</v>
      </c>
      <c r="D3220" t="s">
        <v>97</v>
      </c>
      <c r="E3220" t="s">
        <v>116</v>
      </c>
      <c r="F3220" t="s">
        <v>150</v>
      </c>
      <c r="G3220" t="s">
        <v>175</v>
      </c>
      <c r="H3220" t="s">
        <v>210</v>
      </c>
      <c r="I3220" t="s">
        <v>230</v>
      </c>
      <c r="J3220" t="s">
        <v>249</v>
      </c>
      <c r="K3220" t="s">
        <v>263</v>
      </c>
      <c r="L3220" t="s">
        <v>275</v>
      </c>
      <c r="M3220" t="s">
        <v>284</v>
      </c>
      <c r="N3220" t="s">
        <v>294</v>
      </c>
      <c r="O3220" t="s">
        <v>302</v>
      </c>
      <c r="P3220" t="s">
        <v>310</v>
      </c>
      <c r="Q3220" t="s">
        <v>316</v>
      </c>
      <c r="R3220" t="s">
        <v>322</v>
      </c>
      <c r="S3220" t="s">
        <v>329</v>
      </c>
      <c r="AK3220" t="s">
        <v>359</v>
      </c>
    </row>
    <row r="3221" spans="1:37">
      <c r="A3221" t="s">
        <v>39</v>
      </c>
      <c r="B3221" t="s">
        <v>54</v>
      </c>
      <c r="C3221" t="s">
        <v>54</v>
      </c>
      <c r="D3221" t="s">
        <v>54</v>
      </c>
      <c r="E3221" t="s">
        <v>54</v>
      </c>
      <c r="F3221" t="s">
        <v>54</v>
      </c>
      <c r="G3221" t="s">
        <v>54</v>
      </c>
      <c r="H3221" t="s">
        <v>54</v>
      </c>
      <c r="I3221" t="s">
        <v>54</v>
      </c>
      <c r="J3221" t="s">
        <v>54</v>
      </c>
      <c r="K3221" t="s">
        <v>54</v>
      </c>
      <c r="L3221" t="s">
        <v>54</v>
      </c>
      <c r="M3221" t="s">
        <v>54</v>
      </c>
      <c r="N3221" t="s">
        <v>54</v>
      </c>
      <c r="O3221" t="s">
        <v>54</v>
      </c>
      <c r="P3221" t="s">
        <v>54</v>
      </c>
      <c r="Q3221" t="s">
        <v>54</v>
      </c>
      <c r="R3221" t="s">
        <v>323</v>
      </c>
      <c r="S3221" t="s">
        <v>330</v>
      </c>
      <c r="AK3221" t="s">
        <v>359</v>
      </c>
    </row>
    <row r="3222" spans="1:37">
      <c r="B3222" t="s">
        <v>55</v>
      </c>
      <c r="C3222" t="s">
        <v>78</v>
      </c>
      <c r="D3222" t="s">
        <v>55</v>
      </c>
      <c r="E3222" t="s">
        <v>78</v>
      </c>
      <c r="F3222" t="s">
        <v>55</v>
      </c>
      <c r="G3222" t="s">
        <v>78</v>
      </c>
      <c r="H3222" t="s">
        <v>55</v>
      </c>
      <c r="I3222" t="s">
        <v>78</v>
      </c>
      <c r="J3222" t="s">
        <v>55</v>
      </c>
      <c r="K3222" t="s">
        <v>78</v>
      </c>
      <c r="L3222" t="s">
        <v>55</v>
      </c>
      <c r="M3222" t="s">
        <v>78</v>
      </c>
      <c r="N3222" t="s">
        <v>55</v>
      </c>
      <c r="O3222" t="s">
        <v>78</v>
      </c>
      <c r="P3222" t="s">
        <v>55</v>
      </c>
      <c r="Q3222" t="s">
        <v>78</v>
      </c>
      <c r="R3222" t="s">
        <v>55</v>
      </c>
      <c r="S3222" t="s">
        <v>78</v>
      </c>
      <c r="T3222" t="s">
        <v>55</v>
      </c>
      <c r="U3222" t="s">
        <v>78</v>
      </c>
      <c r="V3222" t="s">
        <v>55</v>
      </c>
      <c r="W3222" t="s">
        <v>78</v>
      </c>
      <c r="X3222" t="s">
        <v>55</v>
      </c>
      <c r="Y3222" t="s">
        <v>78</v>
      </c>
      <c r="Z3222" t="s">
        <v>55</v>
      </c>
      <c r="AA3222" t="s">
        <v>78</v>
      </c>
      <c r="AB3222" t="s">
        <v>55</v>
      </c>
      <c r="AC3222" t="s">
        <v>78</v>
      </c>
      <c r="AD3222" t="s">
        <v>55</v>
      </c>
      <c r="AE3222" t="s">
        <v>78</v>
      </c>
      <c r="AF3222" t="s">
        <v>55</v>
      </c>
      <c r="AG3222" t="s">
        <v>78</v>
      </c>
      <c r="AH3222" t="s">
        <v>55</v>
      </c>
      <c r="AI3222" t="s">
        <v>78</v>
      </c>
      <c r="AK3222" t="s">
        <v>359</v>
      </c>
    </row>
    <row r="3223" spans="1:37">
      <c r="B3223" t="s">
        <v>56</v>
      </c>
      <c r="C3223" t="s">
        <v>56</v>
      </c>
      <c r="D3223" t="s">
        <v>56</v>
      </c>
      <c r="E3223" t="s">
        <v>56</v>
      </c>
      <c r="F3223" t="s">
        <v>56</v>
      </c>
      <c r="G3223" t="s">
        <v>176</v>
      </c>
      <c r="H3223" t="s">
        <v>211</v>
      </c>
      <c r="I3223" t="s">
        <v>231</v>
      </c>
      <c r="J3223" t="s">
        <v>250</v>
      </c>
      <c r="K3223" t="s">
        <v>264</v>
      </c>
      <c r="L3223" t="s">
        <v>276</v>
      </c>
      <c r="M3223" t="s">
        <v>285</v>
      </c>
      <c r="N3223" t="s">
        <v>295</v>
      </c>
      <c r="O3223" t="s">
        <v>303</v>
      </c>
      <c r="P3223" t="s">
        <v>56</v>
      </c>
      <c r="Q3223" t="s">
        <v>317</v>
      </c>
      <c r="R3223" t="s">
        <v>324</v>
      </c>
      <c r="S3223" t="s">
        <v>331</v>
      </c>
      <c r="T3223" t="s">
        <v>334</v>
      </c>
      <c r="U3223" t="s">
        <v>338</v>
      </c>
      <c r="V3223" t="s">
        <v>342</v>
      </c>
      <c r="W3223" t="s">
        <v>346</v>
      </c>
      <c r="X3223" t="s">
        <v>351</v>
      </c>
      <c r="AK3223" t="s">
        <v>359</v>
      </c>
    </row>
    <row r="3224" spans="1:37">
      <c r="B3224" t="s">
        <v>57</v>
      </c>
      <c r="C3224" t="s">
        <v>79</v>
      </c>
      <c r="D3224" t="s">
        <v>98</v>
      </c>
      <c r="E3224" t="s">
        <v>117</v>
      </c>
      <c r="F3224" t="s">
        <v>151</v>
      </c>
      <c r="G3224" t="s">
        <v>177</v>
      </c>
      <c r="H3224" t="s">
        <v>212</v>
      </c>
      <c r="I3224" t="s">
        <v>232</v>
      </c>
      <c r="J3224" t="s">
        <v>251</v>
      </c>
      <c r="K3224" t="s">
        <v>265</v>
      </c>
      <c r="L3224" t="s">
        <v>277</v>
      </c>
      <c r="M3224" t="s">
        <v>286</v>
      </c>
      <c r="N3224" t="s">
        <v>296</v>
      </c>
      <c r="O3224" t="s">
        <v>304</v>
      </c>
      <c r="P3224" t="s">
        <v>311</v>
      </c>
      <c r="Q3224" t="s">
        <v>318</v>
      </c>
      <c r="R3224" t="s">
        <v>185</v>
      </c>
      <c r="S3224" t="s">
        <v>159</v>
      </c>
      <c r="T3224" t="s">
        <v>185</v>
      </c>
      <c r="U3224" t="s">
        <v>339</v>
      </c>
      <c r="V3224" t="s">
        <v>72</v>
      </c>
      <c r="W3224" t="s">
        <v>347</v>
      </c>
      <c r="X3224" t="s">
        <v>72</v>
      </c>
      <c r="Y3224" t="s">
        <v>96</v>
      </c>
      <c r="AK3224" t="s">
        <v>359</v>
      </c>
    </row>
    <row r="3225" spans="1:37">
      <c r="B3225" t="s">
        <v>58</v>
      </c>
      <c r="C3225" t="s">
        <v>80</v>
      </c>
      <c r="D3225" t="s">
        <v>99</v>
      </c>
      <c r="E3225" t="s">
        <v>118</v>
      </c>
      <c r="F3225" t="s">
        <v>152</v>
      </c>
      <c r="G3225" t="s">
        <v>178</v>
      </c>
      <c r="H3225" t="s">
        <v>213</v>
      </c>
      <c r="I3225" t="s">
        <v>233</v>
      </c>
      <c r="J3225" t="s">
        <v>252</v>
      </c>
      <c r="K3225" t="s">
        <v>266</v>
      </c>
      <c r="L3225" t="s">
        <v>278</v>
      </c>
      <c r="M3225" t="s">
        <v>287</v>
      </c>
      <c r="N3225" t="s">
        <v>297</v>
      </c>
      <c r="O3225" t="s">
        <v>305</v>
      </c>
      <c r="P3225" t="s">
        <v>312</v>
      </c>
      <c r="Q3225" t="s">
        <v>319</v>
      </c>
      <c r="R3225">
        <f>&gt;10       ветра      1.1     22   3</f>
        <v>0</v>
      </c>
      <c r="AK3225" t="s">
        <v>359</v>
      </c>
    </row>
    <row r="3226" spans="1:37">
      <c r="A3226" t="s">
        <v>40</v>
      </c>
      <c r="B3226" t="s">
        <v>59</v>
      </c>
      <c r="C3226" t="s">
        <v>81</v>
      </c>
      <c r="D3226" t="s">
        <v>100</v>
      </c>
      <c r="E3226" t="s">
        <v>119</v>
      </c>
      <c r="F3226" t="s">
        <v>153</v>
      </c>
      <c r="G3226" t="s">
        <v>179</v>
      </c>
      <c r="H3226" t="s">
        <v>214</v>
      </c>
      <c r="I3226" t="s">
        <v>234</v>
      </c>
      <c r="AK3226" t="s">
        <v>359</v>
      </c>
    </row>
    <row r="3227" spans="1:37">
      <c r="A3227" t="s">
        <v>40</v>
      </c>
      <c r="B3227" t="s">
        <v>60</v>
      </c>
      <c r="C3227" t="s">
        <v>82</v>
      </c>
      <c r="D3227" t="s">
        <v>101</v>
      </c>
      <c r="E3227" t="s">
        <v>120</v>
      </c>
      <c r="F3227" t="s">
        <v>154</v>
      </c>
      <c r="G3227" t="s">
        <v>180</v>
      </c>
      <c r="H3227" t="s">
        <v>215</v>
      </c>
      <c r="I3227" t="s">
        <v>235</v>
      </c>
      <c r="J3227" t="s">
        <v>253</v>
      </c>
      <c r="K3227" t="s">
        <v>267</v>
      </c>
      <c r="L3227" t="s">
        <v>279</v>
      </c>
      <c r="M3227" t="s">
        <v>288</v>
      </c>
      <c r="N3227" t="s">
        <v>100</v>
      </c>
      <c r="O3227" t="s">
        <v>306</v>
      </c>
      <c r="P3227" t="s">
        <v>313</v>
      </c>
      <c r="Q3227" t="s">
        <v>320</v>
      </c>
      <c r="R3227" t="s">
        <v>325</v>
      </c>
      <c r="S3227" t="s">
        <v>332</v>
      </c>
      <c r="T3227" t="s">
        <v>119</v>
      </c>
      <c r="U3227" t="s">
        <v>234</v>
      </c>
      <c r="V3227" t="s">
        <v>343</v>
      </c>
      <c r="W3227" t="s">
        <v>348</v>
      </c>
      <c r="X3227" t="s">
        <v>352</v>
      </c>
      <c r="Y3227" t="s">
        <v>354</v>
      </c>
      <c r="AK3227" t="s">
        <v>359</v>
      </c>
    </row>
    <row r="3228" spans="1:37">
      <c r="A3228" t="s">
        <v>41</v>
      </c>
      <c r="B3228" t="s">
        <v>61</v>
      </c>
      <c r="C3228" t="s">
        <v>83</v>
      </c>
      <c r="D3228" t="s">
        <v>102</v>
      </c>
      <c r="E3228" t="s">
        <v>121</v>
      </c>
      <c r="F3228" t="s">
        <v>155</v>
      </c>
      <c r="G3228" t="s">
        <v>181</v>
      </c>
      <c r="H3228" t="s">
        <v>216</v>
      </c>
      <c r="I3228" t="s">
        <v>236</v>
      </c>
      <c r="AK3228" t="s">
        <v>359</v>
      </c>
    </row>
    <row r="3229" spans="1:37">
      <c r="A3229" t="s">
        <v>42</v>
      </c>
      <c r="B3229" t="s">
        <v>62</v>
      </c>
      <c r="C3229" t="s">
        <v>84</v>
      </c>
      <c r="D3229" t="s">
        <v>103</v>
      </c>
      <c r="E3229" t="s">
        <v>122</v>
      </c>
      <c r="F3229" t="s">
        <v>156</v>
      </c>
      <c r="G3229" t="s">
        <v>182</v>
      </c>
      <c r="H3229" t="s">
        <v>83</v>
      </c>
      <c r="I3229" t="s">
        <v>237</v>
      </c>
      <c r="J3229" t="s">
        <v>254</v>
      </c>
      <c r="K3229" t="s">
        <v>268</v>
      </c>
      <c r="L3229" t="s">
        <v>280</v>
      </c>
      <c r="M3229" t="s">
        <v>289</v>
      </c>
      <c r="N3229" t="s">
        <v>298</v>
      </c>
      <c r="O3229" t="s">
        <v>307</v>
      </c>
      <c r="P3229" t="s">
        <v>314</v>
      </c>
      <c r="Q3229" t="s">
        <v>216</v>
      </c>
      <c r="R3229" t="s">
        <v>326</v>
      </c>
      <c r="S3229" t="s">
        <v>333</v>
      </c>
      <c r="T3229" t="s">
        <v>335</v>
      </c>
      <c r="U3229" t="s">
        <v>340</v>
      </c>
      <c r="V3229" t="s">
        <v>344</v>
      </c>
      <c r="W3229" t="s">
        <v>349</v>
      </c>
      <c r="AK3229" t="s">
        <v>359</v>
      </c>
    </row>
    <row r="3230" spans="1:37">
      <c r="A3230" t="s">
        <v>43</v>
      </c>
      <c r="B3230" t="s">
        <v>63</v>
      </c>
      <c r="C3230" t="s">
        <v>85</v>
      </c>
      <c r="D3230" t="s">
        <v>104</v>
      </c>
      <c r="E3230" t="s">
        <v>123</v>
      </c>
      <c r="F3230" t="s">
        <v>157</v>
      </c>
      <c r="G3230" t="s">
        <v>183</v>
      </c>
      <c r="AK3230" t="s">
        <v>359</v>
      </c>
    </row>
    <row r="3231" spans="1:37">
      <c r="A3231" t="s">
        <v>44</v>
      </c>
      <c r="B3231" t="s">
        <v>64</v>
      </c>
      <c r="C3231" t="s">
        <v>86</v>
      </c>
      <c r="D3231" t="s">
        <v>105</v>
      </c>
      <c r="E3231" t="s">
        <v>124</v>
      </c>
      <c r="F3231" t="s">
        <v>158</v>
      </c>
      <c r="G3231" t="s">
        <v>184</v>
      </c>
      <c r="AK3231" t="s">
        <v>359</v>
      </c>
    </row>
    <row r="3232" spans="1:37">
      <c r="A3232" t="s">
        <v>45</v>
      </c>
      <c r="B3232" t="s">
        <v>65</v>
      </c>
      <c r="C3232" t="s">
        <v>87</v>
      </c>
      <c r="D3232" t="s">
        <v>106</v>
      </c>
      <c r="E3232" t="s">
        <v>125</v>
      </c>
      <c r="F3232" t="s">
        <v>159</v>
      </c>
      <c r="G3232" t="s">
        <v>185</v>
      </c>
      <c r="H3232" t="s">
        <v>159</v>
      </c>
      <c r="I3232" t="s">
        <v>185</v>
      </c>
      <c r="J3232" t="s">
        <v>255</v>
      </c>
      <c r="AK3232" t="s">
        <v>359</v>
      </c>
    </row>
    <row r="3233" spans="1:37">
      <c r="A3233" t="s">
        <v>46</v>
      </c>
      <c r="B3233" t="s">
        <v>66</v>
      </c>
      <c r="C3233" t="s">
        <v>88</v>
      </c>
      <c r="D3233" t="s">
        <v>76</v>
      </c>
      <c r="E3233" t="s">
        <v>126</v>
      </c>
      <c r="F3233" t="s">
        <v>160</v>
      </c>
      <c r="G3233" t="s">
        <v>186</v>
      </c>
      <c r="H3233" t="s">
        <v>217</v>
      </c>
      <c r="I3233" t="s">
        <v>238</v>
      </c>
      <c r="J3233" t="s">
        <v>256</v>
      </c>
      <c r="K3233" t="s">
        <v>265</v>
      </c>
      <c r="L3233" t="s">
        <v>281</v>
      </c>
      <c r="M3233" t="s">
        <v>290</v>
      </c>
      <c r="N3233" t="s">
        <v>299</v>
      </c>
      <c r="O3233" t="s">
        <v>308</v>
      </c>
      <c r="P3233" t="s">
        <v>228</v>
      </c>
      <c r="Q3233" t="s">
        <v>72</v>
      </c>
      <c r="R3233" t="s">
        <v>327</v>
      </c>
      <c r="S3233" t="s">
        <v>327</v>
      </c>
      <c r="T3233" t="s">
        <v>336</v>
      </c>
      <c r="U3233" t="s">
        <v>336</v>
      </c>
      <c r="V3233" t="s">
        <v>336</v>
      </c>
      <c r="W3233" t="s">
        <v>336</v>
      </c>
      <c r="X3233" t="s">
        <v>353</v>
      </c>
      <c r="AK3233" t="s">
        <v>359</v>
      </c>
    </row>
    <row r="3234" spans="1:37">
      <c r="B3234" t="s">
        <v>67</v>
      </c>
      <c r="C3234" t="s">
        <v>89</v>
      </c>
      <c r="D3234" t="s">
        <v>107</v>
      </c>
      <c r="AK3234" t="s">
        <v>359</v>
      </c>
    </row>
    <row r="3235" spans="1:37">
      <c r="B3235" t="s">
        <v>68</v>
      </c>
      <c r="C3235" t="s">
        <v>90</v>
      </c>
      <c r="D3235" t="s">
        <v>108</v>
      </c>
      <c r="AK3235" t="s">
        <v>359</v>
      </c>
    </row>
    <row r="3236" spans="1:37">
      <c r="A3236" t="s">
        <v>47</v>
      </c>
      <c r="B3236" t="s">
        <v>69</v>
      </c>
      <c r="C3236" t="s">
        <v>91</v>
      </c>
      <c r="D3236" t="s">
        <v>109</v>
      </c>
      <c r="E3236" t="s">
        <v>109</v>
      </c>
      <c r="F3236" t="s">
        <v>109</v>
      </c>
      <c r="G3236" t="s">
        <v>109</v>
      </c>
      <c r="H3236" t="s">
        <v>109</v>
      </c>
      <c r="I3236" t="s">
        <v>239</v>
      </c>
      <c r="AK3236" t="s">
        <v>359</v>
      </c>
    </row>
    <row r="3237" spans="1:37">
      <c r="B3237" t="s">
        <v>70</v>
      </c>
      <c r="C3237" t="s">
        <v>92</v>
      </c>
      <c r="D3237" t="s">
        <v>110</v>
      </c>
      <c r="E3237" t="s">
        <v>127</v>
      </c>
      <c r="F3237" t="s">
        <v>161</v>
      </c>
      <c r="G3237" t="s">
        <v>187</v>
      </c>
      <c r="H3237" t="s">
        <v>218</v>
      </c>
      <c r="AK3237" t="s">
        <v>359</v>
      </c>
    </row>
    <row r="3238" spans="1:37">
      <c r="B3238" t="s">
        <v>71</v>
      </c>
      <c r="C3238" t="s">
        <v>93</v>
      </c>
      <c r="D3238" t="s">
        <v>111</v>
      </c>
      <c r="E3238" t="s">
        <v>128</v>
      </c>
      <c r="F3238" t="s">
        <v>162</v>
      </c>
      <c r="G3238" t="s">
        <v>188</v>
      </c>
      <c r="H3238" t="s">
        <v>219</v>
      </c>
      <c r="I3238" t="s">
        <v>240</v>
      </c>
      <c r="J3238" t="s">
        <v>257</v>
      </c>
      <c r="K3238" t="s">
        <v>269</v>
      </c>
      <c r="L3238" t="s">
        <v>109</v>
      </c>
      <c r="M3238" t="s">
        <v>109</v>
      </c>
      <c r="N3238" t="s">
        <v>109</v>
      </c>
      <c r="O3238" t="s">
        <v>109</v>
      </c>
      <c r="P3238" t="s">
        <v>109</v>
      </c>
      <c r="Q3238" t="s">
        <v>321</v>
      </c>
      <c r="AK3238" t="s">
        <v>359</v>
      </c>
    </row>
    <row r="3239" spans="1:37">
      <c r="A3239" t="s">
        <v>48</v>
      </c>
      <c r="B3239" t="s">
        <v>71</v>
      </c>
      <c r="C3239" t="s">
        <v>93</v>
      </c>
      <c r="D3239" t="s">
        <v>111</v>
      </c>
      <c r="E3239" t="s">
        <v>128</v>
      </c>
      <c r="F3239" t="s">
        <v>163</v>
      </c>
      <c r="G3239" t="s">
        <v>189</v>
      </c>
      <c r="H3239" t="s">
        <v>220</v>
      </c>
      <c r="I3239" t="s">
        <v>241</v>
      </c>
      <c r="J3239" t="s">
        <v>258</v>
      </c>
      <c r="K3239" t="s">
        <v>270</v>
      </c>
      <c r="AK3239" t="s">
        <v>359</v>
      </c>
    </row>
    <row r="3240" spans="1:37">
      <c r="B3240" t="s">
        <v>72</v>
      </c>
      <c r="C3240" t="s">
        <v>72</v>
      </c>
      <c r="D3240" t="s">
        <v>72</v>
      </c>
      <c r="E3240" t="s">
        <v>139</v>
      </c>
      <c r="F3240" t="s">
        <v>139</v>
      </c>
      <c r="G3240" t="s">
        <v>192</v>
      </c>
      <c r="H3240" t="s">
        <v>192</v>
      </c>
      <c r="I3240" t="s">
        <v>192</v>
      </c>
      <c r="J3240" t="s">
        <v>192</v>
      </c>
      <c r="K3240" t="s">
        <v>271</v>
      </c>
      <c r="AK3240" t="s">
        <v>359</v>
      </c>
    </row>
    <row r="3241" spans="1:37">
      <c r="A3241" t="s">
        <v>37</v>
      </c>
      <c r="B3241" t="s">
        <v>49</v>
      </c>
      <c r="C3241" t="s">
        <v>73</v>
      </c>
      <c r="D3241" t="s">
        <v>94</v>
      </c>
      <c r="E3241" t="s">
        <v>112</v>
      </c>
      <c r="F3241" t="s">
        <v>146</v>
      </c>
      <c r="G3241" t="s">
        <v>172</v>
      </c>
      <c r="H3241" t="s">
        <v>207</v>
      </c>
      <c r="I3241" t="s">
        <v>226</v>
      </c>
      <c r="J3241" t="s">
        <v>246</v>
      </c>
      <c r="K3241" t="s">
        <v>259</v>
      </c>
      <c r="AK3241" t="s">
        <v>359</v>
      </c>
    </row>
    <row r="3242" spans="1:37">
      <c r="A3242" t="s">
        <v>38</v>
      </c>
      <c r="B3242" t="s">
        <v>50</v>
      </c>
      <c r="C3242" t="s">
        <v>74</v>
      </c>
      <c r="D3242" t="s">
        <v>95</v>
      </c>
      <c r="E3242" t="s">
        <v>113</v>
      </c>
      <c r="F3242" t="s">
        <v>147</v>
      </c>
      <c r="G3242" t="s">
        <v>173</v>
      </c>
      <c r="H3242" t="s">
        <v>208</v>
      </c>
      <c r="I3242" t="s">
        <v>227</v>
      </c>
      <c r="J3242" t="s">
        <v>115</v>
      </c>
      <c r="K3242" t="s">
        <v>260</v>
      </c>
      <c r="L3242" t="s">
        <v>273</v>
      </c>
      <c r="M3242" t="s">
        <v>282</v>
      </c>
      <c r="N3242" t="s">
        <v>291</v>
      </c>
      <c r="AK3242" t="s">
        <v>359</v>
      </c>
    </row>
    <row r="3243" spans="1:37">
      <c r="B3243" t="s">
        <v>51</v>
      </c>
      <c r="C3243" t="s">
        <v>75</v>
      </c>
      <c r="D3243" t="s">
        <v>52</v>
      </c>
      <c r="E3243" t="s">
        <v>114</v>
      </c>
      <c r="F3243" t="s">
        <v>148</v>
      </c>
      <c r="G3243" t="s">
        <v>148</v>
      </c>
      <c r="H3243" t="s">
        <v>209</v>
      </c>
      <c r="I3243" t="s">
        <v>228</v>
      </c>
      <c r="J3243" t="s">
        <v>247</v>
      </c>
      <c r="K3243" t="s">
        <v>261</v>
      </c>
      <c r="L3243" t="s">
        <v>274</v>
      </c>
      <c r="M3243" t="s">
        <v>283</v>
      </c>
      <c r="N3243" t="s">
        <v>292</v>
      </c>
      <c r="O3243" t="s">
        <v>300</v>
      </c>
      <c r="AK3243" t="s">
        <v>359</v>
      </c>
    </row>
    <row r="3244" spans="1:37">
      <c r="B3244" t="s">
        <v>52</v>
      </c>
      <c r="C3244" t="s">
        <v>76</v>
      </c>
      <c r="D3244" t="s">
        <v>96</v>
      </c>
      <c r="E3244" t="s">
        <v>115</v>
      </c>
      <c r="F3244" t="s">
        <v>149</v>
      </c>
      <c r="G3244" t="s">
        <v>174</v>
      </c>
      <c r="H3244" t="s">
        <v>96</v>
      </c>
      <c r="I3244" t="s">
        <v>229</v>
      </c>
      <c r="J3244" t="s">
        <v>248</v>
      </c>
      <c r="K3244" t="s">
        <v>262</v>
      </c>
      <c r="L3244" t="s">
        <v>52</v>
      </c>
      <c r="M3244" t="s">
        <v>76</v>
      </c>
      <c r="N3244" t="s">
        <v>293</v>
      </c>
      <c r="O3244" t="s">
        <v>301</v>
      </c>
      <c r="P3244" t="s">
        <v>309</v>
      </c>
      <c r="Q3244" t="s">
        <v>315</v>
      </c>
      <c r="R3244" t="s">
        <v>228</v>
      </c>
      <c r="S3244" t="s">
        <v>328</v>
      </c>
      <c r="T3244" t="s">
        <v>149</v>
      </c>
      <c r="U3244" t="s">
        <v>337</v>
      </c>
      <c r="V3244" t="s">
        <v>341</v>
      </c>
      <c r="W3244" t="s">
        <v>345</v>
      </c>
      <c r="X3244" t="s">
        <v>350</v>
      </c>
      <c r="AK3244" t="s">
        <v>359</v>
      </c>
    </row>
    <row r="3245" spans="1:37">
      <c r="B3245" t="s">
        <v>53</v>
      </c>
      <c r="C3245" t="s">
        <v>77</v>
      </c>
      <c r="D3245" t="s">
        <v>97</v>
      </c>
      <c r="E3245" t="s">
        <v>116</v>
      </c>
      <c r="F3245" t="s">
        <v>150</v>
      </c>
      <c r="G3245" t="s">
        <v>175</v>
      </c>
      <c r="H3245" t="s">
        <v>210</v>
      </c>
      <c r="I3245" t="s">
        <v>230</v>
      </c>
      <c r="J3245" t="s">
        <v>249</v>
      </c>
      <c r="K3245" t="s">
        <v>263</v>
      </c>
      <c r="L3245" t="s">
        <v>275</v>
      </c>
      <c r="M3245" t="s">
        <v>284</v>
      </c>
      <c r="N3245" t="s">
        <v>294</v>
      </c>
      <c r="O3245" t="s">
        <v>302</v>
      </c>
      <c r="P3245" t="s">
        <v>310</v>
      </c>
      <c r="Q3245" t="s">
        <v>316</v>
      </c>
      <c r="R3245" t="s">
        <v>322</v>
      </c>
      <c r="S3245" t="s">
        <v>329</v>
      </c>
      <c r="AK3245" t="s">
        <v>359</v>
      </c>
    </row>
    <row r="3246" spans="1:37">
      <c r="A3246" t="s">
        <v>39</v>
      </c>
      <c r="B3246" t="s">
        <v>54</v>
      </c>
      <c r="C3246" t="s">
        <v>54</v>
      </c>
      <c r="D3246" t="s">
        <v>54</v>
      </c>
      <c r="E3246" t="s">
        <v>54</v>
      </c>
      <c r="F3246" t="s">
        <v>54</v>
      </c>
      <c r="G3246" t="s">
        <v>54</v>
      </c>
      <c r="H3246" t="s">
        <v>54</v>
      </c>
      <c r="I3246" t="s">
        <v>54</v>
      </c>
      <c r="J3246" t="s">
        <v>54</v>
      </c>
      <c r="K3246" t="s">
        <v>54</v>
      </c>
      <c r="L3246" t="s">
        <v>54</v>
      </c>
      <c r="M3246" t="s">
        <v>54</v>
      </c>
      <c r="N3246" t="s">
        <v>54</v>
      </c>
      <c r="O3246" t="s">
        <v>54</v>
      </c>
      <c r="P3246" t="s">
        <v>54</v>
      </c>
      <c r="Q3246" t="s">
        <v>54</v>
      </c>
      <c r="R3246" t="s">
        <v>323</v>
      </c>
      <c r="S3246" t="s">
        <v>330</v>
      </c>
      <c r="AK3246" t="s">
        <v>359</v>
      </c>
    </row>
    <row r="3247" spans="1:37">
      <c r="B3247" t="s">
        <v>55</v>
      </c>
      <c r="C3247" t="s">
        <v>78</v>
      </c>
      <c r="D3247" t="s">
        <v>55</v>
      </c>
      <c r="E3247" t="s">
        <v>78</v>
      </c>
      <c r="F3247" t="s">
        <v>55</v>
      </c>
      <c r="G3247" t="s">
        <v>78</v>
      </c>
      <c r="H3247" t="s">
        <v>55</v>
      </c>
      <c r="I3247" t="s">
        <v>78</v>
      </c>
      <c r="J3247" t="s">
        <v>55</v>
      </c>
      <c r="K3247" t="s">
        <v>78</v>
      </c>
      <c r="L3247" t="s">
        <v>55</v>
      </c>
      <c r="M3247" t="s">
        <v>78</v>
      </c>
      <c r="N3247" t="s">
        <v>55</v>
      </c>
      <c r="O3247" t="s">
        <v>78</v>
      </c>
      <c r="P3247" t="s">
        <v>55</v>
      </c>
      <c r="Q3247" t="s">
        <v>78</v>
      </c>
      <c r="R3247" t="s">
        <v>55</v>
      </c>
      <c r="S3247" t="s">
        <v>78</v>
      </c>
      <c r="T3247" t="s">
        <v>55</v>
      </c>
      <c r="U3247" t="s">
        <v>78</v>
      </c>
      <c r="V3247" t="s">
        <v>55</v>
      </c>
      <c r="W3247" t="s">
        <v>78</v>
      </c>
      <c r="X3247" t="s">
        <v>55</v>
      </c>
      <c r="Y3247" t="s">
        <v>78</v>
      </c>
      <c r="Z3247" t="s">
        <v>55</v>
      </c>
      <c r="AA3247" t="s">
        <v>78</v>
      </c>
      <c r="AB3247" t="s">
        <v>55</v>
      </c>
      <c r="AC3247" t="s">
        <v>78</v>
      </c>
      <c r="AD3247" t="s">
        <v>55</v>
      </c>
      <c r="AE3247" t="s">
        <v>78</v>
      </c>
      <c r="AF3247" t="s">
        <v>55</v>
      </c>
      <c r="AG3247" t="s">
        <v>78</v>
      </c>
      <c r="AH3247" t="s">
        <v>55</v>
      </c>
      <c r="AI3247" t="s">
        <v>78</v>
      </c>
      <c r="AK3247" t="s">
        <v>359</v>
      </c>
    </row>
    <row r="3248" spans="1:37">
      <c r="B3248" t="s">
        <v>56</v>
      </c>
      <c r="C3248" t="s">
        <v>56</v>
      </c>
      <c r="D3248" t="s">
        <v>56</v>
      </c>
      <c r="E3248" t="s">
        <v>56</v>
      </c>
      <c r="F3248" t="s">
        <v>56</v>
      </c>
      <c r="G3248" t="s">
        <v>176</v>
      </c>
      <c r="H3248" t="s">
        <v>211</v>
      </c>
      <c r="I3248" t="s">
        <v>231</v>
      </c>
      <c r="J3248" t="s">
        <v>250</v>
      </c>
      <c r="K3248" t="s">
        <v>264</v>
      </c>
      <c r="L3248" t="s">
        <v>276</v>
      </c>
      <c r="M3248" t="s">
        <v>285</v>
      </c>
      <c r="N3248" t="s">
        <v>295</v>
      </c>
      <c r="O3248" t="s">
        <v>303</v>
      </c>
      <c r="P3248" t="s">
        <v>56</v>
      </c>
      <c r="Q3248" t="s">
        <v>317</v>
      </c>
      <c r="R3248" t="s">
        <v>324</v>
      </c>
      <c r="S3248" t="s">
        <v>331</v>
      </c>
      <c r="T3248" t="s">
        <v>334</v>
      </c>
      <c r="U3248" t="s">
        <v>338</v>
      </c>
      <c r="V3248" t="s">
        <v>342</v>
      </c>
      <c r="W3248" t="s">
        <v>346</v>
      </c>
      <c r="X3248" t="s">
        <v>351</v>
      </c>
      <c r="AK3248" t="s">
        <v>359</v>
      </c>
    </row>
    <row r="3249" spans="1:37">
      <c r="B3249" t="s">
        <v>57</v>
      </c>
      <c r="C3249" t="s">
        <v>79</v>
      </c>
      <c r="D3249" t="s">
        <v>98</v>
      </c>
      <c r="E3249" t="s">
        <v>117</v>
      </c>
      <c r="F3249" t="s">
        <v>151</v>
      </c>
      <c r="G3249" t="s">
        <v>177</v>
      </c>
      <c r="H3249" t="s">
        <v>212</v>
      </c>
      <c r="I3249" t="s">
        <v>232</v>
      </c>
      <c r="J3249" t="s">
        <v>251</v>
      </c>
      <c r="K3249" t="s">
        <v>265</v>
      </c>
      <c r="L3249" t="s">
        <v>277</v>
      </c>
      <c r="M3249" t="s">
        <v>286</v>
      </c>
      <c r="N3249" t="s">
        <v>296</v>
      </c>
      <c r="O3249" t="s">
        <v>304</v>
      </c>
      <c r="P3249" t="s">
        <v>311</v>
      </c>
      <c r="Q3249" t="s">
        <v>318</v>
      </c>
      <c r="R3249" t="s">
        <v>185</v>
      </c>
      <c r="S3249" t="s">
        <v>159</v>
      </c>
      <c r="T3249" t="s">
        <v>185</v>
      </c>
      <c r="U3249" t="s">
        <v>339</v>
      </c>
      <c r="V3249" t="s">
        <v>72</v>
      </c>
      <c r="W3249" t="s">
        <v>347</v>
      </c>
      <c r="X3249" t="s">
        <v>72</v>
      </c>
      <c r="Y3249" t="s">
        <v>96</v>
      </c>
      <c r="AK3249" t="s">
        <v>359</v>
      </c>
    </row>
    <row r="3250" spans="1:37">
      <c r="B3250" t="s">
        <v>58</v>
      </c>
      <c r="C3250" t="s">
        <v>80</v>
      </c>
      <c r="D3250" t="s">
        <v>99</v>
      </c>
      <c r="E3250" t="s">
        <v>118</v>
      </c>
      <c r="F3250" t="s">
        <v>152</v>
      </c>
      <c r="G3250" t="s">
        <v>178</v>
      </c>
      <c r="H3250" t="s">
        <v>213</v>
      </c>
      <c r="I3250" t="s">
        <v>233</v>
      </c>
      <c r="J3250" t="s">
        <v>252</v>
      </c>
      <c r="K3250" t="s">
        <v>266</v>
      </c>
      <c r="L3250" t="s">
        <v>278</v>
      </c>
      <c r="M3250" t="s">
        <v>287</v>
      </c>
      <c r="N3250" t="s">
        <v>297</v>
      </c>
      <c r="O3250" t="s">
        <v>305</v>
      </c>
      <c r="P3250" t="s">
        <v>312</v>
      </c>
      <c r="Q3250" t="s">
        <v>319</v>
      </c>
      <c r="R3250">
        <f>&gt;10       ветра      3.4     18   3</f>
        <v>0</v>
      </c>
      <c r="AK3250" t="s">
        <v>359</v>
      </c>
    </row>
    <row r="3251" spans="1:37">
      <c r="A3251" t="s">
        <v>40</v>
      </c>
      <c r="B3251" t="s">
        <v>59</v>
      </c>
      <c r="C3251" t="s">
        <v>81</v>
      </c>
      <c r="D3251" t="s">
        <v>100</v>
      </c>
      <c r="E3251" t="s">
        <v>119</v>
      </c>
      <c r="F3251" t="s">
        <v>153</v>
      </c>
      <c r="G3251" t="s">
        <v>179</v>
      </c>
      <c r="H3251" t="s">
        <v>214</v>
      </c>
      <c r="I3251" t="s">
        <v>234</v>
      </c>
      <c r="AK3251" t="s">
        <v>359</v>
      </c>
    </row>
    <row r="3252" spans="1:37">
      <c r="A3252" t="s">
        <v>40</v>
      </c>
      <c r="B3252" t="s">
        <v>60</v>
      </c>
      <c r="C3252" t="s">
        <v>82</v>
      </c>
      <c r="D3252" t="s">
        <v>101</v>
      </c>
      <c r="E3252" t="s">
        <v>120</v>
      </c>
      <c r="F3252" t="s">
        <v>154</v>
      </c>
      <c r="G3252" t="s">
        <v>180</v>
      </c>
      <c r="H3252" t="s">
        <v>215</v>
      </c>
      <c r="I3252" t="s">
        <v>235</v>
      </c>
      <c r="J3252" t="s">
        <v>253</v>
      </c>
      <c r="K3252" t="s">
        <v>267</v>
      </c>
      <c r="L3252" t="s">
        <v>279</v>
      </c>
      <c r="M3252" t="s">
        <v>288</v>
      </c>
      <c r="N3252" t="s">
        <v>100</v>
      </c>
      <c r="O3252" t="s">
        <v>306</v>
      </c>
      <c r="P3252" t="s">
        <v>313</v>
      </c>
      <c r="Q3252" t="s">
        <v>320</v>
      </c>
      <c r="R3252" t="s">
        <v>325</v>
      </c>
      <c r="S3252" t="s">
        <v>332</v>
      </c>
      <c r="T3252" t="s">
        <v>119</v>
      </c>
      <c r="U3252" t="s">
        <v>234</v>
      </c>
      <c r="V3252" t="s">
        <v>343</v>
      </c>
      <c r="W3252" t="s">
        <v>348</v>
      </c>
      <c r="X3252" t="s">
        <v>352</v>
      </c>
      <c r="Y3252" t="s">
        <v>354</v>
      </c>
      <c r="AK3252" t="s">
        <v>359</v>
      </c>
    </row>
    <row r="3253" spans="1:37">
      <c r="A3253" t="s">
        <v>41</v>
      </c>
      <c r="B3253" t="s">
        <v>61</v>
      </c>
      <c r="C3253" t="s">
        <v>83</v>
      </c>
      <c r="D3253" t="s">
        <v>102</v>
      </c>
      <c r="E3253" t="s">
        <v>121</v>
      </c>
      <c r="F3253" t="s">
        <v>155</v>
      </c>
      <c r="G3253" t="s">
        <v>181</v>
      </c>
      <c r="H3253" t="s">
        <v>216</v>
      </c>
      <c r="I3253" t="s">
        <v>236</v>
      </c>
      <c r="AK3253" t="s">
        <v>359</v>
      </c>
    </row>
    <row r="3254" spans="1:37">
      <c r="A3254" t="s">
        <v>42</v>
      </c>
      <c r="B3254" t="s">
        <v>62</v>
      </c>
      <c r="C3254" t="s">
        <v>84</v>
      </c>
      <c r="D3254" t="s">
        <v>103</v>
      </c>
      <c r="E3254" t="s">
        <v>122</v>
      </c>
      <c r="F3254" t="s">
        <v>156</v>
      </c>
      <c r="G3254" t="s">
        <v>182</v>
      </c>
      <c r="H3254" t="s">
        <v>83</v>
      </c>
      <c r="I3254" t="s">
        <v>237</v>
      </c>
      <c r="J3254" t="s">
        <v>254</v>
      </c>
      <c r="K3254" t="s">
        <v>268</v>
      </c>
      <c r="L3254" t="s">
        <v>280</v>
      </c>
      <c r="M3254" t="s">
        <v>289</v>
      </c>
      <c r="N3254" t="s">
        <v>298</v>
      </c>
      <c r="O3254" t="s">
        <v>307</v>
      </c>
      <c r="P3254" t="s">
        <v>314</v>
      </c>
      <c r="Q3254" t="s">
        <v>216</v>
      </c>
      <c r="R3254" t="s">
        <v>326</v>
      </c>
      <c r="S3254" t="s">
        <v>333</v>
      </c>
      <c r="T3254" t="s">
        <v>335</v>
      </c>
      <c r="U3254" t="s">
        <v>340</v>
      </c>
      <c r="V3254" t="s">
        <v>344</v>
      </c>
      <c r="W3254" t="s">
        <v>349</v>
      </c>
      <c r="AK3254" t="s">
        <v>359</v>
      </c>
    </row>
    <row r="3255" spans="1:37">
      <c r="A3255" t="s">
        <v>43</v>
      </c>
      <c r="B3255" t="s">
        <v>63</v>
      </c>
      <c r="C3255" t="s">
        <v>85</v>
      </c>
      <c r="D3255" t="s">
        <v>104</v>
      </c>
      <c r="E3255" t="s">
        <v>123</v>
      </c>
      <c r="F3255" t="s">
        <v>157</v>
      </c>
      <c r="G3255" t="s">
        <v>183</v>
      </c>
      <c r="AK3255" t="s">
        <v>359</v>
      </c>
    </row>
    <row r="3256" spans="1:37">
      <c r="A3256" t="s">
        <v>44</v>
      </c>
      <c r="B3256" t="s">
        <v>64</v>
      </c>
      <c r="C3256" t="s">
        <v>86</v>
      </c>
      <c r="D3256" t="s">
        <v>105</v>
      </c>
      <c r="E3256" t="s">
        <v>124</v>
      </c>
      <c r="F3256" t="s">
        <v>158</v>
      </c>
      <c r="G3256" t="s">
        <v>184</v>
      </c>
      <c r="AK3256" t="s">
        <v>359</v>
      </c>
    </row>
    <row r="3257" spans="1:37">
      <c r="A3257" t="s">
        <v>45</v>
      </c>
      <c r="B3257" t="s">
        <v>65</v>
      </c>
      <c r="C3257" t="s">
        <v>87</v>
      </c>
      <c r="D3257" t="s">
        <v>106</v>
      </c>
      <c r="E3257" t="s">
        <v>125</v>
      </c>
      <c r="F3257" t="s">
        <v>159</v>
      </c>
      <c r="G3257" t="s">
        <v>185</v>
      </c>
      <c r="H3257" t="s">
        <v>159</v>
      </c>
      <c r="I3257" t="s">
        <v>185</v>
      </c>
      <c r="J3257" t="s">
        <v>255</v>
      </c>
      <c r="AK3257" t="s">
        <v>359</v>
      </c>
    </row>
    <row r="3258" spans="1:37">
      <c r="A3258" t="s">
        <v>46</v>
      </c>
      <c r="B3258" t="s">
        <v>66</v>
      </c>
      <c r="C3258" t="s">
        <v>88</v>
      </c>
      <c r="D3258" t="s">
        <v>76</v>
      </c>
      <c r="E3258" t="s">
        <v>126</v>
      </c>
      <c r="F3258" t="s">
        <v>160</v>
      </c>
      <c r="G3258" t="s">
        <v>186</v>
      </c>
      <c r="H3258" t="s">
        <v>217</v>
      </c>
      <c r="I3258" t="s">
        <v>238</v>
      </c>
      <c r="J3258" t="s">
        <v>256</v>
      </c>
      <c r="K3258" t="s">
        <v>265</v>
      </c>
      <c r="L3258" t="s">
        <v>281</v>
      </c>
      <c r="M3258" t="s">
        <v>290</v>
      </c>
      <c r="N3258" t="s">
        <v>299</v>
      </c>
      <c r="O3258" t="s">
        <v>308</v>
      </c>
      <c r="P3258" t="s">
        <v>228</v>
      </c>
      <c r="Q3258" t="s">
        <v>72</v>
      </c>
      <c r="R3258" t="s">
        <v>327</v>
      </c>
      <c r="S3258" t="s">
        <v>327</v>
      </c>
      <c r="T3258" t="s">
        <v>336</v>
      </c>
      <c r="U3258" t="s">
        <v>336</v>
      </c>
      <c r="V3258" t="s">
        <v>336</v>
      </c>
      <c r="W3258" t="s">
        <v>336</v>
      </c>
      <c r="X3258" t="s">
        <v>353</v>
      </c>
      <c r="AK3258" t="s">
        <v>359</v>
      </c>
    </row>
    <row r="3259" spans="1:37">
      <c r="B3259" t="s">
        <v>67</v>
      </c>
      <c r="C3259" t="s">
        <v>89</v>
      </c>
      <c r="D3259" t="s">
        <v>107</v>
      </c>
      <c r="AK3259" t="s">
        <v>359</v>
      </c>
    </row>
    <row r="3260" spans="1:37">
      <c r="B3260" t="s">
        <v>68</v>
      </c>
      <c r="C3260" t="s">
        <v>90</v>
      </c>
      <c r="D3260" t="s">
        <v>108</v>
      </c>
      <c r="AK3260" t="s">
        <v>359</v>
      </c>
    </row>
    <row r="3261" spans="1:37">
      <c r="A3261" t="s">
        <v>47</v>
      </c>
      <c r="B3261" t="s">
        <v>69</v>
      </c>
      <c r="C3261" t="s">
        <v>91</v>
      </c>
      <c r="D3261" t="s">
        <v>109</v>
      </c>
      <c r="E3261" t="s">
        <v>109</v>
      </c>
      <c r="F3261" t="s">
        <v>109</v>
      </c>
      <c r="G3261" t="s">
        <v>109</v>
      </c>
      <c r="H3261" t="s">
        <v>109</v>
      </c>
      <c r="I3261" t="s">
        <v>239</v>
      </c>
      <c r="AK3261" t="s">
        <v>359</v>
      </c>
    </row>
    <row r="3262" spans="1:37">
      <c r="B3262" t="s">
        <v>70</v>
      </c>
      <c r="C3262" t="s">
        <v>92</v>
      </c>
      <c r="D3262" t="s">
        <v>110</v>
      </c>
      <c r="E3262" t="s">
        <v>127</v>
      </c>
      <c r="F3262" t="s">
        <v>161</v>
      </c>
      <c r="G3262" t="s">
        <v>187</v>
      </c>
      <c r="H3262" t="s">
        <v>218</v>
      </c>
      <c r="AK3262" t="s">
        <v>359</v>
      </c>
    </row>
    <row r="3263" spans="1:37">
      <c r="B3263" t="s">
        <v>71</v>
      </c>
      <c r="C3263" t="s">
        <v>93</v>
      </c>
      <c r="D3263" t="s">
        <v>111</v>
      </c>
      <c r="E3263" t="s">
        <v>128</v>
      </c>
      <c r="F3263" t="s">
        <v>162</v>
      </c>
      <c r="G3263" t="s">
        <v>188</v>
      </c>
      <c r="H3263" t="s">
        <v>219</v>
      </c>
      <c r="I3263" t="s">
        <v>240</v>
      </c>
      <c r="J3263" t="s">
        <v>257</v>
      </c>
      <c r="K3263" t="s">
        <v>269</v>
      </c>
      <c r="L3263" t="s">
        <v>109</v>
      </c>
      <c r="M3263" t="s">
        <v>109</v>
      </c>
      <c r="N3263" t="s">
        <v>109</v>
      </c>
      <c r="O3263" t="s">
        <v>109</v>
      </c>
      <c r="P3263" t="s">
        <v>109</v>
      </c>
      <c r="Q3263" t="s">
        <v>321</v>
      </c>
      <c r="AK3263" t="s">
        <v>359</v>
      </c>
    </row>
    <row r="3264" spans="1:37">
      <c r="A3264" t="s">
        <v>48</v>
      </c>
      <c r="B3264" t="s">
        <v>71</v>
      </c>
      <c r="C3264" t="s">
        <v>93</v>
      </c>
      <c r="D3264" t="s">
        <v>111</v>
      </c>
      <c r="E3264" t="s">
        <v>128</v>
      </c>
      <c r="F3264" t="s">
        <v>163</v>
      </c>
      <c r="G3264" t="s">
        <v>189</v>
      </c>
      <c r="H3264" t="s">
        <v>220</v>
      </c>
      <c r="I3264" t="s">
        <v>241</v>
      </c>
      <c r="J3264" t="s">
        <v>258</v>
      </c>
      <c r="K3264" t="s">
        <v>270</v>
      </c>
      <c r="AK3264" t="s">
        <v>359</v>
      </c>
    </row>
    <row r="3265" spans="1:37">
      <c r="B3265" t="s">
        <v>72</v>
      </c>
      <c r="C3265" t="s">
        <v>72</v>
      </c>
      <c r="D3265" t="s">
        <v>72</v>
      </c>
      <c r="E3265" t="s">
        <v>139</v>
      </c>
      <c r="F3265" t="s">
        <v>139</v>
      </c>
      <c r="G3265" t="s">
        <v>192</v>
      </c>
      <c r="H3265" t="s">
        <v>192</v>
      </c>
      <c r="I3265" t="s">
        <v>192</v>
      </c>
      <c r="J3265" t="s">
        <v>192</v>
      </c>
      <c r="K3265" t="s">
        <v>271</v>
      </c>
      <c r="AK3265" t="s">
        <v>359</v>
      </c>
    </row>
    <row r="3266" spans="1:37">
      <c r="A3266" t="s">
        <v>37</v>
      </c>
      <c r="B3266" t="s">
        <v>49</v>
      </c>
      <c r="C3266" t="s">
        <v>73</v>
      </c>
      <c r="D3266" t="s">
        <v>94</v>
      </c>
      <c r="E3266" t="s">
        <v>112</v>
      </c>
      <c r="F3266" t="s">
        <v>146</v>
      </c>
      <c r="G3266" t="s">
        <v>172</v>
      </c>
      <c r="H3266" t="s">
        <v>207</v>
      </c>
      <c r="I3266" t="s">
        <v>226</v>
      </c>
      <c r="J3266" t="s">
        <v>246</v>
      </c>
      <c r="K3266" t="s">
        <v>259</v>
      </c>
      <c r="AK3266" t="s">
        <v>359</v>
      </c>
    </row>
    <row r="3267" spans="1:37">
      <c r="A3267" t="s">
        <v>38</v>
      </c>
      <c r="B3267" t="s">
        <v>50</v>
      </c>
      <c r="C3267" t="s">
        <v>74</v>
      </c>
      <c r="D3267" t="s">
        <v>95</v>
      </c>
      <c r="E3267" t="s">
        <v>113</v>
      </c>
      <c r="F3267" t="s">
        <v>147</v>
      </c>
      <c r="G3267" t="s">
        <v>173</v>
      </c>
      <c r="H3267" t="s">
        <v>208</v>
      </c>
      <c r="I3267" t="s">
        <v>227</v>
      </c>
      <c r="J3267" t="s">
        <v>115</v>
      </c>
      <c r="K3267" t="s">
        <v>260</v>
      </c>
      <c r="L3267" t="s">
        <v>273</v>
      </c>
      <c r="M3267" t="s">
        <v>282</v>
      </c>
      <c r="N3267" t="s">
        <v>291</v>
      </c>
      <c r="AK3267" t="s">
        <v>359</v>
      </c>
    </row>
    <row r="3268" spans="1:37">
      <c r="B3268" t="s">
        <v>51</v>
      </c>
      <c r="C3268" t="s">
        <v>75</v>
      </c>
      <c r="D3268" t="s">
        <v>52</v>
      </c>
      <c r="E3268" t="s">
        <v>114</v>
      </c>
      <c r="F3268" t="s">
        <v>148</v>
      </c>
      <c r="G3268" t="s">
        <v>148</v>
      </c>
      <c r="H3268" t="s">
        <v>209</v>
      </c>
      <c r="I3268" t="s">
        <v>228</v>
      </c>
      <c r="J3268" t="s">
        <v>247</v>
      </c>
      <c r="K3268" t="s">
        <v>261</v>
      </c>
      <c r="L3268" t="s">
        <v>274</v>
      </c>
      <c r="M3268" t="s">
        <v>283</v>
      </c>
      <c r="N3268" t="s">
        <v>292</v>
      </c>
      <c r="O3268" t="s">
        <v>300</v>
      </c>
      <c r="AK3268" t="s">
        <v>359</v>
      </c>
    </row>
    <row r="3269" spans="1:37">
      <c r="B3269" t="s">
        <v>52</v>
      </c>
      <c r="C3269" t="s">
        <v>76</v>
      </c>
      <c r="D3269" t="s">
        <v>96</v>
      </c>
      <c r="E3269" t="s">
        <v>115</v>
      </c>
      <c r="F3269" t="s">
        <v>149</v>
      </c>
      <c r="G3269" t="s">
        <v>174</v>
      </c>
      <c r="H3269" t="s">
        <v>96</v>
      </c>
      <c r="I3269" t="s">
        <v>229</v>
      </c>
      <c r="J3269" t="s">
        <v>248</v>
      </c>
      <c r="K3269" t="s">
        <v>262</v>
      </c>
      <c r="L3269" t="s">
        <v>52</v>
      </c>
      <c r="M3269" t="s">
        <v>76</v>
      </c>
      <c r="N3269" t="s">
        <v>293</v>
      </c>
      <c r="O3269" t="s">
        <v>301</v>
      </c>
      <c r="P3269" t="s">
        <v>309</v>
      </c>
      <c r="Q3269" t="s">
        <v>315</v>
      </c>
      <c r="R3269" t="s">
        <v>228</v>
      </c>
      <c r="S3269" t="s">
        <v>328</v>
      </c>
      <c r="T3269" t="s">
        <v>149</v>
      </c>
      <c r="U3269" t="s">
        <v>337</v>
      </c>
      <c r="V3269" t="s">
        <v>341</v>
      </c>
      <c r="W3269" t="s">
        <v>345</v>
      </c>
      <c r="X3269" t="s">
        <v>350</v>
      </c>
      <c r="AK3269" t="s">
        <v>359</v>
      </c>
    </row>
    <row r="3270" spans="1:37">
      <c r="B3270" t="s">
        <v>53</v>
      </c>
      <c r="C3270" t="s">
        <v>77</v>
      </c>
      <c r="D3270" t="s">
        <v>97</v>
      </c>
      <c r="E3270" t="s">
        <v>116</v>
      </c>
      <c r="F3270" t="s">
        <v>150</v>
      </c>
      <c r="G3270" t="s">
        <v>175</v>
      </c>
      <c r="H3270" t="s">
        <v>210</v>
      </c>
      <c r="I3270" t="s">
        <v>230</v>
      </c>
      <c r="J3270" t="s">
        <v>249</v>
      </c>
      <c r="K3270" t="s">
        <v>263</v>
      </c>
      <c r="L3270" t="s">
        <v>275</v>
      </c>
      <c r="M3270" t="s">
        <v>284</v>
      </c>
      <c r="N3270" t="s">
        <v>294</v>
      </c>
      <c r="O3270" t="s">
        <v>302</v>
      </c>
      <c r="P3270" t="s">
        <v>310</v>
      </c>
      <c r="Q3270" t="s">
        <v>316</v>
      </c>
      <c r="R3270" t="s">
        <v>322</v>
      </c>
      <c r="S3270" t="s">
        <v>329</v>
      </c>
      <c r="AK3270" t="s">
        <v>359</v>
      </c>
    </row>
    <row r="3271" spans="1:37">
      <c r="A3271" t="s">
        <v>39</v>
      </c>
      <c r="B3271" t="s">
        <v>54</v>
      </c>
      <c r="C3271" t="s">
        <v>54</v>
      </c>
      <c r="D3271" t="s">
        <v>54</v>
      </c>
      <c r="E3271" t="s">
        <v>54</v>
      </c>
      <c r="F3271" t="s">
        <v>54</v>
      </c>
      <c r="G3271" t="s">
        <v>54</v>
      </c>
      <c r="H3271" t="s">
        <v>54</v>
      </c>
      <c r="I3271" t="s">
        <v>54</v>
      </c>
      <c r="J3271" t="s">
        <v>54</v>
      </c>
      <c r="K3271" t="s">
        <v>54</v>
      </c>
      <c r="L3271" t="s">
        <v>54</v>
      </c>
      <c r="M3271" t="s">
        <v>54</v>
      </c>
      <c r="N3271" t="s">
        <v>54</v>
      </c>
      <c r="O3271" t="s">
        <v>54</v>
      </c>
      <c r="P3271" t="s">
        <v>54</v>
      </c>
      <c r="Q3271" t="s">
        <v>54</v>
      </c>
      <c r="R3271" t="s">
        <v>323</v>
      </c>
      <c r="S3271" t="s">
        <v>330</v>
      </c>
      <c r="AK3271" t="s">
        <v>359</v>
      </c>
    </row>
    <row r="3272" spans="1:37">
      <c r="B3272" t="s">
        <v>55</v>
      </c>
      <c r="C3272" t="s">
        <v>78</v>
      </c>
      <c r="D3272" t="s">
        <v>55</v>
      </c>
      <c r="E3272" t="s">
        <v>78</v>
      </c>
      <c r="F3272" t="s">
        <v>55</v>
      </c>
      <c r="G3272" t="s">
        <v>78</v>
      </c>
      <c r="H3272" t="s">
        <v>55</v>
      </c>
      <c r="I3272" t="s">
        <v>78</v>
      </c>
      <c r="J3272" t="s">
        <v>55</v>
      </c>
      <c r="K3272" t="s">
        <v>78</v>
      </c>
      <c r="L3272" t="s">
        <v>55</v>
      </c>
      <c r="M3272" t="s">
        <v>78</v>
      </c>
      <c r="N3272" t="s">
        <v>55</v>
      </c>
      <c r="O3272" t="s">
        <v>78</v>
      </c>
      <c r="P3272" t="s">
        <v>55</v>
      </c>
      <c r="Q3272" t="s">
        <v>78</v>
      </c>
      <c r="R3272" t="s">
        <v>55</v>
      </c>
      <c r="S3272" t="s">
        <v>78</v>
      </c>
      <c r="T3272" t="s">
        <v>55</v>
      </c>
      <c r="U3272" t="s">
        <v>78</v>
      </c>
      <c r="V3272" t="s">
        <v>55</v>
      </c>
      <c r="W3272" t="s">
        <v>78</v>
      </c>
      <c r="X3272" t="s">
        <v>55</v>
      </c>
      <c r="Y3272" t="s">
        <v>78</v>
      </c>
      <c r="Z3272" t="s">
        <v>55</v>
      </c>
      <c r="AA3272" t="s">
        <v>78</v>
      </c>
      <c r="AB3272" t="s">
        <v>55</v>
      </c>
      <c r="AC3272" t="s">
        <v>78</v>
      </c>
      <c r="AD3272" t="s">
        <v>55</v>
      </c>
      <c r="AE3272" t="s">
        <v>78</v>
      </c>
      <c r="AF3272" t="s">
        <v>55</v>
      </c>
      <c r="AG3272" t="s">
        <v>78</v>
      </c>
      <c r="AH3272" t="s">
        <v>55</v>
      </c>
      <c r="AI3272" t="s">
        <v>78</v>
      </c>
      <c r="AK3272" t="s">
        <v>359</v>
      </c>
    </row>
    <row r="3273" spans="1:37">
      <c r="B3273" t="s">
        <v>56</v>
      </c>
      <c r="C3273" t="s">
        <v>56</v>
      </c>
      <c r="D3273" t="s">
        <v>56</v>
      </c>
      <c r="E3273" t="s">
        <v>56</v>
      </c>
      <c r="F3273" t="s">
        <v>56</v>
      </c>
      <c r="G3273" t="s">
        <v>176</v>
      </c>
      <c r="H3273" t="s">
        <v>211</v>
      </c>
      <c r="I3273" t="s">
        <v>231</v>
      </c>
      <c r="J3273" t="s">
        <v>250</v>
      </c>
      <c r="K3273" t="s">
        <v>264</v>
      </c>
      <c r="L3273" t="s">
        <v>276</v>
      </c>
      <c r="M3273" t="s">
        <v>285</v>
      </c>
      <c r="N3273" t="s">
        <v>295</v>
      </c>
      <c r="O3273" t="s">
        <v>303</v>
      </c>
      <c r="P3273" t="s">
        <v>56</v>
      </c>
      <c r="Q3273" t="s">
        <v>317</v>
      </c>
      <c r="R3273" t="s">
        <v>324</v>
      </c>
      <c r="S3273" t="s">
        <v>331</v>
      </c>
      <c r="T3273" t="s">
        <v>334</v>
      </c>
      <c r="U3273" t="s">
        <v>338</v>
      </c>
      <c r="V3273" t="s">
        <v>342</v>
      </c>
      <c r="W3273" t="s">
        <v>346</v>
      </c>
      <c r="X3273" t="s">
        <v>351</v>
      </c>
      <c r="AK3273" t="s">
        <v>359</v>
      </c>
    </row>
    <row r="3274" spans="1:37">
      <c r="B3274" t="s">
        <v>57</v>
      </c>
      <c r="C3274" t="s">
        <v>79</v>
      </c>
      <c r="D3274" t="s">
        <v>98</v>
      </c>
      <c r="E3274" t="s">
        <v>117</v>
      </c>
      <c r="F3274" t="s">
        <v>151</v>
      </c>
      <c r="G3274" t="s">
        <v>177</v>
      </c>
      <c r="H3274" t="s">
        <v>212</v>
      </c>
      <c r="I3274" t="s">
        <v>232</v>
      </c>
      <c r="J3274" t="s">
        <v>251</v>
      </c>
      <c r="K3274" t="s">
        <v>265</v>
      </c>
      <c r="L3274" t="s">
        <v>277</v>
      </c>
      <c r="M3274" t="s">
        <v>286</v>
      </c>
      <c r="N3274" t="s">
        <v>296</v>
      </c>
      <c r="O3274" t="s">
        <v>304</v>
      </c>
      <c r="P3274" t="s">
        <v>311</v>
      </c>
      <c r="Q3274" t="s">
        <v>318</v>
      </c>
      <c r="R3274" t="s">
        <v>185</v>
      </c>
      <c r="S3274" t="s">
        <v>159</v>
      </c>
      <c r="T3274" t="s">
        <v>185</v>
      </c>
      <c r="U3274" t="s">
        <v>339</v>
      </c>
      <c r="V3274" t="s">
        <v>72</v>
      </c>
      <c r="W3274" t="s">
        <v>347</v>
      </c>
      <c r="X3274" t="s">
        <v>72</v>
      </c>
      <c r="Y3274" t="s">
        <v>96</v>
      </c>
      <c r="AK3274" t="s">
        <v>359</v>
      </c>
    </row>
    <row r="3275" spans="1:37">
      <c r="B3275" t="s">
        <v>58</v>
      </c>
      <c r="C3275" t="s">
        <v>80</v>
      </c>
      <c r="D3275" t="s">
        <v>99</v>
      </c>
      <c r="E3275" t="s">
        <v>118</v>
      </c>
      <c r="F3275" t="s">
        <v>152</v>
      </c>
      <c r="G3275" t="s">
        <v>178</v>
      </c>
      <c r="H3275" t="s">
        <v>213</v>
      </c>
      <c r="I3275" t="s">
        <v>233</v>
      </c>
      <c r="J3275" t="s">
        <v>252</v>
      </c>
      <c r="K3275" t="s">
        <v>266</v>
      </c>
      <c r="L3275" t="s">
        <v>278</v>
      </c>
      <c r="M3275" t="s">
        <v>287</v>
      </c>
      <c r="N3275" t="s">
        <v>297</v>
      </c>
      <c r="O3275" t="s">
        <v>305</v>
      </c>
      <c r="P3275" t="s">
        <v>312</v>
      </c>
      <c r="Q3275" t="s">
        <v>319</v>
      </c>
      <c r="R3275">
        <f>&gt;10       ветра      3.1     20  20</f>
        <v>0</v>
      </c>
      <c r="AK3275" t="s">
        <v>359</v>
      </c>
    </row>
    <row r="3276" spans="1:37">
      <c r="A3276" t="s">
        <v>40</v>
      </c>
      <c r="B3276" t="s">
        <v>59</v>
      </c>
      <c r="C3276" t="s">
        <v>81</v>
      </c>
      <c r="D3276" t="s">
        <v>100</v>
      </c>
      <c r="E3276" t="s">
        <v>119</v>
      </c>
      <c r="F3276" t="s">
        <v>153</v>
      </c>
      <c r="G3276" t="s">
        <v>179</v>
      </c>
      <c r="H3276" t="s">
        <v>214</v>
      </c>
      <c r="I3276" t="s">
        <v>234</v>
      </c>
      <c r="AK3276" t="s">
        <v>359</v>
      </c>
    </row>
    <row r="3277" spans="1:37">
      <c r="A3277" t="s">
        <v>40</v>
      </c>
      <c r="B3277" t="s">
        <v>60</v>
      </c>
      <c r="C3277" t="s">
        <v>82</v>
      </c>
      <c r="D3277" t="s">
        <v>101</v>
      </c>
      <c r="E3277" t="s">
        <v>120</v>
      </c>
      <c r="F3277" t="s">
        <v>154</v>
      </c>
      <c r="G3277" t="s">
        <v>180</v>
      </c>
      <c r="H3277" t="s">
        <v>215</v>
      </c>
      <c r="I3277" t="s">
        <v>235</v>
      </c>
      <c r="J3277" t="s">
        <v>253</v>
      </c>
      <c r="K3277" t="s">
        <v>267</v>
      </c>
      <c r="L3277" t="s">
        <v>279</v>
      </c>
      <c r="M3277" t="s">
        <v>288</v>
      </c>
      <c r="N3277" t="s">
        <v>100</v>
      </c>
      <c r="O3277" t="s">
        <v>306</v>
      </c>
      <c r="P3277" t="s">
        <v>313</v>
      </c>
      <c r="Q3277" t="s">
        <v>320</v>
      </c>
      <c r="R3277" t="s">
        <v>325</v>
      </c>
      <c r="S3277" t="s">
        <v>332</v>
      </c>
      <c r="T3277" t="s">
        <v>119</v>
      </c>
      <c r="U3277" t="s">
        <v>234</v>
      </c>
      <c r="V3277" t="s">
        <v>343</v>
      </c>
      <c r="W3277" t="s">
        <v>348</v>
      </c>
      <c r="X3277" t="s">
        <v>352</v>
      </c>
      <c r="Y3277" t="s">
        <v>354</v>
      </c>
      <c r="AK3277" t="s">
        <v>359</v>
      </c>
    </row>
    <row r="3278" spans="1:37">
      <c r="A3278" t="s">
        <v>41</v>
      </c>
      <c r="B3278" t="s">
        <v>61</v>
      </c>
      <c r="C3278" t="s">
        <v>83</v>
      </c>
      <c r="D3278" t="s">
        <v>102</v>
      </c>
      <c r="E3278" t="s">
        <v>121</v>
      </c>
      <c r="F3278" t="s">
        <v>155</v>
      </c>
      <c r="G3278" t="s">
        <v>181</v>
      </c>
      <c r="H3278" t="s">
        <v>216</v>
      </c>
      <c r="I3278" t="s">
        <v>236</v>
      </c>
      <c r="AK3278" t="s">
        <v>359</v>
      </c>
    </row>
    <row r="3279" spans="1:37">
      <c r="A3279" t="s">
        <v>42</v>
      </c>
      <c r="B3279" t="s">
        <v>62</v>
      </c>
      <c r="C3279" t="s">
        <v>84</v>
      </c>
      <c r="D3279" t="s">
        <v>103</v>
      </c>
      <c r="E3279" t="s">
        <v>122</v>
      </c>
      <c r="F3279" t="s">
        <v>156</v>
      </c>
      <c r="G3279" t="s">
        <v>182</v>
      </c>
      <c r="H3279" t="s">
        <v>83</v>
      </c>
      <c r="I3279" t="s">
        <v>237</v>
      </c>
      <c r="J3279" t="s">
        <v>254</v>
      </c>
      <c r="K3279" t="s">
        <v>268</v>
      </c>
      <c r="L3279" t="s">
        <v>280</v>
      </c>
      <c r="M3279" t="s">
        <v>289</v>
      </c>
      <c r="N3279" t="s">
        <v>298</v>
      </c>
      <c r="O3279" t="s">
        <v>307</v>
      </c>
      <c r="P3279" t="s">
        <v>314</v>
      </c>
      <c r="Q3279" t="s">
        <v>216</v>
      </c>
      <c r="R3279" t="s">
        <v>326</v>
      </c>
      <c r="S3279" t="s">
        <v>333</v>
      </c>
      <c r="T3279" t="s">
        <v>335</v>
      </c>
      <c r="U3279" t="s">
        <v>340</v>
      </c>
      <c r="V3279" t="s">
        <v>344</v>
      </c>
      <c r="W3279" t="s">
        <v>349</v>
      </c>
      <c r="AK3279" t="s">
        <v>359</v>
      </c>
    </row>
    <row r="3280" spans="1:37">
      <c r="A3280" t="s">
        <v>43</v>
      </c>
      <c r="B3280" t="s">
        <v>63</v>
      </c>
      <c r="C3280" t="s">
        <v>85</v>
      </c>
      <c r="D3280" t="s">
        <v>104</v>
      </c>
      <c r="E3280" t="s">
        <v>123</v>
      </c>
      <c r="F3280" t="s">
        <v>157</v>
      </c>
      <c r="G3280" t="s">
        <v>183</v>
      </c>
      <c r="AK3280" t="s">
        <v>359</v>
      </c>
    </row>
    <row r="3281" spans="1:37">
      <c r="A3281" t="s">
        <v>44</v>
      </c>
      <c r="B3281" t="s">
        <v>64</v>
      </c>
      <c r="C3281" t="s">
        <v>86</v>
      </c>
      <c r="D3281" t="s">
        <v>105</v>
      </c>
      <c r="E3281" t="s">
        <v>124</v>
      </c>
      <c r="F3281" t="s">
        <v>158</v>
      </c>
      <c r="G3281" t="s">
        <v>184</v>
      </c>
      <c r="AK3281" t="s">
        <v>359</v>
      </c>
    </row>
    <row r="3282" spans="1:37">
      <c r="A3282" t="s">
        <v>45</v>
      </c>
      <c r="B3282" t="s">
        <v>65</v>
      </c>
      <c r="C3282" t="s">
        <v>87</v>
      </c>
      <c r="D3282" t="s">
        <v>106</v>
      </c>
      <c r="E3282" t="s">
        <v>125</v>
      </c>
      <c r="F3282" t="s">
        <v>159</v>
      </c>
      <c r="G3282" t="s">
        <v>185</v>
      </c>
      <c r="H3282" t="s">
        <v>159</v>
      </c>
      <c r="I3282" t="s">
        <v>185</v>
      </c>
      <c r="J3282" t="s">
        <v>255</v>
      </c>
      <c r="AK3282" t="s">
        <v>359</v>
      </c>
    </row>
    <row r="3283" spans="1:37">
      <c r="A3283" t="s">
        <v>46</v>
      </c>
      <c r="B3283" t="s">
        <v>66</v>
      </c>
      <c r="C3283" t="s">
        <v>88</v>
      </c>
      <c r="D3283" t="s">
        <v>76</v>
      </c>
      <c r="E3283" t="s">
        <v>126</v>
      </c>
      <c r="F3283" t="s">
        <v>160</v>
      </c>
      <c r="G3283" t="s">
        <v>186</v>
      </c>
      <c r="H3283" t="s">
        <v>217</v>
      </c>
      <c r="I3283" t="s">
        <v>238</v>
      </c>
      <c r="J3283" t="s">
        <v>256</v>
      </c>
      <c r="K3283" t="s">
        <v>265</v>
      </c>
      <c r="L3283" t="s">
        <v>281</v>
      </c>
      <c r="M3283" t="s">
        <v>290</v>
      </c>
      <c r="N3283" t="s">
        <v>299</v>
      </c>
      <c r="O3283" t="s">
        <v>308</v>
      </c>
      <c r="P3283" t="s">
        <v>228</v>
      </c>
      <c r="Q3283" t="s">
        <v>72</v>
      </c>
      <c r="R3283" t="s">
        <v>327</v>
      </c>
      <c r="S3283" t="s">
        <v>327</v>
      </c>
      <c r="T3283" t="s">
        <v>336</v>
      </c>
      <c r="U3283" t="s">
        <v>336</v>
      </c>
      <c r="V3283" t="s">
        <v>336</v>
      </c>
      <c r="W3283" t="s">
        <v>336</v>
      </c>
      <c r="X3283" t="s">
        <v>353</v>
      </c>
      <c r="AK3283" t="s">
        <v>359</v>
      </c>
    </row>
    <row r="3284" spans="1:37">
      <c r="B3284" t="s">
        <v>67</v>
      </c>
      <c r="C3284" t="s">
        <v>89</v>
      </c>
      <c r="D3284" t="s">
        <v>107</v>
      </c>
      <c r="AK3284" t="s">
        <v>359</v>
      </c>
    </row>
    <row r="3285" spans="1:37">
      <c r="B3285" t="s">
        <v>68</v>
      </c>
      <c r="C3285" t="s">
        <v>90</v>
      </c>
      <c r="D3285" t="s">
        <v>108</v>
      </c>
      <c r="AK3285" t="s">
        <v>359</v>
      </c>
    </row>
    <row r="3286" spans="1:37">
      <c r="A3286" t="s">
        <v>47</v>
      </c>
      <c r="B3286" t="s">
        <v>69</v>
      </c>
      <c r="C3286" t="s">
        <v>91</v>
      </c>
      <c r="D3286" t="s">
        <v>109</v>
      </c>
      <c r="E3286" t="s">
        <v>109</v>
      </c>
      <c r="F3286" t="s">
        <v>109</v>
      </c>
      <c r="G3286" t="s">
        <v>109</v>
      </c>
      <c r="H3286" t="s">
        <v>109</v>
      </c>
      <c r="I3286" t="s">
        <v>239</v>
      </c>
      <c r="AK3286" t="s">
        <v>359</v>
      </c>
    </row>
    <row r="3287" spans="1:37">
      <c r="B3287" t="s">
        <v>70</v>
      </c>
      <c r="C3287" t="s">
        <v>92</v>
      </c>
      <c r="D3287" t="s">
        <v>110</v>
      </c>
      <c r="E3287" t="s">
        <v>127</v>
      </c>
      <c r="F3287" t="s">
        <v>161</v>
      </c>
      <c r="G3287" t="s">
        <v>187</v>
      </c>
      <c r="H3287" t="s">
        <v>218</v>
      </c>
      <c r="AK3287" t="s">
        <v>359</v>
      </c>
    </row>
    <row r="3288" spans="1:37">
      <c r="B3288" t="s">
        <v>71</v>
      </c>
      <c r="C3288" t="s">
        <v>93</v>
      </c>
      <c r="D3288" t="s">
        <v>111</v>
      </c>
      <c r="E3288" t="s">
        <v>128</v>
      </c>
      <c r="F3288" t="s">
        <v>162</v>
      </c>
      <c r="G3288" t="s">
        <v>188</v>
      </c>
      <c r="H3288" t="s">
        <v>219</v>
      </c>
      <c r="I3288" t="s">
        <v>240</v>
      </c>
      <c r="J3288" t="s">
        <v>257</v>
      </c>
      <c r="K3288" t="s">
        <v>269</v>
      </c>
      <c r="L3288" t="s">
        <v>109</v>
      </c>
      <c r="M3288" t="s">
        <v>109</v>
      </c>
      <c r="N3288" t="s">
        <v>109</v>
      </c>
      <c r="O3288" t="s">
        <v>109</v>
      </c>
      <c r="P3288" t="s">
        <v>109</v>
      </c>
      <c r="Q3288" t="s">
        <v>321</v>
      </c>
      <c r="AK3288" t="s">
        <v>359</v>
      </c>
    </row>
    <row r="3289" spans="1:37">
      <c r="A3289" t="s">
        <v>48</v>
      </c>
      <c r="B3289" t="s">
        <v>71</v>
      </c>
      <c r="C3289" t="s">
        <v>93</v>
      </c>
      <c r="D3289" t="s">
        <v>111</v>
      </c>
      <c r="E3289" t="s">
        <v>128</v>
      </c>
      <c r="F3289" t="s">
        <v>163</v>
      </c>
      <c r="G3289" t="s">
        <v>189</v>
      </c>
      <c r="H3289" t="s">
        <v>220</v>
      </c>
      <c r="I3289" t="s">
        <v>241</v>
      </c>
      <c r="J3289" t="s">
        <v>258</v>
      </c>
      <c r="K3289" t="s">
        <v>270</v>
      </c>
      <c r="AK3289" t="s">
        <v>359</v>
      </c>
    </row>
    <row r="3290" spans="1:37">
      <c r="B3290" t="s">
        <v>72</v>
      </c>
      <c r="C3290" t="s">
        <v>72</v>
      </c>
      <c r="D3290" t="s">
        <v>72</v>
      </c>
      <c r="E3290" t="s">
        <v>72</v>
      </c>
      <c r="F3290" t="s">
        <v>72</v>
      </c>
      <c r="G3290" t="s">
        <v>72</v>
      </c>
      <c r="H3290" t="s">
        <v>72</v>
      </c>
      <c r="I3290" t="s">
        <v>72</v>
      </c>
      <c r="J3290" t="s">
        <v>72</v>
      </c>
      <c r="K3290" t="s">
        <v>272</v>
      </c>
      <c r="AK3290" t="s">
        <v>359</v>
      </c>
    </row>
    <row r="3291" spans="1:37">
      <c r="A3291" t="s">
        <v>37</v>
      </c>
      <c r="B3291" t="s">
        <v>49</v>
      </c>
      <c r="C3291" t="s">
        <v>73</v>
      </c>
      <c r="D3291" t="s">
        <v>94</v>
      </c>
      <c r="E3291" t="s">
        <v>112</v>
      </c>
      <c r="F3291" t="s">
        <v>146</v>
      </c>
      <c r="G3291" t="s">
        <v>172</v>
      </c>
      <c r="H3291" t="s">
        <v>207</v>
      </c>
      <c r="I3291" t="s">
        <v>226</v>
      </c>
      <c r="J3291" t="s">
        <v>246</v>
      </c>
      <c r="K3291" t="s">
        <v>259</v>
      </c>
      <c r="AK3291" t="s">
        <v>359</v>
      </c>
    </row>
    <row r="3292" spans="1:37">
      <c r="A3292" t="s">
        <v>38</v>
      </c>
      <c r="B3292" t="s">
        <v>50</v>
      </c>
      <c r="C3292" t="s">
        <v>74</v>
      </c>
      <c r="D3292" t="s">
        <v>95</v>
      </c>
      <c r="E3292" t="s">
        <v>113</v>
      </c>
      <c r="F3292" t="s">
        <v>147</v>
      </c>
      <c r="G3292" t="s">
        <v>173</v>
      </c>
      <c r="H3292" t="s">
        <v>208</v>
      </c>
      <c r="I3292" t="s">
        <v>227</v>
      </c>
      <c r="J3292" t="s">
        <v>115</v>
      </c>
      <c r="K3292" t="s">
        <v>260</v>
      </c>
      <c r="L3292" t="s">
        <v>273</v>
      </c>
      <c r="M3292" t="s">
        <v>282</v>
      </c>
      <c r="N3292" t="s">
        <v>291</v>
      </c>
      <c r="AK3292" t="s">
        <v>359</v>
      </c>
    </row>
    <row r="3293" spans="1:37">
      <c r="B3293" t="s">
        <v>51</v>
      </c>
      <c r="C3293" t="s">
        <v>75</v>
      </c>
      <c r="D3293" t="s">
        <v>52</v>
      </c>
      <c r="E3293" t="s">
        <v>114</v>
      </c>
      <c r="F3293" t="s">
        <v>148</v>
      </c>
      <c r="G3293" t="s">
        <v>148</v>
      </c>
      <c r="H3293" t="s">
        <v>209</v>
      </c>
      <c r="I3293" t="s">
        <v>228</v>
      </c>
      <c r="J3293" t="s">
        <v>247</v>
      </c>
      <c r="K3293" t="s">
        <v>261</v>
      </c>
      <c r="L3293" t="s">
        <v>274</v>
      </c>
      <c r="M3293" t="s">
        <v>283</v>
      </c>
      <c r="N3293" t="s">
        <v>292</v>
      </c>
      <c r="O3293" t="s">
        <v>300</v>
      </c>
      <c r="AK3293" t="s">
        <v>359</v>
      </c>
    </row>
    <row r="3294" spans="1:37">
      <c r="B3294" t="s">
        <v>52</v>
      </c>
      <c r="C3294" t="s">
        <v>76</v>
      </c>
      <c r="D3294" t="s">
        <v>96</v>
      </c>
      <c r="E3294" t="s">
        <v>115</v>
      </c>
      <c r="F3294" t="s">
        <v>149</v>
      </c>
      <c r="G3294" t="s">
        <v>174</v>
      </c>
      <c r="H3294" t="s">
        <v>96</v>
      </c>
      <c r="I3294" t="s">
        <v>229</v>
      </c>
      <c r="J3294" t="s">
        <v>248</v>
      </c>
      <c r="K3294" t="s">
        <v>262</v>
      </c>
      <c r="L3294" t="s">
        <v>52</v>
      </c>
      <c r="M3294" t="s">
        <v>76</v>
      </c>
      <c r="N3294" t="s">
        <v>293</v>
      </c>
      <c r="O3294" t="s">
        <v>301</v>
      </c>
      <c r="P3294" t="s">
        <v>309</v>
      </c>
      <c r="Q3294" t="s">
        <v>315</v>
      </c>
      <c r="R3294" t="s">
        <v>228</v>
      </c>
      <c r="S3294" t="s">
        <v>328</v>
      </c>
      <c r="T3294" t="s">
        <v>149</v>
      </c>
      <c r="U3294" t="s">
        <v>337</v>
      </c>
      <c r="V3294" t="s">
        <v>341</v>
      </c>
      <c r="W3294" t="s">
        <v>345</v>
      </c>
      <c r="X3294" t="s">
        <v>350</v>
      </c>
      <c r="AK3294" t="s">
        <v>359</v>
      </c>
    </row>
    <row r="3295" spans="1:37">
      <c r="B3295" t="s">
        <v>53</v>
      </c>
      <c r="C3295" t="s">
        <v>77</v>
      </c>
      <c r="D3295" t="s">
        <v>97</v>
      </c>
      <c r="E3295" t="s">
        <v>116</v>
      </c>
      <c r="F3295" t="s">
        <v>150</v>
      </c>
      <c r="G3295" t="s">
        <v>175</v>
      </c>
      <c r="H3295" t="s">
        <v>210</v>
      </c>
      <c r="I3295" t="s">
        <v>230</v>
      </c>
      <c r="J3295" t="s">
        <v>249</v>
      </c>
      <c r="K3295" t="s">
        <v>263</v>
      </c>
      <c r="L3295" t="s">
        <v>275</v>
      </c>
      <c r="M3295" t="s">
        <v>284</v>
      </c>
      <c r="N3295" t="s">
        <v>294</v>
      </c>
      <c r="O3295" t="s">
        <v>302</v>
      </c>
      <c r="P3295" t="s">
        <v>310</v>
      </c>
      <c r="Q3295" t="s">
        <v>316</v>
      </c>
      <c r="R3295" t="s">
        <v>322</v>
      </c>
      <c r="S3295" t="s">
        <v>329</v>
      </c>
      <c r="AK3295" t="s">
        <v>359</v>
      </c>
    </row>
    <row r="3296" spans="1:37">
      <c r="A3296" t="s">
        <v>39</v>
      </c>
      <c r="B3296" t="s">
        <v>54</v>
      </c>
      <c r="C3296" t="s">
        <v>54</v>
      </c>
      <c r="D3296" t="s">
        <v>54</v>
      </c>
      <c r="E3296" t="s">
        <v>54</v>
      </c>
      <c r="F3296" t="s">
        <v>54</v>
      </c>
      <c r="G3296" t="s">
        <v>54</v>
      </c>
      <c r="H3296" t="s">
        <v>54</v>
      </c>
      <c r="I3296" t="s">
        <v>54</v>
      </c>
      <c r="J3296" t="s">
        <v>54</v>
      </c>
      <c r="K3296" t="s">
        <v>54</v>
      </c>
      <c r="L3296" t="s">
        <v>54</v>
      </c>
      <c r="M3296" t="s">
        <v>54</v>
      </c>
      <c r="N3296" t="s">
        <v>54</v>
      </c>
      <c r="O3296" t="s">
        <v>54</v>
      </c>
      <c r="P3296" t="s">
        <v>54</v>
      </c>
      <c r="Q3296" t="s">
        <v>54</v>
      </c>
      <c r="R3296" t="s">
        <v>323</v>
      </c>
      <c r="S3296" t="s">
        <v>330</v>
      </c>
      <c r="AK3296" t="s">
        <v>359</v>
      </c>
    </row>
    <row r="3297" spans="1:37">
      <c r="B3297" t="s">
        <v>55</v>
      </c>
      <c r="C3297" t="s">
        <v>78</v>
      </c>
      <c r="D3297" t="s">
        <v>55</v>
      </c>
      <c r="E3297" t="s">
        <v>78</v>
      </c>
      <c r="F3297" t="s">
        <v>55</v>
      </c>
      <c r="G3297" t="s">
        <v>78</v>
      </c>
      <c r="H3297" t="s">
        <v>55</v>
      </c>
      <c r="I3297" t="s">
        <v>78</v>
      </c>
      <c r="J3297" t="s">
        <v>55</v>
      </c>
      <c r="K3297" t="s">
        <v>78</v>
      </c>
      <c r="L3297" t="s">
        <v>55</v>
      </c>
      <c r="M3297" t="s">
        <v>78</v>
      </c>
      <c r="N3297" t="s">
        <v>55</v>
      </c>
      <c r="O3297" t="s">
        <v>78</v>
      </c>
      <c r="P3297" t="s">
        <v>55</v>
      </c>
      <c r="Q3297" t="s">
        <v>78</v>
      </c>
      <c r="R3297" t="s">
        <v>55</v>
      </c>
      <c r="S3297" t="s">
        <v>78</v>
      </c>
      <c r="T3297" t="s">
        <v>55</v>
      </c>
      <c r="U3297" t="s">
        <v>78</v>
      </c>
      <c r="V3297" t="s">
        <v>55</v>
      </c>
      <c r="W3297" t="s">
        <v>78</v>
      </c>
      <c r="X3297" t="s">
        <v>55</v>
      </c>
      <c r="Y3297" t="s">
        <v>78</v>
      </c>
      <c r="Z3297" t="s">
        <v>55</v>
      </c>
      <c r="AA3297" t="s">
        <v>78</v>
      </c>
      <c r="AB3297" t="s">
        <v>55</v>
      </c>
      <c r="AC3297" t="s">
        <v>78</v>
      </c>
      <c r="AD3297" t="s">
        <v>55</v>
      </c>
      <c r="AE3297" t="s">
        <v>78</v>
      </c>
      <c r="AF3297" t="s">
        <v>55</v>
      </c>
      <c r="AG3297" t="s">
        <v>78</v>
      </c>
      <c r="AH3297" t="s">
        <v>55</v>
      </c>
      <c r="AI3297" t="s">
        <v>78</v>
      </c>
      <c r="AK3297" t="s">
        <v>359</v>
      </c>
    </row>
    <row r="3298" spans="1:37">
      <c r="B3298" t="s">
        <v>56</v>
      </c>
      <c r="C3298" t="s">
        <v>56</v>
      </c>
      <c r="D3298" t="s">
        <v>56</v>
      </c>
      <c r="E3298" t="s">
        <v>56</v>
      </c>
      <c r="F3298" t="s">
        <v>56</v>
      </c>
      <c r="G3298" t="s">
        <v>176</v>
      </c>
      <c r="H3298" t="s">
        <v>211</v>
      </c>
      <c r="I3298" t="s">
        <v>231</v>
      </c>
      <c r="J3298" t="s">
        <v>250</v>
      </c>
      <c r="K3298" t="s">
        <v>264</v>
      </c>
      <c r="L3298" t="s">
        <v>276</v>
      </c>
      <c r="M3298" t="s">
        <v>285</v>
      </c>
      <c r="N3298" t="s">
        <v>295</v>
      </c>
      <c r="O3298" t="s">
        <v>303</v>
      </c>
      <c r="P3298" t="s">
        <v>56</v>
      </c>
      <c r="Q3298" t="s">
        <v>317</v>
      </c>
      <c r="R3298" t="s">
        <v>324</v>
      </c>
      <c r="S3298" t="s">
        <v>331</v>
      </c>
      <c r="T3298" t="s">
        <v>334</v>
      </c>
      <c r="U3298" t="s">
        <v>338</v>
      </c>
      <c r="V3298" t="s">
        <v>342</v>
      </c>
      <c r="W3298" t="s">
        <v>346</v>
      </c>
      <c r="X3298" t="s">
        <v>351</v>
      </c>
      <c r="AK3298" t="s">
        <v>359</v>
      </c>
    </row>
    <row r="3299" spans="1:37">
      <c r="B3299" t="s">
        <v>57</v>
      </c>
      <c r="C3299" t="s">
        <v>79</v>
      </c>
      <c r="D3299" t="s">
        <v>98</v>
      </c>
      <c r="E3299" t="s">
        <v>117</v>
      </c>
      <c r="F3299" t="s">
        <v>151</v>
      </c>
      <c r="G3299" t="s">
        <v>177</v>
      </c>
      <c r="H3299" t="s">
        <v>212</v>
      </c>
      <c r="I3299" t="s">
        <v>232</v>
      </c>
      <c r="J3299" t="s">
        <v>251</v>
      </c>
      <c r="K3299" t="s">
        <v>265</v>
      </c>
      <c r="L3299" t="s">
        <v>277</v>
      </c>
      <c r="M3299" t="s">
        <v>286</v>
      </c>
      <c r="N3299" t="s">
        <v>296</v>
      </c>
      <c r="O3299" t="s">
        <v>304</v>
      </c>
      <c r="P3299" t="s">
        <v>311</v>
      </c>
      <c r="Q3299" t="s">
        <v>318</v>
      </c>
      <c r="R3299" t="s">
        <v>185</v>
      </c>
      <c r="S3299" t="s">
        <v>159</v>
      </c>
      <c r="T3299" t="s">
        <v>185</v>
      </c>
      <c r="U3299" t="s">
        <v>339</v>
      </c>
      <c r="V3299" t="s">
        <v>72</v>
      </c>
      <c r="W3299" t="s">
        <v>347</v>
      </c>
      <c r="X3299" t="s">
        <v>72</v>
      </c>
      <c r="Y3299" t="s">
        <v>96</v>
      </c>
      <c r="AK3299" t="s">
        <v>359</v>
      </c>
    </row>
    <row r="3300" spans="1:37">
      <c r="B3300" t="s">
        <v>58</v>
      </c>
      <c r="C3300" t="s">
        <v>80</v>
      </c>
      <c r="D3300" t="s">
        <v>99</v>
      </c>
      <c r="E3300" t="s">
        <v>118</v>
      </c>
      <c r="F3300" t="s">
        <v>152</v>
      </c>
      <c r="G3300" t="s">
        <v>178</v>
      </c>
      <c r="H3300" t="s">
        <v>213</v>
      </c>
      <c r="I3300" t="s">
        <v>233</v>
      </c>
      <c r="J3300" t="s">
        <v>252</v>
      </c>
      <c r="K3300" t="s">
        <v>266</v>
      </c>
      <c r="L3300" t="s">
        <v>278</v>
      </c>
      <c r="M3300" t="s">
        <v>287</v>
      </c>
      <c r="N3300" t="s">
        <v>297</v>
      </c>
      <c r="O3300" t="s">
        <v>305</v>
      </c>
      <c r="P3300" t="s">
        <v>312</v>
      </c>
      <c r="Q3300" t="s">
        <v>319</v>
      </c>
      <c r="R3300">
        <f>&gt;10       ветра      1.1     12   3</f>
        <v>0</v>
      </c>
      <c r="AK3300" t="s">
        <v>359</v>
      </c>
    </row>
    <row r="3301" spans="1:37">
      <c r="A3301" t="s">
        <v>40</v>
      </c>
      <c r="B3301" t="s">
        <v>59</v>
      </c>
      <c r="C3301" t="s">
        <v>81</v>
      </c>
      <c r="D3301" t="s">
        <v>100</v>
      </c>
      <c r="E3301" t="s">
        <v>119</v>
      </c>
      <c r="F3301" t="s">
        <v>153</v>
      </c>
      <c r="G3301" t="s">
        <v>179</v>
      </c>
      <c r="H3301" t="s">
        <v>214</v>
      </c>
      <c r="I3301" t="s">
        <v>234</v>
      </c>
      <c r="AK3301" t="s">
        <v>359</v>
      </c>
    </row>
    <row r="3302" spans="1:37">
      <c r="A3302" t="s">
        <v>40</v>
      </c>
      <c r="B3302" t="s">
        <v>60</v>
      </c>
      <c r="C3302" t="s">
        <v>82</v>
      </c>
      <c r="D3302" t="s">
        <v>101</v>
      </c>
      <c r="E3302" t="s">
        <v>120</v>
      </c>
      <c r="F3302" t="s">
        <v>154</v>
      </c>
      <c r="G3302" t="s">
        <v>180</v>
      </c>
      <c r="H3302" t="s">
        <v>215</v>
      </c>
      <c r="I3302" t="s">
        <v>235</v>
      </c>
      <c r="J3302" t="s">
        <v>253</v>
      </c>
      <c r="K3302" t="s">
        <v>267</v>
      </c>
      <c r="L3302" t="s">
        <v>279</v>
      </c>
      <c r="M3302" t="s">
        <v>288</v>
      </c>
      <c r="N3302" t="s">
        <v>100</v>
      </c>
      <c r="O3302" t="s">
        <v>306</v>
      </c>
      <c r="P3302" t="s">
        <v>313</v>
      </c>
      <c r="Q3302" t="s">
        <v>320</v>
      </c>
      <c r="R3302" t="s">
        <v>325</v>
      </c>
      <c r="S3302" t="s">
        <v>332</v>
      </c>
      <c r="T3302" t="s">
        <v>119</v>
      </c>
      <c r="U3302" t="s">
        <v>234</v>
      </c>
      <c r="V3302" t="s">
        <v>343</v>
      </c>
      <c r="W3302" t="s">
        <v>348</v>
      </c>
      <c r="X3302" t="s">
        <v>352</v>
      </c>
      <c r="Y3302" t="s">
        <v>354</v>
      </c>
      <c r="AK3302" t="s">
        <v>359</v>
      </c>
    </row>
    <row r="3303" spans="1:37">
      <c r="A3303" t="s">
        <v>41</v>
      </c>
      <c r="B3303" t="s">
        <v>61</v>
      </c>
      <c r="C3303" t="s">
        <v>83</v>
      </c>
      <c r="D3303" t="s">
        <v>102</v>
      </c>
      <c r="E3303" t="s">
        <v>121</v>
      </c>
      <c r="F3303" t="s">
        <v>155</v>
      </c>
      <c r="G3303" t="s">
        <v>181</v>
      </c>
      <c r="H3303" t="s">
        <v>216</v>
      </c>
      <c r="I3303" t="s">
        <v>236</v>
      </c>
      <c r="AK3303" t="s">
        <v>359</v>
      </c>
    </row>
    <row r="3304" spans="1:37">
      <c r="A3304" t="s">
        <v>42</v>
      </c>
      <c r="B3304" t="s">
        <v>62</v>
      </c>
      <c r="C3304" t="s">
        <v>84</v>
      </c>
      <c r="D3304" t="s">
        <v>103</v>
      </c>
      <c r="E3304" t="s">
        <v>122</v>
      </c>
      <c r="F3304" t="s">
        <v>156</v>
      </c>
      <c r="G3304" t="s">
        <v>182</v>
      </c>
      <c r="H3304" t="s">
        <v>83</v>
      </c>
      <c r="I3304" t="s">
        <v>237</v>
      </c>
      <c r="J3304" t="s">
        <v>254</v>
      </c>
      <c r="K3304" t="s">
        <v>268</v>
      </c>
      <c r="L3304" t="s">
        <v>280</v>
      </c>
      <c r="M3304" t="s">
        <v>289</v>
      </c>
      <c r="N3304" t="s">
        <v>298</v>
      </c>
      <c r="O3304" t="s">
        <v>307</v>
      </c>
      <c r="P3304" t="s">
        <v>314</v>
      </c>
      <c r="Q3304" t="s">
        <v>216</v>
      </c>
      <c r="R3304" t="s">
        <v>326</v>
      </c>
      <c r="S3304" t="s">
        <v>333</v>
      </c>
      <c r="T3304" t="s">
        <v>335</v>
      </c>
      <c r="U3304" t="s">
        <v>340</v>
      </c>
      <c r="V3304" t="s">
        <v>344</v>
      </c>
      <c r="W3304" t="s">
        <v>349</v>
      </c>
      <c r="AK3304" t="s">
        <v>359</v>
      </c>
    </row>
    <row r="3305" spans="1:37">
      <c r="A3305" t="s">
        <v>43</v>
      </c>
      <c r="B3305" t="s">
        <v>63</v>
      </c>
      <c r="C3305" t="s">
        <v>85</v>
      </c>
      <c r="D3305" t="s">
        <v>104</v>
      </c>
      <c r="E3305" t="s">
        <v>123</v>
      </c>
      <c r="F3305" t="s">
        <v>157</v>
      </c>
      <c r="G3305" t="s">
        <v>183</v>
      </c>
      <c r="AK3305" t="s">
        <v>359</v>
      </c>
    </row>
    <row r="3306" spans="1:37">
      <c r="A3306" t="s">
        <v>44</v>
      </c>
      <c r="B3306" t="s">
        <v>64</v>
      </c>
      <c r="C3306" t="s">
        <v>86</v>
      </c>
      <c r="D3306" t="s">
        <v>105</v>
      </c>
      <c r="E3306" t="s">
        <v>124</v>
      </c>
      <c r="F3306" t="s">
        <v>158</v>
      </c>
      <c r="G3306" t="s">
        <v>184</v>
      </c>
      <c r="AK3306" t="s">
        <v>359</v>
      </c>
    </row>
    <row r="3307" spans="1:37">
      <c r="A3307" t="s">
        <v>45</v>
      </c>
      <c r="B3307" t="s">
        <v>65</v>
      </c>
      <c r="C3307" t="s">
        <v>87</v>
      </c>
      <c r="D3307" t="s">
        <v>106</v>
      </c>
      <c r="E3307" t="s">
        <v>125</v>
      </c>
      <c r="F3307" t="s">
        <v>159</v>
      </c>
      <c r="G3307" t="s">
        <v>185</v>
      </c>
      <c r="H3307" t="s">
        <v>159</v>
      </c>
      <c r="I3307" t="s">
        <v>185</v>
      </c>
      <c r="J3307" t="s">
        <v>255</v>
      </c>
      <c r="AK3307" t="s">
        <v>359</v>
      </c>
    </row>
    <row r="3308" spans="1:37">
      <c r="A3308" t="s">
        <v>46</v>
      </c>
      <c r="B3308" t="s">
        <v>66</v>
      </c>
      <c r="C3308" t="s">
        <v>88</v>
      </c>
      <c r="D3308" t="s">
        <v>76</v>
      </c>
      <c r="E3308" t="s">
        <v>126</v>
      </c>
      <c r="F3308" t="s">
        <v>160</v>
      </c>
      <c r="G3308" t="s">
        <v>186</v>
      </c>
      <c r="H3308" t="s">
        <v>217</v>
      </c>
      <c r="I3308" t="s">
        <v>238</v>
      </c>
      <c r="J3308" t="s">
        <v>256</v>
      </c>
      <c r="K3308" t="s">
        <v>265</v>
      </c>
      <c r="L3308" t="s">
        <v>281</v>
      </c>
      <c r="M3308" t="s">
        <v>290</v>
      </c>
      <c r="N3308" t="s">
        <v>299</v>
      </c>
      <c r="O3308" t="s">
        <v>308</v>
      </c>
      <c r="P3308" t="s">
        <v>228</v>
      </c>
      <c r="Q3308" t="s">
        <v>72</v>
      </c>
      <c r="R3308" t="s">
        <v>327</v>
      </c>
      <c r="S3308" t="s">
        <v>327</v>
      </c>
      <c r="T3308" t="s">
        <v>336</v>
      </c>
      <c r="U3308" t="s">
        <v>336</v>
      </c>
      <c r="V3308" t="s">
        <v>336</v>
      </c>
      <c r="W3308" t="s">
        <v>336</v>
      </c>
      <c r="X3308" t="s">
        <v>353</v>
      </c>
      <c r="AK3308" t="s">
        <v>359</v>
      </c>
    </row>
    <row r="3309" spans="1:37">
      <c r="B3309" t="s">
        <v>67</v>
      </c>
      <c r="C3309" t="s">
        <v>89</v>
      </c>
      <c r="D3309" t="s">
        <v>107</v>
      </c>
      <c r="AK3309" t="s">
        <v>359</v>
      </c>
    </row>
    <row r="3310" spans="1:37">
      <c r="B3310" t="s">
        <v>68</v>
      </c>
      <c r="C3310" t="s">
        <v>90</v>
      </c>
      <c r="D3310" t="s">
        <v>108</v>
      </c>
      <c r="AK3310" t="s">
        <v>359</v>
      </c>
    </row>
    <row r="3311" spans="1:37">
      <c r="A3311" t="s">
        <v>47</v>
      </c>
      <c r="B3311" t="s">
        <v>69</v>
      </c>
      <c r="C3311" t="s">
        <v>91</v>
      </c>
      <c r="D3311" t="s">
        <v>109</v>
      </c>
      <c r="E3311" t="s">
        <v>109</v>
      </c>
      <c r="F3311" t="s">
        <v>109</v>
      </c>
      <c r="G3311" t="s">
        <v>109</v>
      </c>
      <c r="H3311" t="s">
        <v>109</v>
      </c>
      <c r="I3311" t="s">
        <v>239</v>
      </c>
      <c r="AK3311" t="s">
        <v>359</v>
      </c>
    </row>
    <row r="3312" spans="1:37">
      <c r="B3312" t="s">
        <v>70</v>
      </c>
      <c r="C3312" t="s">
        <v>92</v>
      </c>
      <c r="D3312" t="s">
        <v>110</v>
      </c>
      <c r="E3312" t="s">
        <v>127</v>
      </c>
      <c r="F3312" t="s">
        <v>161</v>
      </c>
      <c r="G3312" t="s">
        <v>187</v>
      </c>
      <c r="H3312" t="s">
        <v>218</v>
      </c>
      <c r="AK3312" t="s">
        <v>359</v>
      </c>
    </row>
    <row r="3313" spans="1:37">
      <c r="B3313" t="s">
        <v>71</v>
      </c>
      <c r="C3313" t="s">
        <v>93</v>
      </c>
      <c r="D3313" t="s">
        <v>111</v>
      </c>
      <c r="E3313" t="s">
        <v>128</v>
      </c>
      <c r="F3313" t="s">
        <v>162</v>
      </c>
      <c r="G3313" t="s">
        <v>188</v>
      </c>
      <c r="H3313" t="s">
        <v>219</v>
      </c>
      <c r="I3313" t="s">
        <v>240</v>
      </c>
      <c r="J3313" t="s">
        <v>257</v>
      </c>
      <c r="K3313" t="s">
        <v>269</v>
      </c>
      <c r="L3313" t="s">
        <v>109</v>
      </c>
      <c r="M3313" t="s">
        <v>109</v>
      </c>
      <c r="N3313" t="s">
        <v>109</v>
      </c>
      <c r="O3313" t="s">
        <v>109</v>
      </c>
      <c r="P3313" t="s">
        <v>109</v>
      </c>
      <c r="Q3313" t="s">
        <v>321</v>
      </c>
      <c r="AK3313" t="s">
        <v>359</v>
      </c>
    </row>
    <row r="3314" spans="1:37">
      <c r="A3314" t="s">
        <v>48</v>
      </c>
      <c r="B3314" t="s">
        <v>71</v>
      </c>
      <c r="C3314" t="s">
        <v>93</v>
      </c>
      <c r="D3314" t="s">
        <v>111</v>
      </c>
      <c r="E3314" t="s">
        <v>128</v>
      </c>
      <c r="F3314" t="s">
        <v>163</v>
      </c>
      <c r="G3314" t="s">
        <v>189</v>
      </c>
      <c r="H3314" t="s">
        <v>220</v>
      </c>
      <c r="I3314" t="s">
        <v>241</v>
      </c>
      <c r="J3314" t="s">
        <v>258</v>
      </c>
      <c r="K3314" t="s">
        <v>270</v>
      </c>
      <c r="AK3314" t="s">
        <v>359</v>
      </c>
    </row>
    <row r="3315" spans="1:37">
      <c r="B3315" t="s">
        <v>72</v>
      </c>
      <c r="C3315" t="s">
        <v>72</v>
      </c>
      <c r="D3315" t="s">
        <v>72</v>
      </c>
      <c r="E3315" t="s">
        <v>72</v>
      </c>
      <c r="F3315" t="s">
        <v>72</v>
      </c>
      <c r="G3315" t="s">
        <v>72</v>
      </c>
      <c r="H3315" t="s">
        <v>72</v>
      </c>
      <c r="I3315" t="s">
        <v>72</v>
      </c>
      <c r="J3315" t="s">
        <v>72</v>
      </c>
      <c r="K3315" t="s">
        <v>272</v>
      </c>
      <c r="AK3315" t="s">
        <v>359</v>
      </c>
    </row>
    <row r="3316" spans="1:37">
      <c r="A3316" t="s">
        <v>37</v>
      </c>
      <c r="B3316" t="s">
        <v>49</v>
      </c>
      <c r="C3316" t="s">
        <v>73</v>
      </c>
      <c r="D3316" t="s">
        <v>94</v>
      </c>
      <c r="E3316" t="s">
        <v>112</v>
      </c>
      <c r="F3316" t="s">
        <v>146</v>
      </c>
      <c r="G3316" t="s">
        <v>172</v>
      </c>
      <c r="H3316" t="s">
        <v>207</v>
      </c>
      <c r="I3316" t="s">
        <v>226</v>
      </c>
      <c r="J3316" t="s">
        <v>246</v>
      </c>
      <c r="K3316" t="s">
        <v>259</v>
      </c>
      <c r="AK3316" t="s">
        <v>359</v>
      </c>
    </row>
    <row r="3317" spans="1:37">
      <c r="A3317" t="s">
        <v>38</v>
      </c>
      <c r="B3317" t="s">
        <v>50</v>
      </c>
      <c r="C3317" t="s">
        <v>74</v>
      </c>
      <c r="D3317" t="s">
        <v>95</v>
      </c>
      <c r="E3317" t="s">
        <v>113</v>
      </c>
      <c r="F3317" t="s">
        <v>147</v>
      </c>
      <c r="G3317" t="s">
        <v>173</v>
      </c>
      <c r="H3317" t="s">
        <v>208</v>
      </c>
      <c r="I3317" t="s">
        <v>227</v>
      </c>
      <c r="J3317" t="s">
        <v>115</v>
      </c>
      <c r="K3317" t="s">
        <v>260</v>
      </c>
      <c r="L3317" t="s">
        <v>273</v>
      </c>
      <c r="M3317" t="s">
        <v>282</v>
      </c>
      <c r="N3317" t="s">
        <v>291</v>
      </c>
      <c r="AK3317" t="s">
        <v>359</v>
      </c>
    </row>
    <row r="3318" spans="1:37">
      <c r="B3318" t="s">
        <v>51</v>
      </c>
      <c r="C3318" t="s">
        <v>75</v>
      </c>
      <c r="D3318" t="s">
        <v>52</v>
      </c>
      <c r="E3318" t="s">
        <v>114</v>
      </c>
      <c r="F3318" t="s">
        <v>148</v>
      </c>
      <c r="G3318" t="s">
        <v>148</v>
      </c>
      <c r="H3318" t="s">
        <v>209</v>
      </c>
      <c r="I3318" t="s">
        <v>228</v>
      </c>
      <c r="J3318" t="s">
        <v>247</v>
      </c>
      <c r="K3318" t="s">
        <v>261</v>
      </c>
      <c r="L3318" t="s">
        <v>274</v>
      </c>
      <c r="M3318" t="s">
        <v>283</v>
      </c>
      <c r="N3318" t="s">
        <v>292</v>
      </c>
      <c r="O3318" t="s">
        <v>300</v>
      </c>
      <c r="AK3318" t="s">
        <v>359</v>
      </c>
    </row>
    <row r="3319" spans="1:37">
      <c r="B3319" t="s">
        <v>52</v>
      </c>
      <c r="C3319" t="s">
        <v>76</v>
      </c>
      <c r="D3319" t="s">
        <v>96</v>
      </c>
      <c r="E3319" t="s">
        <v>115</v>
      </c>
      <c r="F3319" t="s">
        <v>149</v>
      </c>
      <c r="G3319" t="s">
        <v>174</v>
      </c>
      <c r="H3319" t="s">
        <v>96</v>
      </c>
      <c r="I3319" t="s">
        <v>229</v>
      </c>
      <c r="J3319" t="s">
        <v>248</v>
      </c>
      <c r="K3319" t="s">
        <v>262</v>
      </c>
      <c r="L3319" t="s">
        <v>52</v>
      </c>
      <c r="M3319" t="s">
        <v>76</v>
      </c>
      <c r="N3319" t="s">
        <v>293</v>
      </c>
      <c r="O3319" t="s">
        <v>301</v>
      </c>
      <c r="P3319" t="s">
        <v>309</v>
      </c>
      <c r="Q3319" t="s">
        <v>315</v>
      </c>
      <c r="R3319" t="s">
        <v>228</v>
      </c>
      <c r="S3319" t="s">
        <v>328</v>
      </c>
      <c r="T3319" t="s">
        <v>149</v>
      </c>
      <c r="U3319" t="s">
        <v>337</v>
      </c>
      <c r="V3319" t="s">
        <v>341</v>
      </c>
      <c r="W3319" t="s">
        <v>345</v>
      </c>
      <c r="X3319" t="s">
        <v>350</v>
      </c>
      <c r="AK3319" t="s">
        <v>359</v>
      </c>
    </row>
    <row r="3320" spans="1:37">
      <c r="B3320" t="s">
        <v>53</v>
      </c>
      <c r="C3320" t="s">
        <v>77</v>
      </c>
      <c r="D3320" t="s">
        <v>97</v>
      </c>
      <c r="E3320" t="s">
        <v>116</v>
      </c>
      <c r="F3320" t="s">
        <v>150</v>
      </c>
      <c r="G3320" t="s">
        <v>175</v>
      </c>
      <c r="H3320" t="s">
        <v>210</v>
      </c>
      <c r="I3320" t="s">
        <v>230</v>
      </c>
      <c r="J3320" t="s">
        <v>249</v>
      </c>
      <c r="K3320" t="s">
        <v>263</v>
      </c>
      <c r="L3320" t="s">
        <v>275</v>
      </c>
      <c r="M3320" t="s">
        <v>284</v>
      </c>
      <c r="N3320" t="s">
        <v>294</v>
      </c>
      <c r="O3320" t="s">
        <v>302</v>
      </c>
      <c r="P3320" t="s">
        <v>310</v>
      </c>
      <c r="Q3320" t="s">
        <v>316</v>
      </c>
      <c r="R3320" t="s">
        <v>322</v>
      </c>
      <c r="S3320" t="s">
        <v>329</v>
      </c>
      <c r="AK3320" t="s">
        <v>359</v>
      </c>
    </row>
    <row r="3321" spans="1:37">
      <c r="A3321" t="s">
        <v>39</v>
      </c>
      <c r="B3321" t="s">
        <v>54</v>
      </c>
      <c r="C3321" t="s">
        <v>54</v>
      </c>
      <c r="D3321" t="s">
        <v>54</v>
      </c>
      <c r="E3321" t="s">
        <v>54</v>
      </c>
      <c r="F3321" t="s">
        <v>54</v>
      </c>
      <c r="G3321" t="s">
        <v>54</v>
      </c>
      <c r="H3321" t="s">
        <v>54</v>
      </c>
      <c r="I3321" t="s">
        <v>54</v>
      </c>
      <c r="J3321" t="s">
        <v>54</v>
      </c>
      <c r="K3321" t="s">
        <v>54</v>
      </c>
      <c r="L3321" t="s">
        <v>54</v>
      </c>
      <c r="M3321" t="s">
        <v>54</v>
      </c>
      <c r="N3321" t="s">
        <v>54</v>
      </c>
      <c r="O3321" t="s">
        <v>54</v>
      </c>
      <c r="P3321" t="s">
        <v>54</v>
      </c>
      <c r="Q3321" t="s">
        <v>54</v>
      </c>
      <c r="R3321" t="s">
        <v>323</v>
      </c>
      <c r="S3321" t="s">
        <v>330</v>
      </c>
      <c r="AK3321" t="s">
        <v>359</v>
      </c>
    </row>
    <row r="3322" spans="1:37">
      <c r="B3322" t="s">
        <v>55</v>
      </c>
      <c r="C3322" t="s">
        <v>78</v>
      </c>
      <c r="D3322" t="s">
        <v>55</v>
      </c>
      <c r="E3322" t="s">
        <v>78</v>
      </c>
      <c r="F3322" t="s">
        <v>55</v>
      </c>
      <c r="G3322" t="s">
        <v>78</v>
      </c>
      <c r="H3322" t="s">
        <v>55</v>
      </c>
      <c r="I3322" t="s">
        <v>78</v>
      </c>
      <c r="J3322" t="s">
        <v>55</v>
      </c>
      <c r="K3322" t="s">
        <v>78</v>
      </c>
      <c r="L3322" t="s">
        <v>55</v>
      </c>
      <c r="M3322" t="s">
        <v>78</v>
      </c>
      <c r="N3322" t="s">
        <v>55</v>
      </c>
      <c r="O3322" t="s">
        <v>78</v>
      </c>
      <c r="P3322" t="s">
        <v>55</v>
      </c>
      <c r="Q3322" t="s">
        <v>78</v>
      </c>
      <c r="R3322" t="s">
        <v>55</v>
      </c>
      <c r="S3322" t="s">
        <v>78</v>
      </c>
      <c r="T3322" t="s">
        <v>55</v>
      </c>
      <c r="U3322" t="s">
        <v>78</v>
      </c>
      <c r="V3322" t="s">
        <v>55</v>
      </c>
      <c r="W3322" t="s">
        <v>78</v>
      </c>
      <c r="X3322" t="s">
        <v>55</v>
      </c>
      <c r="Y3322" t="s">
        <v>78</v>
      </c>
      <c r="Z3322" t="s">
        <v>55</v>
      </c>
      <c r="AA3322" t="s">
        <v>78</v>
      </c>
      <c r="AB3322" t="s">
        <v>55</v>
      </c>
      <c r="AC3322" t="s">
        <v>78</v>
      </c>
      <c r="AD3322" t="s">
        <v>55</v>
      </c>
      <c r="AE3322" t="s">
        <v>78</v>
      </c>
      <c r="AF3322" t="s">
        <v>55</v>
      </c>
      <c r="AG3322" t="s">
        <v>78</v>
      </c>
      <c r="AH3322" t="s">
        <v>55</v>
      </c>
      <c r="AI3322" t="s">
        <v>78</v>
      </c>
      <c r="AK3322" t="s">
        <v>359</v>
      </c>
    </row>
    <row r="3323" spans="1:37">
      <c r="B3323" t="s">
        <v>56</v>
      </c>
      <c r="C3323" t="s">
        <v>56</v>
      </c>
      <c r="D3323" t="s">
        <v>56</v>
      </c>
      <c r="E3323" t="s">
        <v>56</v>
      </c>
      <c r="F3323" t="s">
        <v>56</v>
      </c>
      <c r="G3323" t="s">
        <v>176</v>
      </c>
      <c r="H3323" t="s">
        <v>211</v>
      </c>
      <c r="I3323" t="s">
        <v>231</v>
      </c>
      <c r="J3323" t="s">
        <v>250</v>
      </c>
      <c r="K3323" t="s">
        <v>264</v>
      </c>
      <c r="L3323" t="s">
        <v>276</v>
      </c>
      <c r="M3323" t="s">
        <v>285</v>
      </c>
      <c r="N3323" t="s">
        <v>295</v>
      </c>
      <c r="O3323" t="s">
        <v>303</v>
      </c>
      <c r="P3323" t="s">
        <v>56</v>
      </c>
      <c r="Q3323" t="s">
        <v>317</v>
      </c>
      <c r="R3323" t="s">
        <v>324</v>
      </c>
      <c r="S3323" t="s">
        <v>331</v>
      </c>
      <c r="T3323" t="s">
        <v>334</v>
      </c>
      <c r="U3323" t="s">
        <v>338</v>
      </c>
      <c r="V3323" t="s">
        <v>342</v>
      </c>
      <c r="W3323" t="s">
        <v>346</v>
      </c>
      <c r="X3323" t="s">
        <v>351</v>
      </c>
      <c r="AK3323" t="s">
        <v>359</v>
      </c>
    </row>
    <row r="3324" spans="1:37">
      <c r="B3324" t="s">
        <v>57</v>
      </c>
      <c r="C3324" t="s">
        <v>79</v>
      </c>
      <c r="D3324" t="s">
        <v>98</v>
      </c>
      <c r="E3324" t="s">
        <v>117</v>
      </c>
      <c r="F3324" t="s">
        <v>151</v>
      </c>
      <c r="G3324" t="s">
        <v>177</v>
      </c>
      <c r="H3324" t="s">
        <v>212</v>
      </c>
      <c r="I3324" t="s">
        <v>232</v>
      </c>
      <c r="J3324" t="s">
        <v>251</v>
      </c>
      <c r="K3324" t="s">
        <v>265</v>
      </c>
      <c r="L3324" t="s">
        <v>277</v>
      </c>
      <c r="M3324" t="s">
        <v>286</v>
      </c>
      <c r="N3324" t="s">
        <v>296</v>
      </c>
      <c r="O3324" t="s">
        <v>304</v>
      </c>
      <c r="P3324" t="s">
        <v>311</v>
      </c>
      <c r="Q3324" t="s">
        <v>318</v>
      </c>
      <c r="R3324" t="s">
        <v>185</v>
      </c>
      <c r="S3324" t="s">
        <v>159</v>
      </c>
      <c r="T3324" t="s">
        <v>185</v>
      </c>
      <c r="U3324" t="s">
        <v>339</v>
      </c>
      <c r="V3324" t="s">
        <v>72</v>
      </c>
      <c r="W3324" t="s">
        <v>347</v>
      </c>
      <c r="X3324" t="s">
        <v>72</v>
      </c>
      <c r="Y3324" t="s">
        <v>96</v>
      </c>
      <c r="AK3324" t="s">
        <v>359</v>
      </c>
    </row>
    <row r="3325" spans="1:37">
      <c r="B3325" t="s">
        <v>58</v>
      </c>
      <c r="C3325" t="s">
        <v>80</v>
      </c>
      <c r="D3325" t="s">
        <v>99</v>
      </c>
      <c r="E3325" t="s">
        <v>118</v>
      </c>
      <c r="F3325" t="s">
        <v>152</v>
      </c>
      <c r="G3325" t="s">
        <v>178</v>
      </c>
      <c r="H3325" t="s">
        <v>213</v>
      </c>
      <c r="I3325" t="s">
        <v>233</v>
      </c>
      <c r="J3325" t="s">
        <v>252</v>
      </c>
      <c r="K3325" t="s">
        <v>266</v>
      </c>
      <c r="L3325" t="s">
        <v>278</v>
      </c>
      <c r="M3325" t="s">
        <v>287</v>
      </c>
      <c r="N3325" t="s">
        <v>297</v>
      </c>
      <c r="O3325" t="s">
        <v>305</v>
      </c>
      <c r="P3325" t="s">
        <v>312</v>
      </c>
      <c r="Q3325" t="s">
        <v>319</v>
      </c>
      <c r="R3325">
        <f>&gt;10       ветра      1.5     19   3</f>
        <v>0</v>
      </c>
      <c r="AK3325" t="s">
        <v>359</v>
      </c>
    </row>
    <row r="3326" spans="1:37">
      <c r="A3326" t="s">
        <v>40</v>
      </c>
      <c r="B3326" t="s">
        <v>59</v>
      </c>
      <c r="C3326" t="s">
        <v>81</v>
      </c>
      <c r="D3326" t="s">
        <v>100</v>
      </c>
      <c r="E3326" t="s">
        <v>119</v>
      </c>
      <c r="F3326" t="s">
        <v>153</v>
      </c>
      <c r="G3326" t="s">
        <v>179</v>
      </c>
      <c r="H3326" t="s">
        <v>214</v>
      </c>
      <c r="I3326" t="s">
        <v>234</v>
      </c>
      <c r="AK3326" t="s">
        <v>359</v>
      </c>
    </row>
    <row r="3327" spans="1:37">
      <c r="A3327" t="s">
        <v>40</v>
      </c>
      <c r="B3327" t="s">
        <v>60</v>
      </c>
      <c r="C3327" t="s">
        <v>82</v>
      </c>
      <c r="D3327" t="s">
        <v>101</v>
      </c>
      <c r="E3327" t="s">
        <v>120</v>
      </c>
      <c r="F3327" t="s">
        <v>154</v>
      </c>
      <c r="G3327" t="s">
        <v>180</v>
      </c>
      <c r="H3327" t="s">
        <v>215</v>
      </c>
      <c r="I3327" t="s">
        <v>235</v>
      </c>
      <c r="J3327" t="s">
        <v>253</v>
      </c>
      <c r="K3327" t="s">
        <v>267</v>
      </c>
      <c r="L3327" t="s">
        <v>279</v>
      </c>
      <c r="M3327" t="s">
        <v>288</v>
      </c>
      <c r="N3327" t="s">
        <v>100</v>
      </c>
      <c r="O3327" t="s">
        <v>306</v>
      </c>
      <c r="P3327" t="s">
        <v>313</v>
      </c>
      <c r="Q3327" t="s">
        <v>320</v>
      </c>
      <c r="R3327" t="s">
        <v>325</v>
      </c>
      <c r="S3327" t="s">
        <v>332</v>
      </c>
      <c r="T3327" t="s">
        <v>119</v>
      </c>
      <c r="U3327" t="s">
        <v>234</v>
      </c>
      <c r="V3327" t="s">
        <v>343</v>
      </c>
      <c r="W3327" t="s">
        <v>348</v>
      </c>
      <c r="X3327" t="s">
        <v>352</v>
      </c>
      <c r="Y3327" t="s">
        <v>354</v>
      </c>
      <c r="AK3327" t="s">
        <v>359</v>
      </c>
    </row>
    <row r="3328" spans="1:37">
      <c r="A3328" t="s">
        <v>41</v>
      </c>
      <c r="B3328" t="s">
        <v>61</v>
      </c>
      <c r="C3328" t="s">
        <v>83</v>
      </c>
      <c r="D3328" t="s">
        <v>102</v>
      </c>
      <c r="E3328" t="s">
        <v>121</v>
      </c>
      <c r="F3328" t="s">
        <v>155</v>
      </c>
      <c r="G3328" t="s">
        <v>181</v>
      </c>
      <c r="H3328" t="s">
        <v>216</v>
      </c>
      <c r="I3328" t="s">
        <v>236</v>
      </c>
      <c r="AK3328" t="s">
        <v>359</v>
      </c>
    </row>
    <row r="3329" spans="1:37">
      <c r="A3329" t="s">
        <v>42</v>
      </c>
      <c r="B3329" t="s">
        <v>62</v>
      </c>
      <c r="C3329" t="s">
        <v>84</v>
      </c>
      <c r="D3329" t="s">
        <v>103</v>
      </c>
      <c r="E3329" t="s">
        <v>122</v>
      </c>
      <c r="F3329" t="s">
        <v>156</v>
      </c>
      <c r="G3329" t="s">
        <v>182</v>
      </c>
      <c r="H3329" t="s">
        <v>83</v>
      </c>
      <c r="I3329" t="s">
        <v>237</v>
      </c>
      <c r="J3329" t="s">
        <v>254</v>
      </c>
      <c r="K3329" t="s">
        <v>268</v>
      </c>
      <c r="L3329" t="s">
        <v>280</v>
      </c>
      <c r="M3329" t="s">
        <v>289</v>
      </c>
      <c r="N3329" t="s">
        <v>298</v>
      </c>
      <c r="O3329" t="s">
        <v>307</v>
      </c>
      <c r="P3329" t="s">
        <v>314</v>
      </c>
      <c r="Q3329" t="s">
        <v>216</v>
      </c>
      <c r="R3329" t="s">
        <v>326</v>
      </c>
      <c r="S3329" t="s">
        <v>333</v>
      </c>
      <c r="T3329" t="s">
        <v>335</v>
      </c>
      <c r="U3329" t="s">
        <v>340</v>
      </c>
      <c r="V3329" t="s">
        <v>344</v>
      </c>
      <c r="W3329" t="s">
        <v>349</v>
      </c>
      <c r="AK3329" t="s">
        <v>359</v>
      </c>
    </row>
    <row r="3330" spans="1:37">
      <c r="A3330" t="s">
        <v>43</v>
      </c>
      <c r="B3330" t="s">
        <v>63</v>
      </c>
      <c r="C3330" t="s">
        <v>85</v>
      </c>
      <c r="D3330" t="s">
        <v>104</v>
      </c>
      <c r="E3330" t="s">
        <v>123</v>
      </c>
      <c r="F3330" t="s">
        <v>157</v>
      </c>
      <c r="G3330" t="s">
        <v>183</v>
      </c>
      <c r="AK3330" t="s">
        <v>359</v>
      </c>
    </row>
    <row r="3331" spans="1:37">
      <c r="A3331" t="s">
        <v>44</v>
      </c>
      <c r="B3331" t="s">
        <v>64</v>
      </c>
      <c r="C3331" t="s">
        <v>86</v>
      </c>
      <c r="D3331" t="s">
        <v>105</v>
      </c>
      <c r="E3331" t="s">
        <v>124</v>
      </c>
      <c r="F3331" t="s">
        <v>158</v>
      </c>
      <c r="G3331" t="s">
        <v>184</v>
      </c>
      <c r="AK3331" t="s">
        <v>359</v>
      </c>
    </row>
    <row r="3332" spans="1:37">
      <c r="A3332" t="s">
        <v>45</v>
      </c>
      <c r="B3332" t="s">
        <v>65</v>
      </c>
      <c r="C3332" t="s">
        <v>87</v>
      </c>
      <c r="D3332" t="s">
        <v>106</v>
      </c>
      <c r="E3332" t="s">
        <v>125</v>
      </c>
      <c r="F3332" t="s">
        <v>159</v>
      </c>
      <c r="G3332" t="s">
        <v>185</v>
      </c>
      <c r="H3332" t="s">
        <v>159</v>
      </c>
      <c r="I3332" t="s">
        <v>185</v>
      </c>
      <c r="J3332" t="s">
        <v>255</v>
      </c>
      <c r="AK3332" t="s">
        <v>359</v>
      </c>
    </row>
    <row r="3333" spans="1:37">
      <c r="A3333" t="s">
        <v>46</v>
      </c>
      <c r="B3333" t="s">
        <v>66</v>
      </c>
      <c r="C3333" t="s">
        <v>88</v>
      </c>
      <c r="D3333" t="s">
        <v>76</v>
      </c>
      <c r="E3333" t="s">
        <v>126</v>
      </c>
      <c r="F3333" t="s">
        <v>160</v>
      </c>
      <c r="G3333" t="s">
        <v>186</v>
      </c>
      <c r="H3333" t="s">
        <v>217</v>
      </c>
      <c r="I3333" t="s">
        <v>238</v>
      </c>
      <c r="J3333" t="s">
        <v>256</v>
      </c>
      <c r="K3333" t="s">
        <v>265</v>
      </c>
      <c r="L3333" t="s">
        <v>281</v>
      </c>
      <c r="M3333" t="s">
        <v>290</v>
      </c>
      <c r="N3333" t="s">
        <v>299</v>
      </c>
      <c r="O3333" t="s">
        <v>308</v>
      </c>
      <c r="P3333" t="s">
        <v>228</v>
      </c>
      <c r="Q3333" t="s">
        <v>72</v>
      </c>
      <c r="R3333" t="s">
        <v>327</v>
      </c>
      <c r="S3333" t="s">
        <v>327</v>
      </c>
      <c r="T3333" t="s">
        <v>336</v>
      </c>
      <c r="U3333" t="s">
        <v>336</v>
      </c>
      <c r="V3333" t="s">
        <v>336</v>
      </c>
      <c r="W3333" t="s">
        <v>336</v>
      </c>
      <c r="X3333" t="s">
        <v>353</v>
      </c>
      <c r="AK3333" t="s">
        <v>359</v>
      </c>
    </row>
    <row r="3334" spans="1:37">
      <c r="B3334" t="s">
        <v>67</v>
      </c>
      <c r="C3334" t="s">
        <v>89</v>
      </c>
      <c r="D3334" t="s">
        <v>107</v>
      </c>
      <c r="AK3334" t="s">
        <v>359</v>
      </c>
    </row>
    <row r="3335" spans="1:37">
      <c r="B3335" t="s">
        <v>68</v>
      </c>
      <c r="C3335" t="s">
        <v>90</v>
      </c>
      <c r="D3335" t="s">
        <v>108</v>
      </c>
      <c r="AK3335" t="s">
        <v>359</v>
      </c>
    </row>
    <row r="3336" spans="1:37">
      <c r="A3336" t="s">
        <v>47</v>
      </c>
      <c r="B3336" t="s">
        <v>69</v>
      </c>
      <c r="C3336" t="s">
        <v>91</v>
      </c>
      <c r="D3336" t="s">
        <v>109</v>
      </c>
      <c r="E3336" t="s">
        <v>109</v>
      </c>
      <c r="F3336" t="s">
        <v>109</v>
      </c>
      <c r="G3336" t="s">
        <v>109</v>
      </c>
      <c r="H3336" t="s">
        <v>109</v>
      </c>
      <c r="I3336" t="s">
        <v>239</v>
      </c>
      <c r="AK3336" t="s">
        <v>359</v>
      </c>
    </row>
    <row r="3337" spans="1:37">
      <c r="B3337" t="s">
        <v>70</v>
      </c>
      <c r="C3337" t="s">
        <v>92</v>
      </c>
      <c r="D3337" t="s">
        <v>110</v>
      </c>
      <c r="E3337" t="s">
        <v>127</v>
      </c>
      <c r="F3337" t="s">
        <v>161</v>
      </c>
      <c r="G3337" t="s">
        <v>187</v>
      </c>
      <c r="H3337" t="s">
        <v>218</v>
      </c>
      <c r="AK3337" t="s">
        <v>359</v>
      </c>
    </row>
    <row r="3338" spans="1:37">
      <c r="B3338" t="s">
        <v>71</v>
      </c>
      <c r="C3338" t="s">
        <v>93</v>
      </c>
      <c r="D3338" t="s">
        <v>111</v>
      </c>
      <c r="E3338" t="s">
        <v>128</v>
      </c>
      <c r="F3338" t="s">
        <v>162</v>
      </c>
      <c r="G3338" t="s">
        <v>188</v>
      </c>
      <c r="H3338" t="s">
        <v>219</v>
      </c>
      <c r="I3338" t="s">
        <v>240</v>
      </c>
      <c r="J3338" t="s">
        <v>257</v>
      </c>
      <c r="K3338" t="s">
        <v>269</v>
      </c>
      <c r="L3338" t="s">
        <v>109</v>
      </c>
      <c r="M3338" t="s">
        <v>109</v>
      </c>
      <c r="N3338" t="s">
        <v>109</v>
      </c>
      <c r="O3338" t="s">
        <v>109</v>
      </c>
      <c r="P3338" t="s">
        <v>109</v>
      </c>
      <c r="Q3338" t="s">
        <v>321</v>
      </c>
      <c r="AK3338" t="s">
        <v>359</v>
      </c>
    </row>
    <row r="3339" spans="1:37">
      <c r="A3339" t="s">
        <v>48</v>
      </c>
      <c r="B3339" t="s">
        <v>71</v>
      </c>
      <c r="C3339" t="s">
        <v>93</v>
      </c>
      <c r="D3339" t="s">
        <v>111</v>
      </c>
      <c r="E3339" t="s">
        <v>128</v>
      </c>
      <c r="F3339" t="s">
        <v>163</v>
      </c>
      <c r="G3339" t="s">
        <v>189</v>
      </c>
      <c r="H3339" t="s">
        <v>220</v>
      </c>
      <c r="I3339" t="s">
        <v>241</v>
      </c>
      <c r="J3339" t="s">
        <v>258</v>
      </c>
      <c r="K3339" t="s">
        <v>270</v>
      </c>
      <c r="AK3339" t="s">
        <v>359</v>
      </c>
    </row>
    <row r="3340" spans="1:37">
      <c r="B3340" t="s">
        <v>72</v>
      </c>
      <c r="C3340" t="s">
        <v>72</v>
      </c>
      <c r="D3340" t="s">
        <v>72</v>
      </c>
      <c r="E3340" t="s">
        <v>139</v>
      </c>
      <c r="F3340" t="s">
        <v>139</v>
      </c>
      <c r="G3340" t="s">
        <v>192</v>
      </c>
      <c r="H3340" t="s">
        <v>192</v>
      </c>
      <c r="I3340" t="s">
        <v>192</v>
      </c>
      <c r="J3340" t="s">
        <v>192</v>
      </c>
      <c r="K3340" t="s">
        <v>271</v>
      </c>
      <c r="AK3340" t="s">
        <v>359</v>
      </c>
    </row>
    <row r="3341" spans="1:37">
      <c r="A3341" t="s">
        <v>37</v>
      </c>
      <c r="B3341" t="s">
        <v>49</v>
      </c>
      <c r="C3341" t="s">
        <v>73</v>
      </c>
      <c r="D3341" t="s">
        <v>94</v>
      </c>
      <c r="E3341" t="s">
        <v>112</v>
      </c>
      <c r="F3341" t="s">
        <v>146</v>
      </c>
      <c r="G3341" t="s">
        <v>172</v>
      </c>
      <c r="H3341" t="s">
        <v>207</v>
      </c>
      <c r="I3341" t="s">
        <v>226</v>
      </c>
      <c r="J3341" t="s">
        <v>246</v>
      </c>
      <c r="K3341" t="s">
        <v>259</v>
      </c>
      <c r="AK3341" t="s">
        <v>359</v>
      </c>
    </row>
    <row r="3342" spans="1:37">
      <c r="A3342" t="s">
        <v>38</v>
      </c>
      <c r="B3342" t="s">
        <v>50</v>
      </c>
      <c r="C3342" t="s">
        <v>74</v>
      </c>
      <c r="D3342" t="s">
        <v>95</v>
      </c>
      <c r="E3342" t="s">
        <v>113</v>
      </c>
      <c r="F3342" t="s">
        <v>147</v>
      </c>
      <c r="G3342" t="s">
        <v>173</v>
      </c>
      <c r="H3342" t="s">
        <v>208</v>
      </c>
      <c r="I3342" t="s">
        <v>227</v>
      </c>
      <c r="J3342" t="s">
        <v>115</v>
      </c>
      <c r="K3342" t="s">
        <v>260</v>
      </c>
      <c r="L3342" t="s">
        <v>273</v>
      </c>
      <c r="M3342" t="s">
        <v>282</v>
      </c>
      <c r="N3342" t="s">
        <v>291</v>
      </c>
      <c r="AK3342" t="s">
        <v>359</v>
      </c>
    </row>
    <row r="3343" spans="1:37">
      <c r="B3343" t="s">
        <v>51</v>
      </c>
      <c r="C3343" t="s">
        <v>75</v>
      </c>
      <c r="D3343" t="s">
        <v>52</v>
      </c>
      <c r="E3343" t="s">
        <v>114</v>
      </c>
      <c r="F3343" t="s">
        <v>148</v>
      </c>
      <c r="G3343" t="s">
        <v>148</v>
      </c>
      <c r="H3343" t="s">
        <v>209</v>
      </c>
      <c r="I3343" t="s">
        <v>228</v>
      </c>
      <c r="J3343" t="s">
        <v>247</v>
      </c>
      <c r="K3343" t="s">
        <v>261</v>
      </c>
      <c r="L3343" t="s">
        <v>274</v>
      </c>
      <c r="M3343" t="s">
        <v>283</v>
      </c>
      <c r="N3343" t="s">
        <v>292</v>
      </c>
      <c r="O3343" t="s">
        <v>300</v>
      </c>
      <c r="AK3343" t="s">
        <v>359</v>
      </c>
    </row>
    <row r="3344" spans="1:37">
      <c r="B3344" t="s">
        <v>52</v>
      </c>
      <c r="C3344" t="s">
        <v>76</v>
      </c>
      <c r="D3344" t="s">
        <v>96</v>
      </c>
      <c r="E3344" t="s">
        <v>115</v>
      </c>
      <c r="F3344" t="s">
        <v>149</v>
      </c>
      <c r="G3344" t="s">
        <v>174</v>
      </c>
      <c r="H3344" t="s">
        <v>96</v>
      </c>
      <c r="I3344" t="s">
        <v>229</v>
      </c>
      <c r="J3344" t="s">
        <v>248</v>
      </c>
      <c r="K3344" t="s">
        <v>262</v>
      </c>
      <c r="L3344" t="s">
        <v>52</v>
      </c>
      <c r="M3344" t="s">
        <v>76</v>
      </c>
      <c r="N3344" t="s">
        <v>293</v>
      </c>
      <c r="O3344" t="s">
        <v>301</v>
      </c>
      <c r="P3344" t="s">
        <v>309</v>
      </c>
      <c r="Q3344" t="s">
        <v>315</v>
      </c>
      <c r="R3344" t="s">
        <v>228</v>
      </c>
      <c r="S3344" t="s">
        <v>328</v>
      </c>
      <c r="T3344" t="s">
        <v>149</v>
      </c>
      <c r="U3344" t="s">
        <v>337</v>
      </c>
      <c r="V3344" t="s">
        <v>341</v>
      </c>
      <c r="W3344" t="s">
        <v>345</v>
      </c>
      <c r="X3344" t="s">
        <v>350</v>
      </c>
      <c r="AK3344" t="s">
        <v>359</v>
      </c>
    </row>
    <row r="3345" spans="1:37">
      <c r="B3345" t="s">
        <v>53</v>
      </c>
      <c r="C3345" t="s">
        <v>77</v>
      </c>
      <c r="D3345" t="s">
        <v>97</v>
      </c>
      <c r="E3345" t="s">
        <v>116</v>
      </c>
      <c r="F3345" t="s">
        <v>150</v>
      </c>
      <c r="G3345" t="s">
        <v>175</v>
      </c>
      <c r="H3345" t="s">
        <v>210</v>
      </c>
      <c r="I3345" t="s">
        <v>230</v>
      </c>
      <c r="J3345" t="s">
        <v>249</v>
      </c>
      <c r="K3345" t="s">
        <v>263</v>
      </c>
      <c r="L3345" t="s">
        <v>275</v>
      </c>
      <c r="M3345" t="s">
        <v>284</v>
      </c>
      <c r="N3345" t="s">
        <v>294</v>
      </c>
      <c r="O3345" t="s">
        <v>302</v>
      </c>
      <c r="P3345" t="s">
        <v>310</v>
      </c>
      <c r="Q3345" t="s">
        <v>316</v>
      </c>
      <c r="R3345" t="s">
        <v>322</v>
      </c>
      <c r="S3345" t="s">
        <v>329</v>
      </c>
      <c r="AK3345" t="s">
        <v>359</v>
      </c>
    </row>
    <row r="3346" spans="1:37">
      <c r="A3346" t="s">
        <v>39</v>
      </c>
      <c r="B3346" t="s">
        <v>54</v>
      </c>
      <c r="C3346" t="s">
        <v>54</v>
      </c>
      <c r="D3346" t="s">
        <v>54</v>
      </c>
      <c r="E3346" t="s">
        <v>54</v>
      </c>
      <c r="F3346" t="s">
        <v>54</v>
      </c>
      <c r="G3346" t="s">
        <v>54</v>
      </c>
      <c r="H3346" t="s">
        <v>54</v>
      </c>
      <c r="I3346" t="s">
        <v>54</v>
      </c>
      <c r="J3346" t="s">
        <v>54</v>
      </c>
      <c r="K3346" t="s">
        <v>54</v>
      </c>
      <c r="L3346" t="s">
        <v>54</v>
      </c>
      <c r="M3346" t="s">
        <v>54</v>
      </c>
      <c r="N3346" t="s">
        <v>54</v>
      </c>
      <c r="O3346" t="s">
        <v>54</v>
      </c>
      <c r="P3346" t="s">
        <v>54</v>
      </c>
      <c r="Q3346" t="s">
        <v>54</v>
      </c>
      <c r="R3346" t="s">
        <v>323</v>
      </c>
      <c r="S3346" t="s">
        <v>330</v>
      </c>
      <c r="AK3346" t="s">
        <v>359</v>
      </c>
    </row>
    <row r="3347" spans="1:37">
      <c r="B3347" t="s">
        <v>55</v>
      </c>
      <c r="C3347" t="s">
        <v>78</v>
      </c>
      <c r="D3347" t="s">
        <v>55</v>
      </c>
      <c r="E3347" t="s">
        <v>78</v>
      </c>
      <c r="F3347" t="s">
        <v>55</v>
      </c>
      <c r="G3347" t="s">
        <v>78</v>
      </c>
      <c r="H3347" t="s">
        <v>55</v>
      </c>
      <c r="I3347" t="s">
        <v>78</v>
      </c>
      <c r="J3347" t="s">
        <v>55</v>
      </c>
      <c r="K3347" t="s">
        <v>78</v>
      </c>
      <c r="L3347" t="s">
        <v>55</v>
      </c>
      <c r="M3347" t="s">
        <v>78</v>
      </c>
      <c r="N3347" t="s">
        <v>55</v>
      </c>
      <c r="O3347" t="s">
        <v>78</v>
      </c>
      <c r="P3347" t="s">
        <v>55</v>
      </c>
      <c r="Q3347" t="s">
        <v>78</v>
      </c>
      <c r="R3347" t="s">
        <v>55</v>
      </c>
      <c r="S3347" t="s">
        <v>78</v>
      </c>
      <c r="T3347" t="s">
        <v>55</v>
      </c>
      <c r="U3347" t="s">
        <v>78</v>
      </c>
      <c r="V3347" t="s">
        <v>55</v>
      </c>
      <c r="W3347" t="s">
        <v>78</v>
      </c>
      <c r="X3347" t="s">
        <v>55</v>
      </c>
      <c r="Y3347" t="s">
        <v>78</v>
      </c>
      <c r="Z3347" t="s">
        <v>55</v>
      </c>
      <c r="AA3347" t="s">
        <v>78</v>
      </c>
      <c r="AB3347" t="s">
        <v>55</v>
      </c>
      <c r="AC3347" t="s">
        <v>78</v>
      </c>
      <c r="AD3347" t="s">
        <v>55</v>
      </c>
      <c r="AE3347" t="s">
        <v>78</v>
      </c>
      <c r="AF3347" t="s">
        <v>55</v>
      </c>
      <c r="AG3347" t="s">
        <v>78</v>
      </c>
      <c r="AH3347" t="s">
        <v>55</v>
      </c>
      <c r="AI3347" t="s">
        <v>78</v>
      </c>
      <c r="AK3347" t="s">
        <v>359</v>
      </c>
    </row>
    <row r="3348" spans="1:37">
      <c r="B3348" t="s">
        <v>56</v>
      </c>
      <c r="C3348" t="s">
        <v>56</v>
      </c>
      <c r="D3348" t="s">
        <v>56</v>
      </c>
      <c r="E3348" t="s">
        <v>56</v>
      </c>
      <c r="F3348" t="s">
        <v>56</v>
      </c>
      <c r="G3348" t="s">
        <v>176</v>
      </c>
      <c r="H3348" t="s">
        <v>211</v>
      </c>
      <c r="I3348" t="s">
        <v>231</v>
      </c>
      <c r="J3348" t="s">
        <v>250</v>
      </c>
      <c r="K3348" t="s">
        <v>264</v>
      </c>
      <c r="L3348" t="s">
        <v>276</v>
      </c>
      <c r="M3348" t="s">
        <v>285</v>
      </c>
      <c r="N3348" t="s">
        <v>295</v>
      </c>
      <c r="O3348" t="s">
        <v>303</v>
      </c>
      <c r="P3348" t="s">
        <v>56</v>
      </c>
      <c r="Q3348" t="s">
        <v>317</v>
      </c>
      <c r="R3348" t="s">
        <v>324</v>
      </c>
      <c r="S3348" t="s">
        <v>331</v>
      </c>
      <c r="T3348" t="s">
        <v>334</v>
      </c>
      <c r="U3348" t="s">
        <v>338</v>
      </c>
      <c r="V3348" t="s">
        <v>342</v>
      </c>
      <c r="W3348" t="s">
        <v>346</v>
      </c>
      <c r="X3348" t="s">
        <v>351</v>
      </c>
      <c r="AK3348" t="s">
        <v>359</v>
      </c>
    </row>
    <row r="3349" spans="1:37">
      <c r="B3349" t="s">
        <v>57</v>
      </c>
      <c r="C3349" t="s">
        <v>79</v>
      </c>
      <c r="D3349" t="s">
        <v>98</v>
      </c>
      <c r="E3349" t="s">
        <v>117</v>
      </c>
      <c r="F3349" t="s">
        <v>151</v>
      </c>
      <c r="G3349" t="s">
        <v>177</v>
      </c>
      <c r="H3349" t="s">
        <v>212</v>
      </c>
      <c r="I3349" t="s">
        <v>232</v>
      </c>
      <c r="J3349" t="s">
        <v>251</v>
      </c>
      <c r="K3349" t="s">
        <v>265</v>
      </c>
      <c r="L3349" t="s">
        <v>277</v>
      </c>
      <c r="M3349" t="s">
        <v>286</v>
      </c>
      <c r="N3349" t="s">
        <v>296</v>
      </c>
      <c r="O3349" t="s">
        <v>304</v>
      </c>
      <c r="P3349" t="s">
        <v>311</v>
      </c>
      <c r="Q3349" t="s">
        <v>318</v>
      </c>
      <c r="R3349" t="s">
        <v>185</v>
      </c>
      <c r="S3349" t="s">
        <v>159</v>
      </c>
      <c r="T3349" t="s">
        <v>185</v>
      </c>
      <c r="U3349" t="s">
        <v>339</v>
      </c>
      <c r="V3349" t="s">
        <v>72</v>
      </c>
      <c r="W3349" t="s">
        <v>347</v>
      </c>
      <c r="X3349" t="s">
        <v>72</v>
      </c>
      <c r="Y3349" t="s">
        <v>96</v>
      </c>
      <c r="AK3349" t="s">
        <v>359</v>
      </c>
    </row>
    <row r="3350" spans="1:37">
      <c r="B3350" t="s">
        <v>58</v>
      </c>
      <c r="C3350" t="s">
        <v>80</v>
      </c>
      <c r="D3350" t="s">
        <v>99</v>
      </c>
      <c r="E3350" t="s">
        <v>118</v>
      </c>
      <c r="F3350" t="s">
        <v>152</v>
      </c>
      <c r="G3350" t="s">
        <v>178</v>
      </c>
      <c r="H3350" t="s">
        <v>213</v>
      </c>
      <c r="I3350" t="s">
        <v>233</v>
      </c>
      <c r="J3350" t="s">
        <v>252</v>
      </c>
      <c r="K3350" t="s">
        <v>266</v>
      </c>
      <c r="L3350" t="s">
        <v>278</v>
      </c>
      <c r="M3350" t="s">
        <v>287</v>
      </c>
      <c r="N3350" t="s">
        <v>297</v>
      </c>
      <c r="O3350" t="s">
        <v>305</v>
      </c>
      <c r="P3350" t="s">
        <v>312</v>
      </c>
      <c r="Q3350" t="s">
        <v>319</v>
      </c>
      <c r="R3350">
        <f>&gt;10       ветра      2.6     21  29</f>
        <v>0</v>
      </c>
      <c r="AK3350" t="s">
        <v>359</v>
      </c>
    </row>
    <row r="3351" spans="1:37">
      <c r="A3351" t="s">
        <v>40</v>
      </c>
      <c r="B3351" t="s">
        <v>59</v>
      </c>
      <c r="C3351" t="s">
        <v>81</v>
      </c>
      <c r="D3351" t="s">
        <v>100</v>
      </c>
      <c r="E3351" t="s">
        <v>119</v>
      </c>
      <c r="F3351" t="s">
        <v>153</v>
      </c>
      <c r="G3351" t="s">
        <v>179</v>
      </c>
      <c r="H3351" t="s">
        <v>214</v>
      </c>
      <c r="I3351" t="s">
        <v>234</v>
      </c>
      <c r="AK3351" t="s">
        <v>359</v>
      </c>
    </row>
    <row r="3352" spans="1:37">
      <c r="A3352" t="s">
        <v>40</v>
      </c>
      <c r="B3352" t="s">
        <v>60</v>
      </c>
      <c r="C3352" t="s">
        <v>82</v>
      </c>
      <c r="D3352" t="s">
        <v>101</v>
      </c>
      <c r="E3352" t="s">
        <v>120</v>
      </c>
      <c r="F3352" t="s">
        <v>154</v>
      </c>
      <c r="G3352" t="s">
        <v>180</v>
      </c>
      <c r="H3352" t="s">
        <v>215</v>
      </c>
      <c r="I3352" t="s">
        <v>235</v>
      </c>
      <c r="J3352" t="s">
        <v>253</v>
      </c>
      <c r="K3352" t="s">
        <v>267</v>
      </c>
      <c r="L3352" t="s">
        <v>279</v>
      </c>
      <c r="M3352" t="s">
        <v>288</v>
      </c>
      <c r="N3352" t="s">
        <v>100</v>
      </c>
      <c r="O3352" t="s">
        <v>306</v>
      </c>
      <c r="P3352" t="s">
        <v>313</v>
      </c>
      <c r="Q3352" t="s">
        <v>320</v>
      </c>
      <c r="R3352" t="s">
        <v>325</v>
      </c>
      <c r="S3352" t="s">
        <v>332</v>
      </c>
      <c r="T3352" t="s">
        <v>119</v>
      </c>
      <c r="U3352" t="s">
        <v>234</v>
      </c>
      <c r="V3352" t="s">
        <v>343</v>
      </c>
      <c r="W3352" t="s">
        <v>348</v>
      </c>
      <c r="X3352" t="s">
        <v>352</v>
      </c>
      <c r="Y3352" t="s">
        <v>354</v>
      </c>
      <c r="AK3352" t="s">
        <v>359</v>
      </c>
    </row>
    <row r="3353" spans="1:37">
      <c r="A3353" t="s">
        <v>41</v>
      </c>
      <c r="B3353" t="s">
        <v>61</v>
      </c>
      <c r="C3353" t="s">
        <v>83</v>
      </c>
      <c r="D3353" t="s">
        <v>102</v>
      </c>
      <c r="E3353" t="s">
        <v>121</v>
      </c>
      <c r="F3353" t="s">
        <v>155</v>
      </c>
      <c r="G3353" t="s">
        <v>181</v>
      </c>
      <c r="H3353" t="s">
        <v>216</v>
      </c>
      <c r="I3353" t="s">
        <v>236</v>
      </c>
      <c r="AK3353" t="s">
        <v>359</v>
      </c>
    </row>
    <row r="3354" spans="1:37">
      <c r="A3354" t="s">
        <v>42</v>
      </c>
      <c r="B3354" t="s">
        <v>62</v>
      </c>
      <c r="C3354" t="s">
        <v>84</v>
      </c>
      <c r="D3354" t="s">
        <v>103</v>
      </c>
      <c r="E3354" t="s">
        <v>122</v>
      </c>
      <c r="F3354" t="s">
        <v>156</v>
      </c>
      <c r="G3354" t="s">
        <v>182</v>
      </c>
      <c r="H3354" t="s">
        <v>83</v>
      </c>
      <c r="I3354" t="s">
        <v>237</v>
      </c>
      <c r="J3354" t="s">
        <v>254</v>
      </c>
      <c r="K3354" t="s">
        <v>268</v>
      </c>
      <c r="L3354" t="s">
        <v>280</v>
      </c>
      <c r="M3354" t="s">
        <v>289</v>
      </c>
      <c r="N3354" t="s">
        <v>298</v>
      </c>
      <c r="O3354" t="s">
        <v>307</v>
      </c>
      <c r="P3354" t="s">
        <v>314</v>
      </c>
      <c r="Q3354" t="s">
        <v>216</v>
      </c>
      <c r="R3354" t="s">
        <v>326</v>
      </c>
      <c r="S3354" t="s">
        <v>333</v>
      </c>
      <c r="T3354" t="s">
        <v>335</v>
      </c>
      <c r="U3354" t="s">
        <v>340</v>
      </c>
      <c r="V3354" t="s">
        <v>344</v>
      </c>
      <c r="W3354" t="s">
        <v>349</v>
      </c>
      <c r="AK3354" t="s">
        <v>359</v>
      </c>
    </row>
    <row r="3355" spans="1:37">
      <c r="A3355" t="s">
        <v>43</v>
      </c>
      <c r="B3355" t="s">
        <v>63</v>
      </c>
      <c r="C3355" t="s">
        <v>85</v>
      </c>
      <c r="D3355" t="s">
        <v>104</v>
      </c>
      <c r="E3355" t="s">
        <v>123</v>
      </c>
      <c r="F3355" t="s">
        <v>157</v>
      </c>
      <c r="G3355" t="s">
        <v>183</v>
      </c>
      <c r="AK3355" t="s">
        <v>359</v>
      </c>
    </row>
    <row r="3356" spans="1:37">
      <c r="A3356" t="s">
        <v>44</v>
      </c>
      <c r="B3356" t="s">
        <v>64</v>
      </c>
      <c r="C3356" t="s">
        <v>86</v>
      </c>
      <c r="D3356" t="s">
        <v>105</v>
      </c>
      <c r="E3356" t="s">
        <v>124</v>
      </c>
      <c r="F3356" t="s">
        <v>158</v>
      </c>
      <c r="G3356" t="s">
        <v>184</v>
      </c>
      <c r="AK3356" t="s">
        <v>359</v>
      </c>
    </row>
    <row r="3357" spans="1:37">
      <c r="A3357" t="s">
        <v>45</v>
      </c>
      <c r="B3357" t="s">
        <v>65</v>
      </c>
      <c r="C3357" t="s">
        <v>87</v>
      </c>
      <c r="D3357" t="s">
        <v>106</v>
      </c>
      <c r="E3357" t="s">
        <v>125</v>
      </c>
      <c r="F3357" t="s">
        <v>159</v>
      </c>
      <c r="G3357" t="s">
        <v>185</v>
      </c>
      <c r="H3357" t="s">
        <v>159</v>
      </c>
      <c r="I3357" t="s">
        <v>185</v>
      </c>
      <c r="J3357" t="s">
        <v>255</v>
      </c>
      <c r="AK3357" t="s">
        <v>359</v>
      </c>
    </row>
    <row r="3358" spans="1:37">
      <c r="A3358" t="s">
        <v>46</v>
      </c>
      <c r="B3358" t="s">
        <v>66</v>
      </c>
      <c r="C3358" t="s">
        <v>88</v>
      </c>
      <c r="D3358" t="s">
        <v>76</v>
      </c>
      <c r="E3358" t="s">
        <v>126</v>
      </c>
      <c r="F3358" t="s">
        <v>160</v>
      </c>
      <c r="G3358" t="s">
        <v>186</v>
      </c>
      <c r="H3358" t="s">
        <v>217</v>
      </c>
      <c r="I3358" t="s">
        <v>238</v>
      </c>
      <c r="J3358" t="s">
        <v>256</v>
      </c>
      <c r="K3358" t="s">
        <v>265</v>
      </c>
      <c r="L3358" t="s">
        <v>281</v>
      </c>
      <c r="M3358" t="s">
        <v>290</v>
      </c>
      <c r="N3358" t="s">
        <v>299</v>
      </c>
      <c r="O3358" t="s">
        <v>308</v>
      </c>
      <c r="P3358" t="s">
        <v>228</v>
      </c>
      <c r="Q3358" t="s">
        <v>72</v>
      </c>
      <c r="R3358" t="s">
        <v>327</v>
      </c>
      <c r="S3358" t="s">
        <v>327</v>
      </c>
      <c r="T3358" t="s">
        <v>336</v>
      </c>
      <c r="U3358" t="s">
        <v>336</v>
      </c>
      <c r="V3358" t="s">
        <v>336</v>
      </c>
      <c r="W3358" t="s">
        <v>336</v>
      </c>
      <c r="X3358" t="s">
        <v>353</v>
      </c>
      <c r="AK3358" t="s">
        <v>359</v>
      </c>
    </row>
    <row r="3359" spans="1:37">
      <c r="B3359" t="s">
        <v>67</v>
      </c>
      <c r="C3359" t="s">
        <v>89</v>
      </c>
      <c r="D3359" t="s">
        <v>107</v>
      </c>
      <c r="AK3359" t="s">
        <v>359</v>
      </c>
    </row>
    <row r="3360" spans="1:37">
      <c r="B3360" t="s">
        <v>68</v>
      </c>
      <c r="C3360" t="s">
        <v>90</v>
      </c>
      <c r="D3360" t="s">
        <v>108</v>
      </c>
      <c r="AK3360" t="s">
        <v>359</v>
      </c>
    </row>
    <row r="3361" spans="1:37">
      <c r="A3361" t="s">
        <v>47</v>
      </c>
      <c r="B3361" t="s">
        <v>69</v>
      </c>
      <c r="C3361" t="s">
        <v>91</v>
      </c>
      <c r="D3361" t="s">
        <v>109</v>
      </c>
      <c r="E3361" t="s">
        <v>109</v>
      </c>
      <c r="F3361" t="s">
        <v>109</v>
      </c>
      <c r="G3361" t="s">
        <v>109</v>
      </c>
      <c r="H3361" t="s">
        <v>109</v>
      </c>
      <c r="I3361" t="s">
        <v>239</v>
      </c>
      <c r="AK3361" t="s">
        <v>359</v>
      </c>
    </row>
    <row r="3362" spans="1:37">
      <c r="B3362" t="s">
        <v>70</v>
      </c>
      <c r="C3362" t="s">
        <v>92</v>
      </c>
      <c r="D3362" t="s">
        <v>110</v>
      </c>
      <c r="E3362" t="s">
        <v>127</v>
      </c>
      <c r="F3362" t="s">
        <v>161</v>
      </c>
      <c r="G3362" t="s">
        <v>187</v>
      </c>
      <c r="H3362" t="s">
        <v>218</v>
      </c>
      <c r="AK3362" t="s">
        <v>359</v>
      </c>
    </row>
    <row r="3363" spans="1:37">
      <c r="B3363" t="s">
        <v>71</v>
      </c>
      <c r="C3363" t="s">
        <v>93</v>
      </c>
      <c r="D3363" t="s">
        <v>111</v>
      </c>
      <c r="E3363" t="s">
        <v>128</v>
      </c>
      <c r="F3363" t="s">
        <v>162</v>
      </c>
      <c r="G3363" t="s">
        <v>188</v>
      </c>
      <c r="H3363" t="s">
        <v>219</v>
      </c>
      <c r="I3363" t="s">
        <v>240</v>
      </c>
      <c r="J3363" t="s">
        <v>257</v>
      </c>
      <c r="K3363" t="s">
        <v>269</v>
      </c>
      <c r="L3363" t="s">
        <v>109</v>
      </c>
      <c r="M3363" t="s">
        <v>109</v>
      </c>
      <c r="N3363" t="s">
        <v>109</v>
      </c>
      <c r="O3363" t="s">
        <v>109</v>
      </c>
      <c r="P3363" t="s">
        <v>109</v>
      </c>
      <c r="Q3363" t="s">
        <v>321</v>
      </c>
      <c r="AK3363" t="s">
        <v>359</v>
      </c>
    </row>
    <row r="3364" spans="1:37">
      <c r="A3364" t="s">
        <v>48</v>
      </c>
      <c r="B3364" t="s">
        <v>71</v>
      </c>
      <c r="C3364" t="s">
        <v>93</v>
      </c>
      <c r="D3364" t="s">
        <v>111</v>
      </c>
      <c r="E3364" t="s">
        <v>128</v>
      </c>
      <c r="F3364" t="s">
        <v>163</v>
      </c>
      <c r="G3364" t="s">
        <v>189</v>
      </c>
      <c r="H3364" t="s">
        <v>220</v>
      </c>
      <c r="I3364" t="s">
        <v>241</v>
      </c>
      <c r="J3364" t="s">
        <v>258</v>
      </c>
      <c r="K3364" t="s">
        <v>270</v>
      </c>
      <c r="AK3364" t="s">
        <v>359</v>
      </c>
    </row>
    <row r="3365" spans="1:37">
      <c r="B3365" t="s">
        <v>72</v>
      </c>
      <c r="C3365" t="s">
        <v>72</v>
      </c>
      <c r="D3365" t="s">
        <v>72</v>
      </c>
      <c r="E3365" t="s">
        <v>72</v>
      </c>
      <c r="F3365" t="s">
        <v>72</v>
      </c>
      <c r="G3365" t="s">
        <v>72</v>
      </c>
      <c r="H3365" t="s">
        <v>72</v>
      </c>
      <c r="I3365" t="s">
        <v>72</v>
      </c>
      <c r="J3365" t="s">
        <v>72</v>
      </c>
      <c r="K3365" t="s">
        <v>272</v>
      </c>
      <c r="AK3365" t="s">
        <v>359</v>
      </c>
    </row>
    <row r="3366" spans="1:37">
      <c r="A3366" t="s">
        <v>37</v>
      </c>
      <c r="B3366" t="s">
        <v>49</v>
      </c>
      <c r="C3366" t="s">
        <v>73</v>
      </c>
      <c r="D3366" t="s">
        <v>94</v>
      </c>
      <c r="E3366" t="s">
        <v>112</v>
      </c>
      <c r="F3366" t="s">
        <v>146</v>
      </c>
      <c r="G3366" t="s">
        <v>172</v>
      </c>
      <c r="H3366" t="s">
        <v>207</v>
      </c>
      <c r="I3366" t="s">
        <v>226</v>
      </c>
      <c r="J3366" t="s">
        <v>246</v>
      </c>
      <c r="K3366" t="s">
        <v>259</v>
      </c>
      <c r="AK3366" t="s">
        <v>360</v>
      </c>
    </row>
    <row r="3367" spans="1:37">
      <c r="A3367" t="s">
        <v>38</v>
      </c>
      <c r="B3367" t="s">
        <v>50</v>
      </c>
      <c r="C3367" t="s">
        <v>74</v>
      </c>
      <c r="D3367" t="s">
        <v>95</v>
      </c>
      <c r="E3367" t="s">
        <v>113</v>
      </c>
      <c r="F3367" t="s">
        <v>147</v>
      </c>
      <c r="G3367" t="s">
        <v>173</v>
      </c>
      <c r="H3367" t="s">
        <v>208</v>
      </c>
      <c r="I3367" t="s">
        <v>227</v>
      </c>
      <c r="J3367" t="s">
        <v>115</v>
      </c>
      <c r="K3367" t="s">
        <v>260</v>
      </c>
      <c r="L3367" t="s">
        <v>273</v>
      </c>
      <c r="M3367" t="s">
        <v>282</v>
      </c>
      <c r="N3367" t="s">
        <v>291</v>
      </c>
      <c r="AK3367" t="s">
        <v>360</v>
      </c>
    </row>
    <row r="3368" spans="1:37">
      <c r="B3368" t="s">
        <v>51</v>
      </c>
      <c r="C3368" t="s">
        <v>75</v>
      </c>
      <c r="D3368" t="s">
        <v>52</v>
      </c>
      <c r="E3368" t="s">
        <v>114</v>
      </c>
      <c r="F3368" t="s">
        <v>148</v>
      </c>
      <c r="G3368" t="s">
        <v>148</v>
      </c>
      <c r="H3368" t="s">
        <v>209</v>
      </c>
      <c r="I3368" t="s">
        <v>228</v>
      </c>
      <c r="J3368" t="s">
        <v>247</v>
      </c>
      <c r="K3368" t="s">
        <v>261</v>
      </c>
      <c r="L3368" t="s">
        <v>274</v>
      </c>
      <c r="M3368" t="s">
        <v>283</v>
      </c>
      <c r="N3368" t="s">
        <v>292</v>
      </c>
      <c r="O3368" t="s">
        <v>300</v>
      </c>
      <c r="AK3368" t="s">
        <v>360</v>
      </c>
    </row>
    <row r="3369" spans="1:37">
      <c r="B3369" t="s">
        <v>52</v>
      </c>
      <c r="C3369" t="s">
        <v>76</v>
      </c>
      <c r="D3369" t="s">
        <v>96</v>
      </c>
      <c r="E3369" t="s">
        <v>115</v>
      </c>
      <c r="F3369" t="s">
        <v>149</v>
      </c>
      <c r="G3369" t="s">
        <v>174</v>
      </c>
      <c r="H3369" t="s">
        <v>96</v>
      </c>
      <c r="I3369" t="s">
        <v>229</v>
      </c>
      <c r="J3369" t="s">
        <v>248</v>
      </c>
      <c r="K3369" t="s">
        <v>262</v>
      </c>
      <c r="L3369" t="s">
        <v>52</v>
      </c>
      <c r="M3369" t="s">
        <v>76</v>
      </c>
      <c r="N3369" t="s">
        <v>293</v>
      </c>
      <c r="O3369" t="s">
        <v>301</v>
      </c>
      <c r="P3369" t="s">
        <v>309</v>
      </c>
      <c r="Q3369" t="s">
        <v>315</v>
      </c>
      <c r="R3369" t="s">
        <v>228</v>
      </c>
      <c r="S3369" t="s">
        <v>328</v>
      </c>
      <c r="T3369" t="s">
        <v>149</v>
      </c>
      <c r="U3369" t="s">
        <v>337</v>
      </c>
      <c r="V3369" t="s">
        <v>341</v>
      </c>
      <c r="W3369" t="s">
        <v>345</v>
      </c>
      <c r="X3369" t="s">
        <v>350</v>
      </c>
      <c r="AK3369" t="s">
        <v>360</v>
      </c>
    </row>
    <row r="3370" spans="1:37">
      <c r="B3370" t="s">
        <v>53</v>
      </c>
      <c r="C3370" t="s">
        <v>77</v>
      </c>
      <c r="D3370" t="s">
        <v>97</v>
      </c>
      <c r="E3370" t="s">
        <v>116</v>
      </c>
      <c r="F3370" t="s">
        <v>150</v>
      </c>
      <c r="G3370" t="s">
        <v>175</v>
      </c>
      <c r="H3370" t="s">
        <v>210</v>
      </c>
      <c r="I3370" t="s">
        <v>230</v>
      </c>
      <c r="J3370" t="s">
        <v>249</v>
      </c>
      <c r="K3370" t="s">
        <v>263</v>
      </c>
      <c r="L3370" t="s">
        <v>275</v>
      </c>
      <c r="M3370" t="s">
        <v>284</v>
      </c>
      <c r="N3370" t="s">
        <v>294</v>
      </c>
      <c r="O3370" t="s">
        <v>302</v>
      </c>
      <c r="P3370" t="s">
        <v>310</v>
      </c>
      <c r="Q3370" t="s">
        <v>316</v>
      </c>
      <c r="R3370" t="s">
        <v>322</v>
      </c>
      <c r="S3370" t="s">
        <v>329</v>
      </c>
      <c r="AK3370" t="s">
        <v>360</v>
      </c>
    </row>
    <row r="3371" spans="1:37">
      <c r="A3371" t="s">
        <v>39</v>
      </c>
      <c r="B3371" t="s">
        <v>54</v>
      </c>
      <c r="C3371" t="s">
        <v>54</v>
      </c>
      <c r="D3371" t="s">
        <v>54</v>
      </c>
      <c r="E3371" t="s">
        <v>54</v>
      </c>
      <c r="F3371" t="s">
        <v>54</v>
      </c>
      <c r="G3371" t="s">
        <v>54</v>
      </c>
      <c r="H3371" t="s">
        <v>54</v>
      </c>
      <c r="I3371" t="s">
        <v>54</v>
      </c>
      <c r="J3371" t="s">
        <v>54</v>
      </c>
      <c r="K3371" t="s">
        <v>54</v>
      </c>
      <c r="L3371" t="s">
        <v>54</v>
      </c>
      <c r="M3371" t="s">
        <v>54</v>
      </c>
      <c r="N3371" t="s">
        <v>54</v>
      </c>
      <c r="O3371" t="s">
        <v>54</v>
      </c>
      <c r="P3371" t="s">
        <v>54</v>
      </c>
      <c r="Q3371" t="s">
        <v>54</v>
      </c>
      <c r="R3371" t="s">
        <v>323</v>
      </c>
      <c r="S3371" t="s">
        <v>330</v>
      </c>
      <c r="AK3371" t="s">
        <v>360</v>
      </c>
    </row>
    <row r="3372" spans="1:37">
      <c r="B3372" t="s">
        <v>55</v>
      </c>
      <c r="C3372" t="s">
        <v>78</v>
      </c>
      <c r="D3372" t="s">
        <v>55</v>
      </c>
      <c r="E3372" t="s">
        <v>78</v>
      </c>
      <c r="F3372" t="s">
        <v>55</v>
      </c>
      <c r="G3372" t="s">
        <v>78</v>
      </c>
      <c r="H3372" t="s">
        <v>55</v>
      </c>
      <c r="I3372" t="s">
        <v>78</v>
      </c>
      <c r="J3372" t="s">
        <v>55</v>
      </c>
      <c r="K3372" t="s">
        <v>78</v>
      </c>
      <c r="L3372" t="s">
        <v>55</v>
      </c>
      <c r="M3372" t="s">
        <v>78</v>
      </c>
      <c r="N3372" t="s">
        <v>55</v>
      </c>
      <c r="O3372" t="s">
        <v>78</v>
      </c>
      <c r="P3372" t="s">
        <v>55</v>
      </c>
      <c r="Q3372" t="s">
        <v>78</v>
      </c>
      <c r="R3372" t="s">
        <v>55</v>
      </c>
      <c r="S3372" t="s">
        <v>78</v>
      </c>
      <c r="T3372" t="s">
        <v>55</v>
      </c>
      <c r="U3372" t="s">
        <v>78</v>
      </c>
      <c r="V3372" t="s">
        <v>55</v>
      </c>
      <c r="W3372" t="s">
        <v>78</v>
      </c>
      <c r="X3372" t="s">
        <v>55</v>
      </c>
      <c r="Y3372" t="s">
        <v>78</v>
      </c>
      <c r="Z3372" t="s">
        <v>55</v>
      </c>
      <c r="AA3372" t="s">
        <v>78</v>
      </c>
      <c r="AB3372" t="s">
        <v>55</v>
      </c>
      <c r="AC3372" t="s">
        <v>78</v>
      </c>
      <c r="AD3372" t="s">
        <v>55</v>
      </c>
      <c r="AE3372" t="s">
        <v>78</v>
      </c>
      <c r="AF3372" t="s">
        <v>55</v>
      </c>
      <c r="AG3372" t="s">
        <v>78</v>
      </c>
      <c r="AH3372" t="s">
        <v>55</v>
      </c>
      <c r="AI3372" t="s">
        <v>78</v>
      </c>
      <c r="AK3372" t="s">
        <v>360</v>
      </c>
    </row>
    <row r="3373" spans="1:37">
      <c r="B3373" t="s">
        <v>56</v>
      </c>
      <c r="C3373" t="s">
        <v>56</v>
      </c>
      <c r="D3373" t="s">
        <v>56</v>
      </c>
      <c r="E3373" t="s">
        <v>56</v>
      </c>
      <c r="F3373" t="s">
        <v>56</v>
      </c>
      <c r="G3373" t="s">
        <v>176</v>
      </c>
      <c r="H3373" t="s">
        <v>211</v>
      </c>
      <c r="I3373" t="s">
        <v>231</v>
      </c>
      <c r="J3373" t="s">
        <v>250</v>
      </c>
      <c r="K3373" t="s">
        <v>264</v>
      </c>
      <c r="L3373" t="s">
        <v>276</v>
      </c>
      <c r="M3373" t="s">
        <v>285</v>
      </c>
      <c r="N3373" t="s">
        <v>295</v>
      </c>
      <c r="O3373" t="s">
        <v>303</v>
      </c>
      <c r="P3373" t="s">
        <v>56</v>
      </c>
      <c r="Q3373" t="s">
        <v>317</v>
      </c>
      <c r="R3373" t="s">
        <v>324</v>
      </c>
      <c r="S3373" t="s">
        <v>331</v>
      </c>
      <c r="T3373" t="s">
        <v>334</v>
      </c>
      <c r="U3373" t="s">
        <v>338</v>
      </c>
      <c r="V3373" t="s">
        <v>342</v>
      </c>
      <c r="W3373" t="s">
        <v>346</v>
      </c>
      <c r="X3373" t="s">
        <v>351</v>
      </c>
      <c r="AK3373" t="s">
        <v>360</v>
      </c>
    </row>
    <row r="3374" spans="1:37">
      <c r="B3374" t="s">
        <v>57</v>
      </c>
      <c r="C3374" t="s">
        <v>79</v>
      </c>
      <c r="D3374" t="s">
        <v>98</v>
      </c>
      <c r="E3374" t="s">
        <v>117</v>
      </c>
      <c r="F3374" t="s">
        <v>151</v>
      </c>
      <c r="G3374" t="s">
        <v>177</v>
      </c>
      <c r="H3374" t="s">
        <v>212</v>
      </c>
      <c r="I3374" t="s">
        <v>232</v>
      </c>
      <c r="J3374" t="s">
        <v>251</v>
      </c>
      <c r="K3374" t="s">
        <v>265</v>
      </c>
      <c r="L3374" t="s">
        <v>277</v>
      </c>
      <c r="M3374" t="s">
        <v>286</v>
      </c>
      <c r="N3374" t="s">
        <v>296</v>
      </c>
      <c r="O3374" t="s">
        <v>304</v>
      </c>
      <c r="P3374" t="s">
        <v>311</v>
      </c>
      <c r="Q3374" t="s">
        <v>318</v>
      </c>
      <c r="R3374" t="s">
        <v>185</v>
      </c>
      <c r="S3374" t="s">
        <v>159</v>
      </c>
      <c r="T3374" t="s">
        <v>185</v>
      </c>
      <c r="U3374" t="s">
        <v>339</v>
      </c>
      <c r="V3374" t="s">
        <v>72</v>
      </c>
      <c r="W3374" t="s">
        <v>347</v>
      </c>
      <c r="X3374" t="s">
        <v>72</v>
      </c>
      <c r="Y3374" t="s">
        <v>96</v>
      </c>
      <c r="AK3374" t="s">
        <v>360</v>
      </c>
    </row>
    <row r="3375" spans="1:37">
      <c r="B3375" t="s">
        <v>58</v>
      </c>
      <c r="C3375" t="s">
        <v>80</v>
      </c>
      <c r="D3375" t="s">
        <v>99</v>
      </c>
      <c r="E3375" t="s">
        <v>118</v>
      </c>
      <c r="F3375" t="s">
        <v>152</v>
      </c>
      <c r="G3375" t="s">
        <v>178</v>
      </c>
      <c r="H3375" t="s">
        <v>213</v>
      </c>
      <c r="I3375" t="s">
        <v>233</v>
      </c>
      <c r="J3375" t="s">
        <v>252</v>
      </c>
      <c r="K3375" t="s">
        <v>266</v>
      </c>
      <c r="L3375" t="s">
        <v>278</v>
      </c>
      <c r="M3375" t="s">
        <v>287</v>
      </c>
      <c r="N3375" t="s">
        <v>297</v>
      </c>
      <c r="O3375" t="s">
        <v>305</v>
      </c>
      <c r="P3375" t="s">
        <v>312</v>
      </c>
      <c r="Q3375" t="s">
        <v>319</v>
      </c>
      <c r="R3375">
        <f>&gt;10       ветра      1.0     18  16</f>
        <v>0</v>
      </c>
      <c r="AK3375" t="s">
        <v>360</v>
      </c>
    </row>
    <row r="3376" spans="1:37">
      <c r="A3376" t="s">
        <v>40</v>
      </c>
      <c r="B3376" t="s">
        <v>59</v>
      </c>
      <c r="C3376" t="s">
        <v>81</v>
      </c>
      <c r="D3376" t="s">
        <v>100</v>
      </c>
      <c r="E3376" t="s">
        <v>119</v>
      </c>
      <c r="F3376" t="s">
        <v>153</v>
      </c>
      <c r="G3376" t="s">
        <v>179</v>
      </c>
      <c r="H3376" t="s">
        <v>214</v>
      </c>
      <c r="I3376" t="s">
        <v>234</v>
      </c>
      <c r="AK3376" t="s">
        <v>360</v>
      </c>
    </row>
    <row r="3377" spans="1:37">
      <c r="A3377" t="s">
        <v>40</v>
      </c>
      <c r="B3377" t="s">
        <v>60</v>
      </c>
      <c r="C3377" t="s">
        <v>82</v>
      </c>
      <c r="D3377" t="s">
        <v>101</v>
      </c>
      <c r="E3377" t="s">
        <v>120</v>
      </c>
      <c r="F3377" t="s">
        <v>154</v>
      </c>
      <c r="G3377" t="s">
        <v>180</v>
      </c>
      <c r="H3377" t="s">
        <v>215</v>
      </c>
      <c r="I3377" t="s">
        <v>235</v>
      </c>
      <c r="J3377" t="s">
        <v>253</v>
      </c>
      <c r="K3377" t="s">
        <v>267</v>
      </c>
      <c r="L3377" t="s">
        <v>279</v>
      </c>
      <c r="M3377" t="s">
        <v>288</v>
      </c>
      <c r="N3377" t="s">
        <v>100</v>
      </c>
      <c r="O3377" t="s">
        <v>306</v>
      </c>
      <c r="P3377" t="s">
        <v>313</v>
      </c>
      <c r="Q3377" t="s">
        <v>320</v>
      </c>
      <c r="R3377" t="s">
        <v>325</v>
      </c>
      <c r="S3377" t="s">
        <v>332</v>
      </c>
      <c r="T3377" t="s">
        <v>119</v>
      </c>
      <c r="U3377" t="s">
        <v>234</v>
      </c>
      <c r="V3377" t="s">
        <v>343</v>
      </c>
      <c r="W3377" t="s">
        <v>348</v>
      </c>
      <c r="X3377" t="s">
        <v>352</v>
      </c>
      <c r="Y3377" t="s">
        <v>354</v>
      </c>
      <c r="AK3377" t="s">
        <v>360</v>
      </c>
    </row>
    <row r="3378" spans="1:37">
      <c r="A3378" t="s">
        <v>41</v>
      </c>
      <c r="B3378" t="s">
        <v>61</v>
      </c>
      <c r="C3378" t="s">
        <v>83</v>
      </c>
      <c r="D3378" t="s">
        <v>102</v>
      </c>
      <c r="E3378" t="s">
        <v>121</v>
      </c>
      <c r="F3378" t="s">
        <v>155</v>
      </c>
      <c r="G3378" t="s">
        <v>181</v>
      </c>
      <c r="H3378" t="s">
        <v>216</v>
      </c>
      <c r="I3378" t="s">
        <v>236</v>
      </c>
      <c r="AK3378" t="s">
        <v>360</v>
      </c>
    </row>
    <row r="3379" spans="1:37">
      <c r="A3379" t="s">
        <v>42</v>
      </c>
      <c r="B3379" t="s">
        <v>62</v>
      </c>
      <c r="C3379" t="s">
        <v>84</v>
      </c>
      <c r="D3379" t="s">
        <v>103</v>
      </c>
      <c r="E3379" t="s">
        <v>122</v>
      </c>
      <c r="F3379" t="s">
        <v>156</v>
      </c>
      <c r="G3379" t="s">
        <v>182</v>
      </c>
      <c r="H3379" t="s">
        <v>83</v>
      </c>
      <c r="I3379" t="s">
        <v>237</v>
      </c>
      <c r="J3379" t="s">
        <v>254</v>
      </c>
      <c r="K3379" t="s">
        <v>268</v>
      </c>
      <c r="L3379" t="s">
        <v>280</v>
      </c>
      <c r="M3379" t="s">
        <v>289</v>
      </c>
      <c r="N3379" t="s">
        <v>298</v>
      </c>
      <c r="O3379" t="s">
        <v>307</v>
      </c>
      <c r="P3379" t="s">
        <v>314</v>
      </c>
      <c r="Q3379" t="s">
        <v>216</v>
      </c>
      <c r="R3379" t="s">
        <v>326</v>
      </c>
      <c r="S3379" t="s">
        <v>333</v>
      </c>
      <c r="T3379" t="s">
        <v>335</v>
      </c>
      <c r="U3379" t="s">
        <v>340</v>
      </c>
      <c r="V3379" t="s">
        <v>344</v>
      </c>
      <c r="W3379" t="s">
        <v>349</v>
      </c>
      <c r="AK3379" t="s">
        <v>360</v>
      </c>
    </row>
    <row r="3380" spans="1:37">
      <c r="A3380" t="s">
        <v>43</v>
      </c>
      <c r="B3380" t="s">
        <v>63</v>
      </c>
      <c r="C3380" t="s">
        <v>85</v>
      </c>
      <c r="D3380" t="s">
        <v>104</v>
      </c>
      <c r="E3380" t="s">
        <v>123</v>
      </c>
      <c r="F3380" t="s">
        <v>157</v>
      </c>
      <c r="G3380" t="s">
        <v>183</v>
      </c>
      <c r="AK3380" t="s">
        <v>360</v>
      </c>
    </row>
    <row r="3381" spans="1:37">
      <c r="A3381" t="s">
        <v>44</v>
      </c>
      <c r="B3381" t="s">
        <v>64</v>
      </c>
      <c r="C3381" t="s">
        <v>86</v>
      </c>
      <c r="D3381" t="s">
        <v>105</v>
      </c>
      <c r="E3381" t="s">
        <v>124</v>
      </c>
      <c r="F3381" t="s">
        <v>158</v>
      </c>
      <c r="G3381" t="s">
        <v>184</v>
      </c>
      <c r="AK3381" t="s">
        <v>360</v>
      </c>
    </row>
    <row r="3382" spans="1:37">
      <c r="A3382" t="s">
        <v>45</v>
      </c>
      <c r="B3382" t="s">
        <v>65</v>
      </c>
      <c r="C3382" t="s">
        <v>87</v>
      </c>
      <c r="D3382" t="s">
        <v>106</v>
      </c>
      <c r="E3382" t="s">
        <v>125</v>
      </c>
      <c r="F3382" t="s">
        <v>159</v>
      </c>
      <c r="G3382" t="s">
        <v>185</v>
      </c>
      <c r="H3382" t="s">
        <v>159</v>
      </c>
      <c r="I3382" t="s">
        <v>185</v>
      </c>
      <c r="J3382" t="s">
        <v>255</v>
      </c>
      <c r="AK3382" t="s">
        <v>360</v>
      </c>
    </row>
    <row r="3383" spans="1:37">
      <c r="A3383" t="s">
        <v>46</v>
      </c>
      <c r="B3383" t="s">
        <v>66</v>
      </c>
      <c r="C3383" t="s">
        <v>88</v>
      </c>
      <c r="D3383" t="s">
        <v>76</v>
      </c>
      <c r="E3383" t="s">
        <v>126</v>
      </c>
      <c r="F3383" t="s">
        <v>160</v>
      </c>
      <c r="G3383" t="s">
        <v>186</v>
      </c>
      <c r="H3383" t="s">
        <v>217</v>
      </c>
      <c r="I3383" t="s">
        <v>238</v>
      </c>
      <c r="J3383" t="s">
        <v>256</v>
      </c>
      <c r="K3383" t="s">
        <v>265</v>
      </c>
      <c r="L3383" t="s">
        <v>281</v>
      </c>
      <c r="M3383" t="s">
        <v>290</v>
      </c>
      <c r="N3383" t="s">
        <v>299</v>
      </c>
      <c r="O3383" t="s">
        <v>308</v>
      </c>
      <c r="P3383" t="s">
        <v>228</v>
      </c>
      <c r="Q3383" t="s">
        <v>72</v>
      </c>
      <c r="R3383" t="s">
        <v>327</v>
      </c>
      <c r="S3383" t="s">
        <v>327</v>
      </c>
      <c r="T3383" t="s">
        <v>336</v>
      </c>
      <c r="U3383" t="s">
        <v>336</v>
      </c>
      <c r="V3383" t="s">
        <v>336</v>
      </c>
      <c r="W3383" t="s">
        <v>336</v>
      </c>
      <c r="X3383" t="s">
        <v>353</v>
      </c>
      <c r="AK3383" t="s">
        <v>360</v>
      </c>
    </row>
    <row r="3384" spans="1:37">
      <c r="B3384" t="s">
        <v>67</v>
      </c>
      <c r="C3384" t="s">
        <v>89</v>
      </c>
      <c r="D3384" t="s">
        <v>107</v>
      </c>
      <c r="AK3384" t="s">
        <v>360</v>
      </c>
    </row>
    <row r="3385" spans="1:37">
      <c r="B3385" t="s">
        <v>68</v>
      </c>
      <c r="C3385" t="s">
        <v>90</v>
      </c>
      <c r="D3385" t="s">
        <v>108</v>
      </c>
      <c r="AK3385" t="s">
        <v>360</v>
      </c>
    </row>
    <row r="3386" spans="1:37">
      <c r="A3386" t="s">
        <v>47</v>
      </c>
      <c r="B3386" t="s">
        <v>69</v>
      </c>
      <c r="C3386" t="s">
        <v>91</v>
      </c>
      <c r="D3386" t="s">
        <v>109</v>
      </c>
      <c r="E3386" t="s">
        <v>109</v>
      </c>
      <c r="F3386" t="s">
        <v>109</v>
      </c>
      <c r="G3386" t="s">
        <v>109</v>
      </c>
      <c r="H3386" t="s">
        <v>109</v>
      </c>
      <c r="I3386" t="s">
        <v>239</v>
      </c>
      <c r="AK3386" t="s">
        <v>360</v>
      </c>
    </row>
    <row r="3387" spans="1:37">
      <c r="B3387" t="s">
        <v>70</v>
      </c>
      <c r="C3387" t="s">
        <v>92</v>
      </c>
      <c r="D3387" t="s">
        <v>110</v>
      </c>
      <c r="E3387" t="s">
        <v>127</v>
      </c>
      <c r="F3387" t="s">
        <v>161</v>
      </c>
      <c r="G3387" t="s">
        <v>187</v>
      </c>
      <c r="H3387" t="s">
        <v>218</v>
      </c>
      <c r="AK3387" t="s">
        <v>360</v>
      </c>
    </row>
    <row r="3388" spans="1:37">
      <c r="B3388" t="s">
        <v>71</v>
      </c>
      <c r="C3388" t="s">
        <v>93</v>
      </c>
      <c r="D3388" t="s">
        <v>111</v>
      </c>
      <c r="E3388" t="s">
        <v>128</v>
      </c>
      <c r="F3388" t="s">
        <v>162</v>
      </c>
      <c r="G3388" t="s">
        <v>188</v>
      </c>
      <c r="H3388" t="s">
        <v>219</v>
      </c>
      <c r="I3388" t="s">
        <v>240</v>
      </c>
      <c r="J3388" t="s">
        <v>257</v>
      </c>
      <c r="K3388" t="s">
        <v>269</v>
      </c>
      <c r="L3388" t="s">
        <v>109</v>
      </c>
      <c r="M3388" t="s">
        <v>109</v>
      </c>
      <c r="N3388" t="s">
        <v>109</v>
      </c>
      <c r="O3388" t="s">
        <v>109</v>
      </c>
      <c r="P3388" t="s">
        <v>109</v>
      </c>
      <c r="Q3388" t="s">
        <v>321</v>
      </c>
      <c r="AK3388" t="s">
        <v>360</v>
      </c>
    </row>
    <row r="3389" spans="1:37">
      <c r="A3389" t="s">
        <v>48</v>
      </c>
      <c r="B3389" t="s">
        <v>71</v>
      </c>
      <c r="C3389" t="s">
        <v>93</v>
      </c>
      <c r="D3389" t="s">
        <v>111</v>
      </c>
      <c r="E3389" t="s">
        <v>128</v>
      </c>
      <c r="F3389" t="s">
        <v>163</v>
      </c>
      <c r="G3389" t="s">
        <v>189</v>
      </c>
      <c r="H3389" t="s">
        <v>220</v>
      </c>
      <c r="I3389" t="s">
        <v>241</v>
      </c>
      <c r="J3389" t="s">
        <v>258</v>
      </c>
      <c r="K3389" t="s">
        <v>270</v>
      </c>
      <c r="AK3389" t="s">
        <v>360</v>
      </c>
    </row>
    <row r="3390" spans="1:37">
      <c r="B3390" t="s">
        <v>72</v>
      </c>
      <c r="C3390" t="s">
        <v>72</v>
      </c>
      <c r="D3390" t="s">
        <v>72</v>
      </c>
      <c r="E3390" t="s">
        <v>72</v>
      </c>
      <c r="F3390" t="s">
        <v>72</v>
      </c>
      <c r="G3390" t="s">
        <v>72</v>
      </c>
      <c r="H3390" t="s">
        <v>72</v>
      </c>
      <c r="I3390" t="s">
        <v>72</v>
      </c>
      <c r="J3390" t="s">
        <v>72</v>
      </c>
      <c r="K3390" t="s">
        <v>272</v>
      </c>
      <c r="AK3390" t="s">
        <v>360</v>
      </c>
    </row>
    <row r="3391" spans="1:37">
      <c r="A3391" t="s">
        <v>37</v>
      </c>
      <c r="B3391" t="s">
        <v>49</v>
      </c>
      <c r="C3391" t="s">
        <v>73</v>
      </c>
      <c r="D3391" t="s">
        <v>94</v>
      </c>
      <c r="E3391" t="s">
        <v>112</v>
      </c>
      <c r="F3391" t="s">
        <v>146</v>
      </c>
      <c r="G3391" t="s">
        <v>172</v>
      </c>
      <c r="H3391" t="s">
        <v>207</v>
      </c>
      <c r="I3391" t="s">
        <v>226</v>
      </c>
      <c r="J3391" t="s">
        <v>246</v>
      </c>
      <c r="K3391" t="s">
        <v>259</v>
      </c>
      <c r="AK3391" t="s">
        <v>360</v>
      </c>
    </row>
    <row r="3392" spans="1:37">
      <c r="A3392" t="s">
        <v>38</v>
      </c>
      <c r="B3392" t="s">
        <v>50</v>
      </c>
      <c r="C3392" t="s">
        <v>74</v>
      </c>
      <c r="D3392" t="s">
        <v>95</v>
      </c>
      <c r="E3392" t="s">
        <v>113</v>
      </c>
      <c r="F3392" t="s">
        <v>147</v>
      </c>
      <c r="G3392" t="s">
        <v>173</v>
      </c>
      <c r="H3392" t="s">
        <v>208</v>
      </c>
      <c r="I3392" t="s">
        <v>227</v>
      </c>
      <c r="J3392" t="s">
        <v>115</v>
      </c>
      <c r="K3392" t="s">
        <v>260</v>
      </c>
      <c r="L3392" t="s">
        <v>273</v>
      </c>
      <c r="M3392" t="s">
        <v>282</v>
      </c>
      <c r="N3392" t="s">
        <v>291</v>
      </c>
      <c r="AK3392" t="s">
        <v>360</v>
      </c>
    </row>
    <row r="3393" spans="1:37">
      <c r="B3393" t="s">
        <v>51</v>
      </c>
      <c r="C3393" t="s">
        <v>75</v>
      </c>
      <c r="D3393" t="s">
        <v>52</v>
      </c>
      <c r="E3393" t="s">
        <v>114</v>
      </c>
      <c r="F3393" t="s">
        <v>148</v>
      </c>
      <c r="G3393" t="s">
        <v>148</v>
      </c>
      <c r="H3393" t="s">
        <v>209</v>
      </c>
      <c r="I3393" t="s">
        <v>228</v>
      </c>
      <c r="J3393" t="s">
        <v>247</v>
      </c>
      <c r="K3393" t="s">
        <v>261</v>
      </c>
      <c r="L3393" t="s">
        <v>274</v>
      </c>
      <c r="M3393" t="s">
        <v>283</v>
      </c>
      <c r="N3393" t="s">
        <v>292</v>
      </c>
      <c r="O3393" t="s">
        <v>300</v>
      </c>
      <c r="AK3393" t="s">
        <v>360</v>
      </c>
    </row>
    <row r="3394" spans="1:37">
      <c r="B3394" t="s">
        <v>52</v>
      </c>
      <c r="C3394" t="s">
        <v>76</v>
      </c>
      <c r="D3394" t="s">
        <v>96</v>
      </c>
      <c r="E3394" t="s">
        <v>115</v>
      </c>
      <c r="F3394" t="s">
        <v>149</v>
      </c>
      <c r="G3394" t="s">
        <v>174</v>
      </c>
      <c r="H3394" t="s">
        <v>96</v>
      </c>
      <c r="I3394" t="s">
        <v>229</v>
      </c>
      <c r="J3394" t="s">
        <v>248</v>
      </c>
      <c r="K3394" t="s">
        <v>262</v>
      </c>
      <c r="L3394" t="s">
        <v>52</v>
      </c>
      <c r="M3394" t="s">
        <v>76</v>
      </c>
      <c r="N3394" t="s">
        <v>293</v>
      </c>
      <c r="O3394" t="s">
        <v>301</v>
      </c>
      <c r="P3394" t="s">
        <v>309</v>
      </c>
      <c r="Q3394" t="s">
        <v>315</v>
      </c>
      <c r="R3394" t="s">
        <v>228</v>
      </c>
      <c r="S3394" t="s">
        <v>328</v>
      </c>
      <c r="T3394" t="s">
        <v>149</v>
      </c>
      <c r="U3394" t="s">
        <v>337</v>
      </c>
      <c r="V3394" t="s">
        <v>341</v>
      </c>
      <c r="W3394" t="s">
        <v>345</v>
      </c>
      <c r="X3394" t="s">
        <v>350</v>
      </c>
      <c r="AK3394" t="s">
        <v>360</v>
      </c>
    </row>
    <row r="3395" spans="1:37">
      <c r="B3395" t="s">
        <v>53</v>
      </c>
      <c r="C3395" t="s">
        <v>77</v>
      </c>
      <c r="D3395" t="s">
        <v>97</v>
      </c>
      <c r="E3395" t="s">
        <v>116</v>
      </c>
      <c r="F3395" t="s">
        <v>150</v>
      </c>
      <c r="G3395" t="s">
        <v>175</v>
      </c>
      <c r="H3395" t="s">
        <v>210</v>
      </c>
      <c r="I3395" t="s">
        <v>230</v>
      </c>
      <c r="J3395" t="s">
        <v>249</v>
      </c>
      <c r="K3395" t="s">
        <v>263</v>
      </c>
      <c r="L3395" t="s">
        <v>275</v>
      </c>
      <c r="M3395" t="s">
        <v>284</v>
      </c>
      <c r="N3395" t="s">
        <v>294</v>
      </c>
      <c r="O3395" t="s">
        <v>302</v>
      </c>
      <c r="P3395" t="s">
        <v>310</v>
      </c>
      <c r="Q3395" t="s">
        <v>316</v>
      </c>
      <c r="R3395" t="s">
        <v>322</v>
      </c>
      <c r="S3395" t="s">
        <v>329</v>
      </c>
      <c r="AK3395" t="s">
        <v>360</v>
      </c>
    </row>
    <row r="3396" spans="1:37">
      <c r="A3396" t="s">
        <v>39</v>
      </c>
      <c r="B3396" t="s">
        <v>54</v>
      </c>
      <c r="C3396" t="s">
        <v>54</v>
      </c>
      <c r="D3396" t="s">
        <v>54</v>
      </c>
      <c r="E3396" t="s">
        <v>54</v>
      </c>
      <c r="F3396" t="s">
        <v>54</v>
      </c>
      <c r="G3396" t="s">
        <v>54</v>
      </c>
      <c r="H3396" t="s">
        <v>54</v>
      </c>
      <c r="I3396" t="s">
        <v>54</v>
      </c>
      <c r="J3396" t="s">
        <v>54</v>
      </c>
      <c r="K3396" t="s">
        <v>54</v>
      </c>
      <c r="L3396" t="s">
        <v>54</v>
      </c>
      <c r="M3396" t="s">
        <v>54</v>
      </c>
      <c r="N3396" t="s">
        <v>54</v>
      </c>
      <c r="O3396" t="s">
        <v>54</v>
      </c>
      <c r="P3396" t="s">
        <v>54</v>
      </c>
      <c r="Q3396" t="s">
        <v>54</v>
      </c>
      <c r="R3396" t="s">
        <v>323</v>
      </c>
      <c r="S3396" t="s">
        <v>330</v>
      </c>
      <c r="AK3396" t="s">
        <v>360</v>
      </c>
    </row>
    <row r="3397" spans="1:37">
      <c r="B3397" t="s">
        <v>55</v>
      </c>
      <c r="C3397" t="s">
        <v>78</v>
      </c>
      <c r="D3397" t="s">
        <v>55</v>
      </c>
      <c r="E3397" t="s">
        <v>78</v>
      </c>
      <c r="F3397" t="s">
        <v>55</v>
      </c>
      <c r="G3397" t="s">
        <v>78</v>
      </c>
      <c r="H3397" t="s">
        <v>55</v>
      </c>
      <c r="I3397" t="s">
        <v>78</v>
      </c>
      <c r="J3397" t="s">
        <v>55</v>
      </c>
      <c r="K3397" t="s">
        <v>78</v>
      </c>
      <c r="L3397" t="s">
        <v>55</v>
      </c>
      <c r="M3397" t="s">
        <v>78</v>
      </c>
      <c r="N3397" t="s">
        <v>55</v>
      </c>
      <c r="O3397" t="s">
        <v>78</v>
      </c>
      <c r="P3397" t="s">
        <v>55</v>
      </c>
      <c r="Q3397" t="s">
        <v>78</v>
      </c>
      <c r="R3397" t="s">
        <v>55</v>
      </c>
      <c r="S3397" t="s">
        <v>78</v>
      </c>
      <c r="T3397" t="s">
        <v>55</v>
      </c>
      <c r="U3397" t="s">
        <v>78</v>
      </c>
      <c r="V3397" t="s">
        <v>55</v>
      </c>
      <c r="W3397" t="s">
        <v>78</v>
      </c>
      <c r="X3397" t="s">
        <v>55</v>
      </c>
      <c r="Y3397" t="s">
        <v>78</v>
      </c>
      <c r="Z3397" t="s">
        <v>55</v>
      </c>
      <c r="AA3397" t="s">
        <v>78</v>
      </c>
      <c r="AB3397" t="s">
        <v>55</v>
      </c>
      <c r="AC3397" t="s">
        <v>78</v>
      </c>
      <c r="AD3397" t="s">
        <v>55</v>
      </c>
      <c r="AE3397" t="s">
        <v>78</v>
      </c>
      <c r="AF3397" t="s">
        <v>55</v>
      </c>
      <c r="AG3397" t="s">
        <v>78</v>
      </c>
      <c r="AH3397" t="s">
        <v>55</v>
      </c>
      <c r="AI3397" t="s">
        <v>78</v>
      </c>
      <c r="AK3397" t="s">
        <v>360</v>
      </c>
    </row>
    <row r="3398" spans="1:37">
      <c r="B3398" t="s">
        <v>56</v>
      </c>
      <c r="C3398" t="s">
        <v>56</v>
      </c>
      <c r="D3398" t="s">
        <v>56</v>
      </c>
      <c r="E3398" t="s">
        <v>56</v>
      </c>
      <c r="F3398" t="s">
        <v>56</v>
      </c>
      <c r="G3398" t="s">
        <v>176</v>
      </c>
      <c r="H3398" t="s">
        <v>211</v>
      </c>
      <c r="I3398" t="s">
        <v>231</v>
      </c>
      <c r="J3398" t="s">
        <v>250</v>
      </c>
      <c r="K3398" t="s">
        <v>264</v>
      </c>
      <c r="L3398" t="s">
        <v>276</v>
      </c>
      <c r="M3398" t="s">
        <v>285</v>
      </c>
      <c r="N3398" t="s">
        <v>295</v>
      </c>
      <c r="O3398" t="s">
        <v>303</v>
      </c>
      <c r="P3398" t="s">
        <v>56</v>
      </c>
      <c r="Q3398" t="s">
        <v>317</v>
      </c>
      <c r="R3398" t="s">
        <v>324</v>
      </c>
      <c r="S3398" t="s">
        <v>331</v>
      </c>
      <c r="T3398" t="s">
        <v>334</v>
      </c>
      <c r="U3398" t="s">
        <v>338</v>
      </c>
      <c r="V3398" t="s">
        <v>342</v>
      </c>
      <c r="W3398" t="s">
        <v>346</v>
      </c>
      <c r="X3398" t="s">
        <v>351</v>
      </c>
      <c r="AK3398" t="s">
        <v>360</v>
      </c>
    </row>
    <row r="3399" spans="1:37">
      <c r="B3399" t="s">
        <v>57</v>
      </c>
      <c r="C3399" t="s">
        <v>79</v>
      </c>
      <c r="D3399" t="s">
        <v>98</v>
      </c>
      <c r="E3399" t="s">
        <v>117</v>
      </c>
      <c r="F3399" t="s">
        <v>151</v>
      </c>
      <c r="G3399" t="s">
        <v>177</v>
      </c>
      <c r="H3399" t="s">
        <v>212</v>
      </c>
      <c r="I3399" t="s">
        <v>232</v>
      </c>
      <c r="J3399" t="s">
        <v>251</v>
      </c>
      <c r="K3399" t="s">
        <v>265</v>
      </c>
      <c r="L3399" t="s">
        <v>277</v>
      </c>
      <c r="M3399" t="s">
        <v>286</v>
      </c>
      <c r="N3399" t="s">
        <v>296</v>
      </c>
      <c r="O3399" t="s">
        <v>304</v>
      </c>
      <c r="P3399" t="s">
        <v>311</v>
      </c>
      <c r="Q3399" t="s">
        <v>318</v>
      </c>
      <c r="R3399" t="s">
        <v>185</v>
      </c>
      <c r="S3399" t="s">
        <v>159</v>
      </c>
      <c r="T3399" t="s">
        <v>185</v>
      </c>
      <c r="U3399" t="s">
        <v>339</v>
      </c>
      <c r="V3399" t="s">
        <v>72</v>
      </c>
      <c r="W3399" t="s">
        <v>347</v>
      </c>
      <c r="X3399" t="s">
        <v>72</v>
      </c>
      <c r="Y3399" t="s">
        <v>96</v>
      </c>
      <c r="AK3399" t="s">
        <v>360</v>
      </c>
    </row>
    <row r="3400" spans="1:37">
      <c r="B3400" t="s">
        <v>58</v>
      </c>
      <c r="C3400" t="s">
        <v>80</v>
      </c>
      <c r="D3400" t="s">
        <v>99</v>
      </c>
      <c r="E3400" t="s">
        <v>118</v>
      </c>
      <c r="F3400" t="s">
        <v>152</v>
      </c>
      <c r="G3400" t="s">
        <v>178</v>
      </c>
      <c r="H3400" t="s">
        <v>213</v>
      </c>
      <c r="I3400" t="s">
        <v>233</v>
      </c>
      <c r="J3400" t="s">
        <v>252</v>
      </c>
      <c r="K3400" t="s">
        <v>266</v>
      </c>
      <c r="L3400" t="s">
        <v>278</v>
      </c>
      <c r="M3400" t="s">
        <v>287</v>
      </c>
      <c r="N3400" t="s">
        <v>297</v>
      </c>
      <c r="O3400" t="s">
        <v>305</v>
      </c>
      <c r="P3400" t="s">
        <v>312</v>
      </c>
      <c r="Q3400" t="s">
        <v>319</v>
      </c>
      <c r="R3400">
        <f>&gt;10       ветра      2.4     24   1</f>
        <v>0</v>
      </c>
      <c r="AK3400" t="s">
        <v>360</v>
      </c>
    </row>
    <row r="3401" spans="1:37">
      <c r="A3401" t="s">
        <v>40</v>
      </c>
      <c r="B3401" t="s">
        <v>59</v>
      </c>
      <c r="C3401" t="s">
        <v>81</v>
      </c>
      <c r="D3401" t="s">
        <v>100</v>
      </c>
      <c r="E3401" t="s">
        <v>119</v>
      </c>
      <c r="F3401" t="s">
        <v>153</v>
      </c>
      <c r="G3401" t="s">
        <v>179</v>
      </c>
      <c r="H3401" t="s">
        <v>214</v>
      </c>
      <c r="I3401" t="s">
        <v>234</v>
      </c>
      <c r="AK3401" t="s">
        <v>360</v>
      </c>
    </row>
    <row r="3402" spans="1:37">
      <c r="A3402" t="s">
        <v>40</v>
      </c>
      <c r="B3402" t="s">
        <v>60</v>
      </c>
      <c r="C3402" t="s">
        <v>82</v>
      </c>
      <c r="D3402" t="s">
        <v>101</v>
      </c>
      <c r="E3402" t="s">
        <v>120</v>
      </c>
      <c r="F3402" t="s">
        <v>154</v>
      </c>
      <c r="G3402" t="s">
        <v>180</v>
      </c>
      <c r="H3402" t="s">
        <v>215</v>
      </c>
      <c r="I3402" t="s">
        <v>235</v>
      </c>
      <c r="J3402" t="s">
        <v>253</v>
      </c>
      <c r="K3402" t="s">
        <v>267</v>
      </c>
      <c r="L3402" t="s">
        <v>279</v>
      </c>
      <c r="M3402" t="s">
        <v>288</v>
      </c>
      <c r="N3402" t="s">
        <v>100</v>
      </c>
      <c r="O3402" t="s">
        <v>306</v>
      </c>
      <c r="P3402" t="s">
        <v>313</v>
      </c>
      <c r="Q3402" t="s">
        <v>320</v>
      </c>
      <c r="R3402" t="s">
        <v>325</v>
      </c>
      <c r="S3402" t="s">
        <v>332</v>
      </c>
      <c r="T3402" t="s">
        <v>119</v>
      </c>
      <c r="U3402" t="s">
        <v>234</v>
      </c>
      <c r="V3402" t="s">
        <v>343</v>
      </c>
      <c r="W3402" t="s">
        <v>348</v>
      </c>
      <c r="X3402" t="s">
        <v>352</v>
      </c>
      <c r="Y3402" t="s">
        <v>354</v>
      </c>
      <c r="AK3402" t="s">
        <v>360</v>
      </c>
    </row>
    <row r="3403" spans="1:37">
      <c r="A3403" t="s">
        <v>41</v>
      </c>
      <c r="B3403" t="s">
        <v>61</v>
      </c>
      <c r="C3403" t="s">
        <v>83</v>
      </c>
      <c r="D3403" t="s">
        <v>102</v>
      </c>
      <c r="E3403" t="s">
        <v>121</v>
      </c>
      <c r="F3403" t="s">
        <v>155</v>
      </c>
      <c r="G3403" t="s">
        <v>181</v>
      </c>
      <c r="H3403" t="s">
        <v>216</v>
      </c>
      <c r="I3403" t="s">
        <v>236</v>
      </c>
      <c r="AK3403" t="s">
        <v>360</v>
      </c>
    </row>
    <row r="3404" spans="1:37">
      <c r="A3404" t="s">
        <v>42</v>
      </c>
      <c r="B3404" t="s">
        <v>62</v>
      </c>
      <c r="C3404" t="s">
        <v>84</v>
      </c>
      <c r="D3404" t="s">
        <v>103</v>
      </c>
      <c r="E3404" t="s">
        <v>122</v>
      </c>
      <c r="F3404" t="s">
        <v>156</v>
      </c>
      <c r="G3404" t="s">
        <v>182</v>
      </c>
      <c r="H3404" t="s">
        <v>83</v>
      </c>
      <c r="I3404" t="s">
        <v>237</v>
      </c>
      <c r="J3404" t="s">
        <v>254</v>
      </c>
      <c r="K3404" t="s">
        <v>268</v>
      </c>
      <c r="L3404" t="s">
        <v>280</v>
      </c>
      <c r="M3404" t="s">
        <v>289</v>
      </c>
      <c r="N3404" t="s">
        <v>298</v>
      </c>
      <c r="O3404" t="s">
        <v>307</v>
      </c>
      <c r="P3404" t="s">
        <v>314</v>
      </c>
      <c r="Q3404" t="s">
        <v>216</v>
      </c>
      <c r="R3404" t="s">
        <v>326</v>
      </c>
      <c r="S3404" t="s">
        <v>333</v>
      </c>
      <c r="T3404" t="s">
        <v>335</v>
      </c>
      <c r="U3404" t="s">
        <v>340</v>
      </c>
      <c r="V3404" t="s">
        <v>344</v>
      </c>
      <c r="W3404" t="s">
        <v>349</v>
      </c>
      <c r="AK3404" t="s">
        <v>360</v>
      </c>
    </row>
    <row r="3405" spans="1:37">
      <c r="A3405" t="s">
        <v>43</v>
      </c>
      <c r="B3405" t="s">
        <v>63</v>
      </c>
      <c r="C3405" t="s">
        <v>85</v>
      </c>
      <c r="D3405" t="s">
        <v>104</v>
      </c>
      <c r="E3405" t="s">
        <v>123</v>
      </c>
      <c r="F3405" t="s">
        <v>157</v>
      </c>
      <c r="G3405" t="s">
        <v>183</v>
      </c>
      <c r="AK3405" t="s">
        <v>360</v>
      </c>
    </row>
    <row r="3406" spans="1:37">
      <c r="A3406" t="s">
        <v>44</v>
      </c>
      <c r="B3406" t="s">
        <v>64</v>
      </c>
      <c r="C3406" t="s">
        <v>86</v>
      </c>
      <c r="D3406" t="s">
        <v>105</v>
      </c>
      <c r="E3406" t="s">
        <v>124</v>
      </c>
      <c r="F3406" t="s">
        <v>158</v>
      </c>
      <c r="G3406" t="s">
        <v>184</v>
      </c>
      <c r="AK3406" t="s">
        <v>360</v>
      </c>
    </row>
    <row r="3407" spans="1:37">
      <c r="A3407" t="s">
        <v>45</v>
      </c>
      <c r="B3407" t="s">
        <v>65</v>
      </c>
      <c r="C3407" t="s">
        <v>87</v>
      </c>
      <c r="D3407" t="s">
        <v>106</v>
      </c>
      <c r="E3407" t="s">
        <v>125</v>
      </c>
      <c r="F3407" t="s">
        <v>159</v>
      </c>
      <c r="G3407" t="s">
        <v>185</v>
      </c>
      <c r="H3407" t="s">
        <v>159</v>
      </c>
      <c r="I3407" t="s">
        <v>185</v>
      </c>
      <c r="J3407" t="s">
        <v>255</v>
      </c>
      <c r="AK3407" t="s">
        <v>360</v>
      </c>
    </row>
    <row r="3408" spans="1:37">
      <c r="A3408" t="s">
        <v>46</v>
      </c>
      <c r="B3408" t="s">
        <v>66</v>
      </c>
      <c r="C3408" t="s">
        <v>88</v>
      </c>
      <c r="D3408" t="s">
        <v>76</v>
      </c>
      <c r="E3408" t="s">
        <v>126</v>
      </c>
      <c r="F3408" t="s">
        <v>160</v>
      </c>
      <c r="G3408" t="s">
        <v>186</v>
      </c>
      <c r="H3408" t="s">
        <v>217</v>
      </c>
      <c r="I3408" t="s">
        <v>238</v>
      </c>
      <c r="J3408" t="s">
        <v>256</v>
      </c>
      <c r="K3408" t="s">
        <v>265</v>
      </c>
      <c r="L3408" t="s">
        <v>281</v>
      </c>
      <c r="M3408" t="s">
        <v>290</v>
      </c>
      <c r="N3408" t="s">
        <v>299</v>
      </c>
      <c r="O3408" t="s">
        <v>308</v>
      </c>
      <c r="P3408" t="s">
        <v>228</v>
      </c>
      <c r="Q3408" t="s">
        <v>72</v>
      </c>
      <c r="R3408" t="s">
        <v>327</v>
      </c>
      <c r="S3408" t="s">
        <v>327</v>
      </c>
      <c r="T3408" t="s">
        <v>336</v>
      </c>
      <c r="U3408" t="s">
        <v>336</v>
      </c>
      <c r="V3408" t="s">
        <v>336</v>
      </c>
      <c r="W3408" t="s">
        <v>336</v>
      </c>
      <c r="X3408" t="s">
        <v>353</v>
      </c>
      <c r="AK3408" t="s">
        <v>360</v>
      </c>
    </row>
    <row r="3409" spans="1:37">
      <c r="B3409" t="s">
        <v>67</v>
      </c>
      <c r="C3409" t="s">
        <v>89</v>
      </c>
      <c r="D3409" t="s">
        <v>107</v>
      </c>
      <c r="AK3409" t="s">
        <v>360</v>
      </c>
    </row>
    <row r="3410" spans="1:37">
      <c r="B3410" t="s">
        <v>68</v>
      </c>
      <c r="C3410" t="s">
        <v>90</v>
      </c>
      <c r="D3410" t="s">
        <v>108</v>
      </c>
      <c r="AK3410" t="s">
        <v>360</v>
      </c>
    </row>
    <row r="3411" spans="1:37">
      <c r="A3411" t="s">
        <v>47</v>
      </c>
      <c r="B3411" t="s">
        <v>69</v>
      </c>
      <c r="C3411" t="s">
        <v>91</v>
      </c>
      <c r="D3411" t="s">
        <v>109</v>
      </c>
      <c r="E3411" t="s">
        <v>109</v>
      </c>
      <c r="F3411" t="s">
        <v>109</v>
      </c>
      <c r="G3411" t="s">
        <v>109</v>
      </c>
      <c r="H3411" t="s">
        <v>109</v>
      </c>
      <c r="I3411" t="s">
        <v>239</v>
      </c>
      <c r="AK3411" t="s">
        <v>360</v>
      </c>
    </row>
    <row r="3412" spans="1:37">
      <c r="B3412" t="s">
        <v>70</v>
      </c>
      <c r="C3412" t="s">
        <v>92</v>
      </c>
      <c r="D3412" t="s">
        <v>110</v>
      </c>
      <c r="E3412" t="s">
        <v>127</v>
      </c>
      <c r="F3412" t="s">
        <v>161</v>
      </c>
      <c r="G3412" t="s">
        <v>187</v>
      </c>
      <c r="H3412" t="s">
        <v>218</v>
      </c>
      <c r="AK3412" t="s">
        <v>360</v>
      </c>
    </row>
    <row r="3413" spans="1:37">
      <c r="B3413" t="s">
        <v>71</v>
      </c>
      <c r="C3413" t="s">
        <v>93</v>
      </c>
      <c r="D3413" t="s">
        <v>111</v>
      </c>
      <c r="E3413" t="s">
        <v>128</v>
      </c>
      <c r="F3413" t="s">
        <v>162</v>
      </c>
      <c r="G3413" t="s">
        <v>188</v>
      </c>
      <c r="H3413" t="s">
        <v>219</v>
      </c>
      <c r="I3413" t="s">
        <v>240</v>
      </c>
      <c r="J3413" t="s">
        <v>257</v>
      </c>
      <c r="K3413" t="s">
        <v>269</v>
      </c>
      <c r="L3413" t="s">
        <v>109</v>
      </c>
      <c r="M3413" t="s">
        <v>109</v>
      </c>
      <c r="N3413" t="s">
        <v>109</v>
      </c>
      <c r="O3413" t="s">
        <v>109</v>
      </c>
      <c r="P3413" t="s">
        <v>109</v>
      </c>
      <c r="Q3413" t="s">
        <v>321</v>
      </c>
      <c r="AK3413" t="s">
        <v>360</v>
      </c>
    </row>
    <row r="3414" spans="1:37">
      <c r="A3414" t="s">
        <v>48</v>
      </c>
      <c r="B3414" t="s">
        <v>71</v>
      </c>
      <c r="C3414" t="s">
        <v>93</v>
      </c>
      <c r="D3414" t="s">
        <v>111</v>
      </c>
      <c r="E3414" t="s">
        <v>128</v>
      </c>
      <c r="F3414" t="s">
        <v>163</v>
      </c>
      <c r="G3414" t="s">
        <v>189</v>
      </c>
      <c r="H3414" t="s">
        <v>220</v>
      </c>
      <c r="I3414" t="s">
        <v>241</v>
      </c>
      <c r="J3414" t="s">
        <v>258</v>
      </c>
      <c r="K3414" t="s">
        <v>270</v>
      </c>
      <c r="AK3414" t="s">
        <v>360</v>
      </c>
    </row>
    <row r="3415" spans="1:37">
      <c r="B3415" t="s">
        <v>72</v>
      </c>
      <c r="C3415" t="s">
        <v>72</v>
      </c>
      <c r="D3415" t="s">
        <v>72</v>
      </c>
      <c r="E3415" t="s">
        <v>139</v>
      </c>
      <c r="F3415" t="s">
        <v>139</v>
      </c>
      <c r="G3415" t="s">
        <v>192</v>
      </c>
      <c r="H3415" t="s">
        <v>192</v>
      </c>
      <c r="I3415" t="s">
        <v>192</v>
      </c>
      <c r="J3415" t="s">
        <v>192</v>
      </c>
      <c r="K3415" t="s">
        <v>271</v>
      </c>
      <c r="AK3415" t="s">
        <v>360</v>
      </c>
    </row>
    <row r="3416" spans="1:37">
      <c r="A3416" t="s">
        <v>37</v>
      </c>
      <c r="B3416" t="s">
        <v>49</v>
      </c>
      <c r="C3416" t="s">
        <v>73</v>
      </c>
      <c r="D3416" t="s">
        <v>94</v>
      </c>
      <c r="E3416" t="s">
        <v>112</v>
      </c>
      <c r="F3416" t="s">
        <v>146</v>
      </c>
      <c r="G3416" t="s">
        <v>172</v>
      </c>
      <c r="H3416" t="s">
        <v>207</v>
      </c>
      <c r="I3416" t="s">
        <v>226</v>
      </c>
      <c r="J3416" t="s">
        <v>246</v>
      </c>
      <c r="K3416" t="s">
        <v>259</v>
      </c>
      <c r="AK3416" t="s">
        <v>360</v>
      </c>
    </row>
    <row r="3417" spans="1:37">
      <c r="A3417" t="s">
        <v>38</v>
      </c>
      <c r="B3417" t="s">
        <v>50</v>
      </c>
      <c r="C3417" t="s">
        <v>74</v>
      </c>
      <c r="D3417" t="s">
        <v>95</v>
      </c>
      <c r="E3417" t="s">
        <v>113</v>
      </c>
      <c r="F3417" t="s">
        <v>147</v>
      </c>
      <c r="G3417" t="s">
        <v>173</v>
      </c>
      <c r="H3417" t="s">
        <v>208</v>
      </c>
      <c r="I3417" t="s">
        <v>227</v>
      </c>
      <c r="J3417" t="s">
        <v>115</v>
      </c>
      <c r="K3417" t="s">
        <v>260</v>
      </c>
      <c r="L3417" t="s">
        <v>273</v>
      </c>
      <c r="M3417" t="s">
        <v>282</v>
      </c>
      <c r="N3417" t="s">
        <v>291</v>
      </c>
      <c r="AK3417" t="s">
        <v>360</v>
      </c>
    </row>
    <row r="3418" spans="1:37">
      <c r="B3418" t="s">
        <v>51</v>
      </c>
      <c r="C3418" t="s">
        <v>75</v>
      </c>
      <c r="D3418" t="s">
        <v>52</v>
      </c>
      <c r="E3418" t="s">
        <v>114</v>
      </c>
      <c r="F3418" t="s">
        <v>148</v>
      </c>
      <c r="G3418" t="s">
        <v>148</v>
      </c>
      <c r="H3418" t="s">
        <v>209</v>
      </c>
      <c r="I3418" t="s">
        <v>228</v>
      </c>
      <c r="J3418" t="s">
        <v>247</v>
      </c>
      <c r="K3418" t="s">
        <v>261</v>
      </c>
      <c r="L3418" t="s">
        <v>274</v>
      </c>
      <c r="M3418" t="s">
        <v>283</v>
      </c>
      <c r="N3418" t="s">
        <v>292</v>
      </c>
      <c r="O3418" t="s">
        <v>300</v>
      </c>
      <c r="AK3418" t="s">
        <v>360</v>
      </c>
    </row>
    <row r="3419" spans="1:37">
      <c r="B3419" t="s">
        <v>52</v>
      </c>
      <c r="C3419" t="s">
        <v>76</v>
      </c>
      <c r="D3419" t="s">
        <v>96</v>
      </c>
      <c r="E3419" t="s">
        <v>115</v>
      </c>
      <c r="F3419" t="s">
        <v>149</v>
      </c>
      <c r="G3419" t="s">
        <v>174</v>
      </c>
      <c r="H3419" t="s">
        <v>96</v>
      </c>
      <c r="I3419" t="s">
        <v>229</v>
      </c>
      <c r="J3419" t="s">
        <v>248</v>
      </c>
      <c r="K3419" t="s">
        <v>262</v>
      </c>
      <c r="L3419" t="s">
        <v>52</v>
      </c>
      <c r="M3419" t="s">
        <v>76</v>
      </c>
      <c r="N3419" t="s">
        <v>293</v>
      </c>
      <c r="O3419" t="s">
        <v>301</v>
      </c>
      <c r="P3419" t="s">
        <v>309</v>
      </c>
      <c r="Q3419" t="s">
        <v>315</v>
      </c>
      <c r="R3419" t="s">
        <v>228</v>
      </c>
      <c r="S3419" t="s">
        <v>328</v>
      </c>
      <c r="T3419" t="s">
        <v>149</v>
      </c>
      <c r="U3419" t="s">
        <v>337</v>
      </c>
      <c r="V3419" t="s">
        <v>341</v>
      </c>
      <c r="W3419" t="s">
        <v>345</v>
      </c>
      <c r="X3419" t="s">
        <v>350</v>
      </c>
      <c r="AK3419" t="s">
        <v>360</v>
      </c>
    </row>
    <row r="3420" spans="1:37">
      <c r="B3420" t="s">
        <v>53</v>
      </c>
      <c r="C3420" t="s">
        <v>77</v>
      </c>
      <c r="D3420" t="s">
        <v>97</v>
      </c>
      <c r="E3420" t="s">
        <v>116</v>
      </c>
      <c r="F3420" t="s">
        <v>150</v>
      </c>
      <c r="G3420" t="s">
        <v>175</v>
      </c>
      <c r="H3420" t="s">
        <v>210</v>
      </c>
      <c r="I3420" t="s">
        <v>230</v>
      </c>
      <c r="J3420" t="s">
        <v>249</v>
      </c>
      <c r="K3420" t="s">
        <v>263</v>
      </c>
      <c r="L3420" t="s">
        <v>275</v>
      </c>
      <c r="M3420" t="s">
        <v>284</v>
      </c>
      <c r="N3420" t="s">
        <v>294</v>
      </c>
      <c r="O3420" t="s">
        <v>302</v>
      </c>
      <c r="P3420" t="s">
        <v>310</v>
      </c>
      <c r="Q3420" t="s">
        <v>316</v>
      </c>
      <c r="R3420" t="s">
        <v>322</v>
      </c>
      <c r="S3420" t="s">
        <v>329</v>
      </c>
      <c r="AK3420" t="s">
        <v>360</v>
      </c>
    </row>
    <row r="3421" spans="1:37">
      <c r="A3421" t="s">
        <v>39</v>
      </c>
      <c r="B3421" t="s">
        <v>54</v>
      </c>
      <c r="C3421" t="s">
        <v>54</v>
      </c>
      <c r="D3421" t="s">
        <v>54</v>
      </c>
      <c r="E3421" t="s">
        <v>54</v>
      </c>
      <c r="F3421" t="s">
        <v>54</v>
      </c>
      <c r="G3421" t="s">
        <v>54</v>
      </c>
      <c r="H3421" t="s">
        <v>54</v>
      </c>
      <c r="I3421" t="s">
        <v>54</v>
      </c>
      <c r="J3421" t="s">
        <v>54</v>
      </c>
      <c r="K3421" t="s">
        <v>54</v>
      </c>
      <c r="L3421" t="s">
        <v>54</v>
      </c>
      <c r="M3421" t="s">
        <v>54</v>
      </c>
      <c r="N3421" t="s">
        <v>54</v>
      </c>
      <c r="O3421" t="s">
        <v>54</v>
      </c>
      <c r="P3421" t="s">
        <v>54</v>
      </c>
      <c r="Q3421" t="s">
        <v>54</v>
      </c>
      <c r="R3421" t="s">
        <v>323</v>
      </c>
      <c r="S3421" t="s">
        <v>330</v>
      </c>
      <c r="AK3421" t="s">
        <v>360</v>
      </c>
    </row>
    <row r="3422" spans="1:37">
      <c r="B3422" t="s">
        <v>55</v>
      </c>
      <c r="C3422" t="s">
        <v>78</v>
      </c>
      <c r="D3422" t="s">
        <v>55</v>
      </c>
      <c r="E3422" t="s">
        <v>78</v>
      </c>
      <c r="F3422" t="s">
        <v>55</v>
      </c>
      <c r="G3422" t="s">
        <v>78</v>
      </c>
      <c r="H3422" t="s">
        <v>55</v>
      </c>
      <c r="I3422" t="s">
        <v>78</v>
      </c>
      <c r="J3422" t="s">
        <v>55</v>
      </c>
      <c r="K3422" t="s">
        <v>78</v>
      </c>
      <c r="L3422" t="s">
        <v>55</v>
      </c>
      <c r="M3422" t="s">
        <v>78</v>
      </c>
      <c r="N3422" t="s">
        <v>55</v>
      </c>
      <c r="O3422" t="s">
        <v>78</v>
      </c>
      <c r="P3422" t="s">
        <v>55</v>
      </c>
      <c r="Q3422" t="s">
        <v>78</v>
      </c>
      <c r="R3422" t="s">
        <v>55</v>
      </c>
      <c r="S3422" t="s">
        <v>78</v>
      </c>
      <c r="T3422" t="s">
        <v>55</v>
      </c>
      <c r="U3422" t="s">
        <v>78</v>
      </c>
      <c r="V3422" t="s">
        <v>55</v>
      </c>
      <c r="W3422" t="s">
        <v>78</v>
      </c>
      <c r="X3422" t="s">
        <v>55</v>
      </c>
      <c r="Y3422" t="s">
        <v>78</v>
      </c>
      <c r="Z3422" t="s">
        <v>55</v>
      </c>
      <c r="AA3422" t="s">
        <v>78</v>
      </c>
      <c r="AB3422" t="s">
        <v>55</v>
      </c>
      <c r="AC3422" t="s">
        <v>78</v>
      </c>
      <c r="AD3422" t="s">
        <v>55</v>
      </c>
      <c r="AE3422" t="s">
        <v>78</v>
      </c>
      <c r="AF3422" t="s">
        <v>55</v>
      </c>
      <c r="AG3422" t="s">
        <v>78</v>
      </c>
      <c r="AH3422" t="s">
        <v>55</v>
      </c>
      <c r="AI3422" t="s">
        <v>78</v>
      </c>
      <c r="AK3422" t="s">
        <v>360</v>
      </c>
    </row>
    <row r="3423" spans="1:37">
      <c r="B3423" t="s">
        <v>56</v>
      </c>
      <c r="C3423" t="s">
        <v>56</v>
      </c>
      <c r="D3423" t="s">
        <v>56</v>
      </c>
      <c r="E3423" t="s">
        <v>56</v>
      </c>
      <c r="F3423" t="s">
        <v>56</v>
      </c>
      <c r="G3423" t="s">
        <v>176</v>
      </c>
      <c r="H3423" t="s">
        <v>211</v>
      </c>
      <c r="I3423" t="s">
        <v>231</v>
      </c>
      <c r="J3423" t="s">
        <v>250</v>
      </c>
      <c r="K3423" t="s">
        <v>264</v>
      </c>
      <c r="L3423" t="s">
        <v>276</v>
      </c>
      <c r="M3423" t="s">
        <v>285</v>
      </c>
      <c r="N3423" t="s">
        <v>295</v>
      </c>
      <c r="O3423" t="s">
        <v>303</v>
      </c>
      <c r="P3423" t="s">
        <v>56</v>
      </c>
      <c r="Q3423" t="s">
        <v>317</v>
      </c>
      <c r="R3423" t="s">
        <v>324</v>
      </c>
      <c r="S3423" t="s">
        <v>331</v>
      </c>
      <c r="T3423" t="s">
        <v>334</v>
      </c>
      <c r="U3423" t="s">
        <v>338</v>
      </c>
      <c r="V3423" t="s">
        <v>342</v>
      </c>
      <c r="W3423" t="s">
        <v>346</v>
      </c>
      <c r="X3423" t="s">
        <v>351</v>
      </c>
      <c r="AK3423" t="s">
        <v>360</v>
      </c>
    </row>
    <row r="3424" spans="1:37">
      <c r="B3424" t="s">
        <v>57</v>
      </c>
      <c r="C3424" t="s">
        <v>79</v>
      </c>
      <c r="D3424" t="s">
        <v>98</v>
      </c>
      <c r="E3424" t="s">
        <v>117</v>
      </c>
      <c r="F3424" t="s">
        <v>151</v>
      </c>
      <c r="G3424" t="s">
        <v>177</v>
      </c>
      <c r="H3424" t="s">
        <v>212</v>
      </c>
      <c r="I3424" t="s">
        <v>232</v>
      </c>
      <c r="J3424" t="s">
        <v>251</v>
      </c>
      <c r="K3424" t="s">
        <v>265</v>
      </c>
      <c r="L3424" t="s">
        <v>277</v>
      </c>
      <c r="M3424" t="s">
        <v>286</v>
      </c>
      <c r="N3424" t="s">
        <v>296</v>
      </c>
      <c r="O3424" t="s">
        <v>304</v>
      </c>
      <c r="P3424" t="s">
        <v>311</v>
      </c>
      <c r="Q3424" t="s">
        <v>318</v>
      </c>
      <c r="R3424" t="s">
        <v>185</v>
      </c>
      <c r="S3424" t="s">
        <v>159</v>
      </c>
      <c r="T3424" t="s">
        <v>185</v>
      </c>
      <c r="U3424" t="s">
        <v>339</v>
      </c>
      <c r="V3424" t="s">
        <v>72</v>
      </c>
      <c r="W3424" t="s">
        <v>347</v>
      </c>
      <c r="X3424" t="s">
        <v>72</v>
      </c>
      <c r="Y3424" t="s">
        <v>96</v>
      </c>
      <c r="AK3424" t="s">
        <v>360</v>
      </c>
    </row>
    <row r="3425" spans="1:37">
      <c r="B3425" t="s">
        <v>58</v>
      </c>
      <c r="C3425" t="s">
        <v>80</v>
      </c>
      <c r="D3425" t="s">
        <v>99</v>
      </c>
      <c r="E3425" t="s">
        <v>118</v>
      </c>
      <c r="F3425" t="s">
        <v>152</v>
      </c>
      <c r="G3425" t="s">
        <v>178</v>
      </c>
      <c r="H3425" t="s">
        <v>213</v>
      </c>
      <c r="I3425" t="s">
        <v>233</v>
      </c>
      <c r="J3425" t="s">
        <v>252</v>
      </c>
      <c r="K3425" t="s">
        <v>266</v>
      </c>
      <c r="L3425" t="s">
        <v>278</v>
      </c>
      <c r="M3425" t="s">
        <v>287</v>
      </c>
      <c r="N3425" t="s">
        <v>297</v>
      </c>
      <c r="O3425" t="s">
        <v>305</v>
      </c>
      <c r="P3425" t="s">
        <v>312</v>
      </c>
      <c r="Q3425" t="s">
        <v>319</v>
      </c>
      <c r="R3425">
        <f>&gt;10       ветра      1.9     21  30</f>
        <v>0</v>
      </c>
      <c r="AK3425" t="s">
        <v>360</v>
      </c>
    </row>
    <row r="3426" spans="1:37">
      <c r="A3426" t="s">
        <v>40</v>
      </c>
      <c r="B3426" t="s">
        <v>59</v>
      </c>
      <c r="C3426" t="s">
        <v>81</v>
      </c>
      <c r="D3426" t="s">
        <v>100</v>
      </c>
      <c r="E3426" t="s">
        <v>119</v>
      </c>
      <c r="F3426" t="s">
        <v>153</v>
      </c>
      <c r="G3426" t="s">
        <v>179</v>
      </c>
      <c r="H3426" t="s">
        <v>214</v>
      </c>
      <c r="I3426" t="s">
        <v>234</v>
      </c>
      <c r="AK3426" t="s">
        <v>360</v>
      </c>
    </row>
    <row r="3427" spans="1:37">
      <c r="A3427" t="s">
        <v>40</v>
      </c>
      <c r="B3427" t="s">
        <v>60</v>
      </c>
      <c r="C3427" t="s">
        <v>82</v>
      </c>
      <c r="D3427" t="s">
        <v>101</v>
      </c>
      <c r="E3427" t="s">
        <v>120</v>
      </c>
      <c r="F3427" t="s">
        <v>154</v>
      </c>
      <c r="G3427" t="s">
        <v>180</v>
      </c>
      <c r="H3427" t="s">
        <v>215</v>
      </c>
      <c r="I3427" t="s">
        <v>235</v>
      </c>
      <c r="J3427" t="s">
        <v>253</v>
      </c>
      <c r="K3427" t="s">
        <v>267</v>
      </c>
      <c r="L3427" t="s">
        <v>279</v>
      </c>
      <c r="M3427" t="s">
        <v>288</v>
      </c>
      <c r="N3427" t="s">
        <v>100</v>
      </c>
      <c r="O3427" t="s">
        <v>306</v>
      </c>
      <c r="P3427" t="s">
        <v>313</v>
      </c>
      <c r="Q3427" t="s">
        <v>320</v>
      </c>
      <c r="R3427" t="s">
        <v>325</v>
      </c>
      <c r="S3427" t="s">
        <v>332</v>
      </c>
      <c r="T3427" t="s">
        <v>119</v>
      </c>
      <c r="U3427" t="s">
        <v>234</v>
      </c>
      <c r="V3427" t="s">
        <v>343</v>
      </c>
      <c r="W3427" t="s">
        <v>348</v>
      </c>
      <c r="X3427" t="s">
        <v>352</v>
      </c>
      <c r="Y3427" t="s">
        <v>354</v>
      </c>
      <c r="AK3427" t="s">
        <v>360</v>
      </c>
    </row>
    <row r="3428" spans="1:37">
      <c r="A3428" t="s">
        <v>41</v>
      </c>
      <c r="B3428" t="s">
        <v>61</v>
      </c>
      <c r="C3428" t="s">
        <v>83</v>
      </c>
      <c r="D3428" t="s">
        <v>102</v>
      </c>
      <c r="E3428" t="s">
        <v>121</v>
      </c>
      <c r="F3428" t="s">
        <v>155</v>
      </c>
      <c r="G3428" t="s">
        <v>181</v>
      </c>
      <c r="H3428" t="s">
        <v>216</v>
      </c>
      <c r="I3428" t="s">
        <v>236</v>
      </c>
      <c r="AK3428" t="s">
        <v>360</v>
      </c>
    </row>
    <row r="3429" spans="1:37">
      <c r="A3429" t="s">
        <v>42</v>
      </c>
      <c r="B3429" t="s">
        <v>62</v>
      </c>
      <c r="C3429" t="s">
        <v>84</v>
      </c>
      <c r="D3429" t="s">
        <v>103</v>
      </c>
      <c r="E3429" t="s">
        <v>122</v>
      </c>
      <c r="F3429" t="s">
        <v>156</v>
      </c>
      <c r="G3429" t="s">
        <v>182</v>
      </c>
      <c r="H3429" t="s">
        <v>83</v>
      </c>
      <c r="I3429" t="s">
        <v>237</v>
      </c>
      <c r="J3429" t="s">
        <v>254</v>
      </c>
      <c r="K3429" t="s">
        <v>268</v>
      </c>
      <c r="L3429" t="s">
        <v>280</v>
      </c>
      <c r="M3429" t="s">
        <v>289</v>
      </c>
      <c r="N3429" t="s">
        <v>298</v>
      </c>
      <c r="O3429" t="s">
        <v>307</v>
      </c>
      <c r="P3429" t="s">
        <v>314</v>
      </c>
      <c r="Q3429" t="s">
        <v>216</v>
      </c>
      <c r="R3429" t="s">
        <v>326</v>
      </c>
      <c r="S3429" t="s">
        <v>333</v>
      </c>
      <c r="T3429" t="s">
        <v>335</v>
      </c>
      <c r="U3429" t="s">
        <v>340</v>
      </c>
      <c r="V3429" t="s">
        <v>344</v>
      </c>
      <c r="W3429" t="s">
        <v>349</v>
      </c>
      <c r="AK3429" t="s">
        <v>360</v>
      </c>
    </row>
    <row r="3430" spans="1:37">
      <c r="A3430" t="s">
        <v>43</v>
      </c>
      <c r="B3430" t="s">
        <v>63</v>
      </c>
      <c r="C3430" t="s">
        <v>85</v>
      </c>
      <c r="D3430" t="s">
        <v>104</v>
      </c>
      <c r="E3430" t="s">
        <v>123</v>
      </c>
      <c r="F3430" t="s">
        <v>157</v>
      </c>
      <c r="G3430" t="s">
        <v>183</v>
      </c>
      <c r="AK3430" t="s">
        <v>360</v>
      </c>
    </row>
    <row r="3431" spans="1:37">
      <c r="A3431" t="s">
        <v>44</v>
      </c>
      <c r="B3431" t="s">
        <v>64</v>
      </c>
      <c r="C3431" t="s">
        <v>86</v>
      </c>
      <c r="D3431" t="s">
        <v>105</v>
      </c>
      <c r="E3431" t="s">
        <v>124</v>
      </c>
      <c r="F3431" t="s">
        <v>158</v>
      </c>
      <c r="G3431" t="s">
        <v>184</v>
      </c>
      <c r="AK3431" t="s">
        <v>360</v>
      </c>
    </row>
    <row r="3432" spans="1:37">
      <c r="A3432" t="s">
        <v>45</v>
      </c>
      <c r="B3432" t="s">
        <v>65</v>
      </c>
      <c r="C3432" t="s">
        <v>87</v>
      </c>
      <c r="D3432" t="s">
        <v>106</v>
      </c>
      <c r="E3432" t="s">
        <v>125</v>
      </c>
      <c r="F3432" t="s">
        <v>159</v>
      </c>
      <c r="G3432" t="s">
        <v>185</v>
      </c>
      <c r="H3432" t="s">
        <v>159</v>
      </c>
      <c r="I3432" t="s">
        <v>185</v>
      </c>
      <c r="J3432" t="s">
        <v>255</v>
      </c>
      <c r="AK3432" t="s">
        <v>360</v>
      </c>
    </row>
    <row r="3433" spans="1:37">
      <c r="A3433" t="s">
        <v>46</v>
      </c>
      <c r="B3433" t="s">
        <v>66</v>
      </c>
      <c r="C3433" t="s">
        <v>88</v>
      </c>
      <c r="D3433" t="s">
        <v>76</v>
      </c>
      <c r="E3433" t="s">
        <v>126</v>
      </c>
      <c r="F3433" t="s">
        <v>160</v>
      </c>
      <c r="G3433" t="s">
        <v>186</v>
      </c>
      <c r="H3433" t="s">
        <v>217</v>
      </c>
      <c r="I3433" t="s">
        <v>238</v>
      </c>
      <c r="J3433" t="s">
        <v>256</v>
      </c>
      <c r="K3433" t="s">
        <v>265</v>
      </c>
      <c r="L3433" t="s">
        <v>281</v>
      </c>
      <c r="M3433" t="s">
        <v>290</v>
      </c>
      <c r="N3433" t="s">
        <v>299</v>
      </c>
      <c r="O3433" t="s">
        <v>308</v>
      </c>
      <c r="P3433" t="s">
        <v>228</v>
      </c>
      <c r="Q3433" t="s">
        <v>72</v>
      </c>
      <c r="R3433" t="s">
        <v>327</v>
      </c>
      <c r="S3433" t="s">
        <v>327</v>
      </c>
      <c r="T3433" t="s">
        <v>336</v>
      </c>
      <c r="U3433" t="s">
        <v>336</v>
      </c>
      <c r="V3433" t="s">
        <v>336</v>
      </c>
      <c r="W3433" t="s">
        <v>336</v>
      </c>
      <c r="X3433" t="s">
        <v>353</v>
      </c>
      <c r="AK3433" t="s">
        <v>360</v>
      </c>
    </row>
    <row r="3434" spans="1:37">
      <c r="B3434" t="s">
        <v>67</v>
      </c>
      <c r="C3434" t="s">
        <v>89</v>
      </c>
      <c r="D3434" t="s">
        <v>107</v>
      </c>
      <c r="AK3434" t="s">
        <v>360</v>
      </c>
    </row>
    <row r="3435" spans="1:37">
      <c r="B3435" t="s">
        <v>68</v>
      </c>
      <c r="C3435" t="s">
        <v>90</v>
      </c>
      <c r="D3435" t="s">
        <v>108</v>
      </c>
      <c r="AK3435" t="s">
        <v>360</v>
      </c>
    </row>
    <row r="3436" spans="1:37">
      <c r="A3436" t="s">
        <v>47</v>
      </c>
      <c r="B3436" t="s">
        <v>69</v>
      </c>
      <c r="C3436" t="s">
        <v>91</v>
      </c>
      <c r="D3436" t="s">
        <v>109</v>
      </c>
      <c r="E3436" t="s">
        <v>109</v>
      </c>
      <c r="F3436" t="s">
        <v>109</v>
      </c>
      <c r="G3436" t="s">
        <v>109</v>
      </c>
      <c r="H3436" t="s">
        <v>109</v>
      </c>
      <c r="I3436" t="s">
        <v>239</v>
      </c>
      <c r="AK3436" t="s">
        <v>360</v>
      </c>
    </row>
    <row r="3437" spans="1:37">
      <c r="B3437" t="s">
        <v>70</v>
      </c>
      <c r="C3437" t="s">
        <v>92</v>
      </c>
      <c r="D3437" t="s">
        <v>110</v>
      </c>
      <c r="E3437" t="s">
        <v>127</v>
      </c>
      <c r="F3437" t="s">
        <v>161</v>
      </c>
      <c r="G3437" t="s">
        <v>187</v>
      </c>
      <c r="H3437" t="s">
        <v>218</v>
      </c>
      <c r="AK3437" t="s">
        <v>360</v>
      </c>
    </row>
    <row r="3438" spans="1:37">
      <c r="B3438" t="s">
        <v>71</v>
      </c>
      <c r="C3438" t="s">
        <v>93</v>
      </c>
      <c r="D3438" t="s">
        <v>111</v>
      </c>
      <c r="E3438" t="s">
        <v>128</v>
      </c>
      <c r="F3438" t="s">
        <v>162</v>
      </c>
      <c r="G3438" t="s">
        <v>188</v>
      </c>
      <c r="H3438" t="s">
        <v>219</v>
      </c>
      <c r="I3438" t="s">
        <v>240</v>
      </c>
      <c r="J3438" t="s">
        <v>257</v>
      </c>
      <c r="K3438" t="s">
        <v>269</v>
      </c>
      <c r="L3438" t="s">
        <v>109</v>
      </c>
      <c r="M3438" t="s">
        <v>109</v>
      </c>
      <c r="N3438" t="s">
        <v>109</v>
      </c>
      <c r="O3438" t="s">
        <v>109</v>
      </c>
      <c r="P3438" t="s">
        <v>109</v>
      </c>
      <c r="Q3438" t="s">
        <v>321</v>
      </c>
      <c r="AK3438" t="s">
        <v>360</v>
      </c>
    </row>
    <row r="3439" spans="1:37">
      <c r="A3439" t="s">
        <v>48</v>
      </c>
      <c r="B3439" t="s">
        <v>71</v>
      </c>
      <c r="C3439" t="s">
        <v>93</v>
      </c>
      <c r="D3439" t="s">
        <v>111</v>
      </c>
      <c r="E3439" t="s">
        <v>128</v>
      </c>
      <c r="F3439" t="s">
        <v>163</v>
      </c>
      <c r="G3439" t="s">
        <v>189</v>
      </c>
      <c r="H3439" t="s">
        <v>220</v>
      </c>
      <c r="I3439" t="s">
        <v>241</v>
      </c>
      <c r="J3439" t="s">
        <v>258</v>
      </c>
      <c r="K3439" t="s">
        <v>270</v>
      </c>
      <c r="AK3439" t="s">
        <v>360</v>
      </c>
    </row>
    <row r="3440" spans="1:37">
      <c r="B3440" t="s">
        <v>72</v>
      </c>
      <c r="C3440" t="s">
        <v>72</v>
      </c>
      <c r="D3440" t="s">
        <v>72</v>
      </c>
      <c r="E3440" t="s">
        <v>72</v>
      </c>
      <c r="F3440" t="s">
        <v>72</v>
      </c>
      <c r="G3440" t="s">
        <v>72</v>
      </c>
      <c r="H3440" t="s">
        <v>72</v>
      </c>
      <c r="I3440" t="s">
        <v>72</v>
      </c>
      <c r="J3440" t="s">
        <v>72</v>
      </c>
      <c r="K3440" t="s">
        <v>272</v>
      </c>
      <c r="AK3440" t="s">
        <v>360</v>
      </c>
    </row>
    <row r="3441" spans="1:37">
      <c r="A3441" t="s">
        <v>37</v>
      </c>
      <c r="B3441" t="s">
        <v>49</v>
      </c>
      <c r="C3441" t="s">
        <v>73</v>
      </c>
      <c r="D3441" t="s">
        <v>94</v>
      </c>
      <c r="E3441" t="s">
        <v>112</v>
      </c>
      <c r="F3441" t="s">
        <v>146</v>
      </c>
      <c r="G3441" t="s">
        <v>172</v>
      </c>
      <c r="H3441" t="s">
        <v>207</v>
      </c>
      <c r="I3441" t="s">
        <v>226</v>
      </c>
      <c r="J3441" t="s">
        <v>246</v>
      </c>
      <c r="K3441" t="s">
        <v>259</v>
      </c>
      <c r="AK3441" t="s">
        <v>360</v>
      </c>
    </row>
    <row r="3442" spans="1:37">
      <c r="A3442" t="s">
        <v>38</v>
      </c>
      <c r="B3442" t="s">
        <v>50</v>
      </c>
      <c r="C3442" t="s">
        <v>74</v>
      </c>
      <c r="D3442" t="s">
        <v>95</v>
      </c>
      <c r="E3442" t="s">
        <v>113</v>
      </c>
      <c r="F3442" t="s">
        <v>147</v>
      </c>
      <c r="G3442" t="s">
        <v>173</v>
      </c>
      <c r="H3442" t="s">
        <v>208</v>
      </c>
      <c r="I3442" t="s">
        <v>227</v>
      </c>
      <c r="J3442" t="s">
        <v>115</v>
      </c>
      <c r="K3442" t="s">
        <v>260</v>
      </c>
      <c r="L3442" t="s">
        <v>273</v>
      </c>
      <c r="M3442" t="s">
        <v>282</v>
      </c>
      <c r="N3442" t="s">
        <v>291</v>
      </c>
      <c r="AK3442" t="s">
        <v>360</v>
      </c>
    </row>
    <row r="3443" spans="1:37">
      <c r="B3443" t="s">
        <v>51</v>
      </c>
      <c r="C3443" t="s">
        <v>75</v>
      </c>
      <c r="D3443" t="s">
        <v>52</v>
      </c>
      <c r="E3443" t="s">
        <v>114</v>
      </c>
      <c r="F3443" t="s">
        <v>148</v>
      </c>
      <c r="G3443" t="s">
        <v>148</v>
      </c>
      <c r="H3443" t="s">
        <v>209</v>
      </c>
      <c r="I3443" t="s">
        <v>228</v>
      </c>
      <c r="J3443" t="s">
        <v>247</v>
      </c>
      <c r="K3443" t="s">
        <v>261</v>
      </c>
      <c r="L3443" t="s">
        <v>274</v>
      </c>
      <c r="M3443" t="s">
        <v>283</v>
      </c>
      <c r="N3443" t="s">
        <v>292</v>
      </c>
      <c r="O3443" t="s">
        <v>300</v>
      </c>
      <c r="AK3443" t="s">
        <v>360</v>
      </c>
    </row>
    <row r="3444" spans="1:37">
      <c r="B3444" t="s">
        <v>52</v>
      </c>
      <c r="C3444" t="s">
        <v>76</v>
      </c>
      <c r="D3444" t="s">
        <v>96</v>
      </c>
      <c r="E3444" t="s">
        <v>115</v>
      </c>
      <c r="F3444" t="s">
        <v>149</v>
      </c>
      <c r="G3444" t="s">
        <v>174</v>
      </c>
      <c r="H3444" t="s">
        <v>96</v>
      </c>
      <c r="I3444" t="s">
        <v>229</v>
      </c>
      <c r="J3444" t="s">
        <v>248</v>
      </c>
      <c r="K3444" t="s">
        <v>262</v>
      </c>
      <c r="L3444" t="s">
        <v>52</v>
      </c>
      <c r="M3444" t="s">
        <v>76</v>
      </c>
      <c r="N3444" t="s">
        <v>293</v>
      </c>
      <c r="O3444" t="s">
        <v>301</v>
      </c>
      <c r="P3444" t="s">
        <v>309</v>
      </c>
      <c r="Q3444" t="s">
        <v>315</v>
      </c>
      <c r="R3444" t="s">
        <v>228</v>
      </c>
      <c r="S3444" t="s">
        <v>328</v>
      </c>
      <c r="T3444" t="s">
        <v>149</v>
      </c>
      <c r="U3444" t="s">
        <v>337</v>
      </c>
      <c r="V3444" t="s">
        <v>341</v>
      </c>
      <c r="W3444" t="s">
        <v>345</v>
      </c>
      <c r="X3444" t="s">
        <v>350</v>
      </c>
      <c r="AK3444" t="s">
        <v>360</v>
      </c>
    </row>
    <row r="3445" spans="1:37">
      <c r="B3445" t="s">
        <v>53</v>
      </c>
      <c r="C3445" t="s">
        <v>77</v>
      </c>
      <c r="D3445" t="s">
        <v>97</v>
      </c>
      <c r="E3445" t="s">
        <v>116</v>
      </c>
      <c r="F3445" t="s">
        <v>150</v>
      </c>
      <c r="G3445" t="s">
        <v>175</v>
      </c>
      <c r="H3445" t="s">
        <v>210</v>
      </c>
      <c r="I3445" t="s">
        <v>230</v>
      </c>
      <c r="J3445" t="s">
        <v>249</v>
      </c>
      <c r="K3445" t="s">
        <v>263</v>
      </c>
      <c r="L3445" t="s">
        <v>275</v>
      </c>
      <c r="M3445" t="s">
        <v>284</v>
      </c>
      <c r="N3445" t="s">
        <v>294</v>
      </c>
      <c r="O3445" t="s">
        <v>302</v>
      </c>
      <c r="P3445" t="s">
        <v>310</v>
      </c>
      <c r="Q3445" t="s">
        <v>316</v>
      </c>
      <c r="R3445" t="s">
        <v>322</v>
      </c>
      <c r="S3445" t="s">
        <v>329</v>
      </c>
      <c r="AK3445" t="s">
        <v>360</v>
      </c>
    </row>
    <row r="3446" spans="1:37">
      <c r="A3446" t="s">
        <v>39</v>
      </c>
      <c r="B3446" t="s">
        <v>54</v>
      </c>
      <c r="C3446" t="s">
        <v>54</v>
      </c>
      <c r="D3446" t="s">
        <v>54</v>
      </c>
      <c r="E3446" t="s">
        <v>54</v>
      </c>
      <c r="F3446" t="s">
        <v>54</v>
      </c>
      <c r="G3446" t="s">
        <v>54</v>
      </c>
      <c r="H3446" t="s">
        <v>54</v>
      </c>
      <c r="I3446" t="s">
        <v>54</v>
      </c>
      <c r="J3446" t="s">
        <v>54</v>
      </c>
      <c r="K3446" t="s">
        <v>54</v>
      </c>
      <c r="L3446" t="s">
        <v>54</v>
      </c>
      <c r="M3446" t="s">
        <v>54</v>
      </c>
      <c r="N3446" t="s">
        <v>54</v>
      </c>
      <c r="O3446" t="s">
        <v>54</v>
      </c>
      <c r="P3446" t="s">
        <v>54</v>
      </c>
      <c r="Q3446" t="s">
        <v>54</v>
      </c>
      <c r="R3446" t="s">
        <v>323</v>
      </c>
      <c r="S3446" t="s">
        <v>330</v>
      </c>
      <c r="AK3446" t="s">
        <v>360</v>
      </c>
    </row>
    <row r="3447" spans="1:37">
      <c r="B3447" t="s">
        <v>55</v>
      </c>
      <c r="C3447" t="s">
        <v>78</v>
      </c>
      <c r="D3447" t="s">
        <v>55</v>
      </c>
      <c r="E3447" t="s">
        <v>78</v>
      </c>
      <c r="F3447" t="s">
        <v>55</v>
      </c>
      <c r="G3447" t="s">
        <v>78</v>
      </c>
      <c r="H3447" t="s">
        <v>55</v>
      </c>
      <c r="I3447" t="s">
        <v>78</v>
      </c>
      <c r="J3447" t="s">
        <v>55</v>
      </c>
      <c r="K3447" t="s">
        <v>78</v>
      </c>
      <c r="L3447" t="s">
        <v>55</v>
      </c>
      <c r="M3447" t="s">
        <v>78</v>
      </c>
      <c r="N3447" t="s">
        <v>55</v>
      </c>
      <c r="O3447" t="s">
        <v>78</v>
      </c>
      <c r="P3447" t="s">
        <v>55</v>
      </c>
      <c r="Q3447" t="s">
        <v>78</v>
      </c>
      <c r="R3447" t="s">
        <v>55</v>
      </c>
      <c r="S3447" t="s">
        <v>78</v>
      </c>
      <c r="T3447" t="s">
        <v>55</v>
      </c>
      <c r="U3447" t="s">
        <v>78</v>
      </c>
      <c r="V3447" t="s">
        <v>55</v>
      </c>
      <c r="W3447" t="s">
        <v>78</v>
      </c>
      <c r="X3447" t="s">
        <v>55</v>
      </c>
      <c r="Y3447" t="s">
        <v>78</v>
      </c>
      <c r="Z3447" t="s">
        <v>55</v>
      </c>
      <c r="AA3447" t="s">
        <v>78</v>
      </c>
      <c r="AB3447" t="s">
        <v>55</v>
      </c>
      <c r="AC3447" t="s">
        <v>78</v>
      </c>
      <c r="AD3447" t="s">
        <v>55</v>
      </c>
      <c r="AE3447" t="s">
        <v>78</v>
      </c>
      <c r="AF3447" t="s">
        <v>55</v>
      </c>
      <c r="AG3447" t="s">
        <v>78</v>
      </c>
      <c r="AH3447" t="s">
        <v>55</v>
      </c>
      <c r="AI3447" t="s">
        <v>78</v>
      </c>
      <c r="AK3447" t="s">
        <v>360</v>
      </c>
    </row>
    <row r="3448" spans="1:37">
      <c r="B3448" t="s">
        <v>56</v>
      </c>
      <c r="C3448" t="s">
        <v>56</v>
      </c>
      <c r="D3448" t="s">
        <v>56</v>
      </c>
      <c r="E3448" t="s">
        <v>56</v>
      </c>
      <c r="F3448" t="s">
        <v>56</v>
      </c>
      <c r="G3448" t="s">
        <v>176</v>
      </c>
      <c r="H3448" t="s">
        <v>211</v>
      </c>
      <c r="I3448" t="s">
        <v>231</v>
      </c>
      <c r="J3448" t="s">
        <v>250</v>
      </c>
      <c r="K3448" t="s">
        <v>264</v>
      </c>
      <c r="L3448" t="s">
        <v>276</v>
      </c>
      <c r="M3448" t="s">
        <v>285</v>
      </c>
      <c r="N3448" t="s">
        <v>295</v>
      </c>
      <c r="O3448" t="s">
        <v>303</v>
      </c>
      <c r="P3448" t="s">
        <v>56</v>
      </c>
      <c r="Q3448" t="s">
        <v>317</v>
      </c>
      <c r="R3448" t="s">
        <v>324</v>
      </c>
      <c r="S3448" t="s">
        <v>331</v>
      </c>
      <c r="T3448" t="s">
        <v>334</v>
      </c>
      <c r="U3448" t="s">
        <v>338</v>
      </c>
      <c r="V3448" t="s">
        <v>342</v>
      </c>
      <c r="W3448" t="s">
        <v>346</v>
      </c>
      <c r="X3448" t="s">
        <v>351</v>
      </c>
      <c r="AK3448" t="s">
        <v>360</v>
      </c>
    </row>
    <row r="3449" spans="1:37">
      <c r="B3449" t="s">
        <v>57</v>
      </c>
      <c r="C3449" t="s">
        <v>79</v>
      </c>
      <c r="D3449" t="s">
        <v>98</v>
      </c>
      <c r="E3449" t="s">
        <v>117</v>
      </c>
      <c r="F3449" t="s">
        <v>151</v>
      </c>
      <c r="G3449" t="s">
        <v>177</v>
      </c>
      <c r="H3449" t="s">
        <v>212</v>
      </c>
      <c r="I3449" t="s">
        <v>232</v>
      </c>
      <c r="J3449" t="s">
        <v>251</v>
      </c>
      <c r="K3449" t="s">
        <v>265</v>
      </c>
      <c r="L3449" t="s">
        <v>277</v>
      </c>
      <c r="M3449" t="s">
        <v>286</v>
      </c>
      <c r="N3449" t="s">
        <v>296</v>
      </c>
      <c r="O3449" t="s">
        <v>304</v>
      </c>
      <c r="P3449" t="s">
        <v>311</v>
      </c>
      <c r="Q3449" t="s">
        <v>318</v>
      </c>
      <c r="R3449" t="s">
        <v>185</v>
      </c>
      <c r="S3449" t="s">
        <v>159</v>
      </c>
      <c r="T3449" t="s">
        <v>185</v>
      </c>
      <c r="U3449" t="s">
        <v>339</v>
      </c>
      <c r="V3449" t="s">
        <v>72</v>
      </c>
      <c r="W3449" t="s">
        <v>347</v>
      </c>
      <c r="X3449" t="s">
        <v>72</v>
      </c>
      <c r="Y3449" t="s">
        <v>96</v>
      </c>
      <c r="AK3449" t="s">
        <v>360</v>
      </c>
    </row>
    <row r="3450" spans="1:37">
      <c r="B3450" t="s">
        <v>58</v>
      </c>
      <c r="C3450" t="s">
        <v>80</v>
      </c>
      <c r="D3450" t="s">
        <v>99</v>
      </c>
      <c r="E3450" t="s">
        <v>118</v>
      </c>
      <c r="F3450" t="s">
        <v>152</v>
      </c>
      <c r="G3450" t="s">
        <v>178</v>
      </c>
      <c r="H3450" t="s">
        <v>213</v>
      </c>
      <c r="I3450" t="s">
        <v>233</v>
      </c>
      <c r="J3450" t="s">
        <v>252</v>
      </c>
      <c r="K3450" t="s">
        <v>266</v>
      </c>
      <c r="L3450" t="s">
        <v>278</v>
      </c>
      <c r="M3450" t="s">
        <v>287</v>
      </c>
      <c r="N3450" t="s">
        <v>297</v>
      </c>
      <c r="O3450" t="s">
        <v>305</v>
      </c>
      <c r="P3450" t="s">
        <v>312</v>
      </c>
      <c r="Q3450" t="s">
        <v>319</v>
      </c>
      <c r="R3450">
        <f>&gt;10       ветра      2.1     14   4  7</f>
        <v>0</v>
      </c>
      <c r="AK3450" t="s">
        <v>360</v>
      </c>
    </row>
    <row r="3451" spans="1:37">
      <c r="A3451" t="s">
        <v>40</v>
      </c>
      <c r="B3451" t="s">
        <v>59</v>
      </c>
      <c r="C3451" t="s">
        <v>81</v>
      </c>
      <c r="D3451" t="s">
        <v>100</v>
      </c>
      <c r="E3451" t="s">
        <v>119</v>
      </c>
      <c r="F3451" t="s">
        <v>153</v>
      </c>
      <c r="G3451" t="s">
        <v>179</v>
      </c>
      <c r="H3451" t="s">
        <v>214</v>
      </c>
      <c r="I3451" t="s">
        <v>234</v>
      </c>
      <c r="AK3451" t="s">
        <v>360</v>
      </c>
    </row>
    <row r="3452" spans="1:37">
      <c r="A3452" t="s">
        <v>40</v>
      </c>
      <c r="B3452" t="s">
        <v>60</v>
      </c>
      <c r="C3452" t="s">
        <v>82</v>
      </c>
      <c r="D3452" t="s">
        <v>101</v>
      </c>
      <c r="E3452" t="s">
        <v>120</v>
      </c>
      <c r="F3452" t="s">
        <v>154</v>
      </c>
      <c r="G3452" t="s">
        <v>180</v>
      </c>
      <c r="H3452" t="s">
        <v>215</v>
      </c>
      <c r="I3452" t="s">
        <v>235</v>
      </c>
      <c r="J3452" t="s">
        <v>253</v>
      </c>
      <c r="K3452" t="s">
        <v>267</v>
      </c>
      <c r="L3452" t="s">
        <v>279</v>
      </c>
      <c r="M3452" t="s">
        <v>288</v>
      </c>
      <c r="N3452" t="s">
        <v>100</v>
      </c>
      <c r="O3452" t="s">
        <v>306</v>
      </c>
      <c r="P3452" t="s">
        <v>313</v>
      </c>
      <c r="Q3452" t="s">
        <v>320</v>
      </c>
      <c r="R3452" t="s">
        <v>325</v>
      </c>
      <c r="S3452" t="s">
        <v>332</v>
      </c>
      <c r="T3452" t="s">
        <v>119</v>
      </c>
      <c r="U3452" t="s">
        <v>234</v>
      </c>
      <c r="V3452" t="s">
        <v>343</v>
      </c>
      <c r="W3452" t="s">
        <v>348</v>
      </c>
      <c r="X3452" t="s">
        <v>352</v>
      </c>
      <c r="Y3452" t="s">
        <v>354</v>
      </c>
      <c r="AK3452" t="s">
        <v>360</v>
      </c>
    </row>
    <row r="3453" spans="1:37">
      <c r="A3453" t="s">
        <v>41</v>
      </c>
      <c r="B3453" t="s">
        <v>61</v>
      </c>
      <c r="C3453" t="s">
        <v>83</v>
      </c>
      <c r="D3453" t="s">
        <v>102</v>
      </c>
      <c r="E3453" t="s">
        <v>121</v>
      </c>
      <c r="F3453" t="s">
        <v>155</v>
      </c>
      <c r="G3453" t="s">
        <v>181</v>
      </c>
      <c r="H3453" t="s">
        <v>216</v>
      </c>
      <c r="I3453" t="s">
        <v>236</v>
      </c>
      <c r="AK3453" t="s">
        <v>360</v>
      </c>
    </row>
    <row r="3454" spans="1:37">
      <c r="A3454" t="s">
        <v>42</v>
      </c>
      <c r="B3454" t="s">
        <v>62</v>
      </c>
      <c r="C3454" t="s">
        <v>84</v>
      </c>
      <c r="D3454" t="s">
        <v>103</v>
      </c>
      <c r="E3454" t="s">
        <v>122</v>
      </c>
      <c r="F3454" t="s">
        <v>156</v>
      </c>
      <c r="G3454" t="s">
        <v>182</v>
      </c>
      <c r="H3454" t="s">
        <v>83</v>
      </c>
      <c r="I3454" t="s">
        <v>237</v>
      </c>
      <c r="J3454" t="s">
        <v>254</v>
      </c>
      <c r="K3454" t="s">
        <v>268</v>
      </c>
      <c r="L3454" t="s">
        <v>280</v>
      </c>
      <c r="M3454" t="s">
        <v>289</v>
      </c>
      <c r="N3454" t="s">
        <v>298</v>
      </c>
      <c r="O3454" t="s">
        <v>307</v>
      </c>
      <c r="P3454" t="s">
        <v>314</v>
      </c>
      <c r="Q3454" t="s">
        <v>216</v>
      </c>
      <c r="R3454" t="s">
        <v>326</v>
      </c>
      <c r="S3454" t="s">
        <v>333</v>
      </c>
      <c r="T3454" t="s">
        <v>335</v>
      </c>
      <c r="U3454" t="s">
        <v>340</v>
      </c>
      <c r="V3454" t="s">
        <v>344</v>
      </c>
      <c r="W3454" t="s">
        <v>349</v>
      </c>
      <c r="AK3454" t="s">
        <v>360</v>
      </c>
    </row>
    <row r="3455" spans="1:37">
      <c r="A3455" t="s">
        <v>43</v>
      </c>
      <c r="B3455" t="s">
        <v>63</v>
      </c>
      <c r="C3455" t="s">
        <v>85</v>
      </c>
      <c r="D3455" t="s">
        <v>104</v>
      </c>
      <c r="E3455" t="s">
        <v>123</v>
      </c>
      <c r="F3455" t="s">
        <v>157</v>
      </c>
      <c r="G3455" t="s">
        <v>183</v>
      </c>
      <c r="AK3455" t="s">
        <v>360</v>
      </c>
    </row>
    <row r="3456" spans="1:37">
      <c r="A3456" t="s">
        <v>44</v>
      </c>
      <c r="B3456" t="s">
        <v>64</v>
      </c>
      <c r="C3456" t="s">
        <v>86</v>
      </c>
      <c r="D3456" t="s">
        <v>105</v>
      </c>
      <c r="E3456" t="s">
        <v>124</v>
      </c>
      <c r="F3456" t="s">
        <v>158</v>
      </c>
      <c r="G3456" t="s">
        <v>184</v>
      </c>
      <c r="AK3456" t="s">
        <v>360</v>
      </c>
    </row>
    <row r="3457" spans="1:37">
      <c r="A3457" t="s">
        <v>45</v>
      </c>
      <c r="B3457" t="s">
        <v>65</v>
      </c>
      <c r="C3457" t="s">
        <v>87</v>
      </c>
      <c r="D3457" t="s">
        <v>106</v>
      </c>
      <c r="E3457" t="s">
        <v>125</v>
      </c>
      <c r="F3457" t="s">
        <v>159</v>
      </c>
      <c r="G3457" t="s">
        <v>185</v>
      </c>
      <c r="H3457" t="s">
        <v>159</v>
      </c>
      <c r="I3457" t="s">
        <v>185</v>
      </c>
      <c r="J3457" t="s">
        <v>255</v>
      </c>
      <c r="AK3457" t="s">
        <v>360</v>
      </c>
    </row>
    <row r="3458" spans="1:37">
      <c r="A3458" t="s">
        <v>46</v>
      </c>
      <c r="B3458" t="s">
        <v>66</v>
      </c>
      <c r="C3458" t="s">
        <v>88</v>
      </c>
      <c r="D3458" t="s">
        <v>76</v>
      </c>
      <c r="E3458" t="s">
        <v>126</v>
      </c>
      <c r="F3458" t="s">
        <v>160</v>
      </c>
      <c r="G3458" t="s">
        <v>186</v>
      </c>
      <c r="H3458" t="s">
        <v>217</v>
      </c>
      <c r="I3458" t="s">
        <v>238</v>
      </c>
      <c r="J3458" t="s">
        <v>256</v>
      </c>
      <c r="K3458" t="s">
        <v>265</v>
      </c>
      <c r="L3458" t="s">
        <v>281</v>
      </c>
      <c r="M3458" t="s">
        <v>290</v>
      </c>
      <c r="N3458" t="s">
        <v>299</v>
      </c>
      <c r="O3458" t="s">
        <v>308</v>
      </c>
      <c r="P3458" t="s">
        <v>228</v>
      </c>
      <c r="Q3458" t="s">
        <v>72</v>
      </c>
      <c r="R3458" t="s">
        <v>327</v>
      </c>
      <c r="S3458" t="s">
        <v>327</v>
      </c>
      <c r="T3458" t="s">
        <v>336</v>
      </c>
      <c r="U3458" t="s">
        <v>336</v>
      </c>
      <c r="V3458" t="s">
        <v>336</v>
      </c>
      <c r="W3458" t="s">
        <v>336</v>
      </c>
      <c r="X3458" t="s">
        <v>353</v>
      </c>
      <c r="AK3458" t="s">
        <v>360</v>
      </c>
    </row>
    <row r="3459" spans="1:37">
      <c r="B3459" t="s">
        <v>67</v>
      </c>
      <c r="C3459" t="s">
        <v>89</v>
      </c>
      <c r="D3459" t="s">
        <v>107</v>
      </c>
      <c r="AK3459" t="s">
        <v>360</v>
      </c>
    </row>
    <row r="3460" spans="1:37">
      <c r="B3460" t="s">
        <v>68</v>
      </c>
      <c r="C3460" t="s">
        <v>90</v>
      </c>
      <c r="D3460" t="s">
        <v>108</v>
      </c>
      <c r="AK3460" t="s">
        <v>360</v>
      </c>
    </row>
    <row r="3461" spans="1:37">
      <c r="A3461" t="s">
        <v>47</v>
      </c>
      <c r="B3461" t="s">
        <v>69</v>
      </c>
      <c r="C3461" t="s">
        <v>91</v>
      </c>
      <c r="D3461" t="s">
        <v>109</v>
      </c>
      <c r="E3461" t="s">
        <v>109</v>
      </c>
      <c r="F3461" t="s">
        <v>109</v>
      </c>
      <c r="G3461" t="s">
        <v>109</v>
      </c>
      <c r="H3461" t="s">
        <v>109</v>
      </c>
      <c r="I3461" t="s">
        <v>239</v>
      </c>
      <c r="AK3461" t="s">
        <v>360</v>
      </c>
    </row>
    <row r="3462" spans="1:37">
      <c r="B3462" t="s">
        <v>70</v>
      </c>
      <c r="C3462" t="s">
        <v>92</v>
      </c>
      <c r="D3462" t="s">
        <v>110</v>
      </c>
      <c r="E3462" t="s">
        <v>127</v>
      </c>
      <c r="F3462" t="s">
        <v>161</v>
      </c>
      <c r="G3462" t="s">
        <v>187</v>
      </c>
      <c r="H3462" t="s">
        <v>218</v>
      </c>
      <c r="AK3462" t="s">
        <v>360</v>
      </c>
    </row>
    <row r="3463" spans="1:37">
      <c r="B3463" t="s">
        <v>71</v>
      </c>
      <c r="C3463" t="s">
        <v>93</v>
      </c>
      <c r="D3463" t="s">
        <v>111</v>
      </c>
      <c r="E3463" t="s">
        <v>128</v>
      </c>
      <c r="F3463" t="s">
        <v>162</v>
      </c>
      <c r="G3463" t="s">
        <v>188</v>
      </c>
      <c r="H3463" t="s">
        <v>219</v>
      </c>
      <c r="I3463" t="s">
        <v>240</v>
      </c>
      <c r="J3463" t="s">
        <v>257</v>
      </c>
      <c r="K3463" t="s">
        <v>269</v>
      </c>
      <c r="L3463" t="s">
        <v>109</v>
      </c>
      <c r="M3463" t="s">
        <v>109</v>
      </c>
      <c r="N3463" t="s">
        <v>109</v>
      </c>
      <c r="O3463" t="s">
        <v>109</v>
      </c>
      <c r="P3463" t="s">
        <v>109</v>
      </c>
      <c r="Q3463" t="s">
        <v>321</v>
      </c>
      <c r="AK3463" t="s">
        <v>360</v>
      </c>
    </row>
    <row r="3464" spans="1:37">
      <c r="A3464" t="s">
        <v>48</v>
      </c>
      <c r="B3464" t="s">
        <v>71</v>
      </c>
      <c r="C3464" t="s">
        <v>93</v>
      </c>
      <c r="D3464" t="s">
        <v>111</v>
      </c>
      <c r="E3464" t="s">
        <v>128</v>
      </c>
      <c r="F3464" t="s">
        <v>163</v>
      </c>
      <c r="G3464" t="s">
        <v>189</v>
      </c>
      <c r="H3464" t="s">
        <v>220</v>
      </c>
      <c r="I3464" t="s">
        <v>241</v>
      </c>
      <c r="J3464" t="s">
        <v>258</v>
      </c>
      <c r="K3464" t="s">
        <v>270</v>
      </c>
      <c r="AK3464" t="s">
        <v>360</v>
      </c>
    </row>
    <row r="3465" spans="1:37">
      <c r="B3465" t="s">
        <v>72</v>
      </c>
      <c r="C3465" t="s">
        <v>72</v>
      </c>
      <c r="D3465" t="s">
        <v>72</v>
      </c>
      <c r="E3465" t="s">
        <v>139</v>
      </c>
      <c r="F3465" t="s">
        <v>139</v>
      </c>
      <c r="G3465" t="s">
        <v>192</v>
      </c>
      <c r="H3465" t="s">
        <v>192</v>
      </c>
      <c r="I3465" t="s">
        <v>192</v>
      </c>
      <c r="J3465" t="s">
        <v>192</v>
      </c>
      <c r="K3465" t="s">
        <v>271</v>
      </c>
      <c r="AK3465" t="s">
        <v>360</v>
      </c>
    </row>
    <row r="3466" spans="1:37">
      <c r="A3466" t="s">
        <v>37</v>
      </c>
      <c r="B3466" t="s">
        <v>49</v>
      </c>
      <c r="C3466" t="s">
        <v>73</v>
      </c>
      <c r="D3466" t="s">
        <v>94</v>
      </c>
      <c r="E3466" t="s">
        <v>112</v>
      </c>
      <c r="F3466" t="s">
        <v>146</v>
      </c>
      <c r="G3466" t="s">
        <v>172</v>
      </c>
      <c r="H3466" t="s">
        <v>207</v>
      </c>
      <c r="I3466" t="s">
        <v>226</v>
      </c>
      <c r="J3466" t="s">
        <v>246</v>
      </c>
      <c r="K3466" t="s">
        <v>259</v>
      </c>
      <c r="AK3466" t="s">
        <v>360</v>
      </c>
    </row>
    <row r="3467" spans="1:37">
      <c r="A3467" t="s">
        <v>38</v>
      </c>
      <c r="B3467" t="s">
        <v>50</v>
      </c>
      <c r="C3467" t="s">
        <v>74</v>
      </c>
      <c r="D3467" t="s">
        <v>95</v>
      </c>
      <c r="E3467" t="s">
        <v>113</v>
      </c>
      <c r="F3467" t="s">
        <v>147</v>
      </c>
      <c r="G3467" t="s">
        <v>173</v>
      </c>
      <c r="H3467" t="s">
        <v>208</v>
      </c>
      <c r="I3467" t="s">
        <v>227</v>
      </c>
      <c r="J3467" t="s">
        <v>115</v>
      </c>
      <c r="K3467" t="s">
        <v>260</v>
      </c>
      <c r="L3467" t="s">
        <v>273</v>
      </c>
      <c r="M3467" t="s">
        <v>282</v>
      </c>
      <c r="N3467" t="s">
        <v>291</v>
      </c>
      <c r="AK3467" t="s">
        <v>360</v>
      </c>
    </row>
    <row r="3468" spans="1:37">
      <c r="B3468" t="s">
        <v>51</v>
      </c>
      <c r="C3468" t="s">
        <v>75</v>
      </c>
      <c r="D3468" t="s">
        <v>52</v>
      </c>
      <c r="E3468" t="s">
        <v>114</v>
      </c>
      <c r="F3468" t="s">
        <v>148</v>
      </c>
      <c r="G3468" t="s">
        <v>148</v>
      </c>
      <c r="H3468" t="s">
        <v>209</v>
      </c>
      <c r="I3468" t="s">
        <v>228</v>
      </c>
      <c r="J3468" t="s">
        <v>247</v>
      </c>
      <c r="K3468" t="s">
        <v>261</v>
      </c>
      <c r="L3468" t="s">
        <v>274</v>
      </c>
      <c r="M3468" t="s">
        <v>283</v>
      </c>
      <c r="N3468" t="s">
        <v>292</v>
      </c>
      <c r="O3468" t="s">
        <v>300</v>
      </c>
      <c r="AK3468" t="s">
        <v>360</v>
      </c>
    </row>
    <row r="3469" spans="1:37">
      <c r="B3469" t="s">
        <v>52</v>
      </c>
      <c r="C3469" t="s">
        <v>76</v>
      </c>
      <c r="D3469" t="s">
        <v>96</v>
      </c>
      <c r="E3469" t="s">
        <v>115</v>
      </c>
      <c r="F3469" t="s">
        <v>149</v>
      </c>
      <c r="G3469" t="s">
        <v>174</v>
      </c>
      <c r="H3469" t="s">
        <v>96</v>
      </c>
      <c r="I3469" t="s">
        <v>229</v>
      </c>
      <c r="J3469" t="s">
        <v>248</v>
      </c>
      <c r="K3469" t="s">
        <v>262</v>
      </c>
      <c r="L3469" t="s">
        <v>52</v>
      </c>
      <c r="M3469" t="s">
        <v>76</v>
      </c>
      <c r="N3469" t="s">
        <v>293</v>
      </c>
      <c r="O3469" t="s">
        <v>301</v>
      </c>
      <c r="P3469" t="s">
        <v>309</v>
      </c>
      <c r="Q3469" t="s">
        <v>315</v>
      </c>
      <c r="R3469" t="s">
        <v>228</v>
      </c>
      <c r="S3469" t="s">
        <v>328</v>
      </c>
      <c r="T3469" t="s">
        <v>149</v>
      </c>
      <c r="U3469" t="s">
        <v>337</v>
      </c>
      <c r="V3469" t="s">
        <v>341</v>
      </c>
      <c r="W3469" t="s">
        <v>345</v>
      </c>
      <c r="X3469" t="s">
        <v>350</v>
      </c>
      <c r="AK3469" t="s">
        <v>360</v>
      </c>
    </row>
    <row r="3470" spans="1:37">
      <c r="B3470" t="s">
        <v>53</v>
      </c>
      <c r="C3470" t="s">
        <v>77</v>
      </c>
      <c r="D3470" t="s">
        <v>97</v>
      </c>
      <c r="E3470" t="s">
        <v>116</v>
      </c>
      <c r="F3470" t="s">
        <v>150</v>
      </c>
      <c r="G3470" t="s">
        <v>175</v>
      </c>
      <c r="H3470" t="s">
        <v>210</v>
      </c>
      <c r="I3470" t="s">
        <v>230</v>
      </c>
      <c r="J3470" t="s">
        <v>249</v>
      </c>
      <c r="K3470" t="s">
        <v>263</v>
      </c>
      <c r="L3470" t="s">
        <v>275</v>
      </c>
      <c r="M3470" t="s">
        <v>284</v>
      </c>
      <c r="N3470" t="s">
        <v>294</v>
      </c>
      <c r="O3470" t="s">
        <v>302</v>
      </c>
      <c r="P3470" t="s">
        <v>310</v>
      </c>
      <c r="Q3470" t="s">
        <v>316</v>
      </c>
      <c r="R3470" t="s">
        <v>322</v>
      </c>
      <c r="S3470" t="s">
        <v>329</v>
      </c>
      <c r="AK3470" t="s">
        <v>360</v>
      </c>
    </row>
    <row r="3471" spans="1:37">
      <c r="A3471" t="s">
        <v>39</v>
      </c>
      <c r="B3471" t="s">
        <v>54</v>
      </c>
      <c r="C3471" t="s">
        <v>54</v>
      </c>
      <c r="D3471" t="s">
        <v>54</v>
      </c>
      <c r="E3471" t="s">
        <v>54</v>
      </c>
      <c r="F3471" t="s">
        <v>54</v>
      </c>
      <c r="G3471" t="s">
        <v>54</v>
      </c>
      <c r="H3471" t="s">
        <v>54</v>
      </c>
      <c r="I3471" t="s">
        <v>54</v>
      </c>
      <c r="J3471" t="s">
        <v>54</v>
      </c>
      <c r="K3471" t="s">
        <v>54</v>
      </c>
      <c r="L3471" t="s">
        <v>54</v>
      </c>
      <c r="M3471" t="s">
        <v>54</v>
      </c>
      <c r="N3471" t="s">
        <v>54</v>
      </c>
      <c r="O3471" t="s">
        <v>54</v>
      </c>
      <c r="P3471" t="s">
        <v>54</v>
      </c>
      <c r="Q3471" t="s">
        <v>54</v>
      </c>
      <c r="R3471" t="s">
        <v>323</v>
      </c>
      <c r="S3471" t="s">
        <v>330</v>
      </c>
      <c r="AK3471" t="s">
        <v>360</v>
      </c>
    </row>
    <row r="3472" spans="1:37">
      <c r="B3472" t="s">
        <v>55</v>
      </c>
      <c r="C3472" t="s">
        <v>78</v>
      </c>
      <c r="D3472" t="s">
        <v>55</v>
      </c>
      <c r="E3472" t="s">
        <v>78</v>
      </c>
      <c r="F3472" t="s">
        <v>55</v>
      </c>
      <c r="G3472" t="s">
        <v>78</v>
      </c>
      <c r="H3472" t="s">
        <v>55</v>
      </c>
      <c r="I3472" t="s">
        <v>78</v>
      </c>
      <c r="J3472" t="s">
        <v>55</v>
      </c>
      <c r="K3472" t="s">
        <v>78</v>
      </c>
      <c r="L3472" t="s">
        <v>55</v>
      </c>
      <c r="M3472" t="s">
        <v>78</v>
      </c>
      <c r="N3472" t="s">
        <v>55</v>
      </c>
      <c r="O3472" t="s">
        <v>78</v>
      </c>
      <c r="P3472" t="s">
        <v>55</v>
      </c>
      <c r="Q3472" t="s">
        <v>78</v>
      </c>
      <c r="R3472" t="s">
        <v>55</v>
      </c>
      <c r="S3472" t="s">
        <v>78</v>
      </c>
      <c r="T3472" t="s">
        <v>55</v>
      </c>
      <c r="U3472" t="s">
        <v>78</v>
      </c>
      <c r="V3472" t="s">
        <v>55</v>
      </c>
      <c r="W3472" t="s">
        <v>78</v>
      </c>
      <c r="X3472" t="s">
        <v>55</v>
      </c>
      <c r="Y3472" t="s">
        <v>78</v>
      </c>
      <c r="Z3472" t="s">
        <v>55</v>
      </c>
      <c r="AA3472" t="s">
        <v>78</v>
      </c>
      <c r="AB3472" t="s">
        <v>55</v>
      </c>
      <c r="AC3472" t="s">
        <v>78</v>
      </c>
      <c r="AD3472" t="s">
        <v>55</v>
      </c>
      <c r="AE3472" t="s">
        <v>78</v>
      </c>
      <c r="AF3472" t="s">
        <v>55</v>
      </c>
      <c r="AG3472" t="s">
        <v>78</v>
      </c>
      <c r="AH3472" t="s">
        <v>55</v>
      </c>
      <c r="AI3472" t="s">
        <v>78</v>
      </c>
      <c r="AK3472" t="s">
        <v>360</v>
      </c>
    </row>
    <row r="3473" spans="1:37">
      <c r="B3473" t="s">
        <v>56</v>
      </c>
      <c r="C3473" t="s">
        <v>56</v>
      </c>
      <c r="D3473" t="s">
        <v>56</v>
      </c>
      <c r="E3473" t="s">
        <v>56</v>
      </c>
      <c r="F3473" t="s">
        <v>56</v>
      </c>
      <c r="G3473" t="s">
        <v>176</v>
      </c>
      <c r="H3473" t="s">
        <v>211</v>
      </c>
      <c r="I3473" t="s">
        <v>231</v>
      </c>
      <c r="J3473" t="s">
        <v>250</v>
      </c>
      <c r="K3473" t="s">
        <v>264</v>
      </c>
      <c r="L3473" t="s">
        <v>276</v>
      </c>
      <c r="M3473" t="s">
        <v>285</v>
      </c>
      <c r="N3473" t="s">
        <v>295</v>
      </c>
      <c r="O3473" t="s">
        <v>303</v>
      </c>
      <c r="P3473" t="s">
        <v>56</v>
      </c>
      <c r="Q3473" t="s">
        <v>317</v>
      </c>
      <c r="R3473" t="s">
        <v>324</v>
      </c>
      <c r="S3473" t="s">
        <v>331</v>
      </c>
      <c r="T3473" t="s">
        <v>334</v>
      </c>
      <c r="U3473" t="s">
        <v>338</v>
      </c>
      <c r="V3473" t="s">
        <v>342</v>
      </c>
      <c r="W3473" t="s">
        <v>346</v>
      </c>
      <c r="X3473" t="s">
        <v>351</v>
      </c>
      <c r="AK3473" t="s">
        <v>360</v>
      </c>
    </row>
    <row r="3474" spans="1:37">
      <c r="B3474" t="s">
        <v>57</v>
      </c>
      <c r="C3474" t="s">
        <v>79</v>
      </c>
      <c r="D3474" t="s">
        <v>98</v>
      </c>
      <c r="E3474" t="s">
        <v>117</v>
      </c>
      <c r="F3474" t="s">
        <v>151</v>
      </c>
      <c r="G3474" t="s">
        <v>177</v>
      </c>
      <c r="H3474" t="s">
        <v>212</v>
      </c>
      <c r="I3474" t="s">
        <v>232</v>
      </c>
      <c r="J3474" t="s">
        <v>251</v>
      </c>
      <c r="K3474" t="s">
        <v>265</v>
      </c>
      <c r="L3474" t="s">
        <v>277</v>
      </c>
      <c r="M3474" t="s">
        <v>286</v>
      </c>
      <c r="N3474" t="s">
        <v>296</v>
      </c>
      <c r="O3474" t="s">
        <v>304</v>
      </c>
      <c r="P3474" t="s">
        <v>311</v>
      </c>
      <c r="Q3474" t="s">
        <v>318</v>
      </c>
      <c r="R3474" t="s">
        <v>185</v>
      </c>
      <c r="S3474" t="s">
        <v>159</v>
      </c>
      <c r="T3474" t="s">
        <v>185</v>
      </c>
      <c r="U3474" t="s">
        <v>339</v>
      </c>
      <c r="V3474" t="s">
        <v>72</v>
      </c>
      <c r="W3474" t="s">
        <v>347</v>
      </c>
      <c r="X3474" t="s">
        <v>72</v>
      </c>
      <c r="Y3474" t="s">
        <v>96</v>
      </c>
      <c r="AK3474" t="s">
        <v>360</v>
      </c>
    </row>
    <row r="3475" spans="1:37">
      <c r="B3475" t="s">
        <v>58</v>
      </c>
      <c r="C3475" t="s">
        <v>80</v>
      </c>
      <c r="D3475" t="s">
        <v>99</v>
      </c>
      <c r="E3475" t="s">
        <v>118</v>
      </c>
      <c r="F3475" t="s">
        <v>152</v>
      </c>
      <c r="G3475" t="s">
        <v>178</v>
      </c>
      <c r="H3475" t="s">
        <v>213</v>
      </c>
      <c r="I3475" t="s">
        <v>233</v>
      </c>
      <c r="J3475" t="s">
        <v>252</v>
      </c>
      <c r="K3475" t="s">
        <v>266</v>
      </c>
      <c r="L3475" t="s">
        <v>278</v>
      </c>
      <c r="M3475" t="s">
        <v>287</v>
      </c>
      <c r="N3475" t="s">
        <v>297</v>
      </c>
      <c r="O3475" t="s">
        <v>305</v>
      </c>
      <c r="P3475" t="s">
        <v>312</v>
      </c>
      <c r="Q3475" t="s">
        <v>319</v>
      </c>
      <c r="R3475">
        <f>&gt;10       ветра      2.3     17   6</f>
        <v>0</v>
      </c>
      <c r="AK3475" t="s">
        <v>360</v>
      </c>
    </row>
    <row r="3476" spans="1:37">
      <c r="A3476" t="s">
        <v>40</v>
      </c>
      <c r="B3476" t="s">
        <v>59</v>
      </c>
      <c r="C3476" t="s">
        <v>81</v>
      </c>
      <c r="D3476" t="s">
        <v>100</v>
      </c>
      <c r="E3476" t="s">
        <v>119</v>
      </c>
      <c r="F3476" t="s">
        <v>153</v>
      </c>
      <c r="G3476" t="s">
        <v>179</v>
      </c>
      <c r="H3476" t="s">
        <v>214</v>
      </c>
      <c r="I3476" t="s">
        <v>234</v>
      </c>
      <c r="AK3476" t="s">
        <v>360</v>
      </c>
    </row>
    <row r="3477" spans="1:37">
      <c r="A3477" t="s">
        <v>40</v>
      </c>
      <c r="B3477" t="s">
        <v>60</v>
      </c>
      <c r="C3477" t="s">
        <v>82</v>
      </c>
      <c r="D3477" t="s">
        <v>101</v>
      </c>
      <c r="E3477" t="s">
        <v>120</v>
      </c>
      <c r="F3477" t="s">
        <v>154</v>
      </c>
      <c r="G3477" t="s">
        <v>180</v>
      </c>
      <c r="H3477" t="s">
        <v>215</v>
      </c>
      <c r="I3477" t="s">
        <v>235</v>
      </c>
      <c r="J3477" t="s">
        <v>253</v>
      </c>
      <c r="K3477" t="s">
        <v>267</v>
      </c>
      <c r="L3477" t="s">
        <v>279</v>
      </c>
      <c r="M3477" t="s">
        <v>288</v>
      </c>
      <c r="N3477" t="s">
        <v>100</v>
      </c>
      <c r="O3477" t="s">
        <v>306</v>
      </c>
      <c r="P3477" t="s">
        <v>313</v>
      </c>
      <c r="Q3477" t="s">
        <v>320</v>
      </c>
      <c r="R3477" t="s">
        <v>325</v>
      </c>
      <c r="S3477" t="s">
        <v>332</v>
      </c>
      <c r="T3477" t="s">
        <v>119</v>
      </c>
      <c r="U3477" t="s">
        <v>234</v>
      </c>
      <c r="V3477" t="s">
        <v>343</v>
      </c>
      <c r="W3477" t="s">
        <v>348</v>
      </c>
      <c r="X3477" t="s">
        <v>352</v>
      </c>
      <c r="Y3477" t="s">
        <v>354</v>
      </c>
      <c r="AK3477" t="s">
        <v>360</v>
      </c>
    </row>
    <row r="3478" spans="1:37">
      <c r="A3478" t="s">
        <v>41</v>
      </c>
      <c r="B3478" t="s">
        <v>61</v>
      </c>
      <c r="C3478" t="s">
        <v>83</v>
      </c>
      <c r="D3478" t="s">
        <v>102</v>
      </c>
      <c r="E3478" t="s">
        <v>121</v>
      </c>
      <c r="F3478" t="s">
        <v>155</v>
      </c>
      <c r="G3478" t="s">
        <v>181</v>
      </c>
      <c r="H3478" t="s">
        <v>216</v>
      </c>
      <c r="I3478" t="s">
        <v>236</v>
      </c>
      <c r="AK3478" t="s">
        <v>360</v>
      </c>
    </row>
    <row r="3479" spans="1:37">
      <c r="A3479" t="s">
        <v>42</v>
      </c>
      <c r="B3479" t="s">
        <v>62</v>
      </c>
      <c r="C3479" t="s">
        <v>84</v>
      </c>
      <c r="D3479" t="s">
        <v>103</v>
      </c>
      <c r="E3479" t="s">
        <v>122</v>
      </c>
      <c r="F3479" t="s">
        <v>156</v>
      </c>
      <c r="G3479" t="s">
        <v>182</v>
      </c>
      <c r="H3479" t="s">
        <v>83</v>
      </c>
      <c r="I3479" t="s">
        <v>237</v>
      </c>
      <c r="J3479" t="s">
        <v>254</v>
      </c>
      <c r="K3479" t="s">
        <v>268</v>
      </c>
      <c r="L3479" t="s">
        <v>280</v>
      </c>
      <c r="M3479" t="s">
        <v>289</v>
      </c>
      <c r="N3479" t="s">
        <v>298</v>
      </c>
      <c r="O3479" t="s">
        <v>307</v>
      </c>
      <c r="P3479" t="s">
        <v>314</v>
      </c>
      <c r="Q3479" t="s">
        <v>216</v>
      </c>
      <c r="R3479" t="s">
        <v>326</v>
      </c>
      <c r="S3479" t="s">
        <v>333</v>
      </c>
      <c r="T3479" t="s">
        <v>335</v>
      </c>
      <c r="U3479" t="s">
        <v>340</v>
      </c>
      <c r="V3479" t="s">
        <v>344</v>
      </c>
      <c r="W3479" t="s">
        <v>349</v>
      </c>
      <c r="AK3479" t="s">
        <v>360</v>
      </c>
    </row>
    <row r="3480" spans="1:37">
      <c r="A3480" t="s">
        <v>43</v>
      </c>
      <c r="B3480" t="s">
        <v>63</v>
      </c>
      <c r="C3480" t="s">
        <v>85</v>
      </c>
      <c r="D3480" t="s">
        <v>104</v>
      </c>
      <c r="E3480" t="s">
        <v>123</v>
      </c>
      <c r="F3480" t="s">
        <v>157</v>
      </c>
      <c r="G3480" t="s">
        <v>183</v>
      </c>
      <c r="AK3480" t="s">
        <v>360</v>
      </c>
    </row>
    <row r="3481" spans="1:37">
      <c r="A3481" t="s">
        <v>44</v>
      </c>
      <c r="B3481" t="s">
        <v>64</v>
      </c>
      <c r="C3481" t="s">
        <v>86</v>
      </c>
      <c r="D3481" t="s">
        <v>105</v>
      </c>
      <c r="E3481" t="s">
        <v>124</v>
      </c>
      <c r="F3481" t="s">
        <v>158</v>
      </c>
      <c r="G3481" t="s">
        <v>184</v>
      </c>
      <c r="AK3481" t="s">
        <v>360</v>
      </c>
    </row>
    <row r="3482" spans="1:37">
      <c r="A3482" t="s">
        <v>45</v>
      </c>
      <c r="B3482" t="s">
        <v>65</v>
      </c>
      <c r="C3482" t="s">
        <v>87</v>
      </c>
      <c r="D3482" t="s">
        <v>106</v>
      </c>
      <c r="E3482" t="s">
        <v>125</v>
      </c>
      <c r="F3482" t="s">
        <v>159</v>
      </c>
      <c r="G3482" t="s">
        <v>185</v>
      </c>
      <c r="H3482" t="s">
        <v>159</v>
      </c>
      <c r="I3482" t="s">
        <v>185</v>
      </c>
      <c r="J3482" t="s">
        <v>255</v>
      </c>
      <c r="AK3482" t="s">
        <v>360</v>
      </c>
    </row>
    <row r="3483" spans="1:37">
      <c r="A3483" t="s">
        <v>46</v>
      </c>
      <c r="B3483" t="s">
        <v>66</v>
      </c>
      <c r="C3483" t="s">
        <v>88</v>
      </c>
      <c r="D3483" t="s">
        <v>76</v>
      </c>
      <c r="E3483" t="s">
        <v>126</v>
      </c>
      <c r="F3483" t="s">
        <v>160</v>
      </c>
      <c r="G3483" t="s">
        <v>186</v>
      </c>
      <c r="H3483" t="s">
        <v>217</v>
      </c>
      <c r="I3483" t="s">
        <v>238</v>
      </c>
      <c r="J3483" t="s">
        <v>256</v>
      </c>
      <c r="K3483" t="s">
        <v>265</v>
      </c>
      <c r="L3483" t="s">
        <v>281</v>
      </c>
      <c r="M3483" t="s">
        <v>290</v>
      </c>
      <c r="N3483" t="s">
        <v>299</v>
      </c>
      <c r="O3483" t="s">
        <v>308</v>
      </c>
      <c r="P3483" t="s">
        <v>228</v>
      </c>
      <c r="Q3483" t="s">
        <v>72</v>
      </c>
      <c r="R3483" t="s">
        <v>327</v>
      </c>
      <c r="S3483" t="s">
        <v>327</v>
      </c>
      <c r="T3483" t="s">
        <v>336</v>
      </c>
      <c r="U3483" t="s">
        <v>336</v>
      </c>
      <c r="V3483" t="s">
        <v>336</v>
      </c>
      <c r="W3483" t="s">
        <v>336</v>
      </c>
      <c r="X3483" t="s">
        <v>353</v>
      </c>
      <c r="AK3483" t="s">
        <v>360</v>
      </c>
    </row>
    <row r="3484" spans="1:37">
      <c r="B3484" t="s">
        <v>67</v>
      </c>
      <c r="C3484" t="s">
        <v>89</v>
      </c>
      <c r="D3484" t="s">
        <v>107</v>
      </c>
      <c r="AK3484" t="s">
        <v>360</v>
      </c>
    </row>
    <row r="3485" spans="1:37">
      <c r="B3485" t="s">
        <v>68</v>
      </c>
      <c r="C3485" t="s">
        <v>90</v>
      </c>
      <c r="D3485" t="s">
        <v>108</v>
      </c>
      <c r="AK3485" t="s">
        <v>360</v>
      </c>
    </row>
    <row r="3486" spans="1:37">
      <c r="A3486" t="s">
        <v>47</v>
      </c>
      <c r="B3486" t="s">
        <v>69</v>
      </c>
      <c r="C3486" t="s">
        <v>91</v>
      </c>
      <c r="D3486" t="s">
        <v>109</v>
      </c>
      <c r="E3486" t="s">
        <v>109</v>
      </c>
      <c r="F3486" t="s">
        <v>109</v>
      </c>
      <c r="G3486" t="s">
        <v>109</v>
      </c>
      <c r="H3486" t="s">
        <v>109</v>
      </c>
      <c r="I3486" t="s">
        <v>239</v>
      </c>
      <c r="AK3486" t="s">
        <v>360</v>
      </c>
    </row>
    <row r="3487" spans="1:37">
      <c r="B3487" t="s">
        <v>70</v>
      </c>
      <c r="C3487" t="s">
        <v>92</v>
      </c>
      <c r="D3487" t="s">
        <v>110</v>
      </c>
      <c r="E3487" t="s">
        <v>127</v>
      </c>
      <c r="F3487" t="s">
        <v>161</v>
      </c>
      <c r="G3487" t="s">
        <v>187</v>
      </c>
      <c r="H3487" t="s">
        <v>218</v>
      </c>
      <c r="AK3487" t="s">
        <v>360</v>
      </c>
    </row>
    <row r="3488" spans="1:37">
      <c r="B3488" t="s">
        <v>71</v>
      </c>
      <c r="C3488" t="s">
        <v>93</v>
      </c>
      <c r="D3488" t="s">
        <v>111</v>
      </c>
      <c r="E3488" t="s">
        <v>128</v>
      </c>
      <c r="F3488" t="s">
        <v>162</v>
      </c>
      <c r="G3488" t="s">
        <v>188</v>
      </c>
      <c r="H3488" t="s">
        <v>219</v>
      </c>
      <c r="I3488" t="s">
        <v>240</v>
      </c>
      <c r="J3488" t="s">
        <v>257</v>
      </c>
      <c r="K3488" t="s">
        <v>269</v>
      </c>
      <c r="L3488" t="s">
        <v>109</v>
      </c>
      <c r="M3488" t="s">
        <v>109</v>
      </c>
      <c r="N3488" t="s">
        <v>109</v>
      </c>
      <c r="O3488" t="s">
        <v>109</v>
      </c>
      <c r="P3488" t="s">
        <v>109</v>
      </c>
      <c r="Q3488" t="s">
        <v>321</v>
      </c>
      <c r="AK3488" t="s">
        <v>360</v>
      </c>
    </row>
    <row r="3489" spans="1:37">
      <c r="A3489" t="s">
        <v>48</v>
      </c>
      <c r="B3489" t="s">
        <v>71</v>
      </c>
      <c r="C3489" t="s">
        <v>93</v>
      </c>
      <c r="D3489" t="s">
        <v>111</v>
      </c>
      <c r="E3489" t="s">
        <v>128</v>
      </c>
      <c r="F3489" t="s">
        <v>163</v>
      </c>
      <c r="G3489" t="s">
        <v>189</v>
      </c>
      <c r="H3489" t="s">
        <v>220</v>
      </c>
      <c r="I3489" t="s">
        <v>241</v>
      </c>
      <c r="J3489" t="s">
        <v>258</v>
      </c>
      <c r="K3489" t="s">
        <v>270</v>
      </c>
      <c r="AK3489" t="s">
        <v>360</v>
      </c>
    </row>
    <row r="3490" spans="1:37">
      <c r="B3490" t="s">
        <v>72</v>
      </c>
      <c r="C3490" t="s">
        <v>72</v>
      </c>
      <c r="D3490" t="s">
        <v>72</v>
      </c>
      <c r="E3490" t="s">
        <v>72</v>
      </c>
      <c r="F3490" t="s">
        <v>72</v>
      </c>
      <c r="G3490" t="s">
        <v>72</v>
      </c>
      <c r="H3490" t="s">
        <v>72</v>
      </c>
      <c r="I3490" t="s">
        <v>72</v>
      </c>
      <c r="J3490" t="s">
        <v>72</v>
      </c>
      <c r="K3490" t="s">
        <v>272</v>
      </c>
      <c r="AK3490" t="s">
        <v>360</v>
      </c>
    </row>
    <row r="3491" spans="1:37">
      <c r="A3491" t="s">
        <v>37</v>
      </c>
      <c r="B3491" t="s">
        <v>49</v>
      </c>
      <c r="C3491" t="s">
        <v>73</v>
      </c>
      <c r="D3491" t="s">
        <v>94</v>
      </c>
      <c r="E3491" t="s">
        <v>112</v>
      </c>
      <c r="F3491" t="s">
        <v>146</v>
      </c>
      <c r="G3491" t="s">
        <v>172</v>
      </c>
      <c r="H3491" t="s">
        <v>207</v>
      </c>
      <c r="I3491" t="s">
        <v>226</v>
      </c>
      <c r="J3491" t="s">
        <v>246</v>
      </c>
      <c r="K3491" t="s">
        <v>259</v>
      </c>
      <c r="AK3491" t="s">
        <v>360</v>
      </c>
    </row>
    <row r="3492" spans="1:37">
      <c r="A3492" t="s">
        <v>38</v>
      </c>
      <c r="B3492" t="s">
        <v>50</v>
      </c>
      <c r="C3492" t="s">
        <v>74</v>
      </c>
      <c r="D3492" t="s">
        <v>95</v>
      </c>
      <c r="E3492" t="s">
        <v>113</v>
      </c>
      <c r="F3492" t="s">
        <v>147</v>
      </c>
      <c r="G3492" t="s">
        <v>173</v>
      </c>
      <c r="H3492" t="s">
        <v>208</v>
      </c>
      <c r="I3492" t="s">
        <v>227</v>
      </c>
      <c r="J3492" t="s">
        <v>115</v>
      </c>
      <c r="K3492" t="s">
        <v>260</v>
      </c>
      <c r="L3492" t="s">
        <v>273</v>
      </c>
      <c r="M3492" t="s">
        <v>282</v>
      </c>
      <c r="N3492" t="s">
        <v>291</v>
      </c>
      <c r="AK3492" t="s">
        <v>360</v>
      </c>
    </row>
    <row r="3493" spans="1:37">
      <c r="B3493" t="s">
        <v>51</v>
      </c>
      <c r="C3493" t="s">
        <v>75</v>
      </c>
      <c r="D3493" t="s">
        <v>52</v>
      </c>
      <c r="E3493" t="s">
        <v>114</v>
      </c>
      <c r="F3493" t="s">
        <v>148</v>
      </c>
      <c r="G3493" t="s">
        <v>148</v>
      </c>
      <c r="H3493" t="s">
        <v>209</v>
      </c>
      <c r="I3493" t="s">
        <v>228</v>
      </c>
      <c r="J3493" t="s">
        <v>247</v>
      </c>
      <c r="K3493" t="s">
        <v>261</v>
      </c>
      <c r="L3493" t="s">
        <v>274</v>
      </c>
      <c r="M3493" t="s">
        <v>283</v>
      </c>
      <c r="N3493" t="s">
        <v>292</v>
      </c>
      <c r="O3493" t="s">
        <v>300</v>
      </c>
      <c r="AK3493" t="s">
        <v>360</v>
      </c>
    </row>
    <row r="3494" spans="1:37">
      <c r="B3494" t="s">
        <v>52</v>
      </c>
      <c r="C3494" t="s">
        <v>76</v>
      </c>
      <c r="D3494" t="s">
        <v>96</v>
      </c>
      <c r="E3494" t="s">
        <v>115</v>
      </c>
      <c r="F3494" t="s">
        <v>149</v>
      </c>
      <c r="G3494" t="s">
        <v>174</v>
      </c>
      <c r="H3494" t="s">
        <v>96</v>
      </c>
      <c r="I3494" t="s">
        <v>229</v>
      </c>
      <c r="J3494" t="s">
        <v>248</v>
      </c>
      <c r="K3494" t="s">
        <v>262</v>
      </c>
      <c r="L3494" t="s">
        <v>52</v>
      </c>
      <c r="M3494" t="s">
        <v>76</v>
      </c>
      <c r="N3494" t="s">
        <v>293</v>
      </c>
      <c r="O3494" t="s">
        <v>301</v>
      </c>
      <c r="P3494" t="s">
        <v>309</v>
      </c>
      <c r="Q3494" t="s">
        <v>315</v>
      </c>
      <c r="R3494" t="s">
        <v>228</v>
      </c>
      <c r="S3494" t="s">
        <v>328</v>
      </c>
      <c r="T3494" t="s">
        <v>149</v>
      </c>
      <c r="U3494" t="s">
        <v>337</v>
      </c>
      <c r="V3494" t="s">
        <v>341</v>
      </c>
      <c r="W3494" t="s">
        <v>345</v>
      </c>
      <c r="X3494" t="s">
        <v>350</v>
      </c>
      <c r="AK3494" t="s">
        <v>360</v>
      </c>
    </row>
    <row r="3495" spans="1:37">
      <c r="B3495" t="s">
        <v>53</v>
      </c>
      <c r="C3495" t="s">
        <v>77</v>
      </c>
      <c r="D3495" t="s">
        <v>97</v>
      </c>
      <c r="E3495" t="s">
        <v>116</v>
      </c>
      <c r="F3495" t="s">
        <v>150</v>
      </c>
      <c r="G3495" t="s">
        <v>175</v>
      </c>
      <c r="H3495" t="s">
        <v>210</v>
      </c>
      <c r="I3495" t="s">
        <v>230</v>
      </c>
      <c r="J3495" t="s">
        <v>249</v>
      </c>
      <c r="K3495" t="s">
        <v>263</v>
      </c>
      <c r="L3495" t="s">
        <v>275</v>
      </c>
      <c r="M3495" t="s">
        <v>284</v>
      </c>
      <c r="N3495" t="s">
        <v>294</v>
      </c>
      <c r="O3495" t="s">
        <v>302</v>
      </c>
      <c r="P3495" t="s">
        <v>310</v>
      </c>
      <c r="Q3495" t="s">
        <v>316</v>
      </c>
      <c r="R3495" t="s">
        <v>322</v>
      </c>
      <c r="S3495" t="s">
        <v>329</v>
      </c>
      <c r="AK3495" t="s">
        <v>360</v>
      </c>
    </row>
    <row r="3496" spans="1:37">
      <c r="A3496" t="s">
        <v>39</v>
      </c>
      <c r="B3496" t="s">
        <v>54</v>
      </c>
      <c r="C3496" t="s">
        <v>54</v>
      </c>
      <c r="D3496" t="s">
        <v>54</v>
      </c>
      <c r="E3496" t="s">
        <v>54</v>
      </c>
      <c r="F3496" t="s">
        <v>54</v>
      </c>
      <c r="G3496" t="s">
        <v>54</v>
      </c>
      <c r="H3496" t="s">
        <v>54</v>
      </c>
      <c r="I3496" t="s">
        <v>54</v>
      </c>
      <c r="J3496" t="s">
        <v>54</v>
      </c>
      <c r="K3496" t="s">
        <v>54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323</v>
      </c>
      <c r="S3496" t="s">
        <v>330</v>
      </c>
      <c r="AK3496" t="s">
        <v>360</v>
      </c>
    </row>
    <row r="3497" spans="1:37">
      <c r="B3497" t="s">
        <v>55</v>
      </c>
      <c r="C3497" t="s">
        <v>78</v>
      </c>
      <c r="D3497" t="s">
        <v>55</v>
      </c>
      <c r="E3497" t="s">
        <v>78</v>
      </c>
      <c r="F3497" t="s">
        <v>55</v>
      </c>
      <c r="G3497" t="s">
        <v>78</v>
      </c>
      <c r="H3497" t="s">
        <v>55</v>
      </c>
      <c r="I3497" t="s">
        <v>78</v>
      </c>
      <c r="J3497" t="s">
        <v>55</v>
      </c>
      <c r="K3497" t="s">
        <v>78</v>
      </c>
      <c r="L3497" t="s">
        <v>55</v>
      </c>
      <c r="M3497" t="s">
        <v>78</v>
      </c>
      <c r="N3497" t="s">
        <v>55</v>
      </c>
      <c r="O3497" t="s">
        <v>78</v>
      </c>
      <c r="P3497" t="s">
        <v>55</v>
      </c>
      <c r="Q3497" t="s">
        <v>78</v>
      </c>
      <c r="R3497" t="s">
        <v>55</v>
      </c>
      <c r="S3497" t="s">
        <v>78</v>
      </c>
      <c r="T3497" t="s">
        <v>55</v>
      </c>
      <c r="U3497" t="s">
        <v>78</v>
      </c>
      <c r="V3497" t="s">
        <v>55</v>
      </c>
      <c r="W3497" t="s">
        <v>78</v>
      </c>
      <c r="X3497" t="s">
        <v>55</v>
      </c>
      <c r="Y3497" t="s">
        <v>78</v>
      </c>
      <c r="Z3497" t="s">
        <v>55</v>
      </c>
      <c r="AA3497" t="s">
        <v>78</v>
      </c>
      <c r="AB3497" t="s">
        <v>55</v>
      </c>
      <c r="AC3497" t="s">
        <v>78</v>
      </c>
      <c r="AD3497" t="s">
        <v>55</v>
      </c>
      <c r="AE3497" t="s">
        <v>78</v>
      </c>
      <c r="AF3497" t="s">
        <v>55</v>
      </c>
      <c r="AG3497" t="s">
        <v>78</v>
      </c>
      <c r="AH3497" t="s">
        <v>55</v>
      </c>
      <c r="AI3497" t="s">
        <v>78</v>
      </c>
      <c r="AK3497" t="s">
        <v>360</v>
      </c>
    </row>
    <row r="3498" spans="1:37">
      <c r="B3498" t="s">
        <v>56</v>
      </c>
      <c r="C3498" t="s">
        <v>56</v>
      </c>
      <c r="D3498" t="s">
        <v>56</v>
      </c>
      <c r="E3498" t="s">
        <v>56</v>
      </c>
      <c r="F3498" t="s">
        <v>56</v>
      </c>
      <c r="G3498" t="s">
        <v>176</v>
      </c>
      <c r="H3498" t="s">
        <v>211</v>
      </c>
      <c r="I3498" t="s">
        <v>231</v>
      </c>
      <c r="J3498" t="s">
        <v>250</v>
      </c>
      <c r="K3498" t="s">
        <v>264</v>
      </c>
      <c r="L3498" t="s">
        <v>276</v>
      </c>
      <c r="M3498" t="s">
        <v>285</v>
      </c>
      <c r="N3498" t="s">
        <v>295</v>
      </c>
      <c r="O3498" t="s">
        <v>303</v>
      </c>
      <c r="P3498" t="s">
        <v>56</v>
      </c>
      <c r="Q3498" t="s">
        <v>317</v>
      </c>
      <c r="R3498" t="s">
        <v>324</v>
      </c>
      <c r="S3498" t="s">
        <v>331</v>
      </c>
      <c r="T3498" t="s">
        <v>334</v>
      </c>
      <c r="U3498" t="s">
        <v>338</v>
      </c>
      <c r="V3498" t="s">
        <v>342</v>
      </c>
      <c r="W3498" t="s">
        <v>346</v>
      </c>
      <c r="X3498" t="s">
        <v>351</v>
      </c>
      <c r="AK3498" t="s">
        <v>360</v>
      </c>
    </row>
    <row r="3499" spans="1:37">
      <c r="B3499" t="s">
        <v>57</v>
      </c>
      <c r="C3499" t="s">
        <v>79</v>
      </c>
      <c r="D3499" t="s">
        <v>98</v>
      </c>
      <c r="E3499" t="s">
        <v>117</v>
      </c>
      <c r="F3499" t="s">
        <v>151</v>
      </c>
      <c r="G3499" t="s">
        <v>177</v>
      </c>
      <c r="H3499" t="s">
        <v>212</v>
      </c>
      <c r="I3499" t="s">
        <v>232</v>
      </c>
      <c r="J3499" t="s">
        <v>251</v>
      </c>
      <c r="K3499" t="s">
        <v>265</v>
      </c>
      <c r="L3499" t="s">
        <v>277</v>
      </c>
      <c r="M3499" t="s">
        <v>286</v>
      </c>
      <c r="N3499" t="s">
        <v>296</v>
      </c>
      <c r="O3499" t="s">
        <v>304</v>
      </c>
      <c r="P3499" t="s">
        <v>311</v>
      </c>
      <c r="Q3499" t="s">
        <v>318</v>
      </c>
      <c r="R3499" t="s">
        <v>185</v>
      </c>
      <c r="S3499" t="s">
        <v>159</v>
      </c>
      <c r="T3499" t="s">
        <v>185</v>
      </c>
      <c r="U3499" t="s">
        <v>339</v>
      </c>
      <c r="V3499" t="s">
        <v>72</v>
      </c>
      <c r="W3499" t="s">
        <v>347</v>
      </c>
      <c r="X3499" t="s">
        <v>72</v>
      </c>
      <c r="Y3499" t="s">
        <v>96</v>
      </c>
      <c r="AK3499" t="s">
        <v>360</v>
      </c>
    </row>
    <row r="3500" spans="1:37">
      <c r="B3500" t="s">
        <v>58</v>
      </c>
      <c r="C3500" t="s">
        <v>80</v>
      </c>
      <c r="D3500" t="s">
        <v>99</v>
      </c>
      <c r="E3500" t="s">
        <v>118</v>
      </c>
      <c r="F3500" t="s">
        <v>152</v>
      </c>
      <c r="G3500" t="s">
        <v>178</v>
      </c>
      <c r="H3500" t="s">
        <v>213</v>
      </c>
      <c r="I3500" t="s">
        <v>233</v>
      </c>
      <c r="J3500" t="s">
        <v>252</v>
      </c>
      <c r="K3500" t="s">
        <v>266</v>
      </c>
      <c r="L3500" t="s">
        <v>278</v>
      </c>
      <c r="M3500" t="s">
        <v>287</v>
      </c>
      <c r="N3500" t="s">
        <v>297</v>
      </c>
      <c r="O3500" t="s">
        <v>305</v>
      </c>
      <c r="P3500" t="s">
        <v>312</v>
      </c>
      <c r="Q3500" t="s">
        <v>319</v>
      </c>
      <c r="R3500">
        <f>&gt;10       ветра      1.8     20  28</f>
        <v>0</v>
      </c>
      <c r="AK3500" t="s">
        <v>360</v>
      </c>
    </row>
    <row r="3501" spans="1:37">
      <c r="A3501" t="s">
        <v>40</v>
      </c>
      <c r="B3501" t="s">
        <v>59</v>
      </c>
      <c r="C3501" t="s">
        <v>81</v>
      </c>
      <c r="D3501" t="s">
        <v>100</v>
      </c>
      <c r="E3501" t="s">
        <v>119</v>
      </c>
      <c r="F3501" t="s">
        <v>153</v>
      </c>
      <c r="G3501" t="s">
        <v>179</v>
      </c>
      <c r="H3501" t="s">
        <v>214</v>
      </c>
      <c r="I3501" t="s">
        <v>234</v>
      </c>
      <c r="AK3501" t="s">
        <v>360</v>
      </c>
    </row>
    <row r="3502" spans="1:37">
      <c r="A3502" t="s">
        <v>40</v>
      </c>
      <c r="B3502" t="s">
        <v>60</v>
      </c>
      <c r="C3502" t="s">
        <v>82</v>
      </c>
      <c r="D3502" t="s">
        <v>101</v>
      </c>
      <c r="E3502" t="s">
        <v>120</v>
      </c>
      <c r="F3502" t="s">
        <v>154</v>
      </c>
      <c r="G3502" t="s">
        <v>180</v>
      </c>
      <c r="H3502" t="s">
        <v>215</v>
      </c>
      <c r="I3502" t="s">
        <v>235</v>
      </c>
      <c r="J3502" t="s">
        <v>253</v>
      </c>
      <c r="K3502" t="s">
        <v>267</v>
      </c>
      <c r="L3502" t="s">
        <v>279</v>
      </c>
      <c r="M3502" t="s">
        <v>288</v>
      </c>
      <c r="N3502" t="s">
        <v>100</v>
      </c>
      <c r="O3502" t="s">
        <v>306</v>
      </c>
      <c r="P3502" t="s">
        <v>313</v>
      </c>
      <c r="Q3502" t="s">
        <v>320</v>
      </c>
      <c r="R3502" t="s">
        <v>325</v>
      </c>
      <c r="S3502" t="s">
        <v>332</v>
      </c>
      <c r="T3502" t="s">
        <v>119</v>
      </c>
      <c r="U3502" t="s">
        <v>234</v>
      </c>
      <c r="V3502" t="s">
        <v>343</v>
      </c>
      <c r="W3502" t="s">
        <v>348</v>
      </c>
      <c r="X3502" t="s">
        <v>352</v>
      </c>
      <c r="Y3502" t="s">
        <v>354</v>
      </c>
      <c r="AK3502" t="s">
        <v>360</v>
      </c>
    </row>
    <row r="3503" spans="1:37">
      <c r="A3503" t="s">
        <v>41</v>
      </c>
      <c r="B3503" t="s">
        <v>61</v>
      </c>
      <c r="C3503" t="s">
        <v>83</v>
      </c>
      <c r="D3503" t="s">
        <v>102</v>
      </c>
      <c r="E3503" t="s">
        <v>121</v>
      </c>
      <c r="F3503" t="s">
        <v>155</v>
      </c>
      <c r="G3503" t="s">
        <v>181</v>
      </c>
      <c r="H3503" t="s">
        <v>216</v>
      </c>
      <c r="I3503" t="s">
        <v>236</v>
      </c>
      <c r="AK3503" t="s">
        <v>360</v>
      </c>
    </row>
    <row r="3504" spans="1:37">
      <c r="A3504" t="s">
        <v>42</v>
      </c>
      <c r="B3504" t="s">
        <v>62</v>
      </c>
      <c r="C3504" t="s">
        <v>84</v>
      </c>
      <c r="D3504" t="s">
        <v>103</v>
      </c>
      <c r="E3504" t="s">
        <v>122</v>
      </c>
      <c r="F3504" t="s">
        <v>156</v>
      </c>
      <c r="G3504" t="s">
        <v>182</v>
      </c>
      <c r="H3504" t="s">
        <v>83</v>
      </c>
      <c r="I3504" t="s">
        <v>237</v>
      </c>
      <c r="J3504" t="s">
        <v>254</v>
      </c>
      <c r="K3504" t="s">
        <v>268</v>
      </c>
      <c r="L3504" t="s">
        <v>280</v>
      </c>
      <c r="M3504" t="s">
        <v>289</v>
      </c>
      <c r="N3504" t="s">
        <v>298</v>
      </c>
      <c r="O3504" t="s">
        <v>307</v>
      </c>
      <c r="P3504" t="s">
        <v>314</v>
      </c>
      <c r="Q3504" t="s">
        <v>216</v>
      </c>
      <c r="R3504" t="s">
        <v>326</v>
      </c>
      <c r="S3504" t="s">
        <v>333</v>
      </c>
      <c r="T3504" t="s">
        <v>335</v>
      </c>
      <c r="U3504" t="s">
        <v>340</v>
      </c>
      <c r="V3504" t="s">
        <v>344</v>
      </c>
      <c r="W3504" t="s">
        <v>349</v>
      </c>
      <c r="AK3504" t="s">
        <v>360</v>
      </c>
    </row>
    <row r="3505" spans="1:37">
      <c r="A3505" t="s">
        <v>43</v>
      </c>
      <c r="B3505" t="s">
        <v>63</v>
      </c>
      <c r="C3505" t="s">
        <v>85</v>
      </c>
      <c r="D3505" t="s">
        <v>104</v>
      </c>
      <c r="E3505" t="s">
        <v>123</v>
      </c>
      <c r="F3505" t="s">
        <v>157</v>
      </c>
      <c r="G3505" t="s">
        <v>183</v>
      </c>
      <c r="AK3505" t="s">
        <v>360</v>
      </c>
    </row>
    <row r="3506" spans="1:37">
      <c r="A3506" t="s">
        <v>44</v>
      </c>
      <c r="B3506" t="s">
        <v>64</v>
      </c>
      <c r="C3506" t="s">
        <v>86</v>
      </c>
      <c r="D3506" t="s">
        <v>105</v>
      </c>
      <c r="E3506" t="s">
        <v>124</v>
      </c>
      <c r="F3506" t="s">
        <v>158</v>
      </c>
      <c r="G3506" t="s">
        <v>184</v>
      </c>
      <c r="AK3506" t="s">
        <v>360</v>
      </c>
    </row>
    <row r="3507" spans="1:37">
      <c r="A3507" t="s">
        <v>45</v>
      </c>
      <c r="B3507" t="s">
        <v>65</v>
      </c>
      <c r="C3507" t="s">
        <v>87</v>
      </c>
      <c r="D3507" t="s">
        <v>106</v>
      </c>
      <c r="E3507" t="s">
        <v>125</v>
      </c>
      <c r="F3507" t="s">
        <v>159</v>
      </c>
      <c r="G3507" t="s">
        <v>185</v>
      </c>
      <c r="H3507" t="s">
        <v>159</v>
      </c>
      <c r="I3507" t="s">
        <v>185</v>
      </c>
      <c r="J3507" t="s">
        <v>255</v>
      </c>
      <c r="AK3507" t="s">
        <v>360</v>
      </c>
    </row>
    <row r="3508" spans="1:37">
      <c r="A3508" t="s">
        <v>46</v>
      </c>
      <c r="B3508" t="s">
        <v>66</v>
      </c>
      <c r="C3508" t="s">
        <v>88</v>
      </c>
      <c r="D3508" t="s">
        <v>76</v>
      </c>
      <c r="E3508" t="s">
        <v>126</v>
      </c>
      <c r="F3508" t="s">
        <v>160</v>
      </c>
      <c r="G3508" t="s">
        <v>186</v>
      </c>
      <c r="H3508" t="s">
        <v>217</v>
      </c>
      <c r="I3508" t="s">
        <v>238</v>
      </c>
      <c r="J3508" t="s">
        <v>256</v>
      </c>
      <c r="K3508" t="s">
        <v>265</v>
      </c>
      <c r="L3508" t="s">
        <v>281</v>
      </c>
      <c r="M3508" t="s">
        <v>290</v>
      </c>
      <c r="N3508" t="s">
        <v>299</v>
      </c>
      <c r="O3508" t="s">
        <v>308</v>
      </c>
      <c r="P3508" t="s">
        <v>228</v>
      </c>
      <c r="Q3508" t="s">
        <v>72</v>
      </c>
      <c r="R3508" t="s">
        <v>327</v>
      </c>
      <c r="S3508" t="s">
        <v>327</v>
      </c>
      <c r="T3508" t="s">
        <v>336</v>
      </c>
      <c r="U3508" t="s">
        <v>336</v>
      </c>
      <c r="V3508" t="s">
        <v>336</v>
      </c>
      <c r="W3508" t="s">
        <v>336</v>
      </c>
      <c r="X3508" t="s">
        <v>353</v>
      </c>
      <c r="AK3508" t="s">
        <v>360</v>
      </c>
    </row>
    <row r="3509" spans="1:37">
      <c r="B3509" t="s">
        <v>67</v>
      </c>
      <c r="C3509" t="s">
        <v>89</v>
      </c>
      <c r="D3509" t="s">
        <v>107</v>
      </c>
      <c r="AK3509" t="s">
        <v>360</v>
      </c>
    </row>
    <row r="3510" spans="1:37">
      <c r="B3510" t="s">
        <v>68</v>
      </c>
      <c r="C3510" t="s">
        <v>90</v>
      </c>
      <c r="D3510" t="s">
        <v>108</v>
      </c>
      <c r="AK3510" t="s">
        <v>360</v>
      </c>
    </row>
    <row r="3511" spans="1:37">
      <c r="A3511" t="s">
        <v>47</v>
      </c>
      <c r="B3511" t="s">
        <v>69</v>
      </c>
      <c r="C3511" t="s">
        <v>91</v>
      </c>
      <c r="D3511" t="s">
        <v>109</v>
      </c>
      <c r="E3511" t="s">
        <v>109</v>
      </c>
      <c r="F3511" t="s">
        <v>109</v>
      </c>
      <c r="G3511" t="s">
        <v>109</v>
      </c>
      <c r="H3511" t="s">
        <v>109</v>
      </c>
      <c r="I3511" t="s">
        <v>239</v>
      </c>
      <c r="AK3511" t="s">
        <v>360</v>
      </c>
    </row>
    <row r="3512" spans="1:37">
      <c r="B3512" t="s">
        <v>70</v>
      </c>
      <c r="C3512" t="s">
        <v>92</v>
      </c>
      <c r="D3512" t="s">
        <v>110</v>
      </c>
      <c r="E3512" t="s">
        <v>127</v>
      </c>
      <c r="F3512" t="s">
        <v>161</v>
      </c>
      <c r="G3512" t="s">
        <v>187</v>
      </c>
      <c r="H3512" t="s">
        <v>218</v>
      </c>
      <c r="AK3512" t="s">
        <v>360</v>
      </c>
    </row>
    <row r="3513" spans="1:37">
      <c r="B3513" t="s">
        <v>71</v>
      </c>
      <c r="C3513" t="s">
        <v>93</v>
      </c>
      <c r="D3513" t="s">
        <v>111</v>
      </c>
      <c r="E3513" t="s">
        <v>128</v>
      </c>
      <c r="F3513" t="s">
        <v>162</v>
      </c>
      <c r="G3513" t="s">
        <v>188</v>
      </c>
      <c r="H3513" t="s">
        <v>219</v>
      </c>
      <c r="I3513" t="s">
        <v>240</v>
      </c>
      <c r="J3513" t="s">
        <v>257</v>
      </c>
      <c r="K3513" t="s">
        <v>269</v>
      </c>
      <c r="L3513" t="s">
        <v>109</v>
      </c>
      <c r="M3513" t="s">
        <v>109</v>
      </c>
      <c r="N3513" t="s">
        <v>109</v>
      </c>
      <c r="O3513" t="s">
        <v>109</v>
      </c>
      <c r="P3513" t="s">
        <v>109</v>
      </c>
      <c r="Q3513" t="s">
        <v>321</v>
      </c>
      <c r="AK3513" t="s">
        <v>360</v>
      </c>
    </row>
    <row r="3514" spans="1:37">
      <c r="A3514" t="s">
        <v>48</v>
      </c>
      <c r="B3514" t="s">
        <v>71</v>
      </c>
      <c r="C3514" t="s">
        <v>93</v>
      </c>
      <c r="D3514" t="s">
        <v>111</v>
      </c>
      <c r="E3514" t="s">
        <v>128</v>
      </c>
      <c r="F3514" t="s">
        <v>163</v>
      </c>
      <c r="G3514" t="s">
        <v>189</v>
      </c>
      <c r="H3514" t="s">
        <v>220</v>
      </c>
      <c r="I3514" t="s">
        <v>241</v>
      </c>
      <c r="J3514" t="s">
        <v>258</v>
      </c>
      <c r="K3514" t="s">
        <v>270</v>
      </c>
      <c r="AK3514" t="s">
        <v>360</v>
      </c>
    </row>
    <row r="3515" spans="1:37">
      <c r="B3515" t="s">
        <v>72</v>
      </c>
      <c r="C3515" t="s">
        <v>72</v>
      </c>
      <c r="D3515" t="s">
        <v>72</v>
      </c>
      <c r="E3515" t="s">
        <v>72</v>
      </c>
      <c r="F3515" t="s">
        <v>72</v>
      </c>
      <c r="G3515" t="s">
        <v>72</v>
      </c>
      <c r="H3515" t="s">
        <v>72</v>
      </c>
      <c r="I3515" t="s">
        <v>72</v>
      </c>
      <c r="J3515" t="s">
        <v>72</v>
      </c>
      <c r="K3515" t="s">
        <v>272</v>
      </c>
      <c r="AK3515" t="s">
        <v>360</v>
      </c>
    </row>
    <row r="3516" spans="1:37">
      <c r="A3516" t="s">
        <v>37</v>
      </c>
      <c r="B3516" t="s">
        <v>49</v>
      </c>
      <c r="C3516" t="s">
        <v>73</v>
      </c>
      <c r="D3516" t="s">
        <v>94</v>
      </c>
      <c r="E3516" t="s">
        <v>112</v>
      </c>
      <c r="F3516" t="s">
        <v>146</v>
      </c>
      <c r="G3516" t="s">
        <v>172</v>
      </c>
      <c r="H3516" t="s">
        <v>207</v>
      </c>
      <c r="I3516" t="s">
        <v>226</v>
      </c>
      <c r="J3516" t="s">
        <v>246</v>
      </c>
      <c r="K3516" t="s">
        <v>259</v>
      </c>
      <c r="AK3516" t="s">
        <v>360</v>
      </c>
    </row>
    <row r="3517" spans="1:37">
      <c r="A3517" t="s">
        <v>38</v>
      </c>
      <c r="B3517" t="s">
        <v>50</v>
      </c>
      <c r="C3517" t="s">
        <v>74</v>
      </c>
      <c r="D3517" t="s">
        <v>95</v>
      </c>
      <c r="E3517" t="s">
        <v>113</v>
      </c>
      <c r="F3517" t="s">
        <v>147</v>
      </c>
      <c r="G3517" t="s">
        <v>173</v>
      </c>
      <c r="H3517" t="s">
        <v>208</v>
      </c>
      <c r="I3517" t="s">
        <v>227</v>
      </c>
      <c r="J3517" t="s">
        <v>115</v>
      </c>
      <c r="K3517" t="s">
        <v>260</v>
      </c>
      <c r="L3517" t="s">
        <v>273</v>
      </c>
      <c r="M3517" t="s">
        <v>282</v>
      </c>
      <c r="N3517" t="s">
        <v>291</v>
      </c>
      <c r="AK3517" t="s">
        <v>360</v>
      </c>
    </row>
    <row r="3518" spans="1:37">
      <c r="B3518" t="s">
        <v>51</v>
      </c>
      <c r="C3518" t="s">
        <v>75</v>
      </c>
      <c r="D3518" t="s">
        <v>52</v>
      </c>
      <c r="E3518" t="s">
        <v>114</v>
      </c>
      <c r="F3518" t="s">
        <v>148</v>
      </c>
      <c r="G3518" t="s">
        <v>148</v>
      </c>
      <c r="H3518" t="s">
        <v>209</v>
      </c>
      <c r="I3518" t="s">
        <v>228</v>
      </c>
      <c r="J3518" t="s">
        <v>247</v>
      </c>
      <c r="K3518" t="s">
        <v>261</v>
      </c>
      <c r="L3518" t="s">
        <v>274</v>
      </c>
      <c r="M3518" t="s">
        <v>283</v>
      </c>
      <c r="N3518" t="s">
        <v>292</v>
      </c>
      <c r="O3518" t="s">
        <v>300</v>
      </c>
      <c r="AK3518" t="s">
        <v>360</v>
      </c>
    </row>
    <row r="3519" spans="1:37">
      <c r="B3519" t="s">
        <v>52</v>
      </c>
      <c r="C3519" t="s">
        <v>76</v>
      </c>
      <c r="D3519" t="s">
        <v>96</v>
      </c>
      <c r="E3519" t="s">
        <v>115</v>
      </c>
      <c r="F3519" t="s">
        <v>149</v>
      </c>
      <c r="G3519" t="s">
        <v>174</v>
      </c>
      <c r="H3519" t="s">
        <v>96</v>
      </c>
      <c r="I3519" t="s">
        <v>229</v>
      </c>
      <c r="J3519" t="s">
        <v>248</v>
      </c>
      <c r="K3519" t="s">
        <v>262</v>
      </c>
      <c r="L3519" t="s">
        <v>52</v>
      </c>
      <c r="M3519" t="s">
        <v>76</v>
      </c>
      <c r="N3519" t="s">
        <v>293</v>
      </c>
      <c r="O3519" t="s">
        <v>301</v>
      </c>
      <c r="P3519" t="s">
        <v>309</v>
      </c>
      <c r="Q3519" t="s">
        <v>315</v>
      </c>
      <c r="R3519" t="s">
        <v>228</v>
      </c>
      <c r="S3519" t="s">
        <v>328</v>
      </c>
      <c r="T3519" t="s">
        <v>149</v>
      </c>
      <c r="U3519" t="s">
        <v>337</v>
      </c>
      <c r="V3519" t="s">
        <v>341</v>
      </c>
      <c r="W3519" t="s">
        <v>345</v>
      </c>
      <c r="X3519" t="s">
        <v>350</v>
      </c>
      <c r="AK3519" t="s">
        <v>360</v>
      </c>
    </row>
    <row r="3520" spans="1:37">
      <c r="B3520" t="s">
        <v>53</v>
      </c>
      <c r="C3520" t="s">
        <v>77</v>
      </c>
      <c r="D3520" t="s">
        <v>97</v>
      </c>
      <c r="E3520" t="s">
        <v>116</v>
      </c>
      <c r="F3520" t="s">
        <v>150</v>
      </c>
      <c r="G3520" t="s">
        <v>175</v>
      </c>
      <c r="H3520" t="s">
        <v>210</v>
      </c>
      <c r="I3520" t="s">
        <v>230</v>
      </c>
      <c r="J3520" t="s">
        <v>249</v>
      </c>
      <c r="K3520" t="s">
        <v>263</v>
      </c>
      <c r="L3520" t="s">
        <v>275</v>
      </c>
      <c r="M3520" t="s">
        <v>284</v>
      </c>
      <c r="N3520" t="s">
        <v>294</v>
      </c>
      <c r="O3520" t="s">
        <v>302</v>
      </c>
      <c r="P3520" t="s">
        <v>310</v>
      </c>
      <c r="Q3520" t="s">
        <v>316</v>
      </c>
      <c r="R3520" t="s">
        <v>322</v>
      </c>
      <c r="S3520" t="s">
        <v>329</v>
      </c>
      <c r="AK3520" t="s">
        <v>360</v>
      </c>
    </row>
    <row r="3521" spans="1:37">
      <c r="A3521" t="s">
        <v>39</v>
      </c>
      <c r="B3521" t="s">
        <v>54</v>
      </c>
      <c r="C3521" t="s">
        <v>54</v>
      </c>
      <c r="D3521" t="s">
        <v>54</v>
      </c>
      <c r="E3521" t="s">
        <v>54</v>
      </c>
      <c r="F3521" t="s">
        <v>54</v>
      </c>
      <c r="G3521" t="s">
        <v>54</v>
      </c>
      <c r="H3521" t="s">
        <v>54</v>
      </c>
      <c r="I3521" t="s">
        <v>54</v>
      </c>
      <c r="J3521" t="s">
        <v>54</v>
      </c>
      <c r="K3521" t="s">
        <v>54</v>
      </c>
      <c r="L3521" t="s">
        <v>54</v>
      </c>
      <c r="M3521" t="s">
        <v>54</v>
      </c>
      <c r="N3521" t="s">
        <v>54</v>
      </c>
      <c r="O3521" t="s">
        <v>54</v>
      </c>
      <c r="P3521" t="s">
        <v>54</v>
      </c>
      <c r="Q3521" t="s">
        <v>54</v>
      </c>
      <c r="R3521" t="s">
        <v>323</v>
      </c>
      <c r="S3521" t="s">
        <v>330</v>
      </c>
      <c r="AK3521" t="s">
        <v>360</v>
      </c>
    </row>
    <row r="3522" spans="1:37">
      <c r="B3522" t="s">
        <v>55</v>
      </c>
      <c r="C3522" t="s">
        <v>78</v>
      </c>
      <c r="D3522" t="s">
        <v>55</v>
      </c>
      <c r="E3522" t="s">
        <v>78</v>
      </c>
      <c r="F3522" t="s">
        <v>55</v>
      </c>
      <c r="G3522" t="s">
        <v>78</v>
      </c>
      <c r="H3522" t="s">
        <v>55</v>
      </c>
      <c r="I3522" t="s">
        <v>78</v>
      </c>
      <c r="J3522" t="s">
        <v>55</v>
      </c>
      <c r="K3522" t="s">
        <v>78</v>
      </c>
      <c r="L3522" t="s">
        <v>55</v>
      </c>
      <c r="M3522" t="s">
        <v>78</v>
      </c>
      <c r="N3522" t="s">
        <v>55</v>
      </c>
      <c r="O3522" t="s">
        <v>78</v>
      </c>
      <c r="P3522" t="s">
        <v>55</v>
      </c>
      <c r="Q3522" t="s">
        <v>78</v>
      </c>
      <c r="R3522" t="s">
        <v>55</v>
      </c>
      <c r="S3522" t="s">
        <v>78</v>
      </c>
      <c r="T3522" t="s">
        <v>55</v>
      </c>
      <c r="U3522" t="s">
        <v>78</v>
      </c>
      <c r="V3522" t="s">
        <v>55</v>
      </c>
      <c r="W3522" t="s">
        <v>78</v>
      </c>
      <c r="X3522" t="s">
        <v>55</v>
      </c>
      <c r="Y3522" t="s">
        <v>78</v>
      </c>
      <c r="Z3522" t="s">
        <v>55</v>
      </c>
      <c r="AA3522" t="s">
        <v>78</v>
      </c>
      <c r="AB3522" t="s">
        <v>55</v>
      </c>
      <c r="AC3522" t="s">
        <v>78</v>
      </c>
      <c r="AD3522" t="s">
        <v>55</v>
      </c>
      <c r="AE3522" t="s">
        <v>78</v>
      </c>
      <c r="AF3522" t="s">
        <v>55</v>
      </c>
      <c r="AG3522" t="s">
        <v>78</v>
      </c>
      <c r="AH3522" t="s">
        <v>55</v>
      </c>
      <c r="AI3522" t="s">
        <v>78</v>
      </c>
      <c r="AK3522" t="s">
        <v>360</v>
      </c>
    </row>
    <row r="3523" spans="1:37">
      <c r="B3523" t="s">
        <v>56</v>
      </c>
      <c r="C3523" t="s">
        <v>56</v>
      </c>
      <c r="D3523" t="s">
        <v>56</v>
      </c>
      <c r="E3523" t="s">
        <v>56</v>
      </c>
      <c r="F3523" t="s">
        <v>56</v>
      </c>
      <c r="G3523" t="s">
        <v>176</v>
      </c>
      <c r="H3523" t="s">
        <v>211</v>
      </c>
      <c r="I3523" t="s">
        <v>231</v>
      </c>
      <c r="J3523" t="s">
        <v>250</v>
      </c>
      <c r="K3523" t="s">
        <v>264</v>
      </c>
      <c r="L3523" t="s">
        <v>276</v>
      </c>
      <c r="M3523" t="s">
        <v>285</v>
      </c>
      <c r="N3523" t="s">
        <v>295</v>
      </c>
      <c r="O3523" t="s">
        <v>303</v>
      </c>
      <c r="P3523" t="s">
        <v>56</v>
      </c>
      <c r="Q3523" t="s">
        <v>317</v>
      </c>
      <c r="R3523" t="s">
        <v>324</v>
      </c>
      <c r="S3523" t="s">
        <v>331</v>
      </c>
      <c r="T3523" t="s">
        <v>334</v>
      </c>
      <c r="U3523" t="s">
        <v>338</v>
      </c>
      <c r="V3523" t="s">
        <v>342</v>
      </c>
      <c r="W3523" t="s">
        <v>346</v>
      </c>
      <c r="X3523" t="s">
        <v>351</v>
      </c>
      <c r="AK3523" t="s">
        <v>360</v>
      </c>
    </row>
    <row r="3524" spans="1:37">
      <c r="B3524" t="s">
        <v>57</v>
      </c>
      <c r="C3524" t="s">
        <v>79</v>
      </c>
      <c r="D3524" t="s">
        <v>98</v>
      </c>
      <c r="E3524" t="s">
        <v>117</v>
      </c>
      <c r="F3524" t="s">
        <v>151</v>
      </c>
      <c r="G3524" t="s">
        <v>177</v>
      </c>
      <c r="H3524" t="s">
        <v>212</v>
      </c>
      <c r="I3524" t="s">
        <v>232</v>
      </c>
      <c r="J3524" t="s">
        <v>251</v>
      </c>
      <c r="K3524" t="s">
        <v>265</v>
      </c>
      <c r="L3524" t="s">
        <v>277</v>
      </c>
      <c r="M3524" t="s">
        <v>286</v>
      </c>
      <c r="N3524" t="s">
        <v>296</v>
      </c>
      <c r="O3524" t="s">
        <v>304</v>
      </c>
      <c r="P3524" t="s">
        <v>311</v>
      </c>
      <c r="Q3524" t="s">
        <v>318</v>
      </c>
      <c r="R3524" t="s">
        <v>185</v>
      </c>
      <c r="S3524" t="s">
        <v>159</v>
      </c>
      <c r="T3524" t="s">
        <v>185</v>
      </c>
      <c r="U3524" t="s">
        <v>339</v>
      </c>
      <c r="V3524" t="s">
        <v>72</v>
      </c>
      <c r="W3524" t="s">
        <v>347</v>
      </c>
      <c r="X3524" t="s">
        <v>72</v>
      </c>
      <c r="Y3524" t="s">
        <v>96</v>
      </c>
      <c r="AK3524" t="s">
        <v>360</v>
      </c>
    </row>
    <row r="3525" spans="1:37">
      <c r="B3525" t="s">
        <v>58</v>
      </c>
      <c r="C3525" t="s">
        <v>80</v>
      </c>
      <c r="D3525" t="s">
        <v>99</v>
      </c>
      <c r="E3525" t="s">
        <v>118</v>
      </c>
      <c r="F3525" t="s">
        <v>152</v>
      </c>
      <c r="G3525" t="s">
        <v>178</v>
      </c>
      <c r="H3525" t="s">
        <v>213</v>
      </c>
      <c r="I3525" t="s">
        <v>233</v>
      </c>
      <c r="J3525" t="s">
        <v>252</v>
      </c>
      <c r="K3525" t="s">
        <v>266</v>
      </c>
      <c r="L3525" t="s">
        <v>278</v>
      </c>
      <c r="M3525" t="s">
        <v>287</v>
      </c>
      <c r="N3525" t="s">
        <v>297</v>
      </c>
      <c r="O3525" t="s">
        <v>305</v>
      </c>
      <c r="P3525" t="s">
        <v>312</v>
      </c>
      <c r="Q3525" t="s">
        <v>319</v>
      </c>
      <c r="R3525">
        <f>&gt;10       ветра      1.4     16   5</f>
        <v>0</v>
      </c>
      <c r="AK3525" t="s">
        <v>360</v>
      </c>
    </row>
    <row r="3526" spans="1:37">
      <c r="A3526" t="s">
        <v>40</v>
      </c>
      <c r="B3526" t="s">
        <v>59</v>
      </c>
      <c r="C3526" t="s">
        <v>81</v>
      </c>
      <c r="D3526" t="s">
        <v>100</v>
      </c>
      <c r="E3526" t="s">
        <v>119</v>
      </c>
      <c r="F3526" t="s">
        <v>153</v>
      </c>
      <c r="G3526" t="s">
        <v>179</v>
      </c>
      <c r="H3526" t="s">
        <v>214</v>
      </c>
      <c r="I3526" t="s">
        <v>234</v>
      </c>
      <c r="AK3526" t="s">
        <v>360</v>
      </c>
    </row>
    <row r="3527" spans="1:37">
      <c r="A3527" t="s">
        <v>40</v>
      </c>
      <c r="B3527" t="s">
        <v>60</v>
      </c>
      <c r="C3527" t="s">
        <v>82</v>
      </c>
      <c r="D3527" t="s">
        <v>101</v>
      </c>
      <c r="E3527" t="s">
        <v>120</v>
      </c>
      <c r="F3527" t="s">
        <v>154</v>
      </c>
      <c r="G3527" t="s">
        <v>180</v>
      </c>
      <c r="H3527" t="s">
        <v>215</v>
      </c>
      <c r="I3527" t="s">
        <v>235</v>
      </c>
      <c r="J3527" t="s">
        <v>253</v>
      </c>
      <c r="K3527" t="s">
        <v>267</v>
      </c>
      <c r="L3527" t="s">
        <v>279</v>
      </c>
      <c r="M3527" t="s">
        <v>288</v>
      </c>
      <c r="N3527" t="s">
        <v>100</v>
      </c>
      <c r="O3527" t="s">
        <v>306</v>
      </c>
      <c r="P3527" t="s">
        <v>313</v>
      </c>
      <c r="Q3527" t="s">
        <v>320</v>
      </c>
      <c r="R3527" t="s">
        <v>325</v>
      </c>
      <c r="S3527" t="s">
        <v>332</v>
      </c>
      <c r="T3527" t="s">
        <v>119</v>
      </c>
      <c r="U3527" t="s">
        <v>234</v>
      </c>
      <c r="V3527" t="s">
        <v>343</v>
      </c>
      <c r="W3527" t="s">
        <v>348</v>
      </c>
      <c r="X3527" t="s">
        <v>352</v>
      </c>
      <c r="Y3527" t="s">
        <v>354</v>
      </c>
      <c r="AK3527" t="s">
        <v>360</v>
      </c>
    </row>
    <row r="3528" spans="1:37">
      <c r="A3528" t="s">
        <v>41</v>
      </c>
      <c r="B3528" t="s">
        <v>61</v>
      </c>
      <c r="C3528" t="s">
        <v>83</v>
      </c>
      <c r="D3528" t="s">
        <v>102</v>
      </c>
      <c r="E3528" t="s">
        <v>121</v>
      </c>
      <c r="F3528" t="s">
        <v>155</v>
      </c>
      <c r="G3528" t="s">
        <v>181</v>
      </c>
      <c r="H3528" t="s">
        <v>216</v>
      </c>
      <c r="I3528" t="s">
        <v>236</v>
      </c>
      <c r="AK3528" t="s">
        <v>360</v>
      </c>
    </row>
    <row r="3529" spans="1:37">
      <c r="A3529" t="s">
        <v>42</v>
      </c>
      <c r="B3529" t="s">
        <v>62</v>
      </c>
      <c r="C3529" t="s">
        <v>84</v>
      </c>
      <c r="D3529" t="s">
        <v>103</v>
      </c>
      <c r="E3529" t="s">
        <v>122</v>
      </c>
      <c r="F3529" t="s">
        <v>156</v>
      </c>
      <c r="G3529" t="s">
        <v>182</v>
      </c>
      <c r="H3529" t="s">
        <v>83</v>
      </c>
      <c r="I3529" t="s">
        <v>237</v>
      </c>
      <c r="J3529" t="s">
        <v>254</v>
      </c>
      <c r="K3529" t="s">
        <v>268</v>
      </c>
      <c r="L3529" t="s">
        <v>280</v>
      </c>
      <c r="M3529" t="s">
        <v>289</v>
      </c>
      <c r="N3529" t="s">
        <v>298</v>
      </c>
      <c r="O3529" t="s">
        <v>307</v>
      </c>
      <c r="P3529" t="s">
        <v>314</v>
      </c>
      <c r="Q3529" t="s">
        <v>216</v>
      </c>
      <c r="R3529" t="s">
        <v>326</v>
      </c>
      <c r="S3529" t="s">
        <v>333</v>
      </c>
      <c r="T3529" t="s">
        <v>335</v>
      </c>
      <c r="U3529" t="s">
        <v>340</v>
      </c>
      <c r="V3529" t="s">
        <v>344</v>
      </c>
      <c r="W3529" t="s">
        <v>349</v>
      </c>
      <c r="AK3529" t="s">
        <v>360</v>
      </c>
    </row>
    <row r="3530" spans="1:37">
      <c r="A3530" t="s">
        <v>43</v>
      </c>
      <c r="B3530" t="s">
        <v>63</v>
      </c>
      <c r="C3530" t="s">
        <v>85</v>
      </c>
      <c r="D3530" t="s">
        <v>104</v>
      </c>
      <c r="E3530" t="s">
        <v>123</v>
      </c>
      <c r="F3530" t="s">
        <v>157</v>
      </c>
      <c r="G3530" t="s">
        <v>183</v>
      </c>
      <c r="AK3530" t="s">
        <v>360</v>
      </c>
    </row>
    <row r="3531" spans="1:37">
      <c r="A3531" t="s">
        <v>44</v>
      </c>
      <c r="B3531" t="s">
        <v>64</v>
      </c>
      <c r="C3531" t="s">
        <v>86</v>
      </c>
      <c r="D3531" t="s">
        <v>105</v>
      </c>
      <c r="E3531" t="s">
        <v>124</v>
      </c>
      <c r="F3531" t="s">
        <v>158</v>
      </c>
      <c r="G3531" t="s">
        <v>184</v>
      </c>
      <c r="AK3531" t="s">
        <v>360</v>
      </c>
    </row>
    <row r="3532" spans="1:37">
      <c r="A3532" t="s">
        <v>45</v>
      </c>
      <c r="B3532" t="s">
        <v>65</v>
      </c>
      <c r="C3532" t="s">
        <v>87</v>
      </c>
      <c r="D3532" t="s">
        <v>106</v>
      </c>
      <c r="E3532" t="s">
        <v>125</v>
      </c>
      <c r="F3532" t="s">
        <v>159</v>
      </c>
      <c r="G3532" t="s">
        <v>185</v>
      </c>
      <c r="H3532" t="s">
        <v>159</v>
      </c>
      <c r="I3532" t="s">
        <v>185</v>
      </c>
      <c r="J3532" t="s">
        <v>255</v>
      </c>
      <c r="AK3532" t="s">
        <v>360</v>
      </c>
    </row>
    <row r="3533" spans="1:37">
      <c r="A3533" t="s">
        <v>46</v>
      </c>
      <c r="B3533" t="s">
        <v>66</v>
      </c>
      <c r="C3533" t="s">
        <v>88</v>
      </c>
      <c r="D3533" t="s">
        <v>76</v>
      </c>
      <c r="E3533" t="s">
        <v>126</v>
      </c>
      <c r="F3533" t="s">
        <v>160</v>
      </c>
      <c r="G3533" t="s">
        <v>186</v>
      </c>
      <c r="H3533" t="s">
        <v>217</v>
      </c>
      <c r="I3533" t="s">
        <v>238</v>
      </c>
      <c r="J3533" t="s">
        <v>256</v>
      </c>
      <c r="K3533" t="s">
        <v>265</v>
      </c>
      <c r="L3533" t="s">
        <v>281</v>
      </c>
      <c r="M3533" t="s">
        <v>290</v>
      </c>
      <c r="N3533" t="s">
        <v>299</v>
      </c>
      <c r="O3533" t="s">
        <v>308</v>
      </c>
      <c r="P3533" t="s">
        <v>228</v>
      </c>
      <c r="Q3533" t="s">
        <v>72</v>
      </c>
      <c r="R3533" t="s">
        <v>327</v>
      </c>
      <c r="S3533" t="s">
        <v>327</v>
      </c>
      <c r="T3533" t="s">
        <v>336</v>
      </c>
      <c r="U3533" t="s">
        <v>336</v>
      </c>
      <c r="V3533" t="s">
        <v>336</v>
      </c>
      <c r="W3533" t="s">
        <v>336</v>
      </c>
      <c r="X3533" t="s">
        <v>353</v>
      </c>
      <c r="AK3533" t="s">
        <v>360</v>
      </c>
    </row>
    <row r="3534" spans="1:37">
      <c r="B3534" t="s">
        <v>67</v>
      </c>
      <c r="C3534" t="s">
        <v>89</v>
      </c>
      <c r="D3534" t="s">
        <v>107</v>
      </c>
      <c r="AK3534" t="s">
        <v>360</v>
      </c>
    </row>
    <row r="3535" spans="1:37">
      <c r="B3535" t="s">
        <v>68</v>
      </c>
      <c r="C3535" t="s">
        <v>90</v>
      </c>
      <c r="D3535" t="s">
        <v>108</v>
      </c>
      <c r="AK3535" t="s">
        <v>360</v>
      </c>
    </row>
    <row r="3536" spans="1:37">
      <c r="A3536" t="s">
        <v>47</v>
      </c>
      <c r="B3536" t="s">
        <v>69</v>
      </c>
      <c r="C3536" t="s">
        <v>91</v>
      </c>
      <c r="D3536" t="s">
        <v>109</v>
      </c>
      <c r="E3536" t="s">
        <v>109</v>
      </c>
      <c r="F3536" t="s">
        <v>109</v>
      </c>
      <c r="G3536" t="s">
        <v>109</v>
      </c>
      <c r="H3536" t="s">
        <v>109</v>
      </c>
      <c r="I3536" t="s">
        <v>239</v>
      </c>
      <c r="AK3536" t="s">
        <v>360</v>
      </c>
    </row>
    <row r="3537" spans="1:37">
      <c r="B3537" t="s">
        <v>70</v>
      </c>
      <c r="C3537" t="s">
        <v>92</v>
      </c>
      <c r="D3537" t="s">
        <v>110</v>
      </c>
      <c r="E3537" t="s">
        <v>127</v>
      </c>
      <c r="F3537" t="s">
        <v>161</v>
      </c>
      <c r="G3537" t="s">
        <v>187</v>
      </c>
      <c r="H3537" t="s">
        <v>218</v>
      </c>
      <c r="AK3537" t="s">
        <v>360</v>
      </c>
    </row>
    <row r="3538" spans="1:37">
      <c r="B3538" t="s">
        <v>71</v>
      </c>
      <c r="C3538" t="s">
        <v>93</v>
      </c>
      <c r="D3538" t="s">
        <v>111</v>
      </c>
      <c r="E3538" t="s">
        <v>128</v>
      </c>
      <c r="F3538" t="s">
        <v>162</v>
      </c>
      <c r="G3538" t="s">
        <v>188</v>
      </c>
      <c r="H3538" t="s">
        <v>219</v>
      </c>
      <c r="I3538" t="s">
        <v>240</v>
      </c>
      <c r="J3538" t="s">
        <v>257</v>
      </c>
      <c r="K3538" t="s">
        <v>269</v>
      </c>
      <c r="L3538" t="s">
        <v>109</v>
      </c>
      <c r="M3538" t="s">
        <v>109</v>
      </c>
      <c r="N3538" t="s">
        <v>109</v>
      </c>
      <c r="O3538" t="s">
        <v>109</v>
      </c>
      <c r="P3538" t="s">
        <v>109</v>
      </c>
      <c r="Q3538" t="s">
        <v>321</v>
      </c>
      <c r="AK3538" t="s">
        <v>360</v>
      </c>
    </row>
    <row r="3539" spans="1:37">
      <c r="A3539" t="s">
        <v>48</v>
      </c>
      <c r="B3539" t="s">
        <v>71</v>
      </c>
      <c r="C3539" t="s">
        <v>93</v>
      </c>
      <c r="D3539" t="s">
        <v>111</v>
      </c>
      <c r="E3539" t="s">
        <v>128</v>
      </c>
      <c r="F3539" t="s">
        <v>163</v>
      </c>
      <c r="G3539" t="s">
        <v>189</v>
      </c>
      <c r="H3539" t="s">
        <v>220</v>
      </c>
      <c r="I3539" t="s">
        <v>241</v>
      </c>
      <c r="J3539" t="s">
        <v>258</v>
      </c>
      <c r="K3539" t="s">
        <v>270</v>
      </c>
      <c r="AK3539" t="s">
        <v>360</v>
      </c>
    </row>
    <row r="3540" spans="1:37">
      <c r="B3540" t="s">
        <v>72</v>
      </c>
      <c r="C3540" t="s">
        <v>72</v>
      </c>
      <c r="D3540" t="s">
        <v>72</v>
      </c>
      <c r="E3540" t="s">
        <v>139</v>
      </c>
      <c r="F3540" t="s">
        <v>139</v>
      </c>
      <c r="G3540" t="s">
        <v>192</v>
      </c>
      <c r="H3540" t="s">
        <v>192</v>
      </c>
      <c r="I3540" t="s">
        <v>192</v>
      </c>
      <c r="J3540" t="s">
        <v>192</v>
      </c>
      <c r="K3540" t="s">
        <v>271</v>
      </c>
      <c r="AK3540" t="s">
        <v>360</v>
      </c>
    </row>
    <row r="3541" spans="1:37">
      <c r="A3541" t="s">
        <v>37</v>
      </c>
      <c r="B3541" t="s">
        <v>49</v>
      </c>
      <c r="C3541" t="s">
        <v>73</v>
      </c>
      <c r="D3541" t="s">
        <v>94</v>
      </c>
      <c r="E3541" t="s">
        <v>112</v>
      </c>
      <c r="F3541" t="s">
        <v>146</v>
      </c>
      <c r="G3541" t="s">
        <v>172</v>
      </c>
      <c r="H3541" t="s">
        <v>207</v>
      </c>
      <c r="I3541" t="s">
        <v>226</v>
      </c>
      <c r="J3541" t="s">
        <v>246</v>
      </c>
      <c r="K3541" t="s">
        <v>259</v>
      </c>
      <c r="AK3541" t="s">
        <v>360</v>
      </c>
    </row>
    <row r="3542" spans="1:37">
      <c r="A3542" t="s">
        <v>38</v>
      </c>
      <c r="B3542" t="s">
        <v>50</v>
      </c>
      <c r="C3542" t="s">
        <v>74</v>
      </c>
      <c r="D3542" t="s">
        <v>95</v>
      </c>
      <c r="E3542" t="s">
        <v>113</v>
      </c>
      <c r="F3542" t="s">
        <v>147</v>
      </c>
      <c r="G3542" t="s">
        <v>173</v>
      </c>
      <c r="H3542" t="s">
        <v>208</v>
      </c>
      <c r="I3542" t="s">
        <v>227</v>
      </c>
      <c r="J3542" t="s">
        <v>115</v>
      </c>
      <c r="K3542" t="s">
        <v>260</v>
      </c>
      <c r="L3542" t="s">
        <v>273</v>
      </c>
      <c r="M3542" t="s">
        <v>282</v>
      </c>
      <c r="N3542" t="s">
        <v>291</v>
      </c>
      <c r="AK3542" t="s">
        <v>360</v>
      </c>
    </row>
    <row r="3543" spans="1:37">
      <c r="B3543" t="s">
        <v>51</v>
      </c>
      <c r="C3543" t="s">
        <v>75</v>
      </c>
      <c r="D3543" t="s">
        <v>52</v>
      </c>
      <c r="E3543" t="s">
        <v>114</v>
      </c>
      <c r="F3543" t="s">
        <v>148</v>
      </c>
      <c r="G3543" t="s">
        <v>148</v>
      </c>
      <c r="H3543" t="s">
        <v>209</v>
      </c>
      <c r="I3543" t="s">
        <v>228</v>
      </c>
      <c r="J3543" t="s">
        <v>247</v>
      </c>
      <c r="K3543" t="s">
        <v>261</v>
      </c>
      <c r="L3543" t="s">
        <v>274</v>
      </c>
      <c r="M3543" t="s">
        <v>283</v>
      </c>
      <c r="N3543" t="s">
        <v>292</v>
      </c>
      <c r="O3543" t="s">
        <v>300</v>
      </c>
      <c r="AK3543" t="s">
        <v>360</v>
      </c>
    </row>
    <row r="3544" spans="1:37">
      <c r="B3544" t="s">
        <v>52</v>
      </c>
      <c r="C3544" t="s">
        <v>76</v>
      </c>
      <c r="D3544" t="s">
        <v>96</v>
      </c>
      <c r="E3544" t="s">
        <v>115</v>
      </c>
      <c r="F3544" t="s">
        <v>149</v>
      </c>
      <c r="G3544" t="s">
        <v>174</v>
      </c>
      <c r="H3544" t="s">
        <v>96</v>
      </c>
      <c r="I3544" t="s">
        <v>229</v>
      </c>
      <c r="J3544" t="s">
        <v>248</v>
      </c>
      <c r="K3544" t="s">
        <v>262</v>
      </c>
      <c r="L3544" t="s">
        <v>52</v>
      </c>
      <c r="M3544" t="s">
        <v>76</v>
      </c>
      <c r="N3544" t="s">
        <v>293</v>
      </c>
      <c r="O3544" t="s">
        <v>301</v>
      </c>
      <c r="P3544" t="s">
        <v>309</v>
      </c>
      <c r="Q3544" t="s">
        <v>315</v>
      </c>
      <c r="R3544" t="s">
        <v>228</v>
      </c>
      <c r="S3544" t="s">
        <v>328</v>
      </c>
      <c r="T3544" t="s">
        <v>149</v>
      </c>
      <c r="U3544" t="s">
        <v>337</v>
      </c>
      <c r="V3544" t="s">
        <v>341</v>
      </c>
      <c r="W3544" t="s">
        <v>345</v>
      </c>
      <c r="X3544" t="s">
        <v>350</v>
      </c>
      <c r="AK3544" t="s">
        <v>360</v>
      </c>
    </row>
    <row r="3545" spans="1:37">
      <c r="B3545" t="s">
        <v>53</v>
      </c>
      <c r="C3545" t="s">
        <v>77</v>
      </c>
      <c r="D3545" t="s">
        <v>97</v>
      </c>
      <c r="E3545" t="s">
        <v>116</v>
      </c>
      <c r="F3545" t="s">
        <v>150</v>
      </c>
      <c r="G3545" t="s">
        <v>175</v>
      </c>
      <c r="H3545" t="s">
        <v>210</v>
      </c>
      <c r="I3545" t="s">
        <v>230</v>
      </c>
      <c r="J3545" t="s">
        <v>249</v>
      </c>
      <c r="K3545" t="s">
        <v>263</v>
      </c>
      <c r="L3545" t="s">
        <v>275</v>
      </c>
      <c r="M3545" t="s">
        <v>284</v>
      </c>
      <c r="N3545" t="s">
        <v>294</v>
      </c>
      <c r="O3545" t="s">
        <v>302</v>
      </c>
      <c r="P3545" t="s">
        <v>310</v>
      </c>
      <c r="Q3545" t="s">
        <v>316</v>
      </c>
      <c r="R3545" t="s">
        <v>322</v>
      </c>
      <c r="S3545" t="s">
        <v>329</v>
      </c>
      <c r="AK3545" t="s">
        <v>360</v>
      </c>
    </row>
    <row r="3546" spans="1:37">
      <c r="A3546" t="s">
        <v>39</v>
      </c>
      <c r="B3546" t="s">
        <v>54</v>
      </c>
      <c r="C3546" t="s">
        <v>54</v>
      </c>
      <c r="D3546" t="s">
        <v>54</v>
      </c>
      <c r="E3546" t="s">
        <v>54</v>
      </c>
      <c r="F3546" t="s">
        <v>54</v>
      </c>
      <c r="G3546" t="s">
        <v>54</v>
      </c>
      <c r="H3546" t="s">
        <v>54</v>
      </c>
      <c r="I3546" t="s">
        <v>54</v>
      </c>
      <c r="J3546" t="s">
        <v>54</v>
      </c>
      <c r="K3546" t="s">
        <v>54</v>
      </c>
      <c r="L3546" t="s">
        <v>54</v>
      </c>
      <c r="M3546" t="s">
        <v>54</v>
      </c>
      <c r="N3546" t="s">
        <v>54</v>
      </c>
      <c r="O3546" t="s">
        <v>54</v>
      </c>
      <c r="P3546" t="s">
        <v>54</v>
      </c>
      <c r="Q3546" t="s">
        <v>54</v>
      </c>
      <c r="R3546" t="s">
        <v>323</v>
      </c>
      <c r="S3546" t="s">
        <v>330</v>
      </c>
      <c r="AK3546" t="s">
        <v>360</v>
      </c>
    </row>
    <row r="3547" spans="1:37">
      <c r="B3547" t="s">
        <v>55</v>
      </c>
      <c r="C3547" t="s">
        <v>78</v>
      </c>
      <c r="D3547" t="s">
        <v>55</v>
      </c>
      <c r="E3547" t="s">
        <v>78</v>
      </c>
      <c r="F3547" t="s">
        <v>55</v>
      </c>
      <c r="G3547" t="s">
        <v>78</v>
      </c>
      <c r="H3547" t="s">
        <v>55</v>
      </c>
      <c r="I3547" t="s">
        <v>78</v>
      </c>
      <c r="J3547" t="s">
        <v>55</v>
      </c>
      <c r="K3547" t="s">
        <v>78</v>
      </c>
      <c r="L3547" t="s">
        <v>55</v>
      </c>
      <c r="M3547" t="s">
        <v>78</v>
      </c>
      <c r="N3547" t="s">
        <v>55</v>
      </c>
      <c r="O3547" t="s">
        <v>78</v>
      </c>
      <c r="P3547" t="s">
        <v>55</v>
      </c>
      <c r="Q3547" t="s">
        <v>78</v>
      </c>
      <c r="R3547" t="s">
        <v>55</v>
      </c>
      <c r="S3547" t="s">
        <v>78</v>
      </c>
      <c r="T3547" t="s">
        <v>55</v>
      </c>
      <c r="U3547" t="s">
        <v>78</v>
      </c>
      <c r="V3547" t="s">
        <v>55</v>
      </c>
      <c r="W3547" t="s">
        <v>78</v>
      </c>
      <c r="X3547" t="s">
        <v>55</v>
      </c>
      <c r="Y3547" t="s">
        <v>78</v>
      </c>
      <c r="Z3547" t="s">
        <v>55</v>
      </c>
      <c r="AA3547" t="s">
        <v>78</v>
      </c>
      <c r="AB3547" t="s">
        <v>55</v>
      </c>
      <c r="AC3547" t="s">
        <v>78</v>
      </c>
      <c r="AD3547" t="s">
        <v>55</v>
      </c>
      <c r="AE3547" t="s">
        <v>78</v>
      </c>
      <c r="AF3547" t="s">
        <v>55</v>
      </c>
      <c r="AG3547" t="s">
        <v>78</v>
      </c>
      <c r="AH3547" t="s">
        <v>55</v>
      </c>
      <c r="AI3547" t="s">
        <v>78</v>
      </c>
      <c r="AK3547" t="s">
        <v>360</v>
      </c>
    </row>
    <row r="3548" spans="1:37">
      <c r="B3548" t="s">
        <v>56</v>
      </c>
      <c r="C3548" t="s">
        <v>56</v>
      </c>
      <c r="D3548" t="s">
        <v>56</v>
      </c>
      <c r="E3548" t="s">
        <v>56</v>
      </c>
      <c r="F3548" t="s">
        <v>56</v>
      </c>
      <c r="G3548" t="s">
        <v>176</v>
      </c>
      <c r="H3548" t="s">
        <v>211</v>
      </c>
      <c r="I3548" t="s">
        <v>231</v>
      </c>
      <c r="J3548" t="s">
        <v>250</v>
      </c>
      <c r="K3548" t="s">
        <v>264</v>
      </c>
      <c r="L3548" t="s">
        <v>276</v>
      </c>
      <c r="M3548" t="s">
        <v>285</v>
      </c>
      <c r="N3548" t="s">
        <v>295</v>
      </c>
      <c r="O3548" t="s">
        <v>303</v>
      </c>
      <c r="P3548" t="s">
        <v>56</v>
      </c>
      <c r="Q3548" t="s">
        <v>317</v>
      </c>
      <c r="R3548" t="s">
        <v>324</v>
      </c>
      <c r="S3548" t="s">
        <v>331</v>
      </c>
      <c r="T3548" t="s">
        <v>334</v>
      </c>
      <c r="U3548" t="s">
        <v>338</v>
      </c>
      <c r="V3548" t="s">
        <v>342</v>
      </c>
      <c r="W3548" t="s">
        <v>346</v>
      </c>
      <c r="X3548" t="s">
        <v>351</v>
      </c>
      <c r="AK3548" t="s">
        <v>360</v>
      </c>
    </row>
    <row r="3549" spans="1:37">
      <c r="B3549" t="s">
        <v>57</v>
      </c>
      <c r="C3549" t="s">
        <v>79</v>
      </c>
      <c r="D3549" t="s">
        <v>98</v>
      </c>
      <c r="E3549" t="s">
        <v>117</v>
      </c>
      <c r="F3549" t="s">
        <v>151</v>
      </c>
      <c r="G3549" t="s">
        <v>177</v>
      </c>
      <c r="H3549" t="s">
        <v>212</v>
      </c>
      <c r="I3549" t="s">
        <v>232</v>
      </c>
      <c r="J3549" t="s">
        <v>251</v>
      </c>
      <c r="K3549" t="s">
        <v>265</v>
      </c>
      <c r="L3549" t="s">
        <v>277</v>
      </c>
      <c r="M3549" t="s">
        <v>286</v>
      </c>
      <c r="N3549" t="s">
        <v>296</v>
      </c>
      <c r="O3549" t="s">
        <v>304</v>
      </c>
      <c r="P3549" t="s">
        <v>311</v>
      </c>
      <c r="Q3549" t="s">
        <v>318</v>
      </c>
      <c r="R3549" t="s">
        <v>185</v>
      </c>
      <c r="S3549" t="s">
        <v>159</v>
      </c>
      <c r="T3549" t="s">
        <v>185</v>
      </c>
      <c r="U3549" t="s">
        <v>339</v>
      </c>
      <c r="V3549" t="s">
        <v>72</v>
      </c>
      <c r="W3549" t="s">
        <v>347</v>
      </c>
      <c r="X3549" t="s">
        <v>72</v>
      </c>
      <c r="Y3549" t="s">
        <v>96</v>
      </c>
      <c r="AK3549" t="s">
        <v>360</v>
      </c>
    </row>
    <row r="3550" spans="1:37">
      <c r="B3550" t="s">
        <v>58</v>
      </c>
      <c r="C3550" t="s">
        <v>80</v>
      </c>
      <c r="D3550" t="s">
        <v>99</v>
      </c>
      <c r="E3550" t="s">
        <v>118</v>
      </c>
      <c r="F3550" t="s">
        <v>152</v>
      </c>
      <c r="G3550" t="s">
        <v>178</v>
      </c>
      <c r="H3550" t="s">
        <v>213</v>
      </c>
      <c r="I3550" t="s">
        <v>233</v>
      </c>
      <c r="J3550" t="s">
        <v>252</v>
      </c>
      <c r="K3550" t="s">
        <v>266</v>
      </c>
      <c r="L3550" t="s">
        <v>278</v>
      </c>
      <c r="M3550" t="s">
        <v>287</v>
      </c>
      <c r="N3550" t="s">
        <v>297</v>
      </c>
      <c r="O3550" t="s">
        <v>305</v>
      </c>
      <c r="P3550" t="s">
        <v>312</v>
      </c>
      <c r="Q3550" t="s">
        <v>319</v>
      </c>
      <c r="R3550">
        <f>&gt;10       ветра      3.1     19   5</f>
        <v>0</v>
      </c>
      <c r="AK3550" t="s">
        <v>360</v>
      </c>
    </row>
    <row r="3551" spans="1:37">
      <c r="A3551" t="s">
        <v>40</v>
      </c>
      <c r="B3551" t="s">
        <v>59</v>
      </c>
      <c r="C3551" t="s">
        <v>81</v>
      </c>
      <c r="D3551" t="s">
        <v>100</v>
      </c>
      <c r="E3551" t="s">
        <v>119</v>
      </c>
      <c r="F3551" t="s">
        <v>153</v>
      </c>
      <c r="G3551" t="s">
        <v>179</v>
      </c>
      <c r="H3551" t="s">
        <v>214</v>
      </c>
      <c r="I3551" t="s">
        <v>234</v>
      </c>
      <c r="AK3551" t="s">
        <v>360</v>
      </c>
    </row>
    <row r="3552" spans="1:37">
      <c r="A3552" t="s">
        <v>40</v>
      </c>
      <c r="B3552" t="s">
        <v>60</v>
      </c>
      <c r="C3552" t="s">
        <v>82</v>
      </c>
      <c r="D3552" t="s">
        <v>101</v>
      </c>
      <c r="E3552" t="s">
        <v>120</v>
      </c>
      <c r="F3552" t="s">
        <v>154</v>
      </c>
      <c r="G3552" t="s">
        <v>180</v>
      </c>
      <c r="H3552" t="s">
        <v>215</v>
      </c>
      <c r="I3552" t="s">
        <v>235</v>
      </c>
      <c r="J3552" t="s">
        <v>253</v>
      </c>
      <c r="K3552" t="s">
        <v>267</v>
      </c>
      <c r="L3552" t="s">
        <v>279</v>
      </c>
      <c r="M3552" t="s">
        <v>288</v>
      </c>
      <c r="N3552" t="s">
        <v>100</v>
      </c>
      <c r="O3552" t="s">
        <v>306</v>
      </c>
      <c r="P3552" t="s">
        <v>313</v>
      </c>
      <c r="Q3552" t="s">
        <v>320</v>
      </c>
      <c r="R3552" t="s">
        <v>325</v>
      </c>
      <c r="S3552" t="s">
        <v>332</v>
      </c>
      <c r="T3552" t="s">
        <v>119</v>
      </c>
      <c r="U3552" t="s">
        <v>234</v>
      </c>
      <c r="V3552" t="s">
        <v>343</v>
      </c>
      <c r="W3552" t="s">
        <v>348</v>
      </c>
      <c r="X3552" t="s">
        <v>352</v>
      </c>
      <c r="Y3552" t="s">
        <v>354</v>
      </c>
      <c r="AK3552" t="s">
        <v>360</v>
      </c>
    </row>
    <row r="3553" spans="1:37">
      <c r="A3553" t="s">
        <v>41</v>
      </c>
      <c r="B3553" t="s">
        <v>61</v>
      </c>
      <c r="C3553" t="s">
        <v>83</v>
      </c>
      <c r="D3553" t="s">
        <v>102</v>
      </c>
      <c r="E3553" t="s">
        <v>121</v>
      </c>
      <c r="F3553" t="s">
        <v>155</v>
      </c>
      <c r="G3553" t="s">
        <v>181</v>
      </c>
      <c r="H3553" t="s">
        <v>216</v>
      </c>
      <c r="I3553" t="s">
        <v>236</v>
      </c>
      <c r="AK3553" t="s">
        <v>360</v>
      </c>
    </row>
    <row r="3554" spans="1:37">
      <c r="A3554" t="s">
        <v>42</v>
      </c>
      <c r="B3554" t="s">
        <v>62</v>
      </c>
      <c r="C3554" t="s">
        <v>84</v>
      </c>
      <c r="D3554" t="s">
        <v>103</v>
      </c>
      <c r="E3554" t="s">
        <v>122</v>
      </c>
      <c r="F3554" t="s">
        <v>156</v>
      </c>
      <c r="G3554" t="s">
        <v>182</v>
      </c>
      <c r="H3554" t="s">
        <v>83</v>
      </c>
      <c r="I3554" t="s">
        <v>237</v>
      </c>
      <c r="J3554" t="s">
        <v>254</v>
      </c>
      <c r="K3554" t="s">
        <v>268</v>
      </c>
      <c r="L3554" t="s">
        <v>280</v>
      </c>
      <c r="M3554" t="s">
        <v>289</v>
      </c>
      <c r="N3554" t="s">
        <v>298</v>
      </c>
      <c r="O3554" t="s">
        <v>307</v>
      </c>
      <c r="P3554" t="s">
        <v>314</v>
      </c>
      <c r="Q3554" t="s">
        <v>216</v>
      </c>
      <c r="R3554" t="s">
        <v>326</v>
      </c>
      <c r="S3554" t="s">
        <v>333</v>
      </c>
      <c r="T3554" t="s">
        <v>335</v>
      </c>
      <c r="U3554" t="s">
        <v>340</v>
      </c>
      <c r="V3554" t="s">
        <v>344</v>
      </c>
      <c r="W3554" t="s">
        <v>349</v>
      </c>
      <c r="AK3554" t="s">
        <v>360</v>
      </c>
    </row>
    <row r="3555" spans="1:37">
      <c r="A3555" t="s">
        <v>43</v>
      </c>
      <c r="B3555" t="s">
        <v>63</v>
      </c>
      <c r="C3555" t="s">
        <v>85</v>
      </c>
      <c r="D3555" t="s">
        <v>104</v>
      </c>
      <c r="E3555" t="s">
        <v>123</v>
      </c>
      <c r="F3555" t="s">
        <v>157</v>
      </c>
      <c r="G3555" t="s">
        <v>183</v>
      </c>
      <c r="AK3555" t="s">
        <v>360</v>
      </c>
    </row>
    <row r="3556" spans="1:37">
      <c r="A3556" t="s">
        <v>44</v>
      </c>
      <c r="B3556" t="s">
        <v>64</v>
      </c>
      <c r="C3556" t="s">
        <v>86</v>
      </c>
      <c r="D3556" t="s">
        <v>105</v>
      </c>
      <c r="E3556" t="s">
        <v>124</v>
      </c>
      <c r="F3556" t="s">
        <v>158</v>
      </c>
      <c r="G3556" t="s">
        <v>184</v>
      </c>
      <c r="AK3556" t="s">
        <v>360</v>
      </c>
    </row>
    <row r="3557" spans="1:37">
      <c r="A3557" t="s">
        <v>45</v>
      </c>
      <c r="B3557" t="s">
        <v>65</v>
      </c>
      <c r="C3557" t="s">
        <v>87</v>
      </c>
      <c r="D3557" t="s">
        <v>106</v>
      </c>
      <c r="E3557" t="s">
        <v>125</v>
      </c>
      <c r="F3557" t="s">
        <v>159</v>
      </c>
      <c r="G3557" t="s">
        <v>185</v>
      </c>
      <c r="H3557" t="s">
        <v>159</v>
      </c>
      <c r="I3557" t="s">
        <v>185</v>
      </c>
      <c r="J3557" t="s">
        <v>255</v>
      </c>
      <c r="AK3557" t="s">
        <v>360</v>
      </c>
    </row>
    <row r="3558" spans="1:37">
      <c r="A3558" t="s">
        <v>46</v>
      </c>
      <c r="B3558" t="s">
        <v>66</v>
      </c>
      <c r="C3558" t="s">
        <v>88</v>
      </c>
      <c r="D3558" t="s">
        <v>76</v>
      </c>
      <c r="E3558" t="s">
        <v>126</v>
      </c>
      <c r="F3558" t="s">
        <v>160</v>
      </c>
      <c r="G3558" t="s">
        <v>186</v>
      </c>
      <c r="H3558" t="s">
        <v>217</v>
      </c>
      <c r="I3558" t="s">
        <v>238</v>
      </c>
      <c r="J3558" t="s">
        <v>256</v>
      </c>
      <c r="K3558" t="s">
        <v>265</v>
      </c>
      <c r="L3558" t="s">
        <v>281</v>
      </c>
      <c r="M3558" t="s">
        <v>290</v>
      </c>
      <c r="N3558" t="s">
        <v>299</v>
      </c>
      <c r="O3558" t="s">
        <v>308</v>
      </c>
      <c r="P3558" t="s">
        <v>228</v>
      </c>
      <c r="Q3558" t="s">
        <v>72</v>
      </c>
      <c r="R3558" t="s">
        <v>327</v>
      </c>
      <c r="S3558" t="s">
        <v>327</v>
      </c>
      <c r="T3558" t="s">
        <v>336</v>
      </c>
      <c r="U3558" t="s">
        <v>336</v>
      </c>
      <c r="V3558" t="s">
        <v>336</v>
      </c>
      <c r="W3558" t="s">
        <v>336</v>
      </c>
      <c r="X3558" t="s">
        <v>353</v>
      </c>
      <c r="AK3558" t="s">
        <v>360</v>
      </c>
    </row>
    <row r="3559" spans="1:37">
      <c r="B3559" t="s">
        <v>67</v>
      </c>
      <c r="C3559" t="s">
        <v>89</v>
      </c>
      <c r="D3559" t="s">
        <v>107</v>
      </c>
      <c r="AK3559" t="s">
        <v>360</v>
      </c>
    </row>
    <row r="3560" spans="1:37">
      <c r="B3560" t="s">
        <v>68</v>
      </c>
      <c r="C3560" t="s">
        <v>90</v>
      </c>
      <c r="D3560" t="s">
        <v>108</v>
      </c>
      <c r="AK3560" t="s">
        <v>360</v>
      </c>
    </row>
    <row r="3561" spans="1:37">
      <c r="A3561" t="s">
        <v>47</v>
      </c>
      <c r="B3561" t="s">
        <v>69</v>
      </c>
      <c r="C3561" t="s">
        <v>91</v>
      </c>
      <c r="D3561" t="s">
        <v>109</v>
      </c>
      <c r="E3561" t="s">
        <v>109</v>
      </c>
      <c r="F3561" t="s">
        <v>109</v>
      </c>
      <c r="G3561" t="s">
        <v>109</v>
      </c>
      <c r="H3561" t="s">
        <v>109</v>
      </c>
      <c r="I3561" t="s">
        <v>239</v>
      </c>
      <c r="AK3561" t="s">
        <v>360</v>
      </c>
    </row>
    <row r="3562" spans="1:37">
      <c r="B3562" t="s">
        <v>70</v>
      </c>
      <c r="C3562" t="s">
        <v>92</v>
      </c>
      <c r="D3562" t="s">
        <v>110</v>
      </c>
      <c r="E3562" t="s">
        <v>127</v>
      </c>
      <c r="F3562" t="s">
        <v>161</v>
      </c>
      <c r="G3562" t="s">
        <v>187</v>
      </c>
      <c r="H3562" t="s">
        <v>218</v>
      </c>
      <c r="AK3562" t="s">
        <v>360</v>
      </c>
    </row>
    <row r="3563" spans="1:37">
      <c r="B3563" t="s">
        <v>71</v>
      </c>
      <c r="C3563" t="s">
        <v>93</v>
      </c>
      <c r="D3563" t="s">
        <v>111</v>
      </c>
      <c r="E3563" t="s">
        <v>128</v>
      </c>
      <c r="F3563" t="s">
        <v>162</v>
      </c>
      <c r="G3563" t="s">
        <v>188</v>
      </c>
      <c r="H3563" t="s">
        <v>219</v>
      </c>
      <c r="I3563" t="s">
        <v>240</v>
      </c>
      <c r="J3563" t="s">
        <v>257</v>
      </c>
      <c r="K3563" t="s">
        <v>269</v>
      </c>
      <c r="L3563" t="s">
        <v>109</v>
      </c>
      <c r="M3563" t="s">
        <v>109</v>
      </c>
      <c r="N3563" t="s">
        <v>109</v>
      </c>
      <c r="O3563" t="s">
        <v>109</v>
      </c>
      <c r="P3563" t="s">
        <v>109</v>
      </c>
      <c r="Q3563" t="s">
        <v>321</v>
      </c>
      <c r="AK3563" t="s">
        <v>360</v>
      </c>
    </row>
    <row r="3564" spans="1:37">
      <c r="A3564" t="s">
        <v>48</v>
      </c>
      <c r="B3564" t="s">
        <v>71</v>
      </c>
      <c r="C3564" t="s">
        <v>93</v>
      </c>
      <c r="D3564" t="s">
        <v>111</v>
      </c>
      <c r="E3564" t="s">
        <v>128</v>
      </c>
      <c r="F3564" t="s">
        <v>163</v>
      </c>
      <c r="G3564" t="s">
        <v>189</v>
      </c>
      <c r="H3564" t="s">
        <v>220</v>
      </c>
      <c r="I3564" t="s">
        <v>241</v>
      </c>
      <c r="J3564" t="s">
        <v>258</v>
      </c>
      <c r="K3564" t="s">
        <v>270</v>
      </c>
      <c r="AK3564" t="s">
        <v>360</v>
      </c>
    </row>
    <row r="3565" spans="1:37">
      <c r="B3565" t="s">
        <v>72</v>
      </c>
      <c r="C3565" t="s">
        <v>72</v>
      </c>
      <c r="D3565" t="s">
        <v>72</v>
      </c>
      <c r="E3565" t="s">
        <v>72</v>
      </c>
      <c r="F3565" t="s">
        <v>72</v>
      </c>
      <c r="G3565" t="s">
        <v>72</v>
      </c>
      <c r="H3565" t="s">
        <v>72</v>
      </c>
      <c r="I3565" t="s">
        <v>72</v>
      </c>
      <c r="J3565" t="s">
        <v>72</v>
      </c>
      <c r="K3565" t="s">
        <v>272</v>
      </c>
      <c r="AK3565" t="s">
        <v>360</v>
      </c>
    </row>
    <row r="3566" spans="1:37">
      <c r="A3566" t="s">
        <v>37</v>
      </c>
      <c r="B3566" t="s">
        <v>49</v>
      </c>
      <c r="C3566" t="s">
        <v>73</v>
      </c>
      <c r="D3566" t="s">
        <v>94</v>
      </c>
      <c r="E3566" t="s">
        <v>112</v>
      </c>
      <c r="F3566" t="s">
        <v>146</v>
      </c>
      <c r="G3566" t="s">
        <v>172</v>
      </c>
      <c r="H3566" t="s">
        <v>207</v>
      </c>
      <c r="I3566" t="s">
        <v>226</v>
      </c>
      <c r="J3566" t="s">
        <v>246</v>
      </c>
      <c r="K3566" t="s">
        <v>259</v>
      </c>
      <c r="AK3566" t="s">
        <v>360</v>
      </c>
    </row>
    <row r="3567" spans="1:37">
      <c r="A3567" t="s">
        <v>38</v>
      </c>
      <c r="B3567" t="s">
        <v>50</v>
      </c>
      <c r="C3567" t="s">
        <v>74</v>
      </c>
      <c r="D3567" t="s">
        <v>95</v>
      </c>
      <c r="E3567" t="s">
        <v>113</v>
      </c>
      <c r="F3567" t="s">
        <v>147</v>
      </c>
      <c r="G3567" t="s">
        <v>173</v>
      </c>
      <c r="H3567" t="s">
        <v>208</v>
      </c>
      <c r="I3567" t="s">
        <v>227</v>
      </c>
      <c r="J3567" t="s">
        <v>115</v>
      </c>
      <c r="K3567" t="s">
        <v>260</v>
      </c>
      <c r="L3567" t="s">
        <v>273</v>
      </c>
      <c r="M3567" t="s">
        <v>282</v>
      </c>
      <c r="N3567" t="s">
        <v>291</v>
      </c>
      <c r="AK3567" t="s">
        <v>360</v>
      </c>
    </row>
    <row r="3568" spans="1:37">
      <c r="B3568" t="s">
        <v>51</v>
      </c>
      <c r="C3568" t="s">
        <v>75</v>
      </c>
      <c r="D3568" t="s">
        <v>52</v>
      </c>
      <c r="E3568" t="s">
        <v>114</v>
      </c>
      <c r="F3568" t="s">
        <v>148</v>
      </c>
      <c r="G3568" t="s">
        <v>148</v>
      </c>
      <c r="H3568" t="s">
        <v>209</v>
      </c>
      <c r="I3568" t="s">
        <v>228</v>
      </c>
      <c r="J3568" t="s">
        <v>247</v>
      </c>
      <c r="K3568" t="s">
        <v>261</v>
      </c>
      <c r="L3568" t="s">
        <v>274</v>
      </c>
      <c r="M3568" t="s">
        <v>283</v>
      </c>
      <c r="N3568" t="s">
        <v>292</v>
      </c>
      <c r="O3568" t="s">
        <v>300</v>
      </c>
      <c r="AK3568" t="s">
        <v>360</v>
      </c>
    </row>
    <row r="3569" spans="1:37">
      <c r="B3569" t="s">
        <v>52</v>
      </c>
      <c r="C3569" t="s">
        <v>76</v>
      </c>
      <c r="D3569" t="s">
        <v>96</v>
      </c>
      <c r="E3569" t="s">
        <v>115</v>
      </c>
      <c r="F3569" t="s">
        <v>149</v>
      </c>
      <c r="G3569" t="s">
        <v>174</v>
      </c>
      <c r="H3569" t="s">
        <v>96</v>
      </c>
      <c r="I3569" t="s">
        <v>229</v>
      </c>
      <c r="J3569" t="s">
        <v>248</v>
      </c>
      <c r="K3569" t="s">
        <v>262</v>
      </c>
      <c r="L3569" t="s">
        <v>52</v>
      </c>
      <c r="M3569" t="s">
        <v>76</v>
      </c>
      <c r="N3569" t="s">
        <v>293</v>
      </c>
      <c r="O3569" t="s">
        <v>301</v>
      </c>
      <c r="P3569" t="s">
        <v>309</v>
      </c>
      <c r="Q3569" t="s">
        <v>315</v>
      </c>
      <c r="R3569" t="s">
        <v>228</v>
      </c>
      <c r="S3569" t="s">
        <v>328</v>
      </c>
      <c r="T3569" t="s">
        <v>149</v>
      </c>
      <c r="U3569" t="s">
        <v>337</v>
      </c>
      <c r="V3569" t="s">
        <v>341</v>
      </c>
      <c r="W3569" t="s">
        <v>345</v>
      </c>
      <c r="X3569" t="s">
        <v>350</v>
      </c>
      <c r="AK3569" t="s">
        <v>360</v>
      </c>
    </row>
    <row r="3570" spans="1:37">
      <c r="B3570" t="s">
        <v>53</v>
      </c>
      <c r="C3570" t="s">
        <v>77</v>
      </c>
      <c r="D3570" t="s">
        <v>97</v>
      </c>
      <c r="E3570" t="s">
        <v>116</v>
      </c>
      <c r="F3570" t="s">
        <v>150</v>
      </c>
      <c r="G3570" t="s">
        <v>175</v>
      </c>
      <c r="H3570" t="s">
        <v>210</v>
      </c>
      <c r="I3570" t="s">
        <v>230</v>
      </c>
      <c r="J3570" t="s">
        <v>249</v>
      </c>
      <c r="K3570" t="s">
        <v>263</v>
      </c>
      <c r="L3570" t="s">
        <v>275</v>
      </c>
      <c r="M3570" t="s">
        <v>284</v>
      </c>
      <c r="N3570" t="s">
        <v>294</v>
      </c>
      <c r="O3570" t="s">
        <v>302</v>
      </c>
      <c r="P3570" t="s">
        <v>310</v>
      </c>
      <c r="Q3570" t="s">
        <v>316</v>
      </c>
      <c r="R3570" t="s">
        <v>322</v>
      </c>
      <c r="S3570" t="s">
        <v>329</v>
      </c>
      <c r="AK3570" t="s">
        <v>360</v>
      </c>
    </row>
    <row r="3571" spans="1:37">
      <c r="A3571" t="s">
        <v>39</v>
      </c>
      <c r="B3571" t="s">
        <v>54</v>
      </c>
      <c r="C3571" t="s">
        <v>54</v>
      </c>
      <c r="D3571" t="s">
        <v>54</v>
      </c>
      <c r="E3571" t="s">
        <v>54</v>
      </c>
      <c r="F3571" t="s">
        <v>54</v>
      </c>
      <c r="G3571" t="s">
        <v>54</v>
      </c>
      <c r="H3571" t="s">
        <v>54</v>
      </c>
      <c r="I3571" t="s">
        <v>54</v>
      </c>
      <c r="J3571" t="s">
        <v>54</v>
      </c>
      <c r="K3571" t="s">
        <v>54</v>
      </c>
      <c r="L3571" t="s">
        <v>54</v>
      </c>
      <c r="M3571" t="s">
        <v>54</v>
      </c>
      <c r="N3571" t="s">
        <v>54</v>
      </c>
      <c r="O3571" t="s">
        <v>54</v>
      </c>
      <c r="P3571" t="s">
        <v>54</v>
      </c>
      <c r="Q3571" t="s">
        <v>54</v>
      </c>
      <c r="R3571" t="s">
        <v>323</v>
      </c>
      <c r="S3571" t="s">
        <v>330</v>
      </c>
      <c r="AK3571" t="s">
        <v>360</v>
      </c>
    </row>
    <row r="3572" spans="1:37">
      <c r="B3572" t="s">
        <v>55</v>
      </c>
      <c r="C3572" t="s">
        <v>78</v>
      </c>
      <c r="D3572" t="s">
        <v>55</v>
      </c>
      <c r="E3572" t="s">
        <v>78</v>
      </c>
      <c r="F3572" t="s">
        <v>55</v>
      </c>
      <c r="G3572" t="s">
        <v>78</v>
      </c>
      <c r="H3572" t="s">
        <v>55</v>
      </c>
      <c r="I3572" t="s">
        <v>78</v>
      </c>
      <c r="J3572" t="s">
        <v>55</v>
      </c>
      <c r="K3572" t="s">
        <v>78</v>
      </c>
      <c r="L3572" t="s">
        <v>55</v>
      </c>
      <c r="M3572" t="s">
        <v>78</v>
      </c>
      <c r="N3572" t="s">
        <v>55</v>
      </c>
      <c r="O3572" t="s">
        <v>78</v>
      </c>
      <c r="P3572" t="s">
        <v>55</v>
      </c>
      <c r="Q3572" t="s">
        <v>78</v>
      </c>
      <c r="R3572" t="s">
        <v>55</v>
      </c>
      <c r="S3572" t="s">
        <v>78</v>
      </c>
      <c r="T3572" t="s">
        <v>55</v>
      </c>
      <c r="U3572" t="s">
        <v>78</v>
      </c>
      <c r="V3572" t="s">
        <v>55</v>
      </c>
      <c r="W3572" t="s">
        <v>78</v>
      </c>
      <c r="X3572" t="s">
        <v>55</v>
      </c>
      <c r="Y3572" t="s">
        <v>78</v>
      </c>
      <c r="Z3572" t="s">
        <v>55</v>
      </c>
      <c r="AA3572" t="s">
        <v>78</v>
      </c>
      <c r="AB3572" t="s">
        <v>55</v>
      </c>
      <c r="AC3572" t="s">
        <v>78</v>
      </c>
      <c r="AD3572" t="s">
        <v>55</v>
      </c>
      <c r="AE3572" t="s">
        <v>78</v>
      </c>
      <c r="AF3572" t="s">
        <v>55</v>
      </c>
      <c r="AG3572" t="s">
        <v>78</v>
      </c>
      <c r="AH3572" t="s">
        <v>55</v>
      </c>
      <c r="AI3572" t="s">
        <v>78</v>
      </c>
      <c r="AK3572" t="s">
        <v>360</v>
      </c>
    </row>
    <row r="3573" spans="1:37">
      <c r="B3573" t="s">
        <v>56</v>
      </c>
      <c r="C3573" t="s">
        <v>56</v>
      </c>
      <c r="D3573" t="s">
        <v>56</v>
      </c>
      <c r="E3573" t="s">
        <v>56</v>
      </c>
      <c r="F3573" t="s">
        <v>56</v>
      </c>
      <c r="G3573" t="s">
        <v>176</v>
      </c>
      <c r="H3573" t="s">
        <v>211</v>
      </c>
      <c r="I3573" t="s">
        <v>231</v>
      </c>
      <c r="J3573" t="s">
        <v>250</v>
      </c>
      <c r="K3573" t="s">
        <v>264</v>
      </c>
      <c r="L3573" t="s">
        <v>276</v>
      </c>
      <c r="M3573" t="s">
        <v>285</v>
      </c>
      <c r="N3573" t="s">
        <v>295</v>
      </c>
      <c r="O3573" t="s">
        <v>303</v>
      </c>
      <c r="P3573" t="s">
        <v>56</v>
      </c>
      <c r="Q3573" t="s">
        <v>317</v>
      </c>
      <c r="R3573" t="s">
        <v>324</v>
      </c>
      <c r="S3573" t="s">
        <v>331</v>
      </c>
      <c r="T3573" t="s">
        <v>334</v>
      </c>
      <c r="U3573" t="s">
        <v>338</v>
      </c>
      <c r="V3573" t="s">
        <v>342</v>
      </c>
      <c r="W3573" t="s">
        <v>346</v>
      </c>
      <c r="X3573" t="s">
        <v>351</v>
      </c>
      <c r="AK3573" t="s">
        <v>360</v>
      </c>
    </row>
    <row r="3574" spans="1:37">
      <c r="B3574" t="s">
        <v>57</v>
      </c>
      <c r="C3574" t="s">
        <v>79</v>
      </c>
      <c r="D3574" t="s">
        <v>98</v>
      </c>
      <c r="E3574" t="s">
        <v>117</v>
      </c>
      <c r="F3574" t="s">
        <v>151</v>
      </c>
      <c r="G3574" t="s">
        <v>177</v>
      </c>
      <c r="H3574" t="s">
        <v>212</v>
      </c>
      <c r="I3574" t="s">
        <v>232</v>
      </c>
      <c r="J3574" t="s">
        <v>251</v>
      </c>
      <c r="K3574" t="s">
        <v>265</v>
      </c>
      <c r="L3574" t="s">
        <v>277</v>
      </c>
      <c r="M3574" t="s">
        <v>286</v>
      </c>
      <c r="N3574" t="s">
        <v>296</v>
      </c>
      <c r="O3574" t="s">
        <v>304</v>
      </c>
      <c r="P3574" t="s">
        <v>311</v>
      </c>
      <c r="Q3574" t="s">
        <v>318</v>
      </c>
      <c r="R3574" t="s">
        <v>185</v>
      </c>
      <c r="S3574" t="s">
        <v>159</v>
      </c>
      <c r="T3574" t="s">
        <v>185</v>
      </c>
      <c r="U3574" t="s">
        <v>339</v>
      </c>
      <c r="V3574" t="s">
        <v>72</v>
      </c>
      <c r="W3574" t="s">
        <v>347</v>
      </c>
      <c r="X3574" t="s">
        <v>72</v>
      </c>
      <c r="Y3574" t="s">
        <v>96</v>
      </c>
      <c r="AK3574" t="s">
        <v>360</v>
      </c>
    </row>
    <row r="3575" spans="1:37">
      <c r="B3575" t="s">
        <v>58</v>
      </c>
      <c r="C3575" t="s">
        <v>80</v>
      </c>
      <c r="D3575" t="s">
        <v>99</v>
      </c>
      <c r="E3575" t="s">
        <v>118</v>
      </c>
      <c r="F3575" t="s">
        <v>152</v>
      </c>
      <c r="G3575" t="s">
        <v>178</v>
      </c>
      <c r="H3575" t="s">
        <v>213</v>
      </c>
      <c r="I3575" t="s">
        <v>233</v>
      </c>
      <c r="J3575" t="s">
        <v>252</v>
      </c>
      <c r="K3575" t="s">
        <v>266</v>
      </c>
      <c r="L3575" t="s">
        <v>278</v>
      </c>
      <c r="M3575" t="s">
        <v>287</v>
      </c>
      <c r="N3575" t="s">
        <v>297</v>
      </c>
      <c r="O3575" t="s">
        <v>305</v>
      </c>
      <c r="P3575" t="s">
        <v>312</v>
      </c>
      <c r="Q3575" t="s">
        <v>319</v>
      </c>
      <c r="R3575">
        <f>&gt;10       ветра      2.7     18   6</f>
        <v>0</v>
      </c>
      <c r="AK3575" t="s">
        <v>360</v>
      </c>
    </row>
    <row r="3576" spans="1:37">
      <c r="A3576" t="s">
        <v>40</v>
      </c>
      <c r="B3576" t="s">
        <v>59</v>
      </c>
      <c r="C3576" t="s">
        <v>81</v>
      </c>
      <c r="D3576" t="s">
        <v>100</v>
      </c>
      <c r="E3576" t="s">
        <v>119</v>
      </c>
      <c r="F3576" t="s">
        <v>153</v>
      </c>
      <c r="G3576" t="s">
        <v>179</v>
      </c>
      <c r="H3576" t="s">
        <v>214</v>
      </c>
      <c r="I3576" t="s">
        <v>234</v>
      </c>
      <c r="AK3576" t="s">
        <v>360</v>
      </c>
    </row>
    <row r="3577" spans="1:37">
      <c r="A3577" t="s">
        <v>40</v>
      </c>
      <c r="B3577" t="s">
        <v>60</v>
      </c>
      <c r="C3577" t="s">
        <v>82</v>
      </c>
      <c r="D3577" t="s">
        <v>101</v>
      </c>
      <c r="E3577" t="s">
        <v>120</v>
      </c>
      <c r="F3577" t="s">
        <v>154</v>
      </c>
      <c r="G3577" t="s">
        <v>180</v>
      </c>
      <c r="H3577" t="s">
        <v>215</v>
      </c>
      <c r="I3577" t="s">
        <v>235</v>
      </c>
      <c r="J3577" t="s">
        <v>253</v>
      </c>
      <c r="K3577" t="s">
        <v>267</v>
      </c>
      <c r="L3577" t="s">
        <v>279</v>
      </c>
      <c r="M3577" t="s">
        <v>288</v>
      </c>
      <c r="N3577" t="s">
        <v>100</v>
      </c>
      <c r="O3577" t="s">
        <v>306</v>
      </c>
      <c r="P3577" t="s">
        <v>313</v>
      </c>
      <c r="Q3577" t="s">
        <v>320</v>
      </c>
      <c r="R3577" t="s">
        <v>325</v>
      </c>
      <c r="S3577" t="s">
        <v>332</v>
      </c>
      <c r="T3577" t="s">
        <v>119</v>
      </c>
      <c r="U3577" t="s">
        <v>234</v>
      </c>
      <c r="V3577" t="s">
        <v>343</v>
      </c>
      <c r="W3577" t="s">
        <v>348</v>
      </c>
      <c r="X3577" t="s">
        <v>352</v>
      </c>
      <c r="Y3577" t="s">
        <v>354</v>
      </c>
      <c r="AK3577" t="s">
        <v>360</v>
      </c>
    </row>
    <row r="3578" spans="1:37">
      <c r="A3578" t="s">
        <v>41</v>
      </c>
      <c r="B3578" t="s">
        <v>61</v>
      </c>
      <c r="C3578" t="s">
        <v>83</v>
      </c>
      <c r="D3578" t="s">
        <v>102</v>
      </c>
      <c r="E3578" t="s">
        <v>121</v>
      </c>
      <c r="F3578" t="s">
        <v>155</v>
      </c>
      <c r="G3578" t="s">
        <v>181</v>
      </c>
      <c r="H3578" t="s">
        <v>216</v>
      </c>
      <c r="I3578" t="s">
        <v>236</v>
      </c>
      <c r="AK3578" t="s">
        <v>360</v>
      </c>
    </row>
    <row r="3579" spans="1:37">
      <c r="A3579" t="s">
        <v>42</v>
      </c>
      <c r="B3579" t="s">
        <v>62</v>
      </c>
      <c r="C3579" t="s">
        <v>84</v>
      </c>
      <c r="D3579" t="s">
        <v>103</v>
      </c>
      <c r="E3579" t="s">
        <v>122</v>
      </c>
      <c r="F3579" t="s">
        <v>156</v>
      </c>
      <c r="G3579" t="s">
        <v>182</v>
      </c>
      <c r="H3579" t="s">
        <v>83</v>
      </c>
      <c r="I3579" t="s">
        <v>237</v>
      </c>
      <c r="J3579" t="s">
        <v>254</v>
      </c>
      <c r="K3579" t="s">
        <v>268</v>
      </c>
      <c r="L3579" t="s">
        <v>280</v>
      </c>
      <c r="M3579" t="s">
        <v>289</v>
      </c>
      <c r="N3579" t="s">
        <v>298</v>
      </c>
      <c r="O3579" t="s">
        <v>307</v>
      </c>
      <c r="P3579" t="s">
        <v>314</v>
      </c>
      <c r="Q3579" t="s">
        <v>216</v>
      </c>
      <c r="R3579" t="s">
        <v>326</v>
      </c>
      <c r="S3579" t="s">
        <v>333</v>
      </c>
      <c r="T3579" t="s">
        <v>335</v>
      </c>
      <c r="U3579" t="s">
        <v>340</v>
      </c>
      <c r="V3579" t="s">
        <v>344</v>
      </c>
      <c r="W3579" t="s">
        <v>349</v>
      </c>
      <c r="AK3579" t="s">
        <v>360</v>
      </c>
    </row>
    <row r="3580" spans="1:37">
      <c r="A3580" t="s">
        <v>43</v>
      </c>
      <c r="B3580" t="s">
        <v>63</v>
      </c>
      <c r="C3580" t="s">
        <v>85</v>
      </c>
      <c r="D3580" t="s">
        <v>104</v>
      </c>
      <c r="E3580" t="s">
        <v>123</v>
      </c>
      <c r="F3580" t="s">
        <v>157</v>
      </c>
      <c r="G3580" t="s">
        <v>183</v>
      </c>
      <c r="AK3580" t="s">
        <v>360</v>
      </c>
    </row>
    <row r="3581" spans="1:37">
      <c r="A3581" t="s">
        <v>44</v>
      </c>
      <c r="B3581" t="s">
        <v>64</v>
      </c>
      <c r="C3581" t="s">
        <v>86</v>
      </c>
      <c r="D3581" t="s">
        <v>105</v>
      </c>
      <c r="E3581" t="s">
        <v>124</v>
      </c>
      <c r="F3581" t="s">
        <v>158</v>
      </c>
      <c r="G3581" t="s">
        <v>184</v>
      </c>
      <c r="AK3581" t="s">
        <v>360</v>
      </c>
    </row>
    <row r="3582" spans="1:37">
      <c r="A3582" t="s">
        <v>45</v>
      </c>
      <c r="B3582" t="s">
        <v>65</v>
      </c>
      <c r="C3582" t="s">
        <v>87</v>
      </c>
      <c r="D3582" t="s">
        <v>106</v>
      </c>
      <c r="E3582" t="s">
        <v>125</v>
      </c>
      <c r="F3582" t="s">
        <v>159</v>
      </c>
      <c r="G3582" t="s">
        <v>185</v>
      </c>
      <c r="H3582" t="s">
        <v>159</v>
      </c>
      <c r="I3582" t="s">
        <v>185</v>
      </c>
      <c r="J3582" t="s">
        <v>255</v>
      </c>
      <c r="AK3582" t="s">
        <v>360</v>
      </c>
    </row>
    <row r="3583" spans="1:37">
      <c r="A3583" t="s">
        <v>46</v>
      </c>
      <c r="B3583" t="s">
        <v>66</v>
      </c>
      <c r="C3583" t="s">
        <v>88</v>
      </c>
      <c r="D3583" t="s">
        <v>76</v>
      </c>
      <c r="E3583" t="s">
        <v>126</v>
      </c>
      <c r="F3583" t="s">
        <v>160</v>
      </c>
      <c r="G3583" t="s">
        <v>186</v>
      </c>
      <c r="H3583" t="s">
        <v>217</v>
      </c>
      <c r="I3583" t="s">
        <v>238</v>
      </c>
      <c r="J3583" t="s">
        <v>256</v>
      </c>
      <c r="K3583" t="s">
        <v>265</v>
      </c>
      <c r="L3583" t="s">
        <v>281</v>
      </c>
      <c r="M3583" t="s">
        <v>290</v>
      </c>
      <c r="N3583" t="s">
        <v>299</v>
      </c>
      <c r="O3583" t="s">
        <v>308</v>
      </c>
      <c r="P3583" t="s">
        <v>228</v>
      </c>
      <c r="Q3583" t="s">
        <v>72</v>
      </c>
      <c r="R3583" t="s">
        <v>327</v>
      </c>
      <c r="S3583" t="s">
        <v>327</v>
      </c>
      <c r="T3583" t="s">
        <v>336</v>
      </c>
      <c r="U3583" t="s">
        <v>336</v>
      </c>
      <c r="V3583" t="s">
        <v>336</v>
      </c>
      <c r="W3583" t="s">
        <v>336</v>
      </c>
      <c r="X3583" t="s">
        <v>353</v>
      </c>
      <c r="AK3583" t="s">
        <v>360</v>
      </c>
    </row>
    <row r="3584" spans="1:37">
      <c r="B3584" t="s">
        <v>67</v>
      </c>
      <c r="C3584" t="s">
        <v>89</v>
      </c>
      <c r="D3584" t="s">
        <v>107</v>
      </c>
      <c r="AK3584" t="s">
        <v>360</v>
      </c>
    </row>
    <row r="3585" spans="1:37">
      <c r="B3585" t="s">
        <v>68</v>
      </c>
      <c r="C3585" t="s">
        <v>90</v>
      </c>
      <c r="D3585" t="s">
        <v>108</v>
      </c>
      <c r="AK3585" t="s">
        <v>360</v>
      </c>
    </row>
    <row r="3586" spans="1:37">
      <c r="A3586" t="s">
        <v>47</v>
      </c>
      <c r="B3586" t="s">
        <v>69</v>
      </c>
      <c r="C3586" t="s">
        <v>91</v>
      </c>
      <c r="D3586" t="s">
        <v>109</v>
      </c>
      <c r="E3586" t="s">
        <v>109</v>
      </c>
      <c r="F3586" t="s">
        <v>109</v>
      </c>
      <c r="G3586" t="s">
        <v>109</v>
      </c>
      <c r="H3586" t="s">
        <v>109</v>
      </c>
      <c r="I3586" t="s">
        <v>239</v>
      </c>
      <c r="AK3586" t="s">
        <v>360</v>
      </c>
    </row>
    <row r="3587" spans="1:37">
      <c r="B3587" t="s">
        <v>70</v>
      </c>
      <c r="C3587" t="s">
        <v>92</v>
      </c>
      <c r="D3587" t="s">
        <v>110</v>
      </c>
      <c r="E3587" t="s">
        <v>127</v>
      </c>
      <c r="F3587" t="s">
        <v>161</v>
      </c>
      <c r="G3587" t="s">
        <v>187</v>
      </c>
      <c r="H3587" t="s">
        <v>218</v>
      </c>
      <c r="AK3587" t="s">
        <v>360</v>
      </c>
    </row>
    <row r="3588" spans="1:37">
      <c r="B3588" t="s">
        <v>71</v>
      </c>
      <c r="C3588" t="s">
        <v>93</v>
      </c>
      <c r="D3588" t="s">
        <v>111</v>
      </c>
      <c r="E3588" t="s">
        <v>128</v>
      </c>
      <c r="F3588" t="s">
        <v>162</v>
      </c>
      <c r="G3588" t="s">
        <v>188</v>
      </c>
      <c r="H3588" t="s">
        <v>219</v>
      </c>
      <c r="I3588" t="s">
        <v>240</v>
      </c>
      <c r="J3588" t="s">
        <v>257</v>
      </c>
      <c r="K3588" t="s">
        <v>269</v>
      </c>
      <c r="L3588" t="s">
        <v>109</v>
      </c>
      <c r="M3588" t="s">
        <v>109</v>
      </c>
      <c r="N3588" t="s">
        <v>109</v>
      </c>
      <c r="O3588" t="s">
        <v>109</v>
      </c>
      <c r="P3588" t="s">
        <v>109</v>
      </c>
      <c r="Q3588" t="s">
        <v>321</v>
      </c>
      <c r="AK3588" t="s">
        <v>360</v>
      </c>
    </row>
    <row r="3589" spans="1:37">
      <c r="A3589" t="s">
        <v>48</v>
      </c>
      <c r="B3589" t="s">
        <v>71</v>
      </c>
      <c r="C3589" t="s">
        <v>93</v>
      </c>
      <c r="D3589" t="s">
        <v>111</v>
      </c>
      <c r="E3589" t="s">
        <v>128</v>
      </c>
      <c r="F3589" t="s">
        <v>163</v>
      </c>
      <c r="G3589" t="s">
        <v>189</v>
      </c>
      <c r="H3589" t="s">
        <v>220</v>
      </c>
      <c r="I3589" t="s">
        <v>241</v>
      </c>
      <c r="J3589" t="s">
        <v>258</v>
      </c>
      <c r="K3589" t="s">
        <v>270</v>
      </c>
      <c r="AK3589" t="s">
        <v>360</v>
      </c>
    </row>
    <row r="3590" spans="1:37">
      <c r="B3590" t="s">
        <v>72</v>
      </c>
      <c r="C3590" t="s">
        <v>72</v>
      </c>
      <c r="D3590" t="s">
        <v>72</v>
      </c>
      <c r="E3590" t="s">
        <v>72</v>
      </c>
      <c r="F3590" t="s">
        <v>72</v>
      </c>
      <c r="G3590" t="s">
        <v>72</v>
      </c>
      <c r="H3590" t="s">
        <v>72</v>
      </c>
      <c r="I3590" t="s">
        <v>72</v>
      </c>
      <c r="J3590" t="s">
        <v>72</v>
      </c>
      <c r="K3590" t="s">
        <v>272</v>
      </c>
      <c r="AK3590" t="s">
        <v>360</v>
      </c>
    </row>
    <row r="3591" spans="1:37">
      <c r="A3591" t="s">
        <v>37</v>
      </c>
      <c r="B3591" t="s">
        <v>49</v>
      </c>
      <c r="C3591" t="s">
        <v>73</v>
      </c>
      <c r="D3591" t="s">
        <v>94</v>
      </c>
      <c r="E3591" t="s">
        <v>112</v>
      </c>
      <c r="F3591" t="s">
        <v>146</v>
      </c>
      <c r="G3591" t="s">
        <v>172</v>
      </c>
      <c r="H3591" t="s">
        <v>207</v>
      </c>
      <c r="I3591" t="s">
        <v>226</v>
      </c>
      <c r="J3591" t="s">
        <v>246</v>
      </c>
      <c r="K3591" t="s">
        <v>259</v>
      </c>
      <c r="AK3591" t="s">
        <v>360</v>
      </c>
    </row>
    <row r="3592" spans="1:37">
      <c r="A3592" t="s">
        <v>38</v>
      </c>
      <c r="B3592" t="s">
        <v>50</v>
      </c>
      <c r="C3592" t="s">
        <v>74</v>
      </c>
      <c r="D3592" t="s">
        <v>95</v>
      </c>
      <c r="E3592" t="s">
        <v>113</v>
      </c>
      <c r="F3592" t="s">
        <v>147</v>
      </c>
      <c r="G3592" t="s">
        <v>173</v>
      </c>
      <c r="H3592" t="s">
        <v>208</v>
      </c>
      <c r="I3592" t="s">
        <v>227</v>
      </c>
      <c r="J3592" t="s">
        <v>115</v>
      </c>
      <c r="K3592" t="s">
        <v>260</v>
      </c>
      <c r="L3592" t="s">
        <v>273</v>
      </c>
      <c r="M3592" t="s">
        <v>282</v>
      </c>
      <c r="N3592" t="s">
        <v>291</v>
      </c>
      <c r="AK3592" t="s">
        <v>360</v>
      </c>
    </row>
    <row r="3593" spans="1:37">
      <c r="B3593" t="s">
        <v>51</v>
      </c>
      <c r="C3593" t="s">
        <v>75</v>
      </c>
      <c r="D3593" t="s">
        <v>52</v>
      </c>
      <c r="E3593" t="s">
        <v>114</v>
      </c>
      <c r="F3593" t="s">
        <v>148</v>
      </c>
      <c r="G3593" t="s">
        <v>148</v>
      </c>
      <c r="H3593" t="s">
        <v>209</v>
      </c>
      <c r="I3593" t="s">
        <v>228</v>
      </c>
      <c r="J3593" t="s">
        <v>247</v>
      </c>
      <c r="K3593" t="s">
        <v>261</v>
      </c>
      <c r="L3593" t="s">
        <v>274</v>
      </c>
      <c r="M3593" t="s">
        <v>283</v>
      </c>
      <c r="N3593" t="s">
        <v>292</v>
      </c>
      <c r="O3593" t="s">
        <v>300</v>
      </c>
      <c r="AK3593" t="s">
        <v>360</v>
      </c>
    </row>
    <row r="3594" spans="1:37">
      <c r="B3594" t="s">
        <v>52</v>
      </c>
      <c r="C3594" t="s">
        <v>76</v>
      </c>
      <c r="D3594" t="s">
        <v>96</v>
      </c>
      <c r="E3594" t="s">
        <v>115</v>
      </c>
      <c r="F3594" t="s">
        <v>149</v>
      </c>
      <c r="G3594" t="s">
        <v>174</v>
      </c>
      <c r="H3594" t="s">
        <v>96</v>
      </c>
      <c r="I3594" t="s">
        <v>229</v>
      </c>
      <c r="J3594" t="s">
        <v>248</v>
      </c>
      <c r="K3594" t="s">
        <v>262</v>
      </c>
      <c r="L3594" t="s">
        <v>52</v>
      </c>
      <c r="M3594" t="s">
        <v>76</v>
      </c>
      <c r="N3594" t="s">
        <v>293</v>
      </c>
      <c r="O3594" t="s">
        <v>301</v>
      </c>
      <c r="P3594" t="s">
        <v>309</v>
      </c>
      <c r="Q3594" t="s">
        <v>315</v>
      </c>
      <c r="R3594" t="s">
        <v>228</v>
      </c>
      <c r="S3594" t="s">
        <v>328</v>
      </c>
      <c r="T3594" t="s">
        <v>149</v>
      </c>
      <c r="U3594" t="s">
        <v>337</v>
      </c>
      <c r="V3594" t="s">
        <v>341</v>
      </c>
      <c r="W3594" t="s">
        <v>345</v>
      </c>
      <c r="X3594" t="s">
        <v>350</v>
      </c>
      <c r="AK3594" t="s">
        <v>360</v>
      </c>
    </row>
    <row r="3595" spans="1:37">
      <c r="B3595" t="s">
        <v>53</v>
      </c>
      <c r="C3595" t="s">
        <v>77</v>
      </c>
      <c r="D3595" t="s">
        <v>97</v>
      </c>
      <c r="E3595" t="s">
        <v>116</v>
      </c>
      <c r="F3595" t="s">
        <v>150</v>
      </c>
      <c r="G3595" t="s">
        <v>175</v>
      </c>
      <c r="H3595" t="s">
        <v>210</v>
      </c>
      <c r="I3595" t="s">
        <v>230</v>
      </c>
      <c r="J3595" t="s">
        <v>249</v>
      </c>
      <c r="K3595" t="s">
        <v>263</v>
      </c>
      <c r="L3595" t="s">
        <v>275</v>
      </c>
      <c r="M3595" t="s">
        <v>284</v>
      </c>
      <c r="N3595" t="s">
        <v>294</v>
      </c>
      <c r="O3595" t="s">
        <v>302</v>
      </c>
      <c r="P3595" t="s">
        <v>310</v>
      </c>
      <c r="Q3595" t="s">
        <v>316</v>
      </c>
      <c r="R3595" t="s">
        <v>322</v>
      </c>
      <c r="S3595" t="s">
        <v>329</v>
      </c>
      <c r="AK3595" t="s">
        <v>360</v>
      </c>
    </row>
    <row r="3596" spans="1:37">
      <c r="A3596" t="s">
        <v>39</v>
      </c>
      <c r="B3596" t="s">
        <v>54</v>
      </c>
      <c r="C3596" t="s">
        <v>54</v>
      </c>
      <c r="D3596" t="s">
        <v>54</v>
      </c>
      <c r="E3596" t="s">
        <v>54</v>
      </c>
      <c r="F3596" t="s">
        <v>54</v>
      </c>
      <c r="G3596" t="s">
        <v>54</v>
      </c>
      <c r="H3596" t="s">
        <v>54</v>
      </c>
      <c r="I3596" t="s">
        <v>54</v>
      </c>
      <c r="J3596" t="s">
        <v>54</v>
      </c>
      <c r="K3596" t="s">
        <v>54</v>
      </c>
      <c r="L3596" t="s">
        <v>54</v>
      </c>
      <c r="M3596" t="s">
        <v>54</v>
      </c>
      <c r="N3596" t="s">
        <v>54</v>
      </c>
      <c r="O3596" t="s">
        <v>54</v>
      </c>
      <c r="P3596" t="s">
        <v>54</v>
      </c>
      <c r="Q3596" t="s">
        <v>54</v>
      </c>
      <c r="R3596" t="s">
        <v>323</v>
      </c>
      <c r="S3596" t="s">
        <v>330</v>
      </c>
      <c r="AK3596" t="s">
        <v>360</v>
      </c>
    </row>
    <row r="3597" spans="1:37">
      <c r="B3597" t="s">
        <v>55</v>
      </c>
      <c r="C3597" t="s">
        <v>78</v>
      </c>
      <c r="D3597" t="s">
        <v>55</v>
      </c>
      <c r="E3597" t="s">
        <v>78</v>
      </c>
      <c r="F3597" t="s">
        <v>55</v>
      </c>
      <c r="G3597" t="s">
        <v>78</v>
      </c>
      <c r="H3597" t="s">
        <v>55</v>
      </c>
      <c r="I3597" t="s">
        <v>78</v>
      </c>
      <c r="J3597" t="s">
        <v>55</v>
      </c>
      <c r="K3597" t="s">
        <v>78</v>
      </c>
      <c r="L3597" t="s">
        <v>55</v>
      </c>
      <c r="M3597" t="s">
        <v>78</v>
      </c>
      <c r="N3597" t="s">
        <v>55</v>
      </c>
      <c r="O3597" t="s">
        <v>78</v>
      </c>
      <c r="P3597" t="s">
        <v>55</v>
      </c>
      <c r="Q3597" t="s">
        <v>78</v>
      </c>
      <c r="R3597" t="s">
        <v>55</v>
      </c>
      <c r="S3597" t="s">
        <v>78</v>
      </c>
      <c r="T3597" t="s">
        <v>55</v>
      </c>
      <c r="U3597" t="s">
        <v>78</v>
      </c>
      <c r="V3597" t="s">
        <v>55</v>
      </c>
      <c r="W3597" t="s">
        <v>78</v>
      </c>
      <c r="X3597" t="s">
        <v>55</v>
      </c>
      <c r="Y3597" t="s">
        <v>78</v>
      </c>
      <c r="Z3597" t="s">
        <v>55</v>
      </c>
      <c r="AA3597" t="s">
        <v>78</v>
      </c>
      <c r="AB3597" t="s">
        <v>55</v>
      </c>
      <c r="AC3597" t="s">
        <v>78</v>
      </c>
      <c r="AD3597" t="s">
        <v>55</v>
      </c>
      <c r="AE3597" t="s">
        <v>78</v>
      </c>
      <c r="AF3597" t="s">
        <v>55</v>
      </c>
      <c r="AG3597" t="s">
        <v>78</v>
      </c>
      <c r="AH3597" t="s">
        <v>55</v>
      </c>
      <c r="AI3597" t="s">
        <v>78</v>
      </c>
      <c r="AK3597" t="s">
        <v>360</v>
      </c>
    </row>
    <row r="3598" spans="1:37">
      <c r="B3598" t="s">
        <v>56</v>
      </c>
      <c r="C3598" t="s">
        <v>56</v>
      </c>
      <c r="D3598" t="s">
        <v>56</v>
      </c>
      <c r="E3598" t="s">
        <v>56</v>
      </c>
      <c r="F3598" t="s">
        <v>56</v>
      </c>
      <c r="G3598" t="s">
        <v>176</v>
      </c>
      <c r="H3598" t="s">
        <v>211</v>
      </c>
      <c r="I3598" t="s">
        <v>231</v>
      </c>
      <c r="J3598" t="s">
        <v>250</v>
      </c>
      <c r="K3598" t="s">
        <v>264</v>
      </c>
      <c r="L3598" t="s">
        <v>276</v>
      </c>
      <c r="M3598" t="s">
        <v>285</v>
      </c>
      <c r="N3598" t="s">
        <v>295</v>
      </c>
      <c r="O3598" t="s">
        <v>303</v>
      </c>
      <c r="P3598" t="s">
        <v>56</v>
      </c>
      <c r="Q3598" t="s">
        <v>317</v>
      </c>
      <c r="R3598" t="s">
        <v>324</v>
      </c>
      <c r="S3598" t="s">
        <v>331</v>
      </c>
      <c r="T3598" t="s">
        <v>334</v>
      </c>
      <c r="U3598" t="s">
        <v>338</v>
      </c>
      <c r="V3598" t="s">
        <v>342</v>
      </c>
      <c r="W3598" t="s">
        <v>346</v>
      </c>
      <c r="X3598" t="s">
        <v>351</v>
      </c>
      <c r="AK3598" t="s">
        <v>360</v>
      </c>
    </row>
    <row r="3599" spans="1:37">
      <c r="B3599" t="s">
        <v>57</v>
      </c>
      <c r="C3599" t="s">
        <v>79</v>
      </c>
      <c r="D3599" t="s">
        <v>98</v>
      </c>
      <c r="E3599" t="s">
        <v>117</v>
      </c>
      <c r="F3599" t="s">
        <v>151</v>
      </c>
      <c r="G3599" t="s">
        <v>177</v>
      </c>
      <c r="H3599" t="s">
        <v>212</v>
      </c>
      <c r="I3599" t="s">
        <v>232</v>
      </c>
      <c r="J3599" t="s">
        <v>251</v>
      </c>
      <c r="K3599" t="s">
        <v>265</v>
      </c>
      <c r="L3599" t="s">
        <v>277</v>
      </c>
      <c r="M3599" t="s">
        <v>286</v>
      </c>
      <c r="N3599" t="s">
        <v>296</v>
      </c>
      <c r="O3599" t="s">
        <v>304</v>
      </c>
      <c r="P3599" t="s">
        <v>311</v>
      </c>
      <c r="Q3599" t="s">
        <v>318</v>
      </c>
      <c r="R3599" t="s">
        <v>185</v>
      </c>
      <c r="S3599" t="s">
        <v>159</v>
      </c>
      <c r="T3599" t="s">
        <v>185</v>
      </c>
      <c r="U3599" t="s">
        <v>339</v>
      </c>
      <c r="V3599" t="s">
        <v>72</v>
      </c>
      <c r="W3599" t="s">
        <v>347</v>
      </c>
      <c r="X3599" t="s">
        <v>72</v>
      </c>
      <c r="Y3599" t="s">
        <v>96</v>
      </c>
      <c r="AK3599" t="s">
        <v>360</v>
      </c>
    </row>
    <row r="3600" spans="1:37">
      <c r="B3600" t="s">
        <v>58</v>
      </c>
      <c r="C3600" t="s">
        <v>80</v>
      </c>
      <c r="D3600" t="s">
        <v>99</v>
      </c>
      <c r="E3600" t="s">
        <v>118</v>
      </c>
      <c r="F3600" t="s">
        <v>152</v>
      </c>
      <c r="G3600" t="s">
        <v>178</v>
      </c>
      <c r="H3600" t="s">
        <v>213</v>
      </c>
      <c r="I3600" t="s">
        <v>233</v>
      </c>
      <c r="J3600" t="s">
        <v>252</v>
      </c>
      <c r="K3600" t="s">
        <v>266</v>
      </c>
      <c r="L3600" t="s">
        <v>278</v>
      </c>
      <c r="M3600" t="s">
        <v>287</v>
      </c>
      <c r="N3600" t="s">
        <v>297</v>
      </c>
      <c r="O3600" t="s">
        <v>305</v>
      </c>
      <c r="P3600" t="s">
        <v>312</v>
      </c>
      <c r="Q3600" t="s">
        <v>319</v>
      </c>
      <c r="R3600">
        <f>&gt;10       ветра      2.6     18   5 28</f>
        <v>0</v>
      </c>
      <c r="AK3600" t="s">
        <v>360</v>
      </c>
    </row>
    <row r="3601" spans="1:37">
      <c r="A3601" t="s">
        <v>40</v>
      </c>
      <c r="B3601" t="s">
        <v>59</v>
      </c>
      <c r="C3601" t="s">
        <v>81</v>
      </c>
      <c r="D3601" t="s">
        <v>100</v>
      </c>
      <c r="E3601" t="s">
        <v>119</v>
      </c>
      <c r="F3601" t="s">
        <v>153</v>
      </c>
      <c r="G3601" t="s">
        <v>179</v>
      </c>
      <c r="H3601" t="s">
        <v>214</v>
      </c>
      <c r="I3601" t="s">
        <v>234</v>
      </c>
      <c r="AK3601" t="s">
        <v>360</v>
      </c>
    </row>
    <row r="3602" spans="1:37">
      <c r="A3602" t="s">
        <v>40</v>
      </c>
      <c r="B3602" t="s">
        <v>60</v>
      </c>
      <c r="C3602" t="s">
        <v>82</v>
      </c>
      <c r="D3602" t="s">
        <v>101</v>
      </c>
      <c r="E3602" t="s">
        <v>120</v>
      </c>
      <c r="F3602" t="s">
        <v>154</v>
      </c>
      <c r="G3602" t="s">
        <v>180</v>
      </c>
      <c r="H3602" t="s">
        <v>215</v>
      </c>
      <c r="I3602" t="s">
        <v>235</v>
      </c>
      <c r="J3602" t="s">
        <v>253</v>
      </c>
      <c r="K3602" t="s">
        <v>267</v>
      </c>
      <c r="L3602" t="s">
        <v>279</v>
      </c>
      <c r="M3602" t="s">
        <v>288</v>
      </c>
      <c r="N3602" t="s">
        <v>100</v>
      </c>
      <c r="O3602" t="s">
        <v>306</v>
      </c>
      <c r="P3602" t="s">
        <v>313</v>
      </c>
      <c r="Q3602" t="s">
        <v>320</v>
      </c>
      <c r="R3602" t="s">
        <v>325</v>
      </c>
      <c r="S3602" t="s">
        <v>332</v>
      </c>
      <c r="T3602" t="s">
        <v>119</v>
      </c>
      <c r="U3602" t="s">
        <v>234</v>
      </c>
      <c r="V3602" t="s">
        <v>343</v>
      </c>
      <c r="W3602" t="s">
        <v>348</v>
      </c>
      <c r="X3602" t="s">
        <v>352</v>
      </c>
      <c r="Y3602" t="s">
        <v>354</v>
      </c>
      <c r="AK3602" t="s">
        <v>360</v>
      </c>
    </row>
    <row r="3603" spans="1:37">
      <c r="A3603" t="s">
        <v>41</v>
      </c>
      <c r="B3603" t="s">
        <v>61</v>
      </c>
      <c r="C3603" t="s">
        <v>83</v>
      </c>
      <c r="D3603" t="s">
        <v>102</v>
      </c>
      <c r="E3603" t="s">
        <v>121</v>
      </c>
      <c r="F3603" t="s">
        <v>155</v>
      </c>
      <c r="G3603" t="s">
        <v>181</v>
      </c>
      <c r="H3603" t="s">
        <v>216</v>
      </c>
      <c r="I3603" t="s">
        <v>236</v>
      </c>
      <c r="AK3603" t="s">
        <v>360</v>
      </c>
    </row>
    <row r="3604" spans="1:37">
      <c r="A3604" t="s">
        <v>42</v>
      </c>
      <c r="B3604" t="s">
        <v>62</v>
      </c>
      <c r="C3604" t="s">
        <v>84</v>
      </c>
      <c r="D3604" t="s">
        <v>103</v>
      </c>
      <c r="E3604" t="s">
        <v>122</v>
      </c>
      <c r="F3604" t="s">
        <v>156</v>
      </c>
      <c r="G3604" t="s">
        <v>182</v>
      </c>
      <c r="H3604" t="s">
        <v>83</v>
      </c>
      <c r="I3604" t="s">
        <v>237</v>
      </c>
      <c r="J3604" t="s">
        <v>254</v>
      </c>
      <c r="K3604" t="s">
        <v>268</v>
      </c>
      <c r="L3604" t="s">
        <v>280</v>
      </c>
      <c r="M3604" t="s">
        <v>289</v>
      </c>
      <c r="N3604" t="s">
        <v>298</v>
      </c>
      <c r="O3604" t="s">
        <v>307</v>
      </c>
      <c r="P3604" t="s">
        <v>314</v>
      </c>
      <c r="Q3604" t="s">
        <v>216</v>
      </c>
      <c r="R3604" t="s">
        <v>326</v>
      </c>
      <c r="S3604" t="s">
        <v>333</v>
      </c>
      <c r="T3604" t="s">
        <v>335</v>
      </c>
      <c r="U3604" t="s">
        <v>340</v>
      </c>
      <c r="V3604" t="s">
        <v>344</v>
      </c>
      <c r="W3604" t="s">
        <v>349</v>
      </c>
      <c r="AK3604" t="s">
        <v>360</v>
      </c>
    </row>
    <row r="3605" spans="1:37">
      <c r="A3605" t="s">
        <v>43</v>
      </c>
      <c r="B3605" t="s">
        <v>63</v>
      </c>
      <c r="C3605" t="s">
        <v>85</v>
      </c>
      <c r="D3605" t="s">
        <v>104</v>
      </c>
      <c r="E3605" t="s">
        <v>123</v>
      </c>
      <c r="F3605" t="s">
        <v>157</v>
      </c>
      <c r="G3605" t="s">
        <v>183</v>
      </c>
      <c r="AK3605" t="s">
        <v>360</v>
      </c>
    </row>
    <row r="3606" spans="1:37">
      <c r="A3606" t="s">
        <v>44</v>
      </c>
      <c r="B3606" t="s">
        <v>64</v>
      </c>
      <c r="C3606" t="s">
        <v>86</v>
      </c>
      <c r="D3606" t="s">
        <v>105</v>
      </c>
      <c r="E3606" t="s">
        <v>124</v>
      </c>
      <c r="F3606" t="s">
        <v>158</v>
      </c>
      <c r="G3606" t="s">
        <v>184</v>
      </c>
      <c r="AK3606" t="s">
        <v>360</v>
      </c>
    </row>
    <row r="3607" spans="1:37">
      <c r="A3607" t="s">
        <v>45</v>
      </c>
      <c r="B3607" t="s">
        <v>65</v>
      </c>
      <c r="C3607" t="s">
        <v>87</v>
      </c>
      <c r="D3607" t="s">
        <v>106</v>
      </c>
      <c r="E3607" t="s">
        <v>125</v>
      </c>
      <c r="F3607" t="s">
        <v>159</v>
      </c>
      <c r="G3607" t="s">
        <v>185</v>
      </c>
      <c r="H3607" t="s">
        <v>159</v>
      </c>
      <c r="I3607" t="s">
        <v>185</v>
      </c>
      <c r="J3607" t="s">
        <v>255</v>
      </c>
      <c r="AK3607" t="s">
        <v>360</v>
      </c>
    </row>
    <row r="3608" spans="1:37">
      <c r="A3608" t="s">
        <v>46</v>
      </c>
      <c r="B3608" t="s">
        <v>66</v>
      </c>
      <c r="C3608" t="s">
        <v>88</v>
      </c>
      <c r="D3608" t="s">
        <v>76</v>
      </c>
      <c r="E3608" t="s">
        <v>126</v>
      </c>
      <c r="F3608" t="s">
        <v>160</v>
      </c>
      <c r="G3608" t="s">
        <v>186</v>
      </c>
      <c r="H3608" t="s">
        <v>217</v>
      </c>
      <c r="I3608" t="s">
        <v>238</v>
      </c>
      <c r="J3608" t="s">
        <v>256</v>
      </c>
      <c r="K3608" t="s">
        <v>265</v>
      </c>
      <c r="L3608" t="s">
        <v>281</v>
      </c>
      <c r="M3608" t="s">
        <v>290</v>
      </c>
      <c r="N3608" t="s">
        <v>299</v>
      </c>
      <c r="O3608" t="s">
        <v>308</v>
      </c>
      <c r="P3608" t="s">
        <v>228</v>
      </c>
      <c r="Q3608" t="s">
        <v>72</v>
      </c>
      <c r="R3608" t="s">
        <v>327</v>
      </c>
      <c r="S3608" t="s">
        <v>327</v>
      </c>
      <c r="T3608" t="s">
        <v>336</v>
      </c>
      <c r="U3608" t="s">
        <v>336</v>
      </c>
      <c r="V3608" t="s">
        <v>336</v>
      </c>
      <c r="W3608" t="s">
        <v>336</v>
      </c>
      <c r="X3608" t="s">
        <v>353</v>
      </c>
      <c r="AK3608" t="s">
        <v>360</v>
      </c>
    </row>
    <row r="3609" spans="1:37">
      <c r="B3609" t="s">
        <v>67</v>
      </c>
      <c r="C3609" t="s">
        <v>89</v>
      </c>
      <c r="D3609" t="s">
        <v>107</v>
      </c>
      <c r="AK3609" t="s">
        <v>360</v>
      </c>
    </row>
    <row r="3610" spans="1:37">
      <c r="B3610" t="s">
        <v>68</v>
      </c>
      <c r="C3610" t="s">
        <v>90</v>
      </c>
      <c r="D3610" t="s">
        <v>108</v>
      </c>
      <c r="AK3610" t="s">
        <v>360</v>
      </c>
    </row>
    <row r="3611" spans="1:37">
      <c r="A3611" t="s">
        <v>47</v>
      </c>
      <c r="B3611" t="s">
        <v>69</v>
      </c>
      <c r="C3611" t="s">
        <v>91</v>
      </c>
      <c r="D3611" t="s">
        <v>109</v>
      </c>
      <c r="E3611" t="s">
        <v>109</v>
      </c>
      <c r="F3611" t="s">
        <v>109</v>
      </c>
      <c r="G3611" t="s">
        <v>109</v>
      </c>
      <c r="H3611" t="s">
        <v>109</v>
      </c>
      <c r="I3611" t="s">
        <v>239</v>
      </c>
      <c r="AK3611" t="s">
        <v>360</v>
      </c>
    </row>
    <row r="3612" spans="1:37">
      <c r="B3612" t="s">
        <v>70</v>
      </c>
      <c r="C3612" t="s">
        <v>92</v>
      </c>
      <c r="D3612" t="s">
        <v>110</v>
      </c>
      <c r="E3612" t="s">
        <v>127</v>
      </c>
      <c r="F3612" t="s">
        <v>161</v>
      </c>
      <c r="G3612" t="s">
        <v>187</v>
      </c>
      <c r="H3612" t="s">
        <v>218</v>
      </c>
      <c r="AK3612" t="s">
        <v>360</v>
      </c>
    </row>
    <row r="3613" spans="1:37">
      <c r="B3613" t="s">
        <v>71</v>
      </c>
      <c r="C3613" t="s">
        <v>93</v>
      </c>
      <c r="D3613" t="s">
        <v>111</v>
      </c>
      <c r="E3613" t="s">
        <v>128</v>
      </c>
      <c r="F3613" t="s">
        <v>162</v>
      </c>
      <c r="G3613" t="s">
        <v>188</v>
      </c>
      <c r="H3613" t="s">
        <v>219</v>
      </c>
      <c r="I3613" t="s">
        <v>240</v>
      </c>
      <c r="J3613" t="s">
        <v>257</v>
      </c>
      <c r="K3613" t="s">
        <v>269</v>
      </c>
      <c r="L3613" t="s">
        <v>109</v>
      </c>
      <c r="M3613" t="s">
        <v>109</v>
      </c>
      <c r="N3613" t="s">
        <v>109</v>
      </c>
      <c r="O3613" t="s">
        <v>109</v>
      </c>
      <c r="P3613" t="s">
        <v>109</v>
      </c>
      <c r="Q3613" t="s">
        <v>321</v>
      </c>
      <c r="AK3613" t="s">
        <v>360</v>
      </c>
    </row>
    <row r="3614" spans="1:37">
      <c r="A3614" t="s">
        <v>48</v>
      </c>
      <c r="B3614" t="s">
        <v>71</v>
      </c>
      <c r="C3614" t="s">
        <v>93</v>
      </c>
      <c r="D3614" t="s">
        <v>111</v>
      </c>
      <c r="E3614" t="s">
        <v>128</v>
      </c>
      <c r="F3614" t="s">
        <v>163</v>
      </c>
      <c r="G3614" t="s">
        <v>189</v>
      </c>
      <c r="H3614" t="s">
        <v>220</v>
      </c>
      <c r="I3614" t="s">
        <v>241</v>
      </c>
      <c r="J3614" t="s">
        <v>258</v>
      </c>
      <c r="K3614" t="s">
        <v>270</v>
      </c>
      <c r="AK3614" t="s">
        <v>360</v>
      </c>
    </row>
    <row r="3615" spans="1:37">
      <c r="B3615" t="s">
        <v>72</v>
      </c>
      <c r="C3615" t="s">
        <v>72</v>
      </c>
      <c r="D3615" t="s">
        <v>72</v>
      </c>
      <c r="E3615" t="s">
        <v>139</v>
      </c>
      <c r="F3615" t="s">
        <v>139</v>
      </c>
      <c r="G3615" t="s">
        <v>192</v>
      </c>
      <c r="H3615" t="s">
        <v>72</v>
      </c>
      <c r="I3615" t="s">
        <v>192</v>
      </c>
      <c r="J3615" t="s">
        <v>72</v>
      </c>
      <c r="K3615" t="s">
        <v>271</v>
      </c>
      <c r="AK3615" t="s">
        <v>360</v>
      </c>
    </row>
    <row r="3616" spans="1:37">
      <c r="A3616" t="s">
        <v>37</v>
      </c>
      <c r="B3616" t="s">
        <v>49</v>
      </c>
      <c r="C3616" t="s">
        <v>73</v>
      </c>
      <c r="D3616" t="s">
        <v>94</v>
      </c>
      <c r="E3616" t="s">
        <v>112</v>
      </c>
      <c r="F3616" t="s">
        <v>146</v>
      </c>
      <c r="G3616" t="s">
        <v>172</v>
      </c>
      <c r="H3616" t="s">
        <v>207</v>
      </c>
      <c r="I3616" t="s">
        <v>226</v>
      </c>
      <c r="J3616" t="s">
        <v>246</v>
      </c>
      <c r="K3616" t="s">
        <v>259</v>
      </c>
      <c r="AK3616" t="s">
        <v>360</v>
      </c>
    </row>
    <row r="3617" spans="1:37">
      <c r="A3617" t="s">
        <v>38</v>
      </c>
      <c r="B3617" t="s">
        <v>50</v>
      </c>
      <c r="C3617" t="s">
        <v>74</v>
      </c>
      <c r="D3617" t="s">
        <v>95</v>
      </c>
      <c r="E3617" t="s">
        <v>113</v>
      </c>
      <c r="F3617" t="s">
        <v>147</v>
      </c>
      <c r="G3617" t="s">
        <v>173</v>
      </c>
      <c r="H3617" t="s">
        <v>208</v>
      </c>
      <c r="I3617" t="s">
        <v>227</v>
      </c>
      <c r="J3617" t="s">
        <v>115</v>
      </c>
      <c r="K3617" t="s">
        <v>260</v>
      </c>
      <c r="L3617" t="s">
        <v>273</v>
      </c>
      <c r="M3617" t="s">
        <v>282</v>
      </c>
      <c r="N3617" t="s">
        <v>291</v>
      </c>
      <c r="AK3617" t="s">
        <v>360</v>
      </c>
    </row>
    <row r="3618" spans="1:37">
      <c r="B3618" t="s">
        <v>51</v>
      </c>
      <c r="C3618" t="s">
        <v>75</v>
      </c>
      <c r="D3618" t="s">
        <v>52</v>
      </c>
      <c r="E3618" t="s">
        <v>114</v>
      </c>
      <c r="F3618" t="s">
        <v>148</v>
      </c>
      <c r="G3618" t="s">
        <v>148</v>
      </c>
      <c r="H3618" t="s">
        <v>209</v>
      </c>
      <c r="I3618" t="s">
        <v>228</v>
      </c>
      <c r="J3618" t="s">
        <v>247</v>
      </c>
      <c r="K3618" t="s">
        <v>261</v>
      </c>
      <c r="L3618" t="s">
        <v>274</v>
      </c>
      <c r="M3618" t="s">
        <v>283</v>
      </c>
      <c r="N3618" t="s">
        <v>292</v>
      </c>
      <c r="O3618" t="s">
        <v>300</v>
      </c>
      <c r="AK3618" t="s">
        <v>360</v>
      </c>
    </row>
    <row r="3619" spans="1:37">
      <c r="B3619" t="s">
        <v>52</v>
      </c>
      <c r="C3619" t="s">
        <v>76</v>
      </c>
      <c r="D3619" t="s">
        <v>96</v>
      </c>
      <c r="E3619" t="s">
        <v>115</v>
      </c>
      <c r="F3619" t="s">
        <v>149</v>
      </c>
      <c r="G3619" t="s">
        <v>174</v>
      </c>
      <c r="H3619" t="s">
        <v>96</v>
      </c>
      <c r="I3619" t="s">
        <v>229</v>
      </c>
      <c r="J3619" t="s">
        <v>248</v>
      </c>
      <c r="K3619" t="s">
        <v>262</v>
      </c>
      <c r="L3619" t="s">
        <v>52</v>
      </c>
      <c r="M3619" t="s">
        <v>76</v>
      </c>
      <c r="N3619" t="s">
        <v>293</v>
      </c>
      <c r="O3619" t="s">
        <v>301</v>
      </c>
      <c r="P3619" t="s">
        <v>309</v>
      </c>
      <c r="Q3619" t="s">
        <v>315</v>
      </c>
      <c r="R3619" t="s">
        <v>228</v>
      </c>
      <c r="S3619" t="s">
        <v>328</v>
      </c>
      <c r="T3619" t="s">
        <v>149</v>
      </c>
      <c r="U3619" t="s">
        <v>337</v>
      </c>
      <c r="V3619" t="s">
        <v>341</v>
      </c>
      <c r="W3619" t="s">
        <v>345</v>
      </c>
      <c r="X3619" t="s">
        <v>350</v>
      </c>
      <c r="AK3619" t="s">
        <v>360</v>
      </c>
    </row>
    <row r="3620" spans="1:37">
      <c r="B3620" t="s">
        <v>53</v>
      </c>
      <c r="C3620" t="s">
        <v>77</v>
      </c>
      <c r="D3620" t="s">
        <v>97</v>
      </c>
      <c r="E3620" t="s">
        <v>116</v>
      </c>
      <c r="F3620" t="s">
        <v>150</v>
      </c>
      <c r="G3620" t="s">
        <v>175</v>
      </c>
      <c r="H3620" t="s">
        <v>210</v>
      </c>
      <c r="I3620" t="s">
        <v>230</v>
      </c>
      <c r="J3620" t="s">
        <v>249</v>
      </c>
      <c r="K3620" t="s">
        <v>263</v>
      </c>
      <c r="L3620" t="s">
        <v>275</v>
      </c>
      <c r="M3620" t="s">
        <v>284</v>
      </c>
      <c r="N3620" t="s">
        <v>294</v>
      </c>
      <c r="O3620" t="s">
        <v>302</v>
      </c>
      <c r="P3620" t="s">
        <v>310</v>
      </c>
      <c r="Q3620" t="s">
        <v>316</v>
      </c>
      <c r="R3620" t="s">
        <v>322</v>
      </c>
      <c r="S3620" t="s">
        <v>329</v>
      </c>
      <c r="AK3620" t="s">
        <v>360</v>
      </c>
    </row>
    <row r="3621" spans="1:37">
      <c r="A3621" t="s">
        <v>39</v>
      </c>
      <c r="B3621" t="s">
        <v>54</v>
      </c>
      <c r="C3621" t="s">
        <v>54</v>
      </c>
      <c r="D3621" t="s">
        <v>54</v>
      </c>
      <c r="E3621" t="s">
        <v>54</v>
      </c>
      <c r="F3621" t="s">
        <v>54</v>
      </c>
      <c r="G3621" t="s">
        <v>54</v>
      </c>
      <c r="H3621" t="s">
        <v>54</v>
      </c>
      <c r="I3621" t="s">
        <v>54</v>
      </c>
      <c r="J3621" t="s">
        <v>54</v>
      </c>
      <c r="K3621" t="s">
        <v>54</v>
      </c>
      <c r="L3621" t="s">
        <v>54</v>
      </c>
      <c r="M3621" t="s">
        <v>54</v>
      </c>
      <c r="N3621" t="s">
        <v>54</v>
      </c>
      <c r="O3621" t="s">
        <v>54</v>
      </c>
      <c r="P3621" t="s">
        <v>54</v>
      </c>
      <c r="Q3621" t="s">
        <v>54</v>
      </c>
      <c r="R3621" t="s">
        <v>323</v>
      </c>
      <c r="S3621" t="s">
        <v>330</v>
      </c>
      <c r="AK3621" t="s">
        <v>360</v>
      </c>
    </row>
    <row r="3622" spans="1:37">
      <c r="B3622" t="s">
        <v>55</v>
      </c>
      <c r="C3622" t="s">
        <v>78</v>
      </c>
      <c r="D3622" t="s">
        <v>55</v>
      </c>
      <c r="E3622" t="s">
        <v>78</v>
      </c>
      <c r="F3622" t="s">
        <v>55</v>
      </c>
      <c r="G3622" t="s">
        <v>78</v>
      </c>
      <c r="H3622" t="s">
        <v>55</v>
      </c>
      <c r="I3622" t="s">
        <v>78</v>
      </c>
      <c r="J3622" t="s">
        <v>55</v>
      </c>
      <c r="K3622" t="s">
        <v>78</v>
      </c>
      <c r="L3622" t="s">
        <v>55</v>
      </c>
      <c r="M3622" t="s">
        <v>78</v>
      </c>
      <c r="N3622" t="s">
        <v>55</v>
      </c>
      <c r="O3622" t="s">
        <v>78</v>
      </c>
      <c r="P3622" t="s">
        <v>55</v>
      </c>
      <c r="Q3622" t="s">
        <v>78</v>
      </c>
      <c r="R3622" t="s">
        <v>55</v>
      </c>
      <c r="S3622" t="s">
        <v>78</v>
      </c>
      <c r="T3622" t="s">
        <v>55</v>
      </c>
      <c r="U3622" t="s">
        <v>78</v>
      </c>
      <c r="V3622" t="s">
        <v>55</v>
      </c>
      <c r="W3622" t="s">
        <v>78</v>
      </c>
      <c r="X3622" t="s">
        <v>55</v>
      </c>
      <c r="Y3622" t="s">
        <v>78</v>
      </c>
      <c r="Z3622" t="s">
        <v>55</v>
      </c>
      <c r="AA3622" t="s">
        <v>78</v>
      </c>
      <c r="AB3622" t="s">
        <v>55</v>
      </c>
      <c r="AC3622" t="s">
        <v>78</v>
      </c>
      <c r="AD3622" t="s">
        <v>55</v>
      </c>
      <c r="AE3622" t="s">
        <v>78</v>
      </c>
      <c r="AF3622" t="s">
        <v>55</v>
      </c>
      <c r="AG3622" t="s">
        <v>78</v>
      </c>
      <c r="AH3622" t="s">
        <v>55</v>
      </c>
      <c r="AI3622" t="s">
        <v>78</v>
      </c>
      <c r="AK3622" t="s">
        <v>360</v>
      </c>
    </row>
    <row r="3623" spans="1:37">
      <c r="B3623" t="s">
        <v>56</v>
      </c>
      <c r="C3623" t="s">
        <v>56</v>
      </c>
      <c r="D3623" t="s">
        <v>56</v>
      </c>
      <c r="E3623" t="s">
        <v>56</v>
      </c>
      <c r="F3623" t="s">
        <v>56</v>
      </c>
      <c r="G3623" t="s">
        <v>176</v>
      </c>
      <c r="H3623" t="s">
        <v>211</v>
      </c>
      <c r="I3623" t="s">
        <v>231</v>
      </c>
      <c r="J3623" t="s">
        <v>250</v>
      </c>
      <c r="K3623" t="s">
        <v>264</v>
      </c>
      <c r="L3623" t="s">
        <v>276</v>
      </c>
      <c r="M3623" t="s">
        <v>285</v>
      </c>
      <c r="N3623" t="s">
        <v>295</v>
      </c>
      <c r="O3623" t="s">
        <v>303</v>
      </c>
      <c r="P3623" t="s">
        <v>56</v>
      </c>
      <c r="Q3623" t="s">
        <v>317</v>
      </c>
      <c r="R3623" t="s">
        <v>324</v>
      </c>
      <c r="S3623" t="s">
        <v>331</v>
      </c>
      <c r="T3623" t="s">
        <v>334</v>
      </c>
      <c r="U3623" t="s">
        <v>338</v>
      </c>
      <c r="V3623" t="s">
        <v>342</v>
      </c>
      <c r="W3623" t="s">
        <v>346</v>
      </c>
      <c r="X3623" t="s">
        <v>351</v>
      </c>
      <c r="AK3623" t="s">
        <v>360</v>
      </c>
    </row>
    <row r="3624" spans="1:37">
      <c r="B3624" t="s">
        <v>57</v>
      </c>
      <c r="C3624" t="s">
        <v>79</v>
      </c>
      <c r="D3624" t="s">
        <v>98</v>
      </c>
      <c r="E3624" t="s">
        <v>117</v>
      </c>
      <c r="F3624" t="s">
        <v>151</v>
      </c>
      <c r="G3624" t="s">
        <v>177</v>
      </c>
      <c r="H3624" t="s">
        <v>212</v>
      </c>
      <c r="I3624" t="s">
        <v>232</v>
      </c>
      <c r="J3624" t="s">
        <v>251</v>
      </c>
      <c r="K3624" t="s">
        <v>265</v>
      </c>
      <c r="L3624" t="s">
        <v>277</v>
      </c>
      <c r="M3624" t="s">
        <v>286</v>
      </c>
      <c r="N3624" t="s">
        <v>296</v>
      </c>
      <c r="O3624" t="s">
        <v>304</v>
      </c>
      <c r="P3624" t="s">
        <v>311</v>
      </c>
      <c r="Q3624" t="s">
        <v>318</v>
      </c>
      <c r="R3624" t="s">
        <v>185</v>
      </c>
      <c r="S3624" t="s">
        <v>159</v>
      </c>
      <c r="T3624" t="s">
        <v>185</v>
      </c>
      <c r="U3624" t="s">
        <v>339</v>
      </c>
      <c r="V3624" t="s">
        <v>72</v>
      </c>
      <c r="W3624" t="s">
        <v>347</v>
      </c>
      <c r="X3624" t="s">
        <v>72</v>
      </c>
      <c r="Y3624" t="s">
        <v>96</v>
      </c>
      <c r="AK3624" t="s">
        <v>360</v>
      </c>
    </row>
    <row r="3625" spans="1:37">
      <c r="B3625" t="s">
        <v>58</v>
      </c>
      <c r="C3625" t="s">
        <v>80</v>
      </c>
      <c r="D3625" t="s">
        <v>99</v>
      </c>
      <c r="E3625" t="s">
        <v>118</v>
      </c>
      <c r="F3625" t="s">
        <v>152</v>
      </c>
      <c r="G3625" t="s">
        <v>178</v>
      </c>
      <c r="H3625" t="s">
        <v>213</v>
      </c>
      <c r="I3625" t="s">
        <v>233</v>
      </c>
      <c r="J3625" t="s">
        <v>252</v>
      </c>
      <c r="K3625" t="s">
        <v>266</v>
      </c>
      <c r="L3625" t="s">
        <v>278</v>
      </c>
      <c r="M3625" t="s">
        <v>287</v>
      </c>
      <c r="N3625" t="s">
        <v>297</v>
      </c>
      <c r="O3625" t="s">
        <v>305</v>
      </c>
      <c r="P3625" t="s">
        <v>312</v>
      </c>
      <c r="Q3625" t="s">
        <v>319</v>
      </c>
      <c r="R3625">
        <f>&gt;10       ветра      3.2     16   1  7</f>
        <v>0</v>
      </c>
      <c r="AK3625" t="s">
        <v>360</v>
      </c>
    </row>
    <row r="3626" spans="1:37">
      <c r="A3626" t="s">
        <v>40</v>
      </c>
      <c r="B3626" t="s">
        <v>59</v>
      </c>
      <c r="C3626" t="s">
        <v>81</v>
      </c>
      <c r="D3626" t="s">
        <v>100</v>
      </c>
      <c r="E3626" t="s">
        <v>119</v>
      </c>
      <c r="F3626" t="s">
        <v>153</v>
      </c>
      <c r="G3626" t="s">
        <v>179</v>
      </c>
      <c r="H3626" t="s">
        <v>214</v>
      </c>
      <c r="I3626" t="s">
        <v>234</v>
      </c>
      <c r="AK3626" t="s">
        <v>360</v>
      </c>
    </row>
    <row r="3627" spans="1:37">
      <c r="A3627" t="s">
        <v>40</v>
      </c>
      <c r="B3627" t="s">
        <v>60</v>
      </c>
      <c r="C3627" t="s">
        <v>82</v>
      </c>
      <c r="D3627" t="s">
        <v>101</v>
      </c>
      <c r="E3627" t="s">
        <v>120</v>
      </c>
      <c r="F3627" t="s">
        <v>154</v>
      </c>
      <c r="G3627" t="s">
        <v>180</v>
      </c>
      <c r="H3627" t="s">
        <v>215</v>
      </c>
      <c r="I3627" t="s">
        <v>235</v>
      </c>
      <c r="J3627" t="s">
        <v>253</v>
      </c>
      <c r="K3627" t="s">
        <v>267</v>
      </c>
      <c r="L3627" t="s">
        <v>279</v>
      </c>
      <c r="M3627" t="s">
        <v>288</v>
      </c>
      <c r="N3627" t="s">
        <v>100</v>
      </c>
      <c r="O3627" t="s">
        <v>306</v>
      </c>
      <c r="P3627" t="s">
        <v>313</v>
      </c>
      <c r="Q3627" t="s">
        <v>320</v>
      </c>
      <c r="R3627" t="s">
        <v>325</v>
      </c>
      <c r="S3627" t="s">
        <v>332</v>
      </c>
      <c r="T3627" t="s">
        <v>119</v>
      </c>
      <c r="U3627" t="s">
        <v>234</v>
      </c>
      <c r="V3627" t="s">
        <v>343</v>
      </c>
      <c r="W3627" t="s">
        <v>348</v>
      </c>
      <c r="X3627" t="s">
        <v>352</v>
      </c>
      <c r="Y3627" t="s">
        <v>354</v>
      </c>
      <c r="AK3627" t="s">
        <v>360</v>
      </c>
    </row>
    <row r="3628" spans="1:37">
      <c r="A3628" t="s">
        <v>41</v>
      </c>
      <c r="B3628" t="s">
        <v>61</v>
      </c>
      <c r="C3628" t="s">
        <v>83</v>
      </c>
      <c r="D3628" t="s">
        <v>102</v>
      </c>
      <c r="E3628" t="s">
        <v>121</v>
      </c>
      <c r="F3628" t="s">
        <v>155</v>
      </c>
      <c r="G3628" t="s">
        <v>181</v>
      </c>
      <c r="H3628" t="s">
        <v>216</v>
      </c>
      <c r="I3628" t="s">
        <v>236</v>
      </c>
      <c r="AK3628" t="s">
        <v>360</v>
      </c>
    </row>
    <row r="3629" spans="1:37">
      <c r="A3629" t="s">
        <v>42</v>
      </c>
      <c r="B3629" t="s">
        <v>62</v>
      </c>
      <c r="C3629" t="s">
        <v>84</v>
      </c>
      <c r="D3629" t="s">
        <v>103</v>
      </c>
      <c r="E3629" t="s">
        <v>122</v>
      </c>
      <c r="F3629" t="s">
        <v>156</v>
      </c>
      <c r="G3629" t="s">
        <v>182</v>
      </c>
      <c r="H3629" t="s">
        <v>83</v>
      </c>
      <c r="I3629" t="s">
        <v>237</v>
      </c>
      <c r="J3629" t="s">
        <v>254</v>
      </c>
      <c r="K3629" t="s">
        <v>268</v>
      </c>
      <c r="L3629" t="s">
        <v>280</v>
      </c>
      <c r="M3629" t="s">
        <v>289</v>
      </c>
      <c r="N3629" t="s">
        <v>298</v>
      </c>
      <c r="O3629" t="s">
        <v>307</v>
      </c>
      <c r="P3629" t="s">
        <v>314</v>
      </c>
      <c r="Q3629" t="s">
        <v>216</v>
      </c>
      <c r="R3629" t="s">
        <v>326</v>
      </c>
      <c r="S3629" t="s">
        <v>333</v>
      </c>
      <c r="T3629" t="s">
        <v>335</v>
      </c>
      <c r="U3629" t="s">
        <v>340</v>
      </c>
      <c r="V3629" t="s">
        <v>344</v>
      </c>
      <c r="W3629" t="s">
        <v>349</v>
      </c>
      <c r="AK3629" t="s">
        <v>360</v>
      </c>
    </row>
    <row r="3630" spans="1:37">
      <c r="A3630" t="s">
        <v>43</v>
      </c>
      <c r="B3630" t="s">
        <v>63</v>
      </c>
      <c r="C3630" t="s">
        <v>85</v>
      </c>
      <c r="D3630" t="s">
        <v>104</v>
      </c>
      <c r="E3630" t="s">
        <v>123</v>
      </c>
      <c r="F3630" t="s">
        <v>157</v>
      </c>
      <c r="G3630" t="s">
        <v>183</v>
      </c>
      <c r="AK3630" t="s">
        <v>360</v>
      </c>
    </row>
    <row r="3631" spans="1:37">
      <c r="A3631" t="s">
        <v>44</v>
      </c>
      <c r="B3631" t="s">
        <v>64</v>
      </c>
      <c r="C3631" t="s">
        <v>86</v>
      </c>
      <c r="D3631" t="s">
        <v>105</v>
      </c>
      <c r="E3631" t="s">
        <v>124</v>
      </c>
      <c r="F3631" t="s">
        <v>158</v>
      </c>
      <c r="G3631" t="s">
        <v>184</v>
      </c>
      <c r="AK3631" t="s">
        <v>360</v>
      </c>
    </row>
    <row r="3632" spans="1:37">
      <c r="A3632" t="s">
        <v>45</v>
      </c>
      <c r="B3632" t="s">
        <v>65</v>
      </c>
      <c r="C3632" t="s">
        <v>87</v>
      </c>
      <c r="D3632" t="s">
        <v>106</v>
      </c>
      <c r="E3632" t="s">
        <v>125</v>
      </c>
      <c r="F3632" t="s">
        <v>159</v>
      </c>
      <c r="G3632" t="s">
        <v>185</v>
      </c>
      <c r="H3632" t="s">
        <v>159</v>
      </c>
      <c r="I3632" t="s">
        <v>185</v>
      </c>
      <c r="J3632" t="s">
        <v>255</v>
      </c>
      <c r="AK3632" t="s">
        <v>360</v>
      </c>
    </row>
    <row r="3633" spans="1:37">
      <c r="A3633" t="s">
        <v>46</v>
      </c>
      <c r="B3633" t="s">
        <v>66</v>
      </c>
      <c r="C3633" t="s">
        <v>88</v>
      </c>
      <c r="D3633" t="s">
        <v>76</v>
      </c>
      <c r="E3633" t="s">
        <v>126</v>
      </c>
      <c r="F3633" t="s">
        <v>160</v>
      </c>
      <c r="G3633" t="s">
        <v>186</v>
      </c>
      <c r="H3633" t="s">
        <v>217</v>
      </c>
      <c r="I3633" t="s">
        <v>238</v>
      </c>
      <c r="J3633" t="s">
        <v>256</v>
      </c>
      <c r="K3633" t="s">
        <v>265</v>
      </c>
      <c r="L3633" t="s">
        <v>281</v>
      </c>
      <c r="M3633" t="s">
        <v>290</v>
      </c>
      <c r="N3633" t="s">
        <v>299</v>
      </c>
      <c r="O3633" t="s">
        <v>308</v>
      </c>
      <c r="P3633" t="s">
        <v>228</v>
      </c>
      <c r="Q3633" t="s">
        <v>72</v>
      </c>
      <c r="R3633" t="s">
        <v>327</v>
      </c>
      <c r="S3633" t="s">
        <v>327</v>
      </c>
      <c r="T3633" t="s">
        <v>336</v>
      </c>
      <c r="U3633" t="s">
        <v>336</v>
      </c>
      <c r="V3633" t="s">
        <v>336</v>
      </c>
      <c r="W3633" t="s">
        <v>336</v>
      </c>
      <c r="X3633" t="s">
        <v>353</v>
      </c>
      <c r="AK3633" t="s">
        <v>360</v>
      </c>
    </row>
    <row r="3634" spans="1:37">
      <c r="B3634" t="s">
        <v>67</v>
      </c>
      <c r="C3634" t="s">
        <v>89</v>
      </c>
      <c r="D3634" t="s">
        <v>107</v>
      </c>
      <c r="AK3634" t="s">
        <v>360</v>
      </c>
    </row>
    <row r="3635" spans="1:37">
      <c r="B3635" t="s">
        <v>68</v>
      </c>
      <c r="C3635" t="s">
        <v>90</v>
      </c>
      <c r="D3635" t="s">
        <v>108</v>
      </c>
      <c r="AK3635" t="s">
        <v>360</v>
      </c>
    </row>
    <row r="3636" spans="1:37">
      <c r="A3636" t="s">
        <v>47</v>
      </c>
      <c r="B3636" t="s">
        <v>69</v>
      </c>
      <c r="C3636" t="s">
        <v>91</v>
      </c>
      <c r="D3636" t="s">
        <v>109</v>
      </c>
      <c r="E3636" t="s">
        <v>109</v>
      </c>
      <c r="F3636" t="s">
        <v>109</v>
      </c>
      <c r="G3636" t="s">
        <v>109</v>
      </c>
      <c r="H3636" t="s">
        <v>109</v>
      </c>
      <c r="I3636" t="s">
        <v>239</v>
      </c>
      <c r="AK3636" t="s">
        <v>360</v>
      </c>
    </row>
    <row r="3637" spans="1:37">
      <c r="B3637" t="s">
        <v>70</v>
      </c>
      <c r="C3637" t="s">
        <v>92</v>
      </c>
      <c r="D3637" t="s">
        <v>110</v>
      </c>
      <c r="E3637" t="s">
        <v>127</v>
      </c>
      <c r="F3637" t="s">
        <v>161</v>
      </c>
      <c r="G3637" t="s">
        <v>187</v>
      </c>
      <c r="H3637" t="s">
        <v>218</v>
      </c>
      <c r="AK3637" t="s">
        <v>360</v>
      </c>
    </row>
    <row r="3638" spans="1:37">
      <c r="B3638" t="s">
        <v>71</v>
      </c>
      <c r="C3638" t="s">
        <v>93</v>
      </c>
      <c r="D3638" t="s">
        <v>111</v>
      </c>
      <c r="E3638" t="s">
        <v>128</v>
      </c>
      <c r="F3638" t="s">
        <v>162</v>
      </c>
      <c r="G3638" t="s">
        <v>188</v>
      </c>
      <c r="H3638" t="s">
        <v>219</v>
      </c>
      <c r="I3638" t="s">
        <v>240</v>
      </c>
      <c r="J3638" t="s">
        <v>257</v>
      </c>
      <c r="K3638" t="s">
        <v>269</v>
      </c>
      <c r="L3638" t="s">
        <v>109</v>
      </c>
      <c r="M3638" t="s">
        <v>109</v>
      </c>
      <c r="N3638" t="s">
        <v>109</v>
      </c>
      <c r="O3638" t="s">
        <v>109</v>
      </c>
      <c r="P3638" t="s">
        <v>109</v>
      </c>
      <c r="Q3638" t="s">
        <v>321</v>
      </c>
      <c r="AK3638" t="s">
        <v>360</v>
      </c>
    </row>
    <row r="3639" spans="1:37">
      <c r="A3639" t="s">
        <v>48</v>
      </c>
      <c r="B3639" t="s">
        <v>71</v>
      </c>
      <c r="C3639" t="s">
        <v>93</v>
      </c>
      <c r="D3639" t="s">
        <v>111</v>
      </c>
      <c r="E3639" t="s">
        <v>128</v>
      </c>
      <c r="F3639" t="s">
        <v>163</v>
      </c>
      <c r="G3639" t="s">
        <v>189</v>
      </c>
      <c r="H3639" t="s">
        <v>220</v>
      </c>
      <c r="I3639" t="s">
        <v>241</v>
      </c>
      <c r="J3639" t="s">
        <v>258</v>
      </c>
      <c r="K3639" t="s">
        <v>270</v>
      </c>
      <c r="AK3639" t="s">
        <v>360</v>
      </c>
    </row>
    <row r="3640" spans="1:37">
      <c r="B3640" t="s">
        <v>72</v>
      </c>
      <c r="C3640" t="s">
        <v>72</v>
      </c>
      <c r="D3640" t="s">
        <v>72</v>
      </c>
      <c r="E3640" t="s">
        <v>139</v>
      </c>
      <c r="F3640" t="s">
        <v>139</v>
      </c>
      <c r="G3640" t="s">
        <v>192</v>
      </c>
      <c r="H3640" t="s">
        <v>192</v>
      </c>
      <c r="I3640" t="s">
        <v>192</v>
      </c>
      <c r="J3640" t="s">
        <v>192</v>
      </c>
      <c r="K3640" t="s">
        <v>271</v>
      </c>
      <c r="AK3640" t="s">
        <v>360</v>
      </c>
    </row>
    <row r="3641" spans="1:37">
      <c r="A3641" t="s">
        <v>37</v>
      </c>
      <c r="B3641" t="s">
        <v>49</v>
      </c>
      <c r="C3641" t="s">
        <v>73</v>
      </c>
      <c r="D3641" t="s">
        <v>94</v>
      </c>
      <c r="E3641" t="s">
        <v>112</v>
      </c>
      <c r="F3641" t="s">
        <v>146</v>
      </c>
      <c r="G3641" t="s">
        <v>172</v>
      </c>
      <c r="H3641" t="s">
        <v>207</v>
      </c>
      <c r="I3641" t="s">
        <v>226</v>
      </c>
      <c r="J3641" t="s">
        <v>246</v>
      </c>
      <c r="K3641" t="s">
        <v>259</v>
      </c>
      <c r="AK3641" t="s">
        <v>360</v>
      </c>
    </row>
    <row r="3642" spans="1:37">
      <c r="A3642" t="s">
        <v>38</v>
      </c>
      <c r="B3642" t="s">
        <v>50</v>
      </c>
      <c r="C3642" t="s">
        <v>74</v>
      </c>
      <c r="D3642" t="s">
        <v>95</v>
      </c>
      <c r="E3642" t="s">
        <v>113</v>
      </c>
      <c r="F3642" t="s">
        <v>147</v>
      </c>
      <c r="G3642" t="s">
        <v>173</v>
      </c>
      <c r="H3642" t="s">
        <v>208</v>
      </c>
      <c r="I3642" t="s">
        <v>227</v>
      </c>
      <c r="J3642" t="s">
        <v>115</v>
      </c>
      <c r="K3642" t="s">
        <v>260</v>
      </c>
      <c r="L3642" t="s">
        <v>273</v>
      </c>
      <c r="M3642" t="s">
        <v>282</v>
      </c>
      <c r="N3642" t="s">
        <v>291</v>
      </c>
      <c r="AK3642" t="s">
        <v>360</v>
      </c>
    </row>
    <row r="3643" spans="1:37">
      <c r="B3643" t="s">
        <v>51</v>
      </c>
      <c r="C3643" t="s">
        <v>75</v>
      </c>
      <c r="D3643" t="s">
        <v>52</v>
      </c>
      <c r="E3643" t="s">
        <v>114</v>
      </c>
      <c r="F3643" t="s">
        <v>148</v>
      </c>
      <c r="G3643" t="s">
        <v>148</v>
      </c>
      <c r="H3643" t="s">
        <v>209</v>
      </c>
      <c r="I3643" t="s">
        <v>228</v>
      </c>
      <c r="J3643" t="s">
        <v>247</v>
      </c>
      <c r="K3643" t="s">
        <v>261</v>
      </c>
      <c r="L3643" t="s">
        <v>274</v>
      </c>
      <c r="M3643" t="s">
        <v>283</v>
      </c>
      <c r="N3643" t="s">
        <v>292</v>
      </c>
      <c r="O3643" t="s">
        <v>300</v>
      </c>
      <c r="AK3643" t="s">
        <v>360</v>
      </c>
    </row>
    <row r="3644" spans="1:37">
      <c r="B3644" t="s">
        <v>52</v>
      </c>
      <c r="C3644" t="s">
        <v>76</v>
      </c>
      <c r="D3644" t="s">
        <v>96</v>
      </c>
      <c r="E3644" t="s">
        <v>115</v>
      </c>
      <c r="F3644" t="s">
        <v>149</v>
      </c>
      <c r="G3644" t="s">
        <v>174</v>
      </c>
      <c r="H3644" t="s">
        <v>96</v>
      </c>
      <c r="I3644" t="s">
        <v>229</v>
      </c>
      <c r="J3644" t="s">
        <v>248</v>
      </c>
      <c r="K3644" t="s">
        <v>262</v>
      </c>
      <c r="L3644" t="s">
        <v>52</v>
      </c>
      <c r="M3644" t="s">
        <v>76</v>
      </c>
      <c r="N3644" t="s">
        <v>293</v>
      </c>
      <c r="O3644" t="s">
        <v>301</v>
      </c>
      <c r="P3644" t="s">
        <v>309</v>
      </c>
      <c r="Q3644" t="s">
        <v>315</v>
      </c>
      <c r="R3644" t="s">
        <v>228</v>
      </c>
      <c r="S3644" t="s">
        <v>328</v>
      </c>
      <c r="T3644" t="s">
        <v>149</v>
      </c>
      <c r="U3644" t="s">
        <v>337</v>
      </c>
      <c r="V3644" t="s">
        <v>341</v>
      </c>
      <c r="W3644" t="s">
        <v>345</v>
      </c>
      <c r="X3644" t="s">
        <v>350</v>
      </c>
      <c r="AK3644" t="s">
        <v>360</v>
      </c>
    </row>
    <row r="3645" spans="1:37">
      <c r="B3645" t="s">
        <v>53</v>
      </c>
      <c r="C3645" t="s">
        <v>77</v>
      </c>
      <c r="D3645" t="s">
        <v>97</v>
      </c>
      <c r="E3645" t="s">
        <v>116</v>
      </c>
      <c r="F3645" t="s">
        <v>150</v>
      </c>
      <c r="G3645" t="s">
        <v>175</v>
      </c>
      <c r="H3645" t="s">
        <v>210</v>
      </c>
      <c r="I3645" t="s">
        <v>230</v>
      </c>
      <c r="J3645" t="s">
        <v>249</v>
      </c>
      <c r="K3645" t="s">
        <v>263</v>
      </c>
      <c r="L3645" t="s">
        <v>275</v>
      </c>
      <c r="M3645" t="s">
        <v>284</v>
      </c>
      <c r="N3645" t="s">
        <v>294</v>
      </c>
      <c r="O3645" t="s">
        <v>302</v>
      </c>
      <c r="P3645" t="s">
        <v>310</v>
      </c>
      <c r="Q3645" t="s">
        <v>316</v>
      </c>
      <c r="R3645" t="s">
        <v>322</v>
      </c>
      <c r="S3645" t="s">
        <v>329</v>
      </c>
      <c r="AK3645" t="s">
        <v>360</v>
      </c>
    </row>
    <row r="3646" spans="1:37">
      <c r="A3646" t="s">
        <v>39</v>
      </c>
      <c r="B3646" t="s">
        <v>54</v>
      </c>
      <c r="C3646" t="s">
        <v>54</v>
      </c>
      <c r="D3646" t="s">
        <v>54</v>
      </c>
      <c r="E3646" t="s">
        <v>54</v>
      </c>
      <c r="F3646" t="s">
        <v>54</v>
      </c>
      <c r="G3646" t="s">
        <v>54</v>
      </c>
      <c r="H3646" t="s">
        <v>54</v>
      </c>
      <c r="I3646" t="s">
        <v>54</v>
      </c>
      <c r="J3646" t="s">
        <v>54</v>
      </c>
      <c r="K3646" t="s">
        <v>54</v>
      </c>
      <c r="L3646" t="s">
        <v>54</v>
      </c>
      <c r="M3646" t="s">
        <v>54</v>
      </c>
      <c r="N3646" t="s">
        <v>54</v>
      </c>
      <c r="O3646" t="s">
        <v>54</v>
      </c>
      <c r="P3646" t="s">
        <v>54</v>
      </c>
      <c r="Q3646" t="s">
        <v>54</v>
      </c>
      <c r="R3646" t="s">
        <v>323</v>
      </c>
      <c r="S3646" t="s">
        <v>330</v>
      </c>
      <c r="AK3646" t="s">
        <v>360</v>
      </c>
    </row>
    <row r="3647" spans="1:37">
      <c r="B3647" t="s">
        <v>55</v>
      </c>
      <c r="C3647" t="s">
        <v>78</v>
      </c>
      <c r="D3647" t="s">
        <v>55</v>
      </c>
      <c r="E3647" t="s">
        <v>78</v>
      </c>
      <c r="F3647" t="s">
        <v>55</v>
      </c>
      <c r="G3647" t="s">
        <v>78</v>
      </c>
      <c r="H3647" t="s">
        <v>55</v>
      </c>
      <c r="I3647" t="s">
        <v>78</v>
      </c>
      <c r="J3647" t="s">
        <v>55</v>
      </c>
      <c r="K3647" t="s">
        <v>78</v>
      </c>
      <c r="L3647" t="s">
        <v>55</v>
      </c>
      <c r="M3647" t="s">
        <v>78</v>
      </c>
      <c r="N3647" t="s">
        <v>55</v>
      </c>
      <c r="O3647" t="s">
        <v>78</v>
      </c>
      <c r="P3647" t="s">
        <v>55</v>
      </c>
      <c r="Q3647" t="s">
        <v>78</v>
      </c>
      <c r="R3647" t="s">
        <v>55</v>
      </c>
      <c r="S3647" t="s">
        <v>78</v>
      </c>
      <c r="T3647" t="s">
        <v>55</v>
      </c>
      <c r="U3647" t="s">
        <v>78</v>
      </c>
      <c r="V3647" t="s">
        <v>55</v>
      </c>
      <c r="W3647" t="s">
        <v>78</v>
      </c>
      <c r="X3647" t="s">
        <v>55</v>
      </c>
      <c r="Y3647" t="s">
        <v>78</v>
      </c>
      <c r="Z3647" t="s">
        <v>55</v>
      </c>
      <c r="AA3647" t="s">
        <v>78</v>
      </c>
      <c r="AB3647" t="s">
        <v>55</v>
      </c>
      <c r="AC3647" t="s">
        <v>78</v>
      </c>
      <c r="AD3647" t="s">
        <v>55</v>
      </c>
      <c r="AE3647" t="s">
        <v>78</v>
      </c>
      <c r="AF3647" t="s">
        <v>55</v>
      </c>
      <c r="AG3647" t="s">
        <v>78</v>
      </c>
      <c r="AH3647" t="s">
        <v>55</v>
      </c>
      <c r="AI3647" t="s">
        <v>78</v>
      </c>
      <c r="AK3647" t="s">
        <v>360</v>
      </c>
    </row>
    <row r="3648" spans="1:37">
      <c r="B3648" t="s">
        <v>56</v>
      </c>
      <c r="C3648" t="s">
        <v>56</v>
      </c>
      <c r="D3648" t="s">
        <v>56</v>
      </c>
      <c r="E3648" t="s">
        <v>56</v>
      </c>
      <c r="F3648" t="s">
        <v>56</v>
      </c>
      <c r="G3648" t="s">
        <v>176</v>
      </c>
      <c r="H3648" t="s">
        <v>211</v>
      </c>
      <c r="I3648" t="s">
        <v>231</v>
      </c>
      <c r="J3648" t="s">
        <v>250</v>
      </c>
      <c r="K3648" t="s">
        <v>264</v>
      </c>
      <c r="L3648" t="s">
        <v>276</v>
      </c>
      <c r="M3648" t="s">
        <v>285</v>
      </c>
      <c r="N3648" t="s">
        <v>295</v>
      </c>
      <c r="O3648" t="s">
        <v>303</v>
      </c>
      <c r="P3648" t="s">
        <v>56</v>
      </c>
      <c r="Q3648" t="s">
        <v>317</v>
      </c>
      <c r="R3648" t="s">
        <v>324</v>
      </c>
      <c r="S3648" t="s">
        <v>331</v>
      </c>
      <c r="T3648" t="s">
        <v>334</v>
      </c>
      <c r="U3648" t="s">
        <v>338</v>
      </c>
      <c r="V3648" t="s">
        <v>342</v>
      </c>
      <c r="W3648" t="s">
        <v>346</v>
      </c>
      <c r="X3648" t="s">
        <v>351</v>
      </c>
      <c r="AK3648" t="s">
        <v>360</v>
      </c>
    </row>
    <row r="3649" spans="1:37">
      <c r="B3649" t="s">
        <v>57</v>
      </c>
      <c r="C3649" t="s">
        <v>79</v>
      </c>
      <c r="D3649" t="s">
        <v>98</v>
      </c>
      <c r="E3649" t="s">
        <v>117</v>
      </c>
      <c r="F3649" t="s">
        <v>151</v>
      </c>
      <c r="G3649" t="s">
        <v>177</v>
      </c>
      <c r="H3649" t="s">
        <v>212</v>
      </c>
      <c r="I3649" t="s">
        <v>232</v>
      </c>
      <c r="J3649" t="s">
        <v>251</v>
      </c>
      <c r="K3649" t="s">
        <v>265</v>
      </c>
      <c r="L3649" t="s">
        <v>277</v>
      </c>
      <c r="M3649" t="s">
        <v>286</v>
      </c>
      <c r="N3649" t="s">
        <v>296</v>
      </c>
      <c r="O3649" t="s">
        <v>304</v>
      </c>
      <c r="P3649" t="s">
        <v>311</v>
      </c>
      <c r="Q3649" t="s">
        <v>318</v>
      </c>
      <c r="R3649" t="s">
        <v>185</v>
      </c>
      <c r="S3649" t="s">
        <v>159</v>
      </c>
      <c r="T3649" t="s">
        <v>185</v>
      </c>
      <c r="U3649" t="s">
        <v>339</v>
      </c>
      <c r="V3649" t="s">
        <v>72</v>
      </c>
      <c r="W3649" t="s">
        <v>347</v>
      </c>
      <c r="X3649" t="s">
        <v>72</v>
      </c>
      <c r="Y3649" t="s">
        <v>96</v>
      </c>
      <c r="AK3649" t="s">
        <v>360</v>
      </c>
    </row>
    <row r="3650" spans="1:37">
      <c r="B3650" t="s">
        <v>58</v>
      </c>
      <c r="C3650" t="s">
        <v>80</v>
      </c>
      <c r="D3650" t="s">
        <v>99</v>
      </c>
      <c r="E3650" t="s">
        <v>118</v>
      </c>
      <c r="F3650" t="s">
        <v>152</v>
      </c>
      <c r="G3650" t="s">
        <v>178</v>
      </c>
      <c r="H3650" t="s">
        <v>213</v>
      </c>
      <c r="I3650" t="s">
        <v>233</v>
      </c>
      <c r="J3650" t="s">
        <v>252</v>
      </c>
      <c r="K3650" t="s">
        <v>266</v>
      </c>
      <c r="L3650" t="s">
        <v>278</v>
      </c>
      <c r="M3650" t="s">
        <v>287</v>
      </c>
      <c r="N3650" t="s">
        <v>297</v>
      </c>
      <c r="O3650" t="s">
        <v>305</v>
      </c>
      <c r="P3650" t="s">
        <v>312</v>
      </c>
      <c r="Q3650" t="s">
        <v>319</v>
      </c>
      <c r="R3650">
        <f>&gt;10       ветра      1.5     16   6</f>
        <v>0</v>
      </c>
      <c r="AK3650" t="s">
        <v>360</v>
      </c>
    </row>
    <row r="3651" spans="1:37">
      <c r="A3651" t="s">
        <v>40</v>
      </c>
      <c r="B3651" t="s">
        <v>59</v>
      </c>
      <c r="C3651" t="s">
        <v>81</v>
      </c>
      <c r="D3651" t="s">
        <v>100</v>
      </c>
      <c r="E3651" t="s">
        <v>119</v>
      </c>
      <c r="F3651" t="s">
        <v>153</v>
      </c>
      <c r="G3651" t="s">
        <v>179</v>
      </c>
      <c r="H3651" t="s">
        <v>214</v>
      </c>
      <c r="I3651" t="s">
        <v>234</v>
      </c>
      <c r="AK3651" t="s">
        <v>360</v>
      </c>
    </row>
    <row r="3652" spans="1:37">
      <c r="A3652" t="s">
        <v>40</v>
      </c>
      <c r="B3652" t="s">
        <v>60</v>
      </c>
      <c r="C3652" t="s">
        <v>82</v>
      </c>
      <c r="D3652" t="s">
        <v>101</v>
      </c>
      <c r="E3652" t="s">
        <v>120</v>
      </c>
      <c r="F3652" t="s">
        <v>154</v>
      </c>
      <c r="G3652" t="s">
        <v>180</v>
      </c>
      <c r="H3652" t="s">
        <v>215</v>
      </c>
      <c r="I3652" t="s">
        <v>235</v>
      </c>
      <c r="J3652" t="s">
        <v>253</v>
      </c>
      <c r="K3652" t="s">
        <v>267</v>
      </c>
      <c r="L3652" t="s">
        <v>279</v>
      </c>
      <c r="M3652" t="s">
        <v>288</v>
      </c>
      <c r="N3652" t="s">
        <v>100</v>
      </c>
      <c r="O3652" t="s">
        <v>306</v>
      </c>
      <c r="P3652" t="s">
        <v>313</v>
      </c>
      <c r="Q3652" t="s">
        <v>320</v>
      </c>
      <c r="R3652" t="s">
        <v>325</v>
      </c>
      <c r="S3652" t="s">
        <v>332</v>
      </c>
      <c r="T3652" t="s">
        <v>119</v>
      </c>
      <c r="U3652" t="s">
        <v>234</v>
      </c>
      <c r="V3652" t="s">
        <v>343</v>
      </c>
      <c r="W3652" t="s">
        <v>348</v>
      </c>
      <c r="X3652" t="s">
        <v>352</v>
      </c>
      <c r="Y3652" t="s">
        <v>354</v>
      </c>
      <c r="AK3652" t="s">
        <v>360</v>
      </c>
    </row>
    <row r="3653" spans="1:37">
      <c r="A3653" t="s">
        <v>41</v>
      </c>
      <c r="B3653" t="s">
        <v>61</v>
      </c>
      <c r="C3653" t="s">
        <v>83</v>
      </c>
      <c r="D3653" t="s">
        <v>102</v>
      </c>
      <c r="E3653" t="s">
        <v>121</v>
      </c>
      <c r="F3653" t="s">
        <v>155</v>
      </c>
      <c r="G3653" t="s">
        <v>181</v>
      </c>
      <c r="H3653" t="s">
        <v>216</v>
      </c>
      <c r="I3653" t="s">
        <v>236</v>
      </c>
      <c r="AK3653" t="s">
        <v>360</v>
      </c>
    </row>
    <row r="3654" spans="1:37">
      <c r="A3654" t="s">
        <v>42</v>
      </c>
      <c r="B3654" t="s">
        <v>62</v>
      </c>
      <c r="C3654" t="s">
        <v>84</v>
      </c>
      <c r="D3654" t="s">
        <v>103</v>
      </c>
      <c r="E3654" t="s">
        <v>122</v>
      </c>
      <c r="F3654" t="s">
        <v>156</v>
      </c>
      <c r="G3654" t="s">
        <v>182</v>
      </c>
      <c r="H3654" t="s">
        <v>83</v>
      </c>
      <c r="I3654" t="s">
        <v>237</v>
      </c>
      <c r="J3654" t="s">
        <v>254</v>
      </c>
      <c r="K3654" t="s">
        <v>268</v>
      </c>
      <c r="L3654" t="s">
        <v>280</v>
      </c>
      <c r="M3654" t="s">
        <v>289</v>
      </c>
      <c r="N3654" t="s">
        <v>298</v>
      </c>
      <c r="O3654" t="s">
        <v>307</v>
      </c>
      <c r="P3654" t="s">
        <v>314</v>
      </c>
      <c r="Q3654" t="s">
        <v>216</v>
      </c>
      <c r="R3654" t="s">
        <v>326</v>
      </c>
      <c r="S3654" t="s">
        <v>333</v>
      </c>
      <c r="T3654" t="s">
        <v>335</v>
      </c>
      <c r="U3654" t="s">
        <v>340</v>
      </c>
      <c r="V3654" t="s">
        <v>344</v>
      </c>
      <c r="W3654" t="s">
        <v>349</v>
      </c>
      <c r="AK3654" t="s">
        <v>360</v>
      </c>
    </row>
    <row r="3655" spans="1:37">
      <c r="A3655" t="s">
        <v>43</v>
      </c>
      <c r="B3655" t="s">
        <v>63</v>
      </c>
      <c r="C3655" t="s">
        <v>85</v>
      </c>
      <c r="D3655" t="s">
        <v>104</v>
      </c>
      <c r="E3655" t="s">
        <v>123</v>
      </c>
      <c r="F3655" t="s">
        <v>157</v>
      </c>
      <c r="G3655" t="s">
        <v>183</v>
      </c>
      <c r="AK3655" t="s">
        <v>360</v>
      </c>
    </row>
    <row r="3656" spans="1:37">
      <c r="A3656" t="s">
        <v>44</v>
      </c>
      <c r="B3656" t="s">
        <v>64</v>
      </c>
      <c r="C3656" t="s">
        <v>86</v>
      </c>
      <c r="D3656" t="s">
        <v>105</v>
      </c>
      <c r="E3656" t="s">
        <v>124</v>
      </c>
      <c r="F3656" t="s">
        <v>158</v>
      </c>
      <c r="G3656" t="s">
        <v>184</v>
      </c>
      <c r="AK3656" t="s">
        <v>360</v>
      </c>
    </row>
    <row r="3657" spans="1:37">
      <c r="A3657" t="s">
        <v>45</v>
      </c>
      <c r="B3657" t="s">
        <v>65</v>
      </c>
      <c r="C3657" t="s">
        <v>87</v>
      </c>
      <c r="D3657" t="s">
        <v>106</v>
      </c>
      <c r="E3657" t="s">
        <v>125</v>
      </c>
      <c r="F3657" t="s">
        <v>159</v>
      </c>
      <c r="G3657" t="s">
        <v>185</v>
      </c>
      <c r="H3657" t="s">
        <v>159</v>
      </c>
      <c r="I3657" t="s">
        <v>185</v>
      </c>
      <c r="J3657" t="s">
        <v>255</v>
      </c>
      <c r="AK3657" t="s">
        <v>360</v>
      </c>
    </row>
    <row r="3658" spans="1:37">
      <c r="A3658" t="s">
        <v>46</v>
      </c>
      <c r="B3658" t="s">
        <v>66</v>
      </c>
      <c r="C3658" t="s">
        <v>88</v>
      </c>
      <c r="D3658" t="s">
        <v>76</v>
      </c>
      <c r="E3658" t="s">
        <v>126</v>
      </c>
      <c r="F3658" t="s">
        <v>160</v>
      </c>
      <c r="G3658" t="s">
        <v>186</v>
      </c>
      <c r="H3658" t="s">
        <v>217</v>
      </c>
      <c r="I3658" t="s">
        <v>238</v>
      </c>
      <c r="J3658" t="s">
        <v>256</v>
      </c>
      <c r="K3658" t="s">
        <v>265</v>
      </c>
      <c r="L3658" t="s">
        <v>281</v>
      </c>
      <c r="M3658" t="s">
        <v>290</v>
      </c>
      <c r="N3658" t="s">
        <v>299</v>
      </c>
      <c r="O3658" t="s">
        <v>308</v>
      </c>
      <c r="P3658" t="s">
        <v>228</v>
      </c>
      <c r="Q3658" t="s">
        <v>72</v>
      </c>
      <c r="R3658" t="s">
        <v>327</v>
      </c>
      <c r="S3658" t="s">
        <v>327</v>
      </c>
      <c r="T3658" t="s">
        <v>336</v>
      </c>
      <c r="U3658" t="s">
        <v>336</v>
      </c>
      <c r="V3658" t="s">
        <v>336</v>
      </c>
      <c r="W3658" t="s">
        <v>336</v>
      </c>
      <c r="X3658" t="s">
        <v>353</v>
      </c>
      <c r="AK3658" t="s">
        <v>360</v>
      </c>
    </row>
    <row r="3659" spans="1:37">
      <c r="B3659" t="s">
        <v>67</v>
      </c>
      <c r="C3659" t="s">
        <v>89</v>
      </c>
      <c r="D3659" t="s">
        <v>107</v>
      </c>
      <c r="AK3659" t="s">
        <v>360</v>
      </c>
    </row>
    <row r="3660" spans="1:37">
      <c r="B3660" t="s">
        <v>68</v>
      </c>
      <c r="C3660" t="s">
        <v>90</v>
      </c>
      <c r="D3660" t="s">
        <v>108</v>
      </c>
      <c r="AK3660" t="s">
        <v>360</v>
      </c>
    </row>
    <row r="3661" spans="1:37">
      <c r="A3661" t="s">
        <v>47</v>
      </c>
      <c r="B3661" t="s">
        <v>69</v>
      </c>
      <c r="C3661" t="s">
        <v>91</v>
      </c>
      <c r="D3661" t="s">
        <v>109</v>
      </c>
      <c r="E3661" t="s">
        <v>109</v>
      </c>
      <c r="F3661" t="s">
        <v>109</v>
      </c>
      <c r="G3661" t="s">
        <v>109</v>
      </c>
      <c r="H3661" t="s">
        <v>109</v>
      </c>
      <c r="I3661" t="s">
        <v>239</v>
      </c>
      <c r="AK3661" t="s">
        <v>360</v>
      </c>
    </row>
    <row r="3662" spans="1:37">
      <c r="B3662" t="s">
        <v>70</v>
      </c>
      <c r="C3662" t="s">
        <v>92</v>
      </c>
      <c r="D3662" t="s">
        <v>110</v>
      </c>
      <c r="E3662" t="s">
        <v>127</v>
      </c>
      <c r="F3662" t="s">
        <v>161</v>
      </c>
      <c r="G3662" t="s">
        <v>187</v>
      </c>
      <c r="H3662" t="s">
        <v>218</v>
      </c>
      <c r="AK3662" t="s">
        <v>360</v>
      </c>
    </row>
    <row r="3663" spans="1:37">
      <c r="B3663" t="s">
        <v>71</v>
      </c>
      <c r="C3663" t="s">
        <v>93</v>
      </c>
      <c r="D3663" t="s">
        <v>111</v>
      </c>
      <c r="E3663" t="s">
        <v>128</v>
      </c>
      <c r="F3663" t="s">
        <v>162</v>
      </c>
      <c r="G3663" t="s">
        <v>188</v>
      </c>
      <c r="H3663" t="s">
        <v>219</v>
      </c>
      <c r="I3663" t="s">
        <v>240</v>
      </c>
      <c r="J3663" t="s">
        <v>257</v>
      </c>
      <c r="K3663" t="s">
        <v>269</v>
      </c>
      <c r="L3663" t="s">
        <v>109</v>
      </c>
      <c r="M3663" t="s">
        <v>109</v>
      </c>
      <c r="N3663" t="s">
        <v>109</v>
      </c>
      <c r="O3663" t="s">
        <v>109</v>
      </c>
      <c r="P3663" t="s">
        <v>109</v>
      </c>
      <c r="Q3663" t="s">
        <v>321</v>
      </c>
      <c r="AK3663" t="s">
        <v>360</v>
      </c>
    </row>
    <row r="3664" spans="1:37">
      <c r="A3664" t="s">
        <v>48</v>
      </c>
      <c r="B3664" t="s">
        <v>71</v>
      </c>
      <c r="C3664" t="s">
        <v>93</v>
      </c>
      <c r="D3664" t="s">
        <v>111</v>
      </c>
      <c r="E3664" t="s">
        <v>128</v>
      </c>
      <c r="F3664" t="s">
        <v>163</v>
      </c>
      <c r="G3664" t="s">
        <v>189</v>
      </c>
      <c r="H3664" t="s">
        <v>220</v>
      </c>
      <c r="I3664" t="s">
        <v>241</v>
      </c>
      <c r="J3664" t="s">
        <v>258</v>
      </c>
      <c r="K3664" t="s">
        <v>270</v>
      </c>
      <c r="AK3664" t="s">
        <v>360</v>
      </c>
    </row>
    <row r="3665" spans="1:37">
      <c r="B3665" t="s">
        <v>72</v>
      </c>
      <c r="C3665" t="s">
        <v>72</v>
      </c>
      <c r="D3665" t="s">
        <v>72</v>
      </c>
      <c r="E3665" t="s">
        <v>72</v>
      </c>
      <c r="F3665" t="s">
        <v>72</v>
      </c>
      <c r="G3665" t="s">
        <v>72</v>
      </c>
      <c r="H3665" t="s">
        <v>72</v>
      </c>
      <c r="I3665" t="s">
        <v>72</v>
      </c>
      <c r="J3665" t="s">
        <v>72</v>
      </c>
      <c r="K3665" t="s">
        <v>272</v>
      </c>
      <c r="AK3665" t="s">
        <v>360</v>
      </c>
    </row>
    <row r="3666" spans="1:37">
      <c r="A3666" t="s">
        <v>37</v>
      </c>
      <c r="B3666" t="s">
        <v>49</v>
      </c>
      <c r="C3666" t="s">
        <v>73</v>
      </c>
      <c r="D3666" t="s">
        <v>94</v>
      </c>
      <c r="E3666" t="s">
        <v>112</v>
      </c>
      <c r="F3666" t="s">
        <v>146</v>
      </c>
      <c r="G3666" t="s">
        <v>172</v>
      </c>
      <c r="H3666" t="s">
        <v>207</v>
      </c>
      <c r="I3666" t="s">
        <v>226</v>
      </c>
      <c r="J3666" t="s">
        <v>246</v>
      </c>
      <c r="K3666" t="s">
        <v>259</v>
      </c>
      <c r="AK3666" t="s">
        <v>360</v>
      </c>
    </row>
    <row r="3667" spans="1:37">
      <c r="A3667" t="s">
        <v>38</v>
      </c>
      <c r="B3667" t="s">
        <v>50</v>
      </c>
      <c r="C3667" t="s">
        <v>74</v>
      </c>
      <c r="D3667" t="s">
        <v>95</v>
      </c>
      <c r="E3667" t="s">
        <v>113</v>
      </c>
      <c r="F3667" t="s">
        <v>147</v>
      </c>
      <c r="G3667" t="s">
        <v>173</v>
      </c>
      <c r="H3667" t="s">
        <v>208</v>
      </c>
      <c r="I3667" t="s">
        <v>227</v>
      </c>
      <c r="J3667" t="s">
        <v>115</v>
      </c>
      <c r="K3667" t="s">
        <v>260</v>
      </c>
      <c r="L3667" t="s">
        <v>273</v>
      </c>
      <c r="M3667" t="s">
        <v>282</v>
      </c>
      <c r="N3667" t="s">
        <v>291</v>
      </c>
      <c r="AK3667" t="s">
        <v>360</v>
      </c>
    </row>
    <row r="3668" spans="1:37">
      <c r="B3668" t="s">
        <v>51</v>
      </c>
      <c r="C3668" t="s">
        <v>75</v>
      </c>
      <c r="D3668" t="s">
        <v>52</v>
      </c>
      <c r="E3668" t="s">
        <v>114</v>
      </c>
      <c r="F3668" t="s">
        <v>148</v>
      </c>
      <c r="G3668" t="s">
        <v>148</v>
      </c>
      <c r="H3668" t="s">
        <v>209</v>
      </c>
      <c r="I3668" t="s">
        <v>228</v>
      </c>
      <c r="J3668" t="s">
        <v>247</v>
      </c>
      <c r="K3668" t="s">
        <v>261</v>
      </c>
      <c r="L3668" t="s">
        <v>274</v>
      </c>
      <c r="M3668" t="s">
        <v>283</v>
      </c>
      <c r="N3668" t="s">
        <v>292</v>
      </c>
      <c r="O3668" t="s">
        <v>300</v>
      </c>
      <c r="AK3668" t="s">
        <v>360</v>
      </c>
    </row>
    <row r="3669" spans="1:37">
      <c r="B3669" t="s">
        <v>52</v>
      </c>
      <c r="C3669" t="s">
        <v>76</v>
      </c>
      <c r="D3669" t="s">
        <v>96</v>
      </c>
      <c r="E3669" t="s">
        <v>115</v>
      </c>
      <c r="F3669" t="s">
        <v>149</v>
      </c>
      <c r="G3669" t="s">
        <v>174</v>
      </c>
      <c r="H3669" t="s">
        <v>96</v>
      </c>
      <c r="I3669" t="s">
        <v>229</v>
      </c>
      <c r="J3669" t="s">
        <v>248</v>
      </c>
      <c r="K3669" t="s">
        <v>262</v>
      </c>
      <c r="L3669" t="s">
        <v>52</v>
      </c>
      <c r="M3669" t="s">
        <v>76</v>
      </c>
      <c r="N3669" t="s">
        <v>293</v>
      </c>
      <c r="O3669" t="s">
        <v>301</v>
      </c>
      <c r="P3669" t="s">
        <v>309</v>
      </c>
      <c r="Q3669" t="s">
        <v>315</v>
      </c>
      <c r="R3669" t="s">
        <v>228</v>
      </c>
      <c r="S3669" t="s">
        <v>328</v>
      </c>
      <c r="T3669" t="s">
        <v>149</v>
      </c>
      <c r="U3669" t="s">
        <v>337</v>
      </c>
      <c r="V3669" t="s">
        <v>341</v>
      </c>
      <c r="W3669" t="s">
        <v>345</v>
      </c>
      <c r="X3669" t="s">
        <v>350</v>
      </c>
      <c r="AK3669" t="s">
        <v>360</v>
      </c>
    </row>
    <row r="3670" spans="1:37">
      <c r="B3670" t="s">
        <v>53</v>
      </c>
      <c r="C3670" t="s">
        <v>77</v>
      </c>
      <c r="D3670" t="s">
        <v>97</v>
      </c>
      <c r="E3670" t="s">
        <v>116</v>
      </c>
      <c r="F3670" t="s">
        <v>150</v>
      </c>
      <c r="G3670" t="s">
        <v>175</v>
      </c>
      <c r="H3670" t="s">
        <v>210</v>
      </c>
      <c r="I3670" t="s">
        <v>230</v>
      </c>
      <c r="J3670" t="s">
        <v>249</v>
      </c>
      <c r="K3670" t="s">
        <v>263</v>
      </c>
      <c r="L3670" t="s">
        <v>275</v>
      </c>
      <c r="M3670" t="s">
        <v>284</v>
      </c>
      <c r="N3670" t="s">
        <v>294</v>
      </c>
      <c r="O3670" t="s">
        <v>302</v>
      </c>
      <c r="P3670" t="s">
        <v>310</v>
      </c>
      <c r="Q3670" t="s">
        <v>316</v>
      </c>
      <c r="R3670" t="s">
        <v>322</v>
      </c>
      <c r="S3670" t="s">
        <v>329</v>
      </c>
      <c r="AK3670" t="s">
        <v>360</v>
      </c>
    </row>
    <row r="3671" spans="1:37">
      <c r="A3671" t="s">
        <v>39</v>
      </c>
      <c r="B3671" t="s">
        <v>54</v>
      </c>
      <c r="C3671" t="s">
        <v>54</v>
      </c>
      <c r="D3671" t="s">
        <v>54</v>
      </c>
      <c r="E3671" t="s">
        <v>54</v>
      </c>
      <c r="F3671" t="s">
        <v>54</v>
      </c>
      <c r="G3671" t="s">
        <v>54</v>
      </c>
      <c r="H3671" t="s">
        <v>54</v>
      </c>
      <c r="I3671" t="s">
        <v>54</v>
      </c>
      <c r="J3671" t="s">
        <v>54</v>
      </c>
      <c r="K3671" t="s">
        <v>54</v>
      </c>
      <c r="L3671" t="s">
        <v>54</v>
      </c>
      <c r="M3671" t="s">
        <v>54</v>
      </c>
      <c r="N3671" t="s">
        <v>54</v>
      </c>
      <c r="O3671" t="s">
        <v>54</v>
      </c>
      <c r="P3671" t="s">
        <v>54</v>
      </c>
      <c r="Q3671" t="s">
        <v>54</v>
      </c>
      <c r="R3671" t="s">
        <v>323</v>
      </c>
      <c r="S3671" t="s">
        <v>330</v>
      </c>
      <c r="AK3671" t="s">
        <v>360</v>
      </c>
    </row>
    <row r="3672" spans="1:37">
      <c r="B3672" t="s">
        <v>55</v>
      </c>
      <c r="C3672" t="s">
        <v>78</v>
      </c>
      <c r="D3672" t="s">
        <v>55</v>
      </c>
      <c r="E3672" t="s">
        <v>78</v>
      </c>
      <c r="F3672" t="s">
        <v>55</v>
      </c>
      <c r="G3672" t="s">
        <v>78</v>
      </c>
      <c r="H3672" t="s">
        <v>55</v>
      </c>
      <c r="I3672" t="s">
        <v>78</v>
      </c>
      <c r="J3672" t="s">
        <v>55</v>
      </c>
      <c r="K3672" t="s">
        <v>78</v>
      </c>
      <c r="L3672" t="s">
        <v>55</v>
      </c>
      <c r="M3672" t="s">
        <v>78</v>
      </c>
      <c r="N3672" t="s">
        <v>55</v>
      </c>
      <c r="O3672" t="s">
        <v>78</v>
      </c>
      <c r="P3672" t="s">
        <v>55</v>
      </c>
      <c r="Q3672" t="s">
        <v>78</v>
      </c>
      <c r="R3672" t="s">
        <v>55</v>
      </c>
      <c r="S3672" t="s">
        <v>78</v>
      </c>
      <c r="T3672" t="s">
        <v>55</v>
      </c>
      <c r="U3672" t="s">
        <v>78</v>
      </c>
      <c r="V3672" t="s">
        <v>55</v>
      </c>
      <c r="W3672" t="s">
        <v>78</v>
      </c>
      <c r="X3672" t="s">
        <v>55</v>
      </c>
      <c r="Y3672" t="s">
        <v>78</v>
      </c>
      <c r="Z3672" t="s">
        <v>55</v>
      </c>
      <c r="AA3672" t="s">
        <v>78</v>
      </c>
      <c r="AB3672" t="s">
        <v>55</v>
      </c>
      <c r="AC3672" t="s">
        <v>78</v>
      </c>
      <c r="AD3672" t="s">
        <v>55</v>
      </c>
      <c r="AE3672" t="s">
        <v>78</v>
      </c>
      <c r="AF3672" t="s">
        <v>55</v>
      </c>
      <c r="AG3672" t="s">
        <v>78</v>
      </c>
      <c r="AH3672" t="s">
        <v>55</v>
      </c>
      <c r="AI3672" t="s">
        <v>78</v>
      </c>
      <c r="AK3672" t="s">
        <v>360</v>
      </c>
    </row>
    <row r="3673" spans="1:37">
      <c r="B3673" t="s">
        <v>56</v>
      </c>
      <c r="C3673" t="s">
        <v>56</v>
      </c>
      <c r="D3673" t="s">
        <v>56</v>
      </c>
      <c r="E3673" t="s">
        <v>56</v>
      </c>
      <c r="F3673" t="s">
        <v>56</v>
      </c>
      <c r="G3673" t="s">
        <v>176</v>
      </c>
      <c r="H3673" t="s">
        <v>211</v>
      </c>
      <c r="I3673" t="s">
        <v>231</v>
      </c>
      <c r="J3673" t="s">
        <v>250</v>
      </c>
      <c r="K3673" t="s">
        <v>264</v>
      </c>
      <c r="L3673" t="s">
        <v>276</v>
      </c>
      <c r="M3673" t="s">
        <v>285</v>
      </c>
      <c r="N3673" t="s">
        <v>295</v>
      </c>
      <c r="O3673" t="s">
        <v>303</v>
      </c>
      <c r="P3673" t="s">
        <v>56</v>
      </c>
      <c r="Q3673" t="s">
        <v>317</v>
      </c>
      <c r="R3673" t="s">
        <v>324</v>
      </c>
      <c r="S3673" t="s">
        <v>331</v>
      </c>
      <c r="T3673" t="s">
        <v>334</v>
      </c>
      <c r="U3673" t="s">
        <v>338</v>
      </c>
      <c r="V3673" t="s">
        <v>342</v>
      </c>
      <c r="W3673" t="s">
        <v>346</v>
      </c>
      <c r="X3673" t="s">
        <v>351</v>
      </c>
      <c r="AK3673" t="s">
        <v>360</v>
      </c>
    </row>
    <row r="3674" spans="1:37">
      <c r="B3674" t="s">
        <v>57</v>
      </c>
      <c r="C3674" t="s">
        <v>79</v>
      </c>
      <c r="D3674" t="s">
        <v>98</v>
      </c>
      <c r="E3674" t="s">
        <v>117</v>
      </c>
      <c r="F3674" t="s">
        <v>151</v>
      </c>
      <c r="G3674" t="s">
        <v>177</v>
      </c>
      <c r="H3674" t="s">
        <v>212</v>
      </c>
      <c r="I3674" t="s">
        <v>232</v>
      </c>
      <c r="J3674" t="s">
        <v>251</v>
      </c>
      <c r="K3674" t="s">
        <v>265</v>
      </c>
      <c r="L3674" t="s">
        <v>277</v>
      </c>
      <c r="M3674" t="s">
        <v>286</v>
      </c>
      <c r="N3674" t="s">
        <v>296</v>
      </c>
      <c r="O3674" t="s">
        <v>304</v>
      </c>
      <c r="P3674" t="s">
        <v>311</v>
      </c>
      <c r="Q3674" t="s">
        <v>318</v>
      </c>
      <c r="R3674" t="s">
        <v>185</v>
      </c>
      <c r="S3674" t="s">
        <v>159</v>
      </c>
      <c r="T3674" t="s">
        <v>185</v>
      </c>
      <c r="U3674" t="s">
        <v>339</v>
      </c>
      <c r="V3674" t="s">
        <v>72</v>
      </c>
      <c r="W3674" t="s">
        <v>347</v>
      </c>
      <c r="X3674" t="s">
        <v>72</v>
      </c>
      <c r="Y3674" t="s">
        <v>96</v>
      </c>
      <c r="AK3674" t="s">
        <v>360</v>
      </c>
    </row>
    <row r="3675" spans="1:37">
      <c r="B3675" t="s">
        <v>58</v>
      </c>
      <c r="C3675" t="s">
        <v>80</v>
      </c>
      <c r="D3675" t="s">
        <v>99</v>
      </c>
      <c r="E3675" t="s">
        <v>118</v>
      </c>
      <c r="F3675" t="s">
        <v>152</v>
      </c>
      <c r="G3675" t="s">
        <v>178</v>
      </c>
      <c r="H3675" t="s">
        <v>213</v>
      </c>
      <c r="I3675" t="s">
        <v>233</v>
      </c>
      <c r="J3675" t="s">
        <v>252</v>
      </c>
      <c r="K3675" t="s">
        <v>266</v>
      </c>
      <c r="L3675" t="s">
        <v>278</v>
      </c>
      <c r="M3675" t="s">
        <v>287</v>
      </c>
      <c r="N3675" t="s">
        <v>297</v>
      </c>
      <c r="O3675" t="s">
        <v>305</v>
      </c>
      <c r="P3675" t="s">
        <v>312</v>
      </c>
      <c r="Q3675" t="s">
        <v>319</v>
      </c>
      <c r="R3675">
        <f>&gt;10       ветра      3.5     25   9</f>
        <v>0</v>
      </c>
      <c r="AK3675" t="s">
        <v>360</v>
      </c>
    </row>
    <row r="3676" spans="1:37">
      <c r="A3676" t="s">
        <v>40</v>
      </c>
      <c r="B3676" t="s">
        <v>59</v>
      </c>
      <c r="C3676" t="s">
        <v>81</v>
      </c>
      <c r="D3676" t="s">
        <v>100</v>
      </c>
      <c r="E3676" t="s">
        <v>119</v>
      </c>
      <c r="F3676" t="s">
        <v>153</v>
      </c>
      <c r="G3676" t="s">
        <v>179</v>
      </c>
      <c r="H3676" t="s">
        <v>214</v>
      </c>
      <c r="I3676" t="s">
        <v>234</v>
      </c>
      <c r="AK3676" t="s">
        <v>360</v>
      </c>
    </row>
    <row r="3677" spans="1:37">
      <c r="A3677" t="s">
        <v>40</v>
      </c>
      <c r="B3677" t="s">
        <v>60</v>
      </c>
      <c r="C3677" t="s">
        <v>82</v>
      </c>
      <c r="D3677" t="s">
        <v>101</v>
      </c>
      <c r="E3677" t="s">
        <v>120</v>
      </c>
      <c r="F3677" t="s">
        <v>154</v>
      </c>
      <c r="G3677" t="s">
        <v>180</v>
      </c>
      <c r="H3677" t="s">
        <v>215</v>
      </c>
      <c r="I3677" t="s">
        <v>235</v>
      </c>
      <c r="J3677" t="s">
        <v>253</v>
      </c>
      <c r="K3677" t="s">
        <v>267</v>
      </c>
      <c r="L3677" t="s">
        <v>279</v>
      </c>
      <c r="M3677" t="s">
        <v>288</v>
      </c>
      <c r="N3677" t="s">
        <v>100</v>
      </c>
      <c r="O3677" t="s">
        <v>306</v>
      </c>
      <c r="P3677" t="s">
        <v>313</v>
      </c>
      <c r="Q3677" t="s">
        <v>320</v>
      </c>
      <c r="R3677" t="s">
        <v>325</v>
      </c>
      <c r="S3677" t="s">
        <v>332</v>
      </c>
      <c r="T3677" t="s">
        <v>119</v>
      </c>
      <c r="U3677" t="s">
        <v>234</v>
      </c>
      <c r="V3677" t="s">
        <v>343</v>
      </c>
      <c r="W3677" t="s">
        <v>348</v>
      </c>
      <c r="X3677" t="s">
        <v>352</v>
      </c>
      <c r="Y3677" t="s">
        <v>354</v>
      </c>
      <c r="AK3677" t="s">
        <v>360</v>
      </c>
    </row>
    <row r="3678" spans="1:37">
      <c r="A3678" t="s">
        <v>41</v>
      </c>
      <c r="B3678" t="s">
        <v>61</v>
      </c>
      <c r="C3678" t="s">
        <v>83</v>
      </c>
      <c r="D3678" t="s">
        <v>102</v>
      </c>
      <c r="E3678" t="s">
        <v>121</v>
      </c>
      <c r="F3678" t="s">
        <v>155</v>
      </c>
      <c r="G3678" t="s">
        <v>181</v>
      </c>
      <c r="H3678" t="s">
        <v>216</v>
      </c>
      <c r="I3678" t="s">
        <v>236</v>
      </c>
      <c r="AK3678" t="s">
        <v>360</v>
      </c>
    </row>
    <row r="3679" spans="1:37">
      <c r="A3679" t="s">
        <v>42</v>
      </c>
      <c r="B3679" t="s">
        <v>62</v>
      </c>
      <c r="C3679" t="s">
        <v>84</v>
      </c>
      <c r="D3679" t="s">
        <v>103</v>
      </c>
      <c r="E3679" t="s">
        <v>122</v>
      </c>
      <c r="F3679" t="s">
        <v>156</v>
      </c>
      <c r="G3679" t="s">
        <v>182</v>
      </c>
      <c r="H3679" t="s">
        <v>83</v>
      </c>
      <c r="I3679" t="s">
        <v>237</v>
      </c>
      <c r="J3679" t="s">
        <v>254</v>
      </c>
      <c r="K3679" t="s">
        <v>268</v>
      </c>
      <c r="L3679" t="s">
        <v>280</v>
      </c>
      <c r="M3679" t="s">
        <v>289</v>
      </c>
      <c r="N3679" t="s">
        <v>298</v>
      </c>
      <c r="O3679" t="s">
        <v>307</v>
      </c>
      <c r="P3679" t="s">
        <v>314</v>
      </c>
      <c r="Q3679" t="s">
        <v>216</v>
      </c>
      <c r="R3679" t="s">
        <v>326</v>
      </c>
      <c r="S3679" t="s">
        <v>333</v>
      </c>
      <c r="T3679" t="s">
        <v>335</v>
      </c>
      <c r="U3679" t="s">
        <v>340</v>
      </c>
      <c r="V3679" t="s">
        <v>344</v>
      </c>
      <c r="W3679" t="s">
        <v>349</v>
      </c>
      <c r="AK3679" t="s">
        <v>360</v>
      </c>
    </row>
    <row r="3680" spans="1:37">
      <c r="A3680" t="s">
        <v>43</v>
      </c>
      <c r="B3680" t="s">
        <v>63</v>
      </c>
      <c r="C3680" t="s">
        <v>85</v>
      </c>
      <c r="D3680" t="s">
        <v>104</v>
      </c>
      <c r="E3680" t="s">
        <v>123</v>
      </c>
      <c r="F3680" t="s">
        <v>157</v>
      </c>
      <c r="G3680" t="s">
        <v>183</v>
      </c>
      <c r="AK3680" t="s">
        <v>360</v>
      </c>
    </row>
    <row r="3681" spans="1:37">
      <c r="A3681" t="s">
        <v>44</v>
      </c>
      <c r="B3681" t="s">
        <v>64</v>
      </c>
      <c r="C3681" t="s">
        <v>86</v>
      </c>
      <c r="D3681" t="s">
        <v>105</v>
      </c>
      <c r="E3681" t="s">
        <v>124</v>
      </c>
      <c r="F3681" t="s">
        <v>158</v>
      </c>
      <c r="G3681" t="s">
        <v>184</v>
      </c>
      <c r="AK3681" t="s">
        <v>360</v>
      </c>
    </row>
    <row r="3682" spans="1:37">
      <c r="A3682" t="s">
        <v>45</v>
      </c>
      <c r="B3682" t="s">
        <v>65</v>
      </c>
      <c r="C3682" t="s">
        <v>87</v>
      </c>
      <c r="D3682" t="s">
        <v>106</v>
      </c>
      <c r="E3682" t="s">
        <v>125</v>
      </c>
      <c r="F3682" t="s">
        <v>159</v>
      </c>
      <c r="G3682" t="s">
        <v>185</v>
      </c>
      <c r="H3682" t="s">
        <v>159</v>
      </c>
      <c r="I3682" t="s">
        <v>185</v>
      </c>
      <c r="J3682" t="s">
        <v>255</v>
      </c>
      <c r="AK3682" t="s">
        <v>360</v>
      </c>
    </row>
    <row r="3683" spans="1:37">
      <c r="A3683" t="s">
        <v>46</v>
      </c>
      <c r="B3683" t="s">
        <v>66</v>
      </c>
      <c r="C3683" t="s">
        <v>88</v>
      </c>
      <c r="D3683" t="s">
        <v>76</v>
      </c>
      <c r="E3683" t="s">
        <v>126</v>
      </c>
      <c r="F3683" t="s">
        <v>160</v>
      </c>
      <c r="G3683" t="s">
        <v>186</v>
      </c>
      <c r="H3683" t="s">
        <v>217</v>
      </c>
      <c r="I3683" t="s">
        <v>238</v>
      </c>
      <c r="J3683" t="s">
        <v>256</v>
      </c>
      <c r="K3683" t="s">
        <v>265</v>
      </c>
      <c r="L3683" t="s">
        <v>281</v>
      </c>
      <c r="M3683" t="s">
        <v>290</v>
      </c>
      <c r="N3683" t="s">
        <v>299</v>
      </c>
      <c r="O3683" t="s">
        <v>308</v>
      </c>
      <c r="P3683" t="s">
        <v>228</v>
      </c>
      <c r="Q3683" t="s">
        <v>72</v>
      </c>
      <c r="R3683" t="s">
        <v>327</v>
      </c>
      <c r="S3683" t="s">
        <v>327</v>
      </c>
      <c r="T3683" t="s">
        <v>336</v>
      </c>
      <c r="U3683" t="s">
        <v>336</v>
      </c>
      <c r="V3683" t="s">
        <v>336</v>
      </c>
      <c r="W3683" t="s">
        <v>336</v>
      </c>
      <c r="X3683" t="s">
        <v>353</v>
      </c>
      <c r="AK3683" t="s">
        <v>360</v>
      </c>
    </row>
    <row r="3684" spans="1:37">
      <c r="B3684" t="s">
        <v>67</v>
      </c>
      <c r="C3684" t="s">
        <v>89</v>
      </c>
      <c r="D3684" t="s">
        <v>107</v>
      </c>
      <c r="AK3684" t="s">
        <v>360</v>
      </c>
    </row>
    <row r="3685" spans="1:37">
      <c r="B3685" t="s">
        <v>68</v>
      </c>
      <c r="C3685" t="s">
        <v>90</v>
      </c>
      <c r="D3685" t="s">
        <v>108</v>
      </c>
      <c r="AK3685" t="s">
        <v>360</v>
      </c>
    </row>
    <row r="3686" spans="1:37">
      <c r="A3686" t="s">
        <v>47</v>
      </c>
      <c r="B3686" t="s">
        <v>69</v>
      </c>
      <c r="C3686" t="s">
        <v>91</v>
      </c>
      <c r="D3686" t="s">
        <v>109</v>
      </c>
      <c r="E3686" t="s">
        <v>109</v>
      </c>
      <c r="F3686" t="s">
        <v>109</v>
      </c>
      <c r="G3686" t="s">
        <v>109</v>
      </c>
      <c r="H3686" t="s">
        <v>109</v>
      </c>
      <c r="I3686" t="s">
        <v>239</v>
      </c>
      <c r="AK3686" t="s">
        <v>360</v>
      </c>
    </row>
    <row r="3687" spans="1:37">
      <c r="B3687" t="s">
        <v>70</v>
      </c>
      <c r="C3687" t="s">
        <v>92</v>
      </c>
      <c r="D3687" t="s">
        <v>110</v>
      </c>
      <c r="E3687" t="s">
        <v>127</v>
      </c>
      <c r="F3687" t="s">
        <v>161</v>
      </c>
      <c r="G3687" t="s">
        <v>187</v>
      </c>
      <c r="H3687" t="s">
        <v>218</v>
      </c>
      <c r="AK3687" t="s">
        <v>360</v>
      </c>
    </row>
    <row r="3688" spans="1:37">
      <c r="B3688" t="s">
        <v>71</v>
      </c>
      <c r="C3688" t="s">
        <v>93</v>
      </c>
      <c r="D3688" t="s">
        <v>111</v>
      </c>
      <c r="E3688" t="s">
        <v>128</v>
      </c>
      <c r="F3688" t="s">
        <v>162</v>
      </c>
      <c r="G3688" t="s">
        <v>188</v>
      </c>
      <c r="H3688" t="s">
        <v>219</v>
      </c>
      <c r="I3688" t="s">
        <v>240</v>
      </c>
      <c r="J3688" t="s">
        <v>257</v>
      </c>
      <c r="K3688" t="s">
        <v>269</v>
      </c>
      <c r="L3688" t="s">
        <v>109</v>
      </c>
      <c r="M3688" t="s">
        <v>109</v>
      </c>
      <c r="N3688" t="s">
        <v>109</v>
      </c>
      <c r="O3688" t="s">
        <v>109</v>
      </c>
      <c r="P3688" t="s">
        <v>109</v>
      </c>
      <c r="Q3688" t="s">
        <v>321</v>
      </c>
      <c r="AK3688" t="s">
        <v>360</v>
      </c>
    </row>
    <row r="3689" spans="1:37">
      <c r="A3689" t="s">
        <v>48</v>
      </c>
      <c r="B3689" t="s">
        <v>71</v>
      </c>
      <c r="C3689" t="s">
        <v>93</v>
      </c>
      <c r="D3689" t="s">
        <v>111</v>
      </c>
      <c r="E3689" t="s">
        <v>128</v>
      </c>
      <c r="F3689" t="s">
        <v>163</v>
      </c>
      <c r="G3689" t="s">
        <v>189</v>
      </c>
      <c r="H3689" t="s">
        <v>220</v>
      </c>
      <c r="I3689" t="s">
        <v>241</v>
      </c>
      <c r="J3689" t="s">
        <v>258</v>
      </c>
      <c r="K3689" t="s">
        <v>270</v>
      </c>
      <c r="AK3689" t="s">
        <v>360</v>
      </c>
    </row>
    <row r="3690" spans="1:37">
      <c r="B3690" t="s">
        <v>72</v>
      </c>
      <c r="C3690" t="s">
        <v>72</v>
      </c>
      <c r="D3690" t="s">
        <v>72</v>
      </c>
      <c r="E3690" t="s">
        <v>72</v>
      </c>
      <c r="F3690" t="s">
        <v>72</v>
      </c>
      <c r="G3690" t="s">
        <v>72</v>
      </c>
      <c r="H3690" t="s">
        <v>72</v>
      </c>
      <c r="I3690" t="s">
        <v>72</v>
      </c>
      <c r="J3690" t="s">
        <v>72</v>
      </c>
      <c r="K3690" t="s">
        <v>272</v>
      </c>
      <c r="AK3690" t="s">
        <v>360</v>
      </c>
    </row>
    <row r="3691" spans="1:37">
      <c r="A3691" t="s">
        <v>37</v>
      </c>
      <c r="B3691" t="s">
        <v>49</v>
      </c>
      <c r="C3691" t="s">
        <v>73</v>
      </c>
      <c r="D3691" t="s">
        <v>94</v>
      </c>
      <c r="E3691" t="s">
        <v>112</v>
      </c>
      <c r="F3691" t="s">
        <v>146</v>
      </c>
      <c r="G3691" t="s">
        <v>172</v>
      </c>
      <c r="H3691" t="s">
        <v>207</v>
      </c>
      <c r="I3691" t="s">
        <v>226</v>
      </c>
      <c r="J3691" t="s">
        <v>246</v>
      </c>
      <c r="K3691" t="s">
        <v>259</v>
      </c>
      <c r="AK3691" t="s">
        <v>360</v>
      </c>
    </row>
    <row r="3692" spans="1:37">
      <c r="A3692" t="s">
        <v>38</v>
      </c>
      <c r="B3692" t="s">
        <v>50</v>
      </c>
      <c r="C3692" t="s">
        <v>74</v>
      </c>
      <c r="D3692" t="s">
        <v>95</v>
      </c>
      <c r="E3692" t="s">
        <v>113</v>
      </c>
      <c r="F3692" t="s">
        <v>147</v>
      </c>
      <c r="G3692" t="s">
        <v>173</v>
      </c>
      <c r="H3692" t="s">
        <v>208</v>
      </c>
      <c r="I3692" t="s">
        <v>227</v>
      </c>
      <c r="J3692" t="s">
        <v>115</v>
      </c>
      <c r="K3692" t="s">
        <v>260</v>
      </c>
      <c r="L3692" t="s">
        <v>273</v>
      </c>
      <c r="M3692" t="s">
        <v>282</v>
      </c>
      <c r="N3692" t="s">
        <v>291</v>
      </c>
      <c r="AK3692" t="s">
        <v>360</v>
      </c>
    </row>
    <row r="3693" spans="1:37">
      <c r="B3693" t="s">
        <v>51</v>
      </c>
      <c r="C3693" t="s">
        <v>75</v>
      </c>
      <c r="D3693" t="s">
        <v>52</v>
      </c>
      <c r="E3693" t="s">
        <v>114</v>
      </c>
      <c r="F3693" t="s">
        <v>148</v>
      </c>
      <c r="G3693" t="s">
        <v>148</v>
      </c>
      <c r="H3693" t="s">
        <v>209</v>
      </c>
      <c r="I3693" t="s">
        <v>228</v>
      </c>
      <c r="J3693" t="s">
        <v>247</v>
      </c>
      <c r="K3693" t="s">
        <v>261</v>
      </c>
      <c r="L3693" t="s">
        <v>274</v>
      </c>
      <c r="M3693" t="s">
        <v>283</v>
      </c>
      <c r="N3693" t="s">
        <v>292</v>
      </c>
      <c r="O3693" t="s">
        <v>300</v>
      </c>
      <c r="AK3693" t="s">
        <v>360</v>
      </c>
    </row>
    <row r="3694" spans="1:37">
      <c r="B3694" t="s">
        <v>52</v>
      </c>
      <c r="C3694" t="s">
        <v>76</v>
      </c>
      <c r="D3694" t="s">
        <v>96</v>
      </c>
      <c r="E3694" t="s">
        <v>115</v>
      </c>
      <c r="F3694" t="s">
        <v>149</v>
      </c>
      <c r="G3694" t="s">
        <v>174</v>
      </c>
      <c r="H3694" t="s">
        <v>96</v>
      </c>
      <c r="I3694" t="s">
        <v>229</v>
      </c>
      <c r="J3694" t="s">
        <v>248</v>
      </c>
      <c r="K3694" t="s">
        <v>262</v>
      </c>
      <c r="L3694" t="s">
        <v>52</v>
      </c>
      <c r="M3694" t="s">
        <v>76</v>
      </c>
      <c r="N3694" t="s">
        <v>293</v>
      </c>
      <c r="O3694" t="s">
        <v>301</v>
      </c>
      <c r="P3694" t="s">
        <v>309</v>
      </c>
      <c r="Q3694" t="s">
        <v>315</v>
      </c>
      <c r="R3694" t="s">
        <v>228</v>
      </c>
      <c r="S3694" t="s">
        <v>328</v>
      </c>
      <c r="T3694" t="s">
        <v>149</v>
      </c>
      <c r="U3694" t="s">
        <v>337</v>
      </c>
      <c r="V3694" t="s">
        <v>341</v>
      </c>
      <c r="W3694" t="s">
        <v>345</v>
      </c>
      <c r="X3694" t="s">
        <v>350</v>
      </c>
      <c r="AK3694" t="s">
        <v>360</v>
      </c>
    </row>
    <row r="3695" spans="1:37">
      <c r="B3695" t="s">
        <v>53</v>
      </c>
      <c r="C3695" t="s">
        <v>77</v>
      </c>
      <c r="D3695" t="s">
        <v>97</v>
      </c>
      <c r="E3695" t="s">
        <v>116</v>
      </c>
      <c r="F3695" t="s">
        <v>150</v>
      </c>
      <c r="G3695" t="s">
        <v>175</v>
      </c>
      <c r="H3695" t="s">
        <v>210</v>
      </c>
      <c r="I3695" t="s">
        <v>230</v>
      </c>
      <c r="J3695" t="s">
        <v>249</v>
      </c>
      <c r="K3695" t="s">
        <v>263</v>
      </c>
      <c r="L3695" t="s">
        <v>275</v>
      </c>
      <c r="M3695" t="s">
        <v>284</v>
      </c>
      <c r="N3695" t="s">
        <v>294</v>
      </c>
      <c r="O3695" t="s">
        <v>302</v>
      </c>
      <c r="P3695" t="s">
        <v>310</v>
      </c>
      <c r="Q3695" t="s">
        <v>316</v>
      </c>
      <c r="R3695" t="s">
        <v>322</v>
      </c>
      <c r="S3695" t="s">
        <v>329</v>
      </c>
      <c r="AK3695" t="s">
        <v>360</v>
      </c>
    </row>
    <row r="3696" spans="1:37">
      <c r="A3696" t="s">
        <v>39</v>
      </c>
      <c r="B3696" t="s">
        <v>54</v>
      </c>
      <c r="C3696" t="s">
        <v>54</v>
      </c>
      <c r="D3696" t="s">
        <v>54</v>
      </c>
      <c r="E3696" t="s">
        <v>54</v>
      </c>
      <c r="F3696" t="s">
        <v>54</v>
      </c>
      <c r="G3696" t="s">
        <v>54</v>
      </c>
      <c r="H3696" t="s">
        <v>54</v>
      </c>
      <c r="I3696" t="s">
        <v>54</v>
      </c>
      <c r="J3696" t="s">
        <v>54</v>
      </c>
      <c r="K3696" t="s">
        <v>54</v>
      </c>
      <c r="L3696" t="s">
        <v>54</v>
      </c>
      <c r="M3696" t="s">
        <v>54</v>
      </c>
      <c r="N3696" t="s">
        <v>54</v>
      </c>
      <c r="O3696" t="s">
        <v>54</v>
      </c>
      <c r="P3696" t="s">
        <v>54</v>
      </c>
      <c r="Q3696" t="s">
        <v>54</v>
      </c>
      <c r="R3696" t="s">
        <v>323</v>
      </c>
      <c r="S3696" t="s">
        <v>330</v>
      </c>
      <c r="AK3696" t="s">
        <v>360</v>
      </c>
    </row>
    <row r="3697" spans="1:37">
      <c r="B3697" t="s">
        <v>55</v>
      </c>
      <c r="C3697" t="s">
        <v>78</v>
      </c>
      <c r="D3697" t="s">
        <v>55</v>
      </c>
      <c r="E3697" t="s">
        <v>78</v>
      </c>
      <c r="F3697" t="s">
        <v>55</v>
      </c>
      <c r="G3697" t="s">
        <v>78</v>
      </c>
      <c r="H3697" t="s">
        <v>55</v>
      </c>
      <c r="I3697" t="s">
        <v>78</v>
      </c>
      <c r="J3697" t="s">
        <v>55</v>
      </c>
      <c r="K3697" t="s">
        <v>78</v>
      </c>
      <c r="L3697" t="s">
        <v>55</v>
      </c>
      <c r="M3697" t="s">
        <v>78</v>
      </c>
      <c r="N3697" t="s">
        <v>55</v>
      </c>
      <c r="O3697" t="s">
        <v>78</v>
      </c>
      <c r="P3697" t="s">
        <v>55</v>
      </c>
      <c r="Q3697" t="s">
        <v>78</v>
      </c>
      <c r="R3697" t="s">
        <v>55</v>
      </c>
      <c r="S3697" t="s">
        <v>78</v>
      </c>
      <c r="T3697" t="s">
        <v>55</v>
      </c>
      <c r="U3697" t="s">
        <v>78</v>
      </c>
      <c r="V3697" t="s">
        <v>55</v>
      </c>
      <c r="W3697" t="s">
        <v>78</v>
      </c>
      <c r="X3697" t="s">
        <v>55</v>
      </c>
      <c r="Y3697" t="s">
        <v>78</v>
      </c>
      <c r="Z3697" t="s">
        <v>55</v>
      </c>
      <c r="AA3697" t="s">
        <v>78</v>
      </c>
      <c r="AB3697" t="s">
        <v>55</v>
      </c>
      <c r="AC3697" t="s">
        <v>78</v>
      </c>
      <c r="AD3697" t="s">
        <v>55</v>
      </c>
      <c r="AE3697" t="s">
        <v>78</v>
      </c>
      <c r="AF3697" t="s">
        <v>55</v>
      </c>
      <c r="AG3697" t="s">
        <v>78</v>
      </c>
      <c r="AH3697" t="s">
        <v>55</v>
      </c>
      <c r="AI3697" t="s">
        <v>78</v>
      </c>
      <c r="AK3697" t="s">
        <v>360</v>
      </c>
    </row>
    <row r="3698" spans="1:37">
      <c r="B3698" t="s">
        <v>56</v>
      </c>
      <c r="C3698" t="s">
        <v>56</v>
      </c>
      <c r="D3698" t="s">
        <v>56</v>
      </c>
      <c r="E3698" t="s">
        <v>56</v>
      </c>
      <c r="F3698" t="s">
        <v>56</v>
      </c>
      <c r="G3698" t="s">
        <v>176</v>
      </c>
      <c r="H3698" t="s">
        <v>211</v>
      </c>
      <c r="I3698" t="s">
        <v>231</v>
      </c>
      <c r="J3698" t="s">
        <v>250</v>
      </c>
      <c r="K3698" t="s">
        <v>264</v>
      </c>
      <c r="L3698" t="s">
        <v>276</v>
      </c>
      <c r="M3698" t="s">
        <v>285</v>
      </c>
      <c r="N3698" t="s">
        <v>295</v>
      </c>
      <c r="O3698" t="s">
        <v>303</v>
      </c>
      <c r="P3698" t="s">
        <v>56</v>
      </c>
      <c r="Q3698" t="s">
        <v>317</v>
      </c>
      <c r="R3698" t="s">
        <v>324</v>
      </c>
      <c r="S3698" t="s">
        <v>331</v>
      </c>
      <c r="T3698" t="s">
        <v>334</v>
      </c>
      <c r="U3698" t="s">
        <v>338</v>
      </c>
      <c r="V3698" t="s">
        <v>342</v>
      </c>
      <c r="W3698" t="s">
        <v>346</v>
      </c>
      <c r="X3698" t="s">
        <v>351</v>
      </c>
      <c r="AK3698" t="s">
        <v>360</v>
      </c>
    </row>
    <row r="3699" spans="1:37">
      <c r="B3699" t="s">
        <v>57</v>
      </c>
      <c r="C3699" t="s">
        <v>79</v>
      </c>
      <c r="D3699" t="s">
        <v>98</v>
      </c>
      <c r="E3699" t="s">
        <v>117</v>
      </c>
      <c r="F3699" t="s">
        <v>151</v>
      </c>
      <c r="G3699" t="s">
        <v>177</v>
      </c>
      <c r="H3699" t="s">
        <v>212</v>
      </c>
      <c r="I3699" t="s">
        <v>232</v>
      </c>
      <c r="J3699" t="s">
        <v>251</v>
      </c>
      <c r="K3699" t="s">
        <v>265</v>
      </c>
      <c r="L3699" t="s">
        <v>277</v>
      </c>
      <c r="M3699" t="s">
        <v>286</v>
      </c>
      <c r="N3699" t="s">
        <v>296</v>
      </c>
      <c r="O3699" t="s">
        <v>304</v>
      </c>
      <c r="P3699" t="s">
        <v>311</v>
      </c>
      <c r="Q3699" t="s">
        <v>318</v>
      </c>
      <c r="R3699" t="s">
        <v>185</v>
      </c>
      <c r="S3699" t="s">
        <v>159</v>
      </c>
      <c r="T3699" t="s">
        <v>185</v>
      </c>
      <c r="U3699" t="s">
        <v>339</v>
      </c>
      <c r="V3699" t="s">
        <v>72</v>
      </c>
      <c r="W3699" t="s">
        <v>347</v>
      </c>
      <c r="X3699" t="s">
        <v>72</v>
      </c>
      <c r="Y3699" t="s">
        <v>96</v>
      </c>
      <c r="AK3699" t="s">
        <v>360</v>
      </c>
    </row>
    <row r="3700" spans="1:37">
      <c r="B3700" t="s">
        <v>58</v>
      </c>
      <c r="C3700" t="s">
        <v>80</v>
      </c>
      <c r="D3700" t="s">
        <v>99</v>
      </c>
      <c r="E3700" t="s">
        <v>118</v>
      </c>
      <c r="F3700" t="s">
        <v>152</v>
      </c>
      <c r="G3700" t="s">
        <v>178</v>
      </c>
      <c r="H3700" t="s">
        <v>213</v>
      </c>
      <c r="I3700" t="s">
        <v>233</v>
      </c>
      <c r="J3700" t="s">
        <v>252</v>
      </c>
      <c r="K3700" t="s">
        <v>266</v>
      </c>
      <c r="L3700" t="s">
        <v>278</v>
      </c>
      <c r="M3700" t="s">
        <v>287</v>
      </c>
      <c r="N3700" t="s">
        <v>297</v>
      </c>
      <c r="O3700" t="s">
        <v>305</v>
      </c>
      <c r="P3700" t="s">
        <v>312</v>
      </c>
      <c r="Q3700" t="s">
        <v>319</v>
      </c>
      <c r="R3700">
        <f>&gt;10       ветра      1.8     17   1 10</f>
        <v>0</v>
      </c>
      <c r="AK3700" t="s">
        <v>360</v>
      </c>
    </row>
    <row r="3701" spans="1:37">
      <c r="A3701" t="s">
        <v>40</v>
      </c>
      <c r="B3701" t="s">
        <v>59</v>
      </c>
      <c r="C3701" t="s">
        <v>81</v>
      </c>
      <c r="D3701" t="s">
        <v>100</v>
      </c>
      <c r="E3701" t="s">
        <v>119</v>
      </c>
      <c r="F3701" t="s">
        <v>153</v>
      </c>
      <c r="G3701" t="s">
        <v>179</v>
      </c>
      <c r="H3701" t="s">
        <v>214</v>
      </c>
      <c r="I3701" t="s">
        <v>234</v>
      </c>
      <c r="AK3701" t="s">
        <v>360</v>
      </c>
    </row>
    <row r="3702" spans="1:37">
      <c r="A3702" t="s">
        <v>40</v>
      </c>
      <c r="B3702" t="s">
        <v>60</v>
      </c>
      <c r="C3702" t="s">
        <v>82</v>
      </c>
      <c r="D3702" t="s">
        <v>101</v>
      </c>
      <c r="E3702" t="s">
        <v>120</v>
      </c>
      <c r="F3702" t="s">
        <v>154</v>
      </c>
      <c r="G3702" t="s">
        <v>180</v>
      </c>
      <c r="H3702" t="s">
        <v>215</v>
      </c>
      <c r="I3702" t="s">
        <v>235</v>
      </c>
      <c r="J3702" t="s">
        <v>253</v>
      </c>
      <c r="K3702" t="s">
        <v>267</v>
      </c>
      <c r="L3702" t="s">
        <v>279</v>
      </c>
      <c r="M3702" t="s">
        <v>288</v>
      </c>
      <c r="N3702" t="s">
        <v>100</v>
      </c>
      <c r="O3702" t="s">
        <v>306</v>
      </c>
      <c r="P3702" t="s">
        <v>313</v>
      </c>
      <c r="Q3702" t="s">
        <v>320</v>
      </c>
      <c r="R3702" t="s">
        <v>325</v>
      </c>
      <c r="S3702" t="s">
        <v>332</v>
      </c>
      <c r="T3702" t="s">
        <v>119</v>
      </c>
      <c r="U3702" t="s">
        <v>234</v>
      </c>
      <c r="V3702" t="s">
        <v>343</v>
      </c>
      <c r="W3702" t="s">
        <v>348</v>
      </c>
      <c r="X3702" t="s">
        <v>352</v>
      </c>
      <c r="Y3702" t="s">
        <v>354</v>
      </c>
      <c r="AK3702" t="s">
        <v>360</v>
      </c>
    </row>
    <row r="3703" spans="1:37">
      <c r="A3703" t="s">
        <v>41</v>
      </c>
      <c r="B3703" t="s">
        <v>61</v>
      </c>
      <c r="C3703" t="s">
        <v>83</v>
      </c>
      <c r="D3703" t="s">
        <v>102</v>
      </c>
      <c r="E3703" t="s">
        <v>121</v>
      </c>
      <c r="F3703" t="s">
        <v>155</v>
      </c>
      <c r="G3703" t="s">
        <v>181</v>
      </c>
      <c r="H3703" t="s">
        <v>216</v>
      </c>
      <c r="I3703" t="s">
        <v>236</v>
      </c>
      <c r="AK3703" t="s">
        <v>360</v>
      </c>
    </row>
    <row r="3704" spans="1:37">
      <c r="A3704" t="s">
        <v>42</v>
      </c>
      <c r="B3704" t="s">
        <v>62</v>
      </c>
      <c r="C3704" t="s">
        <v>84</v>
      </c>
      <c r="D3704" t="s">
        <v>103</v>
      </c>
      <c r="E3704" t="s">
        <v>122</v>
      </c>
      <c r="F3704" t="s">
        <v>156</v>
      </c>
      <c r="G3704" t="s">
        <v>182</v>
      </c>
      <c r="H3704" t="s">
        <v>83</v>
      </c>
      <c r="I3704" t="s">
        <v>237</v>
      </c>
      <c r="J3704" t="s">
        <v>254</v>
      </c>
      <c r="K3704" t="s">
        <v>268</v>
      </c>
      <c r="L3704" t="s">
        <v>280</v>
      </c>
      <c r="M3704" t="s">
        <v>289</v>
      </c>
      <c r="N3704" t="s">
        <v>298</v>
      </c>
      <c r="O3704" t="s">
        <v>307</v>
      </c>
      <c r="P3704" t="s">
        <v>314</v>
      </c>
      <c r="Q3704" t="s">
        <v>216</v>
      </c>
      <c r="R3704" t="s">
        <v>326</v>
      </c>
      <c r="S3704" t="s">
        <v>333</v>
      </c>
      <c r="T3704" t="s">
        <v>335</v>
      </c>
      <c r="U3704" t="s">
        <v>340</v>
      </c>
      <c r="V3704" t="s">
        <v>344</v>
      </c>
      <c r="W3704" t="s">
        <v>349</v>
      </c>
      <c r="AK3704" t="s">
        <v>360</v>
      </c>
    </row>
    <row r="3705" spans="1:37">
      <c r="A3705" t="s">
        <v>43</v>
      </c>
      <c r="B3705" t="s">
        <v>63</v>
      </c>
      <c r="C3705" t="s">
        <v>85</v>
      </c>
      <c r="D3705" t="s">
        <v>104</v>
      </c>
      <c r="E3705" t="s">
        <v>123</v>
      </c>
      <c r="F3705" t="s">
        <v>157</v>
      </c>
      <c r="G3705" t="s">
        <v>183</v>
      </c>
      <c r="AK3705" t="s">
        <v>360</v>
      </c>
    </row>
    <row r="3706" spans="1:37">
      <c r="A3706" t="s">
        <v>44</v>
      </c>
      <c r="B3706" t="s">
        <v>64</v>
      </c>
      <c r="C3706" t="s">
        <v>86</v>
      </c>
      <c r="D3706" t="s">
        <v>105</v>
      </c>
      <c r="E3706" t="s">
        <v>124</v>
      </c>
      <c r="F3706" t="s">
        <v>158</v>
      </c>
      <c r="G3706" t="s">
        <v>184</v>
      </c>
      <c r="AK3706" t="s">
        <v>360</v>
      </c>
    </row>
    <row r="3707" spans="1:37">
      <c r="A3707" t="s">
        <v>45</v>
      </c>
      <c r="B3707" t="s">
        <v>65</v>
      </c>
      <c r="C3707" t="s">
        <v>87</v>
      </c>
      <c r="D3707" t="s">
        <v>106</v>
      </c>
      <c r="E3707" t="s">
        <v>125</v>
      </c>
      <c r="F3707" t="s">
        <v>159</v>
      </c>
      <c r="G3707" t="s">
        <v>185</v>
      </c>
      <c r="H3707" t="s">
        <v>159</v>
      </c>
      <c r="I3707" t="s">
        <v>185</v>
      </c>
      <c r="J3707" t="s">
        <v>255</v>
      </c>
      <c r="AK3707" t="s">
        <v>360</v>
      </c>
    </row>
    <row r="3708" spans="1:37">
      <c r="A3708" t="s">
        <v>46</v>
      </c>
      <c r="B3708" t="s">
        <v>66</v>
      </c>
      <c r="C3708" t="s">
        <v>88</v>
      </c>
      <c r="D3708" t="s">
        <v>76</v>
      </c>
      <c r="E3708" t="s">
        <v>126</v>
      </c>
      <c r="F3708" t="s">
        <v>160</v>
      </c>
      <c r="G3708" t="s">
        <v>186</v>
      </c>
      <c r="H3708" t="s">
        <v>217</v>
      </c>
      <c r="I3708" t="s">
        <v>238</v>
      </c>
      <c r="J3708" t="s">
        <v>256</v>
      </c>
      <c r="K3708" t="s">
        <v>265</v>
      </c>
      <c r="L3708" t="s">
        <v>281</v>
      </c>
      <c r="M3708" t="s">
        <v>290</v>
      </c>
      <c r="N3708" t="s">
        <v>299</v>
      </c>
      <c r="O3708" t="s">
        <v>308</v>
      </c>
      <c r="P3708" t="s">
        <v>228</v>
      </c>
      <c r="Q3708" t="s">
        <v>72</v>
      </c>
      <c r="R3708" t="s">
        <v>327</v>
      </c>
      <c r="S3708" t="s">
        <v>327</v>
      </c>
      <c r="T3708" t="s">
        <v>336</v>
      </c>
      <c r="U3708" t="s">
        <v>336</v>
      </c>
      <c r="V3708" t="s">
        <v>336</v>
      </c>
      <c r="W3708" t="s">
        <v>336</v>
      </c>
      <c r="X3708" t="s">
        <v>353</v>
      </c>
      <c r="AK3708" t="s">
        <v>360</v>
      </c>
    </row>
    <row r="3709" spans="1:37">
      <c r="B3709" t="s">
        <v>67</v>
      </c>
      <c r="C3709" t="s">
        <v>89</v>
      </c>
      <c r="D3709" t="s">
        <v>107</v>
      </c>
      <c r="AK3709" t="s">
        <v>360</v>
      </c>
    </row>
    <row r="3710" spans="1:37">
      <c r="B3710" t="s">
        <v>68</v>
      </c>
      <c r="C3710" t="s">
        <v>90</v>
      </c>
      <c r="D3710" t="s">
        <v>108</v>
      </c>
      <c r="AK3710" t="s">
        <v>360</v>
      </c>
    </row>
    <row r="3711" spans="1:37">
      <c r="A3711" t="s">
        <v>47</v>
      </c>
      <c r="B3711" t="s">
        <v>69</v>
      </c>
      <c r="C3711" t="s">
        <v>91</v>
      </c>
      <c r="D3711" t="s">
        <v>109</v>
      </c>
      <c r="E3711" t="s">
        <v>109</v>
      </c>
      <c r="F3711" t="s">
        <v>109</v>
      </c>
      <c r="G3711" t="s">
        <v>109</v>
      </c>
      <c r="H3711" t="s">
        <v>109</v>
      </c>
      <c r="I3711" t="s">
        <v>239</v>
      </c>
      <c r="AK3711" t="s">
        <v>360</v>
      </c>
    </row>
    <row r="3712" spans="1:37">
      <c r="B3712" t="s">
        <v>70</v>
      </c>
      <c r="C3712" t="s">
        <v>92</v>
      </c>
      <c r="D3712" t="s">
        <v>110</v>
      </c>
      <c r="E3712" t="s">
        <v>127</v>
      </c>
      <c r="F3712" t="s">
        <v>161</v>
      </c>
      <c r="G3712" t="s">
        <v>187</v>
      </c>
      <c r="H3712" t="s">
        <v>218</v>
      </c>
      <c r="AK3712" t="s">
        <v>360</v>
      </c>
    </row>
    <row r="3713" spans="1:37">
      <c r="B3713" t="s">
        <v>71</v>
      </c>
      <c r="C3713" t="s">
        <v>93</v>
      </c>
      <c r="D3713" t="s">
        <v>111</v>
      </c>
      <c r="E3713" t="s">
        <v>128</v>
      </c>
      <c r="F3713" t="s">
        <v>162</v>
      </c>
      <c r="G3713" t="s">
        <v>188</v>
      </c>
      <c r="H3713" t="s">
        <v>219</v>
      </c>
      <c r="I3713" t="s">
        <v>240</v>
      </c>
      <c r="J3713" t="s">
        <v>257</v>
      </c>
      <c r="K3713" t="s">
        <v>269</v>
      </c>
      <c r="L3713" t="s">
        <v>109</v>
      </c>
      <c r="M3713" t="s">
        <v>109</v>
      </c>
      <c r="N3713" t="s">
        <v>109</v>
      </c>
      <c r="O3713" t="s">
        <v>109</v>
      </c>
      <c r="P3713" t="s">
        <v>109</v>
      </c>
      <c r="Q3713" t="s">
        <v>321</v>
      </c>
      <c r="AK3713" t="s">
        <v>360</v>
      </c>
    </row>
    <row r="3714" spans="1:37">
      <c r="A3714" t="s">
        <v>48</v>
      </c>
      <c r="B3714" t="s">
        <v>71</v>
      </c>
      <c r="C3714" t="s">
        <v>93</v>
      </c>
      <c r="D3714" t="s">
        <v>111</v>
      </c>
      <c r="E3714" t="s">
        <v>128</v>
      </c>
      <c r="F3714" t="s">
        <v>163</v>
      </c>
      <c r="G3714" t="s">
        <v>189</v>
      </c>
      <c r="H3714" t="s">
        <v>220</v>
      </c>
      <c r="I3714" t="s">
        <v>241</v>
      </c>
      <c r="J3714" t="s">
        <v>258</v>
      </c>
      <c r="K3714" t="s">
        <v>270</v>
      </c>
      <c r="AK3714" t="s">
        <v>360</v>
      </c>
    </row>
    <row r="3715" spans="1:37">
      <c r="B3715" t="s">
        <v>72</v>
      </c>
      <c r="C3715" t="s">
        <v>72</v>
      </c>
      <c r="D3715" t="s">
        <v>72</v>
      </c>
      <c r="E3715" t="s">
        <v>72</v>
      </c>
      <c r="F3715" t="s">
        <v>72</v>
      </c>
      <c r="G3715" t="s">
        <v>72</v>
      </c>
      <c r="H3715" t="s">
        <v>72</v>
      </c>
      <c r="I3715" t="s">
        <v>72</v>
      </c>
      <c r="J3715" t="s">
        <v>72</v>
      </c>
      <c r="K3715" t="s">
        <v>272</v>
      </c>
      <c r="AK3715" t="s">
        <v>360</v>
      </c>
    </row>
    <row r="3716" spans="1:37">
      <c r="A3716" t="s">
        <v>37</v>
      </c>
      <c r="B3716" t="s">
        <v>49</v>
      </c>
      <c r="C3716" t="s">
        <v>73</v>
      </c>
      <c r="D3716" t="s">
        <v>94</v>
      </c>
      <c r="E3716" t="s">
        <v>112</v>
      </c>
      <c r="F3716" t="s">
        <v>146</v>
      </c>
      <c r="G3716" t="s">
        <v>172</v>
      </c>
      <c r="H3716" t="s">
        <v>207</v>
      </c>
      <c r="I3716" t="s">
        <v>226</v>
      </c>
      <c r="J3716" t="s">
        <v>246</v>
      </c>
      <c r="K3716" t="s">
        <v>259</v>
      </c>
      <c r="AK3716" t="s">
        <v>360</v>
      </c>
    </row>
    <row r="3717" spans="1:37">
      <c r="A3717" t="s">
        <v>38</v>
      </c>
      <c r="B3717" t="s">
        <v>50</v>
      </c>
      <c r="C3717" t="s">
        <v>74</v>
      </c>
      <c r="D3717" t="s">
        <v>95</v>
      </c>
      <c r="E3717" t="s">
        <v>113</v>
      </c>
      <c r="F3717" t="s">
        <v>147</v>
      </c>
      <c r="G3717" t="s">
        <v>173</v>
      </c>
      <c r="H3717" t="s">
        <v>208</v>
      </c>
      <c r="I3717" t="s">
        <v>227</v>
      </c>
      <c r="J3717" t="s">
        <v>115</v>
      </c>
      <c r="K3717" t="s">
        <v>260</v>
      </c>
      <c r="L3717" t="s">
        <v>273</v>
      </c>
      <c r="M3717" t="s">
        <v>282</v>
      </c>
      <c r="N3717" t="s">
        <v>291</v>
      </c>
      <c r="AK3717" t="s">
        <v>360</v>
      </c>
    </row>
    <row r="3718" spans="1:37">
      <c r="B3718" t="s">
        <v>51</v>
      </c>
      <c r="C3718" t="s">
        <v>75</v>
      </c>
      <c r="D3718" t="s">
        <v>52</v>
      </c>
      <c r="E3718" t="s">
        <v>114</v>
      </c>
      <c r="F3718" t="s">
        <v>148</v>
      </c>
      <c r="G3718" t="s">
        <v>148</v>
      </c>
      <c r="H3718" t="s">
        <v>209</v>
      </c>
      <c r="I3718" t="s">
        <v>228</v>
      </c>
      <c r="J3718" t="s">
        <v>247</v>
      </c>
      <c r="K3718" t="s">
        <v>261</v>
      </c>
      <c r="L3718" t="s">
        <v>274</v>
      </c>
      <c r="M3718" t="s">
        <v>283</v>
      </c>
      <c r="N3718" t="s">
        <v>292</v>
      </c>
      <c r="O3718" t="s">
        <v>300</v>
      </c>
      <c r="AK3718" t="s">
        <v>360</v>
      </c>
    </row>
    <row r="3719" spans="1:37">
      <c r="B3719" t="s">
        <v>52</v>
      </c>
      <c r="C3719" t="s">
        <v>76</v>
      </c>
      <c r="D3719" t="s">
        <v>96</v>
      </c>
      <c r="E3719" t="s">
        <v>115</v>
      </c>
      <c r="F3719" t="s">
        <v>149</v>
      </c>
      <c r="G3719" t="s">
        <v>174</v>
      </c>
      <c r="H3719" t="s">
        <v>96</v>
      </c>
      <c r="I3719" t="s">
        <v>229</v>
      </c>
      <c r="J3719" t="s">
        <v>248</v>
      </c>
      <c r="K3719" t="s">
        <v>262</v>
      </c>
      <c r="L3719" t="s">
        <v>52</v>
      </c>
      <c r="M3719" t="s">
        <v>76</v>
      </c>
      <c r="N3719" t="s">
        <v>293</v>
      </c>
      <c r="O3719" t="s">
        <v>301</v>
      </c>
      <c r="P3719" t="s">
        <v>309</v>
      </c>
      <c r="Q3719" t="s">
        <v>315</v>
      </c>
      <c r="R3719" t="s">
        <v>228</v>
      </c>
      <c r="S3719" t="s">
        <v>328</v>
      </c>
      <c r="T3719" t="s">
        <v>149</v>
      </c>
      <c r="U3719" t="s">
        <v>337</v>
      </c>
      <c r="V3719" t="s">
        <v>341</v>
      </c>
      <c r="W3719" t="s">
        <v>345</v>
      </c>
      <c r="X3719" t="s">
        <v>350</v>
      </c>
      <c r="AK3719" t="s">
        <v>360</v>
      </c>
    </row>
    <row r="3720" spans="1:37">
      <c r="B3720" t="s">
        <v>53</v>
      </c>
      <c r="C3720" t="s">
        <v>77</v>
      </c>
      <c r="D3720" t="s">
        <v>97</v>
      </c>
      <c r="E3720" t="s">
        <v>116</v>
      </c>
      <c r="F3720" t="s">
        <v>150</v>
      </c>
      <c r="G3720" t="s">
        <v>175</v>
      </c>
      <c r="H3720" t="s">
        <v>210</v>
      </c>
      <c r="I3720" t="s">
        <v>230</v>
      </c>
      <c r="J3720" t="s">
        <v>249</v>
      </c>
      <c r="K3720" t="s">
        <v>263</v>
      </c>
      <c r="L3720" t="s">
        <v>275</v>
      </c>
      <c r="M3720" t="s">
        <v>284</v>
      </c>
      <c r="N3720" t="s">
        <v>294</v>
      </c>
      <c r="O3720" t="s">
        <v>302</v>
      </c>
      <c r="P3720" t="s">
        <v>310</v>
      </c>
      <c r="Q3720" t="s">
        <v>316</v>
      </c>
      <c r="R3720" t="s">
        <v>322</v>
      </c>
      <c r="S3720" t="s">
        <v>329</v>
      </c>
      <c r="AK3720" t="s">
        <v>360</v>
      </c>
    </row>
    <row r="3721" spans="1:37">
      <c r="A3721" t="s">
        <v>39</v>
      </c>
      <c r="B3721" t="s">
        <v>54</v>
      </c>
      <c r="C3721" t="s">
        <v>54</v>
      </c>
      <c r="D3721" t="s">
        <v>54</v>
      </c>
      <c r="E3721" t="s">
        <v>54</v>
      </c>
      <c r="F3721" t="s">
        <v>54</v>
      </c>
      <c r="G3721" t="s">
        <v>54</v>
      </c>
      <c r="H3721" t="s">
        <v>54</v>
      </c>
      <c r="I3721" t="s">
        <v>54</v>
      </c>
      <c r="J3721" t="s">
        <v>54</v>
      </c>
      <c r="K3721" t="s">
        <v>54</v>
      </c>
      <c r="L3721" t="s">
        <v>54</v>
      </c>
      <c r="M3721" t="s">
        <v>54</v>
      </c>
      <c r="N3721" t="s">
        <v>54</v>
      </c>
      <c r="O3721" t="s">
        <v>54</v>
      </c>
      <c r="P3721" t="s">
        <v>54</v>
      </c>
      <c r="Q3721" t="s">
        <v>54</v>
      </c>
      <c r="R3721" t="s">
        <v>323</v>
      </c>
      <c r="S3721" t="s">
        <v>330</v>
      </c>
      <c r="AK3721" t="s">
        <v>360</v>
      </c>
    </row>
    <row r="3722" spans="1:37">
      <c r="B3722" t="s">
        <v>55</v>
      </c>
      <c r="C3722" t="s">
        <v>78</v>
      </c>
      <c r="D3722" t="s">
        <v>55</v>
      </c>
      <c r="E3722" t="s">
        <v>78</v>
      </c>
      <c r="F3722" t="s">
        <v>55</v>
      </c>
      <c r="G3722" t="s">
        <v>78</v>
      </c>
      <c r="H3722" t="s">
        <v>55</v>
      </c>
      <c r="I3722" t="s">
        <v>78</v>
      </c>
      <c r="J3722" t="s">
        <v>55</v>
      </c>
      <c r="K3722" t="s">
        <v>78</v>
      </c>
      <c r="L3722" t="s">
        <v>55</v>
      </c>
      <c r="M3722" t="s">
        <v>78</v>
      </c>
      <c r="N3722" t="s">
        <v>55</v>
      </c>
      <c r="O3722" t="s">
        <v>78</v>
      </c>
      <c r="P3722" t="s">
        <v>55</v>
      </c>
      <c r="Q3722" t="s">
        <v>78</v>
      </c>
      <c r="R3722" t="s">
        <v>55</v>
      </c>
      <c r="S3722" t="s">
        <v>78</v>
      </c>
      <c r="T3722" t="s">
        <v>55</v>
      </c>
      <c r="U3722" t="s">
        <v>78</v>
      </c>
      <c r="V3722" t="s">
        <v>55</v>
      </c>
      <c r="W3722" t="s">
        <v>78</v>
      </c>
      <c r="X3722" t="s">
        <v>55</v>
      </c>
      <c r="Y3722" t="s">
        <v>78</v>
      </c>
      <c r="Z3722" t="s">
        <v>55</v>
      </c>
      <c r="AA3722" t="s">
        <v>78</v>
      </c>
      <c r="AB3722" t="s">
        <v>55</v>
      </c>
      <c r="AC3722" t="s">
        <v>78</v>
      </c>
      <c r="AD3722" t="s">
        <v>55</v>
      </c>
      <c r="AE3722" t="s">
        <v>78</v>
      </c>
      <c r="AF3722" t="s">
        <v>55</v>
      </c>
      <c r="AG3722" t="s">
        <v>78</v>
      </c>
      <c r="AH3722" t="s">
        <v>55</v>
      </c>
      <c r="AI3722" t="s">
        <v>78</v>
      </c>
      <c r="AK3722" t="s">
        <v>360</v>
      </c>
    </row>
    <row r="3723" spans="1:37">
      <c r="B3723" t="s">
        <v>56</v>
      </c>
      <c r="C3723" t="s">
        <v>56</v>
      </c>
      <c r="D3723" t="s">
        <v>56</v>
      </c>
      <c r="E3723" t="s">
        <v>56</v>
      </c>
      <c r="F3723" t="s">
        <v>56</v>
      </c>
      <c r="G3723" t="s">
        <v>176</v>
      </c>
      <c r="H3723" t="s">
        <v>211</v>
      </c>
      <c r="I3723" t="s">
        <v>231</v>
      </c>
      <c r="J3723" t="s">
        <v>250</v>
      </c>
      <c r="K3723" t="s">
        <v>264</v>
      </c>
      <c r="L3723" t="s">
        <v>276</v>
      </c>
      <c r="M3723" t="s">
        <v>285</v>
      </c>
      <c r="N3723" t="s">
        <v>295</v>
      </c>
      <c r="O3723" t="s">
        <v>303</v>
      </c>
      <c r="P3723" t="s">
        <v>56</v>
      </c>
      <c r="Q3723" t="s">
        <v>317</v>
      </c>
      <c r="R3723" t="s">
        <v>324</v>
      </c>
      <c r="S3723" t="s">
        <v>331</v>
      </c>
      <c r="T3723" t="s">
        <v>334</v>
      </c>
      <c r="U3723" t="s">
        <v>338</v>
      </c>
      <c r="V3723" t="s">
        <v>342</v>
      </c>
      <c r="W3723" t="s">
        <v>346</v>
      </c>
      <c r="X3723" t="s">
        <v>351</v>
      </c>
      <c r="AK3723" t="s">
        <v>360</v>
      </c>
    </row>
    <row r="3724" spans="1:37">
      <c r="B3724" t="s">
        <v>57</v>
      </c>
      <c r="C3724" t="s">
        <v>79</v>
      </c>
      <c r="D3724" t="s">
        <v>98</v>
      </c>
      <c r="E3724" t="s">
        <v>117</v>
      </c>
      <c r="F3724" t="s">
        <v>151</v>
      </c>
      <c r="G3724" t="s">
        <v>177</v>
      </c>
      <c r="H3724" t="s">
        <v>212</v>
      </c>
      <c r="I3724" t="s">
        <v>232</v>
      </c>
      <c r="J3724" t="s">
        <v>251</v>
      </c>
      <c r="K3724" t="s">
        <v>265</v>
      </c>
      <c r="L3724" t="s">
        <v>277</v>
      </c>
      <c r="M3724" t="s">
        <v>286</v>
      </c>
      <c r="N3724" t="s">
        <v>296</v>
      </c>
      <c r="O3724" t="s">
        <v>304</v>
      </c>
      <c r="P3724" t="s">
        <v>311</v>
      </c>
      <c r="Q3724" t="s">
        <v>318</v>
      </c>
      <c r="R3724" t="s">
        <v>185</v>
      </c>
      <c r="S3724" t="s">
        <v>159</v>
      </c>
      <c r="T3724" t="s">
        <v>185</v>
      </c>
      <c r="U3724" t="s">
        <v>339</v>
      </c>
      <c r="V3724" t="s">
        <v>72</v>
      </c>
      <c r="W3724" t="s">
        <v>347</v>
      </c>
      <c r="X3724" t="s">
        <v>72</v>
      </c>
      <c r="Y3724" t="s">
        <v>96</v>
      </c>
      <c r="AK3724" t="s">
        <v>360</v>
      </c>
    </row>
    <row r="3725" spans="1:37">
      <c r="B3725" t="s">
        <v>58</v>
      </c>
      <c r="C3725" t="s">
        <v>80</v>
      </c>
      <c r="D3725" t="s">
        <v>99</v>
      </c>
      <c r="E3725" t="s">
        <v>118</v>
      </c>
      <c r="F3725" t="s">
        <v>152</v>
      </c>
      <c r="G3725" t="s">
        <v>178</v>
      </c>
      <c r="H3725" t="s">
        <v>213</v>
      </c>
      <c r="I3725" t="s">
        <v>233</v>
      </c>
      <c r="J3725" t="s">
        <v>252</v>
      </c>
      <c r="K3725" t="s">
        <v>266</v>
      </c>
      <c r="L3725" t="s">
        <v>278</v>
      </c>
      <c r="M3725" t="s">
        <v>287</v>
      </c>
      <c r="N3725" t="s">
        <v>297</v>
      </c>
      <c r="O3725" t="s">
        <v>305</v>
      </c>
      <c r="P3725" t="s">
        <v>312</v>
      </c>
      <c r="Q3725" t="s">
        <v>319</v>
      </c>
      <c r="R3725">
        <f>&gt;10       ветра      1.6     12  11</f>
        <v>0</v>
      </c>
      <c r="AK3725" t="s">
        <v>360</v>
      </c>
    </row>
    <row r="3726" spans="1:37">
      <c r="A3726" t="s">
        <v>40</v>
      </c>
      <c r="B3726" t="s">
        <v>59</v>
      </c>
      <c r="C3726" t="s">
        <v>81</v>
      </c>
      <c r="D3726" t="s">
        <v>100</v>
      </c>
      <c r="E3726" t="s">
        <v>119</v>
      </c>
      <c r="F3726" t="s">
        <v>153</v>
      </c>
      <c r="G3726" t="s">
        <v>179</v>
      </c>
      <c r="H3726" t="s">
        <v>214</v>
      </c>
      <c r="I3726" t="s">
        <v>234</v>
      </c>
      <c r="AK3726" t="s">
        <v>360</v>
      </c>
    </row>
    <row r="3727" spans="1:37">
      <c r="A3727" t="s">
        <v>40</v>
      </c>
      <c r="B3727" t="s">
        <v>60</v>
      </c>
      <c r="C3727" t="s">
        <v>82</v>
      </c>
      <c r="D3727" t="s">
        <v>101</v>
      </c>
      <c r="E3727" t="s">
        <v>120</v>
      </c>
      <c r="F3727" t="s">
        <v>154</v>
      </c>
      <c r="G3727" t="s">
        <v>180</v>
      </c>
      <c r="H3727" t="s">
        <v>215</v>
      </c>
      <c r="I3727" t="s">
        <v>235</v>
      </c>
      <c r="J3727" t="s">
        <v>253</v>
      </c>
      <c r="K3727" t="s">
        <v>267</v>
      </c>
      <c r="L3727" t="s">
        <v>279</v>
      </c>
      <c r="M3727" t="s">
        <v>288</v>
      </c>
      <c r="N3727" t="s">
        <v>100</v>
      </c>
      <c r="O3727" t="s">
        <v>306</v>
      </c>
      <c r="P3727" t="s">
        <v>313</v>
      </c>
      <c r="Q3727" t="s">
        <v>320</v>
      </c>
      <c r="R3727" t="s">
        <v>325</v>
      </c>
      <c r="S3727" t="s">
        <v>332</v>
      </c>
      <c r="T3727" t="s">
        <v>119</v>
      </c>
      <c r="U3727" t="s">
        <v>234</v>
      </c>
      <c r="V3727" t="s">
        <v>343</v>
      </c>
      <c r="W3727" t="s">
        <v>348</v>
      </c>
      <c r="X3727" t="s">
        <v>352</v>
      </c>
      <c r="Y3727" t="s">
        <v>354</v>
      </c>
      <c r="AK3727" t="s">
        <v>360</v>
      </c>
    </row>
    <row r="3728" spans="1:37">
      <c r="A3728" t="s">
        <v>41</v>
      </c>
      <c r="B3728" t="s">
        <v>61</v>
      </c>
      <c r="C3728" t="s">
        <v>83</v>
      </c>
      <c r="D3728" t="s">
        <v>102</v>
      </c>
      <c r="E3728" t="s">
        <v>121</v>
      </c>
      <c r="F3728" t="s">
        <v>155</v>
      </c>
      <c r="G3728" t="s">
        <v>181</v>
      </c>
      <c r="H3728" t="s">
        <v>216</v>
      </c>
      <c r="I3728" t="s">
        <v>236</v>
      </c>
      <c r="AK3728" t="s">
        <v>360</v>
      </c>
    </row>
    <row r="3729" spans="1:37">
      <c r="A3729" t="s">
        <v>42</v>
      </c>
      <c r="B3729" t="s">
        <v>62</v>
      </c>
      <c r="C3729" t="s">
        <v>84</v>
      </c>
      <c r="D3729" t="s">
        <v>103</v>
      </c>
      <c r="E3729" t="s">
        <v>122</v>
      </c>
      <c r="F3729" t="s">
        <v>156</v>
      </c>
      <c r="G3729" t="s">
        <v>182</v>
      </c>
      <c r="H3729" t="s">
        <v>83</v>
      </c>
      <c r="I3729" t="s">
        <v>237</v>
      </c>
      <c r="J3729" t="s">
        <v>254</v>
      </c>
      <c r="K3729" t="s">
        <v>268</v>
      </c>
      <c r="L3729" t="s">
        <v>280</v>
      </c>
      <c r="M3729" t="s">
        <v>289</v>
      </c>
      <c r="N3729" t="s">
        <v>298</v>
      </c>
      <c r="O3729" t="s">
        <v>307</v>
      </c>
      <c r="P3729" t="s">
        <v>314</v>
      </c>
      <c r="Q3729" t="s">
        <v>216</v>
      </c>
      <c r="R3729" t="s">
        <v>326</v>
      </c>
      <c r="S3729" t="s">
        <v>333</v>
      </c>
      <c r="T3729" t="s">
        <v>335</v>
      </c>
      <c r="U3729" t="s">
        <v>340</v>
      </c>
      <c r="V3729" t="s">
        <v>344</v>
      </c>
      <c r="W3729" t="s">
        <v>349</v>
      </c>
      <c r="AK3729" t="s">
        <v>360</v>
      </c>
    </row>
    <row r="3730" spans="1:37">
      <c r="A3730" t="s">
        <v>43</v>
      </c>
      <c r="B3730" t="s">
        <v>63</v>
      </c>
      <c r="C3730" t="s">
        <v>85</v>
      </c>
      <c r="D3730" t="s">
        <v>104</v>
      </c>
      <c r="E3730" t="s">
        <v>123</v>
      </c>
      <c r="F3730" t="s">
        <v>157</v>
      </c>
      <c r="G3730" t="s">
        <v>183</v>
      </c>
      <c r="AK3730" t="s">
        <v>360</v>
      </c>
    </row>
    <row r="3731" spans="1:37">
      <c r="A3731" t="s">
        <v>44</v>
      </c>
      <c r="B3731" t="s">
        <v>64</v>
      </c>
      <c r="C3731" t="s">
        <v>86</v>
      </c>
      <c r="D3731" t="s">
        <v>105</v>
      </c>
      <c r="E3731" t="s">
        <v>124</v>
      </c>
      <c r="F3731" t="s">
        <v>158</v>
      </c>
      <c r="G3731" t="s">
        <v>184</v>
      </c>
      <c r="AK3731" t="s">
        <v>360</v>
      </c>
    </row>
    <row r="3732" spans="1:37">
      <c r="A3732" t="s">
        <v>45</v>
      </c>
      <c r="B3732" t="s">
        <v>65</v>
      </c>
      <c r="C3732" t="s">
        <v>87</v>
      </c>
      <c r="D3732" t="s">
        <v>106</v>
      </c>
      <c r="E3732" t="s">
        <v>125</v>
      </c>
      <c r="F3732" t="s">
        <v>159</v>
      </c>
      <c r="G3732" t="s">
        <v>185</v>
      </c>
      <c r="H3732" t="s">
        <v>159</v>
      </c>
      <c r="I3732" t="s">
        <v>185</v>
      </c>
      <c r="J3732" t="s">
        <v>255</v>
      </c>
      <c r="AK3732" t="s">
        <v>360</v>
      </c>
    </row>
    <row r="3733" spans="1:37">
      <c r="A3733" t="s">
        <v>46</v>
      </c>
      <c r="B3733" t="s">
        <v>66</v>
      </c>
      <c r="C3733" t="s">
        <v>88</v>
      </c>
      <c r="D3733" t="s">
        <v>76</v>
      </c>
      <c r="E3733" t="s">
        <v>126</v>
      </c>
      <c r="F3733" t="s">
        <v>160</v>
      </c>
      <c r="G3733" t="s">
        <v>186</v>
      </c>
      <c r="H3733" t="s">
        <v>217</v>
      </c>
      <c r="I3733" t="s">
        <v>238</v>
      </c>
      <c r="J3733" t="s">
        <v>256</v>
      </c>
      <c r="K3733" t="s">
        <v>265</v>
      </c>
      <c r="L3733" t="s">
        <v>281</v>
      </c>
      <c r="M3733" t="s">
        <v>290</v>
      </c>
      <c r="N3733" t="s">
        <v>299</v>
      </c>
      <c r="O3733" t="s">
        <v>308</v>
      </c>
      <c r="P3733" t="s">
        <v>228</v>
      </c>
      <c r="Q3733" t="s">
        <v>72</v>
      </c>
      <c r="R3733" t="s">
        <v>327</v>
      </c>
      <c r="S3733" t="s">
        <v>327</v>
      </c>
      <c r="T3733" t="s">
        <v>336</v>
      </c>
      <c r="U3733" t="s">
        <v>336</v>
      </c>
      <c r="V3733" t="s">
        <v>336</v>
      </c>
      <c r="W3733" t="s">
        <v>336</v>
      </c>
      <c r="X3733" t="s">
        <v>353</v>
      </c>
      <c r="AK3733" t="s">
        <v>360</v>
      </c>
    </row>
    <row r="3734" spans="1:37">
      <c r="B3734" t="s">
        <v>67</v>
      </c>
      <c r="C3734" t="s">
        <v>89</v>
      </c>
      <c r="D3734" t="s">
        <v>107</v>
      </c>
      <c r="AK3734" t="s">
        <v>360</v>
      </c>
    </row>
    <row r="3735" spans="1:37">
      <c r="B3735" t="s">
        <v>68</v>
      </c>
      <c r="C3735" t="s">
        <v>90</v>
      </c>
      <c r="D3735" t="s">
        <v>108</v>
      </c>
      <c r="AK3735" t="s">
        <v>360</v>
      </c>
    </row>
    <row r="3736" spans="1:37">
      <c r="A3736" t="s">
        <v>47</v>
      </c>
      <c r="B3736" t="s">
        <v>69</v>
      </c>
      <c r="C3736" t="s">
        <v>91</v>
      </c>
      <c r="D3736" t="s">
        <v>109</v>
      </c>
      <c r="E3736" t="s">
        <v>109</v>
      </c>
      <c r="F3736" t="s">
        <v>109</v>
      </c>
      <c r="G3736" t="s">
        <v>109</v>
      </c>
      <c r="H3736" t="s">
        <v>109</v>
      </c>
      <c r="I3736" t="s">
        <v>239</v>
      </c>
      <c r="AK3736" t="s">
        <v>360</v>
      </c>
    </row>
    <row r="3737" spans="1:37">
      <c r="B3737" t="s">
        <v>70</v>
      </c>
      <c r="C3737" t="s">
        <v>92</v>
      </c>
      <c r="D3737" t="s">
        <v>110</v>
      </c>
      <c r="E3737" t="s">
        <v>127</v>
      </c>
      <c r="F3737" t="s">
        <v>161</v>
      </c>
      <c r="G3737" t="s">
        <v>187</v>
      </c>
      <c r="H3737" t="s">
        <v>218</v>
      </c>
      <c r="AK3737" t="s">
        <v>360</v>
      </c>
    </row>
    <row r="3738" spans="1:37">
      <c r="B3738" t="s">
        <v>71</v>
      </c>
      <c r="C3738" t="s">
        <v>93</v>
      </c>
      <c r="D3738" t="s">
        <v>111</v>
      </c>
      <c r="E3738" t="s">
        <v>128</v>
      </c>
      <c r="F3738" t="s">
        <v>162</v>
      </c>
      <c r="G3738" t="s">
        <v>188</v>
      </c>
      <c r="H3738" t="s">
        <v>219</v>
      </c>
      <c r="I3738" t="s">
        <v>240</v>
      </c>
      <c r="J3738" t="s">
        <v>257</v>
      </c>
      <c r="K3738" t="s">
        <v>269</v>
      </c>
      <c r="L3738" t="s">
        <v>109</v>
      </c>
      <c r="M3738" t="s">
        <v>109</v>
      </c>
      <c r="N3738" t="s">
        <v>109</v>
      </c>
      <c r="O3738" t="s">
        <v>109</v>
      </c>
      <c r="P3738" t="s">
        <v>109</v>
      </c>
      <c r="Q3738" t="s">
        <v>321</v>
      </c>
      <c r="AK3738" t="s">
        <v>360</v>
      </c>
    </row>
    <row r="3739" spans="1:37">
      <c r="A3739" t="s">
        <v>48</v>
      </c>
      <c r="B3739" t="s">
        <v>71</v>
      </c>
      <c r="C3739" t="s">
        <v>93</v>
      </c>
      <c r="D3739" t="s">
        <v>111</v>
      </c>
      <c r="E3739" t="s">
        <v>128</v>
      </c>
      <c r="F3739" t="s">
        <v>163</v>
      </c>
      <c r="G3739" t="s">
        <v>189</v>
      </c>
      <c r="H3739" t="s">
        <v>220</v>
      </c>
      <c r="I3739" t="s">
        <v>241</v>
      </c>
      <c r="J3739" t="s">
        <v>258</v>
      </c>
      <c r="K3739" t="s">
        <v>270</v>
      </c>
      <c r="AK3739" t="s">
        <v>360</v>
      </c>
    </row>
    <row r="3740" spans="1:37">
      <c r="B3740" t="s">
        <v>72</v>
      </c>
      <c r="C3740" t="s">
        <v>72</v>
      </c>
      <c r="D3740" t="s">
        <v>72</v>
      </c>
      <c r="E3740" t="s">
        <v>139</v>
      </c>
      <c r="F3740" t="s">
        <v>169</v>
      </c>
      <c r="G3740" t="s">
        <v>192</v>
      </c>
      <c r="H3740" t="s">
        <v>192</v>
      </c>
      <c r="I3740" t="s">
        <v>192</v>
      </c>
      <c r="J3740" t="s">
        <v>192</v>
      </c>
      <c r="K3740" t="s">
        <v>271</v>
      </c>
      <c r="AK3740" t="s">
        <v>360</v>
      </c>
    </row>
    <row r="3741" spans="1:37">
      <c r="A3741" t="s">
        <v>37</v>
      </c>
      <c r="B3741" t="s">
        <v>49</v>
      </c>
      <c r="C3741" t="s">
        <v>73</v>
      </c>
      <c r="D3741" t="s">
        <v>94</v>
      </c>
      <c r="E3741" t="s">
        <v>112</v>
      </c>
      <c r="F3741" t="s">
        <v>146</v>
      </c>
      <c r="G3741" t="s">
        <v>172</v>
      </c>
      <c r="H3741" t="s">
        <v>207</v>
      </c>
      <c r="I3741" t="s">
        <v>226</v>
      </c>
      <c r="J3741" t="s">
        <v>246</v>
      </c>
      <c r="K3741" t="s">
        <v>259</v>
      </c>
      <c r="AK3741" t="s">
        <v>360</v>
      </c>
    </row>
    <row r="3742" spans="1:37">
      <c r="A3742" t="s">
        <v>38</v>
      </c>
      <c r="B3742" t="s">
        <v>50</v>
      </c>
      <c r="C3742" t="s">
        <v>74</v>
      </c>
      <c r="D3742" t="s">
        <v>95</v>
      </c>
      <c r="E3742" t="s">
        <v>113</v>
      </c>
      <c r="F3742" t="s">
        <v>147</v>
      </c>
      <c r="G3742" t="s">
        <v>173</v>
      </c>
      <c r="H3742" t="s">
        <v>208</v>
      </c>
      <c r="I3742" t="s">
        <v>227</v>
      </c>
      <c r="J3742" t="s">
        <v>115</v>
      </c>
      <c r="K3742" t="s">
        <v>260</v>
      </c>
      <c r="L3742" t="s">
        <v>273</v>
      </c>
      <c r="M3742" t="s">
        <v>282</v>
      </c>
      <c r="N3742" t="s">
        <v>291</v>
      </c>
      <c r="AK3742" t="s">
        <v>360</v>
      </c>
    </row>
    <row r="3743" spans="1:37">
      <c r="B3743" t="s">
        <v>51</v>
      </c>
      <c r="C3743" t="s">
        <v>75</v>
      </c>
      <c r="D3743" t="s">
        <v>52</v>
      </c>
      <c r="E3743" t="s">
        <v>114</v>
      </c>
      <c r="F3743" t="s">
        <v>148</v>
      </c>
      <c r="G3743" t="s">
        <v>148</v>
      </c>
      <c r="H3743" t="s">
        <v>209</v>
      </c>
      <c r="I3743" t="s">
        <v>228</v>
      </c>
      <c r="J3743" t="s">
        <v>247</v>
      </c>
      <c r="K3743" t="s">
        <v>261</v>
      </c>
      <c r="L3743" t="s">
        <v>274</v>
      </c>
      <c r="M3743" t="s">
        <v>283</v>
      </c>
      <c r="N3743" t="s">
        <v>292</v>
      </c>
      <c r="O3743" t="s">
        <v>300</v>
      </c>
      <c r="AK3743" t="s">
        <v>360</v>
      </c>
    </row>
    <row r="3744" spans="1:37">
      <c r="B3744" t="s">
        <v>52</v>
      </c>
      <c r="C3744" t="s">
        <v>76</v>
      </c>
      <c r="D3744" t="s">
        <v>96</v>
      </c>
      <c r="E3744" t="s">
        <v>115</v>
      </c>
      <c r="F3744" t="s">
        <v>149</v>
      </c>
      <c r="G3744" t="s">
        <v>174</v>
      </c>
      <c r="H3744" t="s">
        <v>96</v>
      </c>
      <c r="I3744" t="s">
        <v>229</v>
      </c>
      <c r="J3744" t="s">
        <v>248</v>
      </c>
      <c r="K3744" t="s">
        <v>262</v>
      </c>
      <c r="L3744" t="s">
        <v>52</v>
      </c>
      <c r="M3744" t="s">
        <v>76</v>
      </c>
      <c r="N3744" t="s">
        <v>293</v>
      </c>
      <c r="O3744" t="s">
        <v>301</v>
      </c>
      <c r="P3744" t="s">
        <v>309</v>
      </c>
      <c r="Q3744" t="s">
        <v>315</v>
      </c>
      <c r="R3744" t="s">
        <v>228</v>
      </c>
      <c r="S3744" t="s">
        <v>328</v>
      </c>
      <c r="T3744" t="s">
        <v>149</v>
      </c>
      <c r="U3744" t="s">
        <v>337</v>
      </c>
      <c r="V3744" t="s">
        <v>341</v>
      </c>
      <c r="W3744" t="s">
        <v>345</v>
      </c>
      <c r="X3744" t="s">
        <v>350</v>
      </c>
      <c r="AK3744" t="s">
        <v>360</v>
      </c>
    </row>
    <row r="3745" spans="1:37">
      <c r="B3745" t="s">
        <v>53</v>
      </c>
      <c r="C3745" t="s">
        <v>77</v>
      </c>
      <c r="D3745" t="s">
        <v>97</v>
      </c>
      <c r="E3745" t="s">
        <v>116</v>
      </c>
      <c r="F3745" t="s">
        <v>150</v>
      </c>
      <c r="G3745" t="s">
        <v>175</v>
      </c>
      <c r="H3745" t="s">
        <v>210</v>
      </c>
      <c r="I3745" t="s">
        <v>230</v>
      </c>
      <c r="J3745" t="s">
        <v>249</v>
      </c>
      <c r="K3745" t="s">
        <v>263</v>
      </c>
      <c r="L3745" t="s">
        <v>275</v>
      </c>
      <c r="M3745" t="s">
        <v>284</v>
      </c>
      <c r="N3745" t="s">
        <v>294</v>
      </c>
      <c r="O3745" t="s">
        <v>302</v>
      </c>
      <c r="P3745" t="s">
        <v>310</v>
      </c>
      <c r="Q3745" t="s">
        <v>316</v>
      </c>
      <c r="R3745" t="s">
        <v>322</v>
      </c>
      <c r="S3745" t="s">
        <v>329</v>
      </c>
      <c r="AK3745" t="s">
        <v>360</v>
      </c>
    </row>
    <row r="3746" spans="1:37">
      <c r="A3746" t="s">
        <v>39</v>
      </c>
      <c r="B3746" t="s">
        <v>54</v>
      </c>
      <c r="C3746" t="s">
        <v>54</v>
      </c>
      <c r="D3746" t="s">
        <v>54</v>
      </c>
      <c r="E3746" t="s">
        <v>54</v>
      </c>
      <c r="F3746" t="s">
        <v>54</v>
      </c>
      <c r="G3746" t="s">
        <v>54</v>
      </c>
      <c r="H3746" t="s">
        <v>54</v>
      </c>
      <c r="I3746" t="s">
        <v>54</v>
      </c>
      <c r="J3746" t="s">
        <v>54</v>
      </c>
      <c r="K3746" t="s">
        <v>54</v>
      </c>
      <c r="L3746" t="s">
        <v>54</v>
      </c>
      <c r="M3746" t="s">
        <v>54</v>
      </c>
      <c r="N3746" t="s">
        <v>54</v>
      </c>
      <c r="O3746" t="s">
        <v>54</v>
      </c>
      <c r="P3746" t="s">
        <v>54</v>
      </c>
      <c r="Q3746" t="s">
        <v>54</v>
      </c>
      <c r="R3746" t="s">
        <v>323</v>
      </c>
      <c r="S3746" t="s">
        <v>330</v>
      </c>
      <c r="AK3746" t="s">
        <v>360</v>
      </c>
    </row>
    <row r="3747" spans="1:37">
      <c r="B3747" t="s">
        <v>55</v>
      </c>
      <c r="C3747" t="s">
        <v>78</v>
      </c>
      <c r="D3747" t="s">
        <v>55</v>
      </c>
      <c r="E3747" t="s">
        <v>78</v>
      </c>
      <c r="F3747" t="s">
        <v>55</v>
      </c>
      <c r="G3747" t="s">
        <v>78</v>
      </c>
      <c r="H3747" t="s">
        <v>55</v>
      </c>
      <c r="I3747" t="s">
        <v>78</v>
      </c>
      <c r="J3747" t="s">
        <v>55</v>
      </c>
      <c r="K3747" t="s">
        <v>78</v>
      </c>
      <c r="L3747" t="s">
        <v>55</v>
      </c>
      <c r="M3747" t="s">
        <v>78</v>
      </c>
      <c r="N3747" t="s">
        <v>55</v>
      </c>
      <c r="O3747" t="s">
        <v>78</v>
      </c>
      <c r="P3747" t="s">
        <v>55</v>
      </c>
      <c r="Q3747" t="s">
        <v>78</v>
      </c>
      <c r="R3747" t="s">
        <v>55</v>
      </c>
      <c r="S3747" t="s">
        <v>78</v>
      </c>
      <c r="T3747" t="s">
        <v>55</v>
      </c>
      <c r="U3747" t="s">
        <v>78</v>
      </c>
      <c r="V3747" t="s">
        <v>55</v>
      </c>
      <c r="W3747" t="s">
        <v>78</v>
      </c>
      <c r="X3747" t="s">
        <v>55</v>
      </c>
      <c r="Y3747" t="s">
        <v>78</v>
      </c>
      <c r="Z3747" t="s">
        <v>55</v>
      </c>
      <c r="AA3747" t="s">
        <v>78</v>
      </c>
      <c r="AB3747" t="s">
        <v>55</v>
      </c>
      <c r="AC3747" t="s">
        <v>78</v>
      </c>
      <c r="AD3747" t="s">
        <v>55</v>
      </c>
      <c r="AE3747" t="s">
        <v>78</v>
      </c>
      <c r="AF3747" t="s">
        <v>55</v>
      </c>
      <c r="AG3747" t="s">
        <v>78</v>
      </c>
      <c r="AH3747" t="s">
        <v>55</v>
      </c>
      <c r="AI3747" t="s">
        <v>78</v>
      </c>
      <c r="AK3747" t="s">
        <v>360</v>
      </c>
    </row>
    <row r="3748" spans="1:37">
      <c r="B3748" t="s">
        <v>56</v>
      </c>
      <c r="C3748" t="s">
        <v>56</v>
      </c>
      <c r="D3748" t="s">
        <v>56</v>
      </c>
      <c r="E3748" t="s">
        <v>56</v>
      </c>
      <c r="F3748" t="s">
        <v>56</v>
      </c>
      <c r="G3748" t="s">
        <v>176</v>
      </c>
      <c r="H3748" t="s">
        <v>211</v>
      </c>
      <c r="I3748" t="s">
        <v>231</v>
      </c>
      <c r="J3748" t="s">
        <v>250</v>
      </c>
      <c r="K3748" t="s">
        <v>264</v>
      </c>
      <c r="L3748" t="s">
        <v>276</v>
      </c>
      <c r="M3748" t="s">
        <v>285</v>
      </c>
      <c r="N3748" t="s">
        <v>295</v>
      </c>
      <c r="O3748" t="s">
        <v>303</v>
      </c>
      <c r="P3748" t="s">
        <v>56</v>
      </c>
      <c r="Q3748" t="s">
        <v>317</v>
      </c>
      <c r="R3748" t="s">
        <v>324</v>
      </c>
      <c r="S3748" t="s">
        <v>331</v>
      </c>
      <c r="T3748" t="s">
        <v>334</v>
      </c>
      <c r="U3748" t="s">
        <v>338</v>
      </c>
      <c r="V3748" t="s">
        <v>342</v>
      </c>
      <c r="W3748" t="s">
        <v>346</v>
      </c>
      <c r="X3748" t="s">
        <v>351</v>
      </c>
      <c r="AK3748" t="s">
        <v>360</v>
      </c>
    </row>
    <row r="3749" spans="1:37">
      <c r="B3749" t="s">
        <v>57</v>
      </c>
      <c r="C3749" t="s">
        <v>79</v>
      </c>
      <c r="D3749" t="s">
        <v>98</v>
      </c>
      <c r="E3749" t="s">
        <v>117</v>
      </c>
      <c r="F3749" t="s">
        <v>151</v>
      </c>
      <c r="G3749" t="s">
        <v>177</v>
      </c>
      <c r="H3749" t="s">
        <v>212</v>
      </c>
      <c r="I3749" t="s">
        <v>232</v>
      </c>
      <c r="J3749" t="s">
        <v>251</v>
      </c>
      <c r="K3749" t="s">
        <v>265</v>
      </c>
      <c r="L3749" t="s">
        <v>277</v>
      </c>
      <c r="M3749" t="s">
        <v>286</v>
      </c>
      <c r="N3749" t="s">
        <v>296</v>
      </c>
      <c r="O3749" t="s">
        <v>304</v>
      </c>
      <c r="P3749" t="s">
        <v>311</v>
      </c>
      <c r="Q3749" t="s">
        <v>318</v>
      </c>
      <c r="R3749" t="s">
        <v>185</v>
      </c>
      <c r="S3749" t="s">
        <v>159</v>
      </c>
      <c r="T3749" t="s">
        <v>185</v>
      </c>
      <c r="U3749" t="s">
        <v>339</v>
      </c>
      <c r="V3749" t="s">
        <v>72</v>
      </c>
      <c r="W3749" t="s">
        <v>347</v>
      </c>
      <c r="X3749" t="s">
        <v>72</v>
      </c>
      <c r="Y3749" t="s">
        <v>96</v>
      </c>
      <c r="AK3749" t="s">
        <v>360</v>
      </c>
    </row>
    <row r="3750" spans="1:37">
      <c r="B3750" t="s">
        <v>58</v>
      </c>
      <c r="C3750" t="s">
        <v>80</v>
      </c>
      <c r="D3750" t="s">
        <v>99</v>
      </c>
      <c r="E3750" t="s">
        <v>118</v>
      </c>
      <c r="F3750" t="s">
        <v>152</v>
      </c>
      <c r="G3750" t="s">
        <v>178</v>
      </c>
      <c r="H3750" t="s">
        <v>213</v>
      </c>
      <c r="I3750" t="s">
        <v>233</v>
      </c>
      <c r="J3750" t="s">
        <v>252</v>
      </c>
      <c r="K3750" t="s">
        <v>266</v>
      </c>
      <c r="L3750" t="s">
        <v>278</v>
      </c>
      <c r="M3750" t="s">
        <v>287</v>
      </c>
      <c r="N3750" t="s">
        <v>297</v>
      </c>
      <c r="O3750" t="s">
        <v>305</v>
      </c>
      <c r="P3750" t="s">
        <v>312</v>
      </c>
      <c r="Q3750" t="s">
        <v>319</v>
      </c>
      <c r="R3750">
        <f>&gt;10       ветра      1.5     14   5</f>
        <v>0</v>
      </c>
      <c r="AK3750" t="s">
        <v>360</v>
      </c>
    </row>
    <row r="3751" spans="1:37">
      <c r="A3751" t="s">
        <v>40</v>
      </c>
      <c r="B3751" t="s">
        <v>59</v>
      </c>
      <c r="C3751" t="s">
        <v>81</v>
      </c>
      <c r="D3751" t="s">
        <v>100</v>
      </c>
      <c r="E3751" t="s">
        <v>119</v>
      </c>
      <c r="F3751" t="s">
        <v>153</v>
      </c>
      <c r="G3751" t="s">
        <v>179</v>
      </c>
      <c r="H3751" t="s">
        <v>214</v>
      </c>
      <c r="I3751" t="s">
        <v>234</v>
      </c>
      <c r="AK3751" t="s">
        <v>360</v>
      </c>
    </row>
    <row r="3752" spans="1:37">
      <c r="A3752" t="s">
        <v>40</v>
      </c>
      <c r="B3752" t="s">
        <v>60</v>
      </c>
      <c r="C3752" t="s">
        <v>82</v>
      </c>
      <c r="D3752" t="s">
        <v>101</v>
      </c>
      <c r="E3752" t="s">
        <v>120</v>
      </c>
      <c r="F3752" t="s">
        <v>154</v>
      </c>
      <c r="G3752" t="s">
        <v>180</v>
      </c>
      <c r="H3752" t="s">
        <v>215</v>
      </c>
      <c r="I3752" t="s">
        <v>235</v>
      </c>
      <c r="J3752" t="s">
        <v>253</v>
      </c>
      <c r="K3752" t="s">
        <v>267</v>
      </c>
      <c r="L3752" t="s">
        <v>279</v>
      </c>
      <c r="M3752" t="s">
        <v>288</v>
      </c>
      <c r="N3752" t="s">
        <v>100</v>
      </c>
      <c r="O3752" t="s">
        <v>306</v>
      </c>
      <c r="P3752" t="s">
        <v>313</v>
      </c>
      <c r="Q3752" t="s">
        <v>320</v>
      </c>
      <c r="R3752" t="s">
        <v>325</v>
      </c>
      <c r="S3752" t="s">
        <v>332</v>
      </c>
      <c r="T3752" t="s">
        <v>119</v>
      </c>
      <c r="U3752" t="s">
        <v>234</v>
      </c>
      <c r="V3752" t="s">
        <v>343</v>
      </c>
      <c r="W3752" t="s">
        <v>348</v>
      </c>
      <c r="X3752" t="s">
        <v>352</v>
      </c>
      <c r="Y3752" t="s">
        <v>354</v>
      </c>
      <c r="AK3752" t="s">
        <v>360</v>
      </c>
    </row>
    <row r="3753" spans="1:37">
      <c r="A3753" t="s">
        <v>41</v>
      </c>
      <c r="B3753" t="s">
        <v>61</v>
      </c>
      <c r="C3753" t="s">
        <v>83</v>
      </c>
      <c r="D3753" t="s">
        <v>102</v>
      </c>
      <c r="E3753" t="s">
        <v>121</v>
      </c>
      <c r="F3753" t="s">
        <v>155</v>
      </c>
      <c r="G3753" t="s">
        <v>181</v>
      </c>
      <c r="H3753" t="s">
        <v>216</v>
      </c>
      <c r="I3753" t="s">
        <v>236</v>
      </c>
      <c r="AK3753" t="s">
        <v>360</v>
      </c>
    </row>
    <row r="3754" spans="1:37">
      <c r="A3754" t="s">
        <v>42</v>
      </c>
      <c r="B3754" t="s">
        <v>62</v>
      </c>
      <c r="C3754" t="s">
        <v>84</v>
      </c>
      <c r="D3754" t="s">
        <v>103</v>
      </c>
      <c r="E3754" t="s">
        <v>122</v>
      </c>
      <c r="F3754" t="s">
        <v>156</v>
      </c>
      <c r="G3754" t="s">
        <v>182</v>
      </c>
      <c r="H3754" t="s">
        <v>83</v>
      </c>
      <c r="I3754" t="s">
        <v>237</v>
      </c>
      <c r="J3754" t="s">
        <v>254</v>
      </c>
      <c r="K3754" t="s">
        <v>268</v>
      </c>
      <c r="L3754" t="s">
        <v>280</v>
      </c>
      <c r="M3754" t="s">
        <v>289</v>
      </c>
      <c r="N3754" t="s">
        <v>298</v>
      </c>
      <c r="O3754" t="s">
        <v>307</v>
      </c>
      <c r="P3754" t="s">
        <v>314</v>
      </c>
      <c r="Q3754" t="s">
        <v>216</v>
      </c>
      <c r="R3754" t="s">
        <v>326</v>
      </c>
      <c r="S3754" t="s">
        <v>333</v>
      </c>
      <c r="T3754" t="s">
        <v>335</v>
      </c>
      <c r="U3754" t="s">
        <v>340</v>
      </c>
      <c r="V3754" t="s">
        <v>344</v>
      </c>
      <c r="W3754" t="s">
        <v>349</v>
      </c>
      <c r="AK3754" t="s">
        <v>360</v>
      </c>
    </row>
    <row r="3755" spans="1:37">
      <c r="A3755" t="s">
        <v>43</v>
      </c>
      <c r="B3755" t="s">
        <v>63</v>
      </c>
      <c r="C3755" t="s">
        <v>85</v>
      </c>
      <c r="D3755" t="s">
        <v>104</v>
      </c>
      <c r="E3755" t="s">
        <v>123</v>
      </c>
      <c r="F3755" t="s">
        <v>157</v>
      </c>
      <c r="G3755" t="s">
        <v>183</v>
      </c>
      <c r="AK3755" t="s">
        <v>360</v>
      </c>
    </row>
    <row r="3756" spans="1:37">
      <c r="A3756" t="s">
        <v>44</v>
      </c>
      <c r="B3756" t="s">
        <v>64</v>
      </c>
      <c r="C3756" t="s">
        <v>86</v>
      </c>
      <c r="D3756" t="s">
        <v>105</v>
      </c>
      <c r="E3756" t="s">
        <v>124</v>
      </c>
      <c r="F3756" t="s">
        <v>158</v>
      </c>
      <c r="G3756" t="s">
        <v>184</v>
      </c>
      <c r="AK3756" t="s">
        <v>360</v>
      </c>
    </row>
    <row r="3757" spans="1:37">
      <c r="A3757" t="s">
        <v>45</v>
      </c>
      <c r="B3757" t="s">
        <v>65</v>
      </c>
      <c r="C3757" t="s">
        <v>87</v>
      </c>
      <c r="D3757" t="s">
        <v>106</v>
      </c>
      <c r="E3757" t="s">
        <v>125</v>
      </c>
      <c r="F3757" t="s">
        <v>159</v>
      </c>
      <c r="G3757" t="s">
        <v>185</v>
      </c>
      <c r="H3757" t="s">
        <v>159</v>
      </c>
      <c r="I3757" t="s">
        <v>185</v>
      </c>
      <c r="J3757" t="s">
        <v>255</v>
      </c>
      <c r="AK3757" t="s">
        <v>360</v>
      </c>
    </row>
    <row r="3758" spans="1:37">
      <c r="A3758" t="s">
        <v>46</v>
      </c>
      <c r="B3758" t="s">
        <v>66</v>
      </c>
      <c r="C3758" t="s">
        <v>88</v>
      </c>
      <c r="D3758" t="s">
        <v>76</v>
      </c>
      <c r="E3758" t="s">
        <v>126</v>
      </c>
      <c r="F3758" t="s">
        <v>160</v>
      </c>
      <c r="G3758" t="s">
        <v>186</v>
      </c>
      <c r="H3758" t="s">
        <v>217</v>
      </c>
      <c r="I3758" t="s">
        <v>238</v>
      </c>
      <c r="J3758" t="s">
        <v>256</v>
      </c>
      <c r="K3758" t="s">
        <v>265</v>
      </c>
      <c r="L3758" t="s">
        <v>281</v>
      </c>
      <c r="M3758" t="s">
        <v>290</v>
      </c>
      <c r="N3758" t="s">
        <v>299</v>
      </c>
      <c r="O3758" t="s">
        <v>308</v>
      </c>
      <c r="P3758" t="s">
        <v>228</v>
      </c>
      <c r="Q3758" t="s">
        <v>72</v>
      </c>
      <c r="R3758" t="s">
        <v>327</v>
      </c>
      <c r="S3758" t="s">
        <v>327</v>
      </c>
      <c r="T3758" t="s">
        <v>336</v>
      </c>
      <c r="U3758" t="s">
        <v>336</v>
      </c>
      <c r="V3758" t="s">
        <v>336</v>
      </c>
      <c r="W3758" t="s">
        <v>336</v>
      </c>
      <c r="X3758" t="s">
        <v>353</v>
      </c>
      <c r="AK3758" t="s">
        <v>360</v>
      </c>
    </row>
    <row r="3759" spans="1:37">
      <c r="B3759" t="s">
        <v>67</v>
      </c>
      <c r="C3759" t="s">
        <v>89</v>
      </c>
      <c r="D3759" t="s">
        <v>107</v>
      </c>
      <c r="AK3759" t="s">
        <v>360</v>
      </c>
    </row>
    <row r="3760" spans="1:37">
      <c r="B3760" t="s">
        <v>68</v>
      </c>
      <c r="C3760" t="s">
        <v>90</v>
      </c>
      <c r="D3760" t="s">
        <v>108</v>
      </c>
      <c r="AK3760" t="s">
        <v>360</v>
      </c>
    </row>
    <row r="3761" spans="1:37">
      <c r="A3761" t="s">
        <v>47</v>
      </c>
      <c r="B3761" t="s">
        <v>69</v>
      </c>
      <c r="C3761" t="s">
        <v>91</v>
      </c>
      <c r="D3761" t="s">
        <v>109</v>
      </c>
      <c r="E3761" t="s">
        <v>109</v>
      </c>
      <c r="F3761" t="s">
        <v>109</v>
      </c>
      <c r="G3761" t="s">
        <v>109</v>
      </c>
      <c r="H3761" t="s">
        <v>109</v>
      </c>
      <c r="I3761" t="s">
        <v>239</v>
      </c>
      <c r="AK3761" t="s">
        <v>360</v>
      </c>
    </row>
    <row r="3762" spans="1:37">
      <c r="B3762" t="s">
        <v>70</v>
      </c>
      <c r="C3762" t="s">
        <v>92</v>
      </c>
      <c r="D3762" t="s">
        <v>110</v>
      </c>
      <c r="E3762" t="s">
        <v>127</v>
      </c>
      <c r="F3762" t="s">
        <v>161</v>
      </c>
      <c r="G3762" t="s">
        <v>187</v>
      </c>
      <c r="H3762" t="s">
        <v>218</v>
      </c>
      <c r="AK3762" t="s">
        <v>360</v>
      </c>
    </row>
    <row r="3763" spans="1:37">
      <c r="B3763" t="s">
        <v>71</v>
      </c>
      <c r="C3763" t="s">
        <v>93</v>
      </c>
      <c r="D3763" t="s">
        <v>111</v>
      </c>
      <c r="E3763" t="s">
        <v>128</v>
      </c>
      <c r="F3763" t="s">
        <v>162</v>
      </c>
      <c r="G3763" t="s">
        <v>188</v>
      </c>
      <c r="H3763" t="s">
        <v>219</v>
      </c>
      <c r="I3763" t="s">
        <v>240</v>
      </c>
      <c r="J3763" t="s">
        <v>257</v>
      </c>
      <c r="K3763" t="s">
        <v>269</v>
      </c>
      <c r="L3763" t="s">
        <v>109</v>
      </c>
      <c r="M3763" t="s">
        <v>109</v>
      </c>
      <c r="N3763" t="s">
        <v>109</v>
      </c>
      <c r="O3763" t="s">
        <v>109</v>
      </c>
      <c r="P3763" t="s">
        <v>109</v>
      </c>
      <c r="Q3763" t="s">
        <v>321</v>
      </c>
      <c r="AK3763" t="s">
        <v>360</v>
      </c>
    </row>
    <row r="3764" spans="1:37">
      <c r="A3764" t="s">
        <v>48</v>
      </c>
      <c r="B3764" t="s">
        <v>71</v>
      </c>
      <c r="C3764" t="s">
        <v>93</v>
      </c>
      <c r="D3764" t="s">
        <v>111</v>
      </c>
      <c r="E3764" t="s">
        <v>128</v>
      </c>
      <c r="F3764" t="s">
        <v>163</v>
      </c>
      <c r="G3764" t="s">
        <v>189</v>
      </c>
      <c r="H3764" t="s">
        <v>220</v>
      </c>
      <c r="I3764" t="s">
        <v>241</v>
      </c>
      <c r="J3764" t="s">
        <v>258</v>
      </c>
      <c r="K3764" t="s">
        <v>270</v>
      </c>
      <c r="AK3764" t="s">
        <v>360</v>
      </c>
    </row>
    <row r="3765" spans="1:37">
      <c r="B3765" t="s">
        <v>72</v>
      </c>
      <c r="C3765" t="s">
        <v>72</v>
      </c>
      <c r="D3765" t="s">
        <v>72</v>
      </c>
      <c r="E3765" t="s">
        <v>72</v>
      </c>
      <c r="F3765" t="s">
        <v>72</v>
      </c>
      <c r="G3765" t="s">
        <v>72</v>
      </c>
      <c r="H3765" t="s">
        <v>72</v>
      </c>
      <c r="I3765" t="s">
        <v>72</v>
      </c>
      <c r="J3765" t="s">
        <v>72</v>
      </c>
      <c r="K3765" t="s">
        <v>272</v>
      </c>
      <c r="AK3765" t="s">
        <v>360</v>
      </c>
    </row>
    <row r="3766" spans="1:37">
      <c r="A3766" t="s">
        <v>37</v>
      </c>
      <c r="B3766" t="s">
        <v>49</v>
      </c>
      <c r="C3766" t="s">
        <v>73</v>
      </c>
      <c r="D3766" t="s">
        <v>94</v>
      </c>
      <c r="E3766" t="s">
        <v>112</v>
      </c>
      <c r="F3766" t="s">
        <v>146</v>
      </c>
      <c r="G3766" t="s">
        <v>172</v>
      </c>
      <c r="H3766" t="s">
        <v>207</v>
      </c>
      <c r="I3766" t="s">
        <v>226</v>
      </c>
      <c r="J3766" t="s">
        <v>246</v>
      </c>
      <c r="K3766" t="s">
        <v>259</v>
      </c>
      <c r="AK3766" t="s">
        <v>360</v>
      </c>
    </row>
    <row r="3767" spans="1:37">
      <c r="A3767" t="s">
        <v>38</v>
      </c>
      <c r="B3767" t="s">
        <v>50</v>
      </c>
      <c r="C3767" t="s">
        <v>74</v>
      </c>
      <c r="D3767" t="s">
        <v>95</v>
      </c>
      <c r="E3767" t="s">
        <v>113</v>
      </c>
      <c r="F3767" t="s">
        <v>147</v>
      </c>
      <c r="G3767" t="s">
        <v>173</v>
      </c>
      <c r="H3767" t="s">
        <v>208</v>
      </c>
      <c r="I3767" t="s">
        <v>227</v>
      </c>
      <c r="J3767" t="s">
        <v>115</v>
      </c>
      <c r="K3767" t="s">
        <v>260</v>
      </c>
      <c r="L3767" t="s">
        <v>273</v>
      </c>
      <c r="M3767" t="s">
        <v>282</v>
      </c>
      <c r="N3767" t="s">
        <v>291</v>
      </c>
      <c r="AK3767" t="s">
        <v>360</v>
      </c>
    </row>
    <row r="3768" spans="1:37">
      <c r="B3768" t="s">
        <v>51</v>
      </c>
      <c r="C3768" t="s">
        <v>75</v>
      </c>
      <c r="D3768" t="s">
        <v>52</v>
      </c>
      <c r="E3768" t="s">
        <v>114</v>
      </c>
      <c r="F3768" t="s">
        <v>148</v>
      </c>
      <c r="G3768" t="s">
        <v>148</v>
      </c>
      <c r="H3768" t="s">
        <v>209</v>
      </c>
      <c r="I3768" t="s">
        <v>228</v>
      </c>
      <c r="J3768" t="s">
        <v>247</v>
      </c>
      <c r="K3768" t="s">
        <v>261</v>
      </c>
      <c r="L3768" t="s">
        <v>274</v>
      </c>
      <c r="M3768" t="s">
        <v>283</v>
      </c>
      <c r="N3768" t="s">
        <v>292</v>
      </c>
      <c r="O3768" t="s">
        <v>300</v>
      </c>
      <c r="AK3768" t="s">
        <v>360</v>
      </c>
    </row>
    <row r="3769" spans="1:37">
      <c r="B3769" t="s">
        <v>52</v>
      </c>
      <c r="C3769" t="s">
        <v>76</v>
      </c>
      <c r="D3769" t="s">
        <v>96</v>
      </c>
      <c r="E3769" t="s">
        <v>115</v>
      </c>
      <c r="F3769" t="s">
        <v>149</v>
      </c>
      <c r="G3769" t="s">
        <v>174</v>
      </c>
      <c r="H3769" t="s">
        <v>96</v>
      </c>
      <c r="I3769" t="s">
        <v>229</v>
      </c>
      <c r="J3769" t="s">
        <v>248</v>
      </c>
      <c r="K3769" t="s">
        <v>262</v>
      </c>
      <c r="L3769" t="s">
        <v>52</v>
      </c>
      <c r="M3769" t="s">
        <v>76</v>
      </c>
      <c r="N3769" t="s">
        <v>293</v>
      </c>
      <c r="O3769" t="s">
        <v>301</v>
      </c>
      <c r="P3769" t="s">
        <v>309</v>
      </c>
      <c r="Q3769" t="s">
        <v>315</v>
      </c>
      <c r="R3769" t="s">
        <v>228</v>
      </c>
      <c r="S3769" t="s">
        <v>328</v>
      </c>
      <c r="T3769" t="s">
        <v>149</v>
      </c>
      <c r="U3769" t="s">
        <v>337</v>
      </c>
      <c r="V3769" t="s">
        <v>341</v>
      </c>
      <c r="W3769" t="s">
        <v>345</v>
      </c>
      <c r="X3769" t="s">
        <v>350</v>
      </c>
      <c r="AK3769" t="s">
        <v>360</v>
      </c>
    </row>
    <row r="3770" spans="1:37">
      <c r="B3770" t="s">
        <v>53</v>
      </c>
      <c r="C3770" t="s">
        <v>77</v>
      </c>
      <c r="D3770" t="s">
        <v>97</v>
      </c>
      <c r="E3770" t="s">
        <v>116</v>
      </c>
      <c r="F3770" t="s">
        <v>150</v>
      </c>
      <c r="G3770" t="s">
        <v>175</v>
      </c>
      <c r="H3770" t="s">
        <v>210</v>
      </c>
      <c r="I3770" t="s">
        <v>230</v>
      </c>
      <c r="J3770" t="s">
        <v>249</v>
      </c>
      <c r="K3770" t="s">
        <v>263</v>
      </c>
      <c r="L3770" t="s">
        <v>275</v>
      </c>
      <c r="M3770" t="s">
        <v>284</v>
      </c>
      <c r="N3770" t="s">
        <v>294</v>
      </c>
      <c r="O3770" t="s">
        <v>302</v>
      </c>
      <c r="P3770" t="s">
        <v>310</v>
      </c>
      <c r="Q3770" t="s">
        <v>316</v>
      </c>
      <c r="R3770" t="s">
        <v>322</v>
      </c>
      <c r="S3770" t="s">
        <v>329</v>
      </c>
      <c r="AK3770" t="s">
        <v>360</v>
      </c>
    </row>
    <row r="3771" spans="1:37">
      <c r="A3771" t="s">
        <v>39</v>
      </c>
      <c r="B3771" t="s">
        <v>54</v>
      </c>
      <c r="C3771" t="s">
        <v>54</v>
      </c>
      <c r="D3771" t="s">
        <v>54</v>
      </c>
      <c r="E3771" t="s">
        <v>54</v>
      </c>
      <c r="F3771" t="s">
        <v>54</v>
      </c>
      <c r="G3771" t="s">
        <v>54</v>
      </c>
      <c r="H3771" t="s">
        <v>54</v>
      </c>
      <c r="I3771" t="s">
        <v>54</v>
      </c>
      <c r="J3771" t="s">
        <v>54</v>
      </c>
      <c r="K3771" t="s">
        <v>54</v>
      </c>
      <c r="L3771" t="s">
        <v>54</v>
      </c>
      <c r="M3771" t="s">
        <v>54</v>
      </c>
      <c r="N3771" t="s">
        <v>54</v>
      </c>
      <c r="O3771" t="s">
        <v>54</v>
      </c>
      <c r="P3771" t="s">
        <v>54</v>
      </c>
      <c r="Q3771" t="s">
        <v>54</v>
      </c>
      <c r="R3771" t="s">
        <v>323</v>
      </c>
      <c r="S3771" t="s">
        <v>330</v>
      </c>
      <c r="AK3771" t="s">
        <v>360</v>
      </c>
    </row>
    <row r="3772" spans="1:37">
      <c r="B3772" t="s">
        <v>55</v>
      </c>
      <c r="C3772" t="s">
        <v>78</v>
      </c>
      <c r="D3772" t="s">
        <v>55</v>
      </c>
      <c r="E3772" t="s">
        <v>78</v>
      </c>
      <c r="F3772" t="s">
        <v>55</v>
      </c>
      <c r="G3772" t="s">
        <v>78</v>
      </c>
      <c r="H3772" t="s">
        <v>55</v>
      </c>
      <c r="I3772" t="s">
        <v>78</v>
      </c>
      <c r="J3772" t="s">
        <v>55</v>
      </c>
      <c r="K3772" t="s">
        <v>78</v>
      </c>
      <c r="L3772" t="s">
        <v>55</v>
      </c>
      <c r="M3772" t="s">
        <v>78</v>
      </c>
      <c r="N3772" t="s">
        <v>55</v>
      </c>
      <c r="O3772" t="s">
        <v>78</v>
      </c>
      <c r="P3772" t="s">
        <v>55</v>
      </c>
      <c r="Q3772" t="s">
        <v>78</v>
      </c>
      <c r="R3772" t="s">
        <v>55</v>
      </c>
      <c r="S3772" t="s">
        <v>78</v>
      </c>
      <c r="T3772" t="s">
        <v>55</v>
      </c>
      <c r="U3772" t="s">
        <v>78</v>
      </c>
      <c r="V3772" t="s">
        <v>55</v>
      </c>
      <c r="W3772" t="s">
        <v>78</v>
      </c>
      <c r="X3772" t="s">
        <v>55</v>
      </c>
      <c r="Y3772" t="s">
        <v>78</v>
      </c>
      <c r="Z3772" t="s">
        <v>55</v>
      </c>
      <c r="AA3772" t="s">
        <v>78</v>
      </c>
      <c r="AB3772" t="s">
        <v>55</v>
      </c>
      <c r="AC3772" t="s">
        <v>78</v>
      </c>
      <c r="AD3772" t="s">
        <v>55</v>
      </c>
      <c r="AE3772" t="s">
        <v>78</v>
      </c>
      <c r="AF3772" t="s">
        <v>55</v>
      </c>
      <c r="AG3772" t="s">
        <v>78</v>
      </c>
      <c r="AH3772" t="s">
        <v>55</v>
      </c>
      <c r="AI3772" t="s">
        <v>78</v>
      </c>
      <c r="AK3772" t="s">
        <v>360</v>
      </c>
    </row>
    <row r="3773" spans="1:37">
      <c r="B3773" t="s">
        <v>56</v>
      </c>
      <c r="C3773" t="s">
        <v>56</v>
      </c>
      <c r="D3773" t="s">
        <v>56</v>
      </c>
      <c r="E3773" t="s">
        <v>56</v>
      </c>
      <c r="F3773" t="s">
        <v>56</v>
      </c>
      <c r="G3773" t="s">
        <v>176</v>
      </c>
      <c r="H3773" t="s">
        <v>211</v>
      </c>
      <c r="I3773" t="s">
        <v>231</v>
      </c>
      <c r="J3773" t="s">
        <v>250</v>
      </c>
      <c r="K3773" t="s">
        <v>264</v>
      </c>
      <c r="L3773" t="s">
        <v>276</v>
      </c>
      <c r="M3773" t="s">
        <v>285</v>
      </c>
      <c r="N3773" t="s">
        <v>295</v>
      </c>
      <c r="O3773" t="s">
        <v>303</v>
      </c>
      <c r="P3773" t="s">
        <v>56</v>
      </c>
      <c r="Q3773" t="s">
        <v>317</v>
      </c>
      <c r="R3773" t="s">
        <v>324</v>
      </c>
      <c r="S3773" t="s">
        <v>331</v>
      </c>
      <c r="T3773" t="s">
        <v>334</v>
      </c>
      <c r="U3773" t="s">
        <v>338</v>
      </c>
      <c r="V3773" t="s">
        <v>342</v>
      </c>
      <c r="W3773" t="s">
        <v>346</v>
      </c>
      <c r="X3773" t="s">
        <v>351</v>
      </c>
      <c r="AK3773" t="s">
        <v>360</v>
      </c>
    </row>
    <row r="3774" spans="1:37">
      <c r="B3774" t="s">
        <v>57</v>
      </c>
      <c r="C3774" t="s">
        <v>79</v>
      </c>
      <c r="D3774" t="s">
        <v>98</v>
      </c>
      <c r="E3774" t="s">
        <v>117</v>
      </c>
      <c r="F3774" t="s">
        <v>151</v>
      </c>
      <c r="G3774" t="s">
        <v>177</v>
      </c>
      <c r="H3774" t="s">
        <v>212</v>
      </c>
      <c r="I3774" t="s">
        <v>232</v>
      </c>
      <c r="J3774" t="s">
        <v>251</v>
      </c>
      <c r="K3774" t="s">
        <v>265</v>
      </c>
      <c r="L3774" t="s">
        <v>277</v>
      </c>
      <c r="M3774" t="s">
        <v>286</v>
      </c>
      <c r="N3774" t="s">
        <v>296</v>
      </c>
      <c r="O3774" t="s">
        <v>304</v>
      </c>
      <c r="P3774" t="s">
        <v>311</v>
      </c>
      <c r="Q3774" t="s">
        <v>318</v>
      </c>
      <c r="R3774" t="s">
        <v>185</v>
      </c>
      <c r="S3774" t="s">
        <v>159</v>
      </c>
      <c r="T3774" t="s">
        <v>185</v>
      </c>
      <c r="U3774" t="s">
        <v>339</v>
      </c>
      <c r="V3774" t="s">
        <v>72</v>
      </c>
      <c r="W3774" t="s">
        <v>347</v>
      </c>
      <c r="X3774" t="s">
        <v>72</v>
      </c>
      <c r="Y3774" t="s">
        <v>96</v>
      </c>
      <c r="AK3774" t="s">
        <v>360</v>
      </c>
    </row>
    <row r="3775" spans="1:37">
      <c r="B3775" t="s">
        <v>58</v>
      </c>
      <c r="C3775" t="s">
        <v>80</v>
      </c>
      <c r="D3775" t="s">
        <v>99</v>
      </c>
      <c r="E3775" t="s">
        <v>118</v>
      </c>
      <c r="F3775" t="s">
        <v>152</v>
      </c>
      <c r="G3775" t="s">
        <v>178</v>
      </c>
      <c r="H3775" t="s">
        <v>213</v>
      </c>
      <c r="I3775" t="s">
        <v>233</v>
      </c>
      <c r="J3775" t="s">
        <v>252</v>
      </c>
      <c r="K3775" t="s">
        <v>266</v>
      </c>
      <c r="L3775" t="s">
        <v>278</v>
      </c>
      <c r="M3775" t="s">
        <v>287</v>
      </c>
      <c r="N3775" t="s">
        <v>297</v>
      </c>
      <c r="O3775" t="s">
        <v>305</v>
      </c>
      <c r="P3775" t="s">
        <v>312</v>
      </c>
      <c r="Q3775" t="s">
        <v>319</v>
      </c>
      <c r="R3775">
        <f>&gt;10       ветра      1.9     20   5</f>
        <v>0</v>
      </c>
      <c r="AK3775" t="s">
        <v>360</v>
      </c>
    </row>
    <row r="3776" spans="1:37">
      <c r="A3776" t="s">
        <v>40</v>
      </c>
      <c r="B3776" t="s">
        <v>59</v>
      </c>
      <c r="C3776" t="s">
        <v>81</v>
      </c>
      <c r="D3776" t="s">
        <v>100</v>
      </c>
      <c r="E3776" t="s">
        <v>119</v>
      </c>
      <c r="F3776" t="s">
        <v>153</v>
      </c>
      <c r="G3776" t="s">
        <v>179</v>
      </c>
      <c r="H3776" t="s">
        <v>214</v>
      </c>
      <c r="I3776" t="s">
        <v>234</v>
      </c>
      <c r="AK3776" t="s">
        <v>360</v>
      </c>
    </row>
    <row r="3777" spans="1:37">
      <c r="A3777" t="s">
        <v>40</v>
      </c>
      <c r="B3777" t="s">
        <v>60</v>
      </c>
      <c r="C3777" t="s">
        <v>82</v>
      </c>
      <c r="D3777" t="s">
        <v>101</v>
      </c>
      <c r="E3777" t="s">
        <v>120</v>
      </c>
      <c r="F3777" t="s">
        <v>154</v>
      </c>
      <c r="G3777" t="s">
        <v>180</v>
      </c>
      <c r="H3777" t="s">
        <v>215</v>
      </c>
      <c r="I3777" t="s">
        <v>235</v>
      </c>
      <c r="J3777" t="s">
        <v>253</v>
      </c>
      <c r="K3777" t="s">
        <v>267</v>
      </c>
      <c r="L3777" t="s">
        <v>279</v>
      </c>
      <c r="M3777" t="s">
        <v>288</v>
      </c>
      <c r="N3777" t="s">
        <v>100</v>
      </c>
      <c r="O3777" t="s">
        <v>306</v>
      </c>
      <c r="P3777" t="s">
        <v>313</v>
      </c>
      <c r="Q3777" t="s">
        <v>320</v>
      </c>
      <c r="R3777" t="s">
        <v>325</v>
      </c>
      <c r="S3777" t="s">
        <v>332</v>
      </c>
      <c r="T3777" t="s">
        <v>119</v>
      </c>
      <c r="U3777" t="s">
        <v>234</v>
      </c>
      <c r="V3777" t="s">
        <v>343</v>
      </c>
      <c r="W3777" t="s">
        <v>348</v>
      </c>
      <c r="X3777" t="s">
        <v>352</v>
      </c>
      <c r="Y3777" t="s">
        <v>354</v>
      </c>
      <c r="AK3777" t="s">
        <v>360</v>
      </c>
    </row>
    <row r="3778" spans="1:37">
      <c r="A3778" t="s">
        <v>41</v>
      </c>
      <c r="B3778" t="s">
        <v>61</v>
      </c>
      <c r="C3778" t="s">
        <v>83</v>
      </c>
      <c r="D3778" t="s">
        <v>102</v>
      </c>
      <c r="E3778" t="s">
        <v>121</v>
      </c>
      <c r="F3778" t="s">
        <v>155</v>
      </c>
      <c r="G3778" t="s">
        <v>181</v>
      </c>
      <c r="H3778" t="s">
        <v>216</v>
      </c>
      <c r="I3778" t="s">
        <v>236</v>
      </c>
      <c r="AK3778" t="s">
        <v>360</v>
      </c>
    </row>
    <row r="3779" spans="1:37">
      <c r="A3779" t="s">
        <v>42</v>
      </c>
      <c r="B3779" t="s">
        <v>62</v>
      </c>
      <c r="C3779" t="s">
        <v>84</v>
      </c>
      <c r="D3779" t="s">
        <v>103</v>
      </c>
      <c r="E3779" t="s">
        <v>122</v>
      </c>
      <c r="F3779" t="s">
        <v>156</v>
      </c>
      <c r="G3779" t="s">
        <v>182</v>
      </c>
      <c r="H3779" t="s">
        <v>83</v>
      </c>
      <c r="I3779" t="s">
        <v>237</v>
      </c>
      <c r="J3779" t="s">
        <v>254</v>
      </c>
      <c r="K3779" t="s">
        <v>268</v>
      </c>
      <c r="L3779" t="s">
        <v>280</v>
      </c>
      <c r="M3779" t="s">
        <v>289</v>
      </c>
      <c r="N3779" t="s">
        <v>298</v>
      </c>
      <c r="O3779" t="s">
        <v>307</v>
      </c>
      <c r="P3779" t="s">
        <v>314</v>
      </c>
      <c r="Q3779" t="s">
        <v>216</v>
      </c>
      <c r="R3779" t="s">
        <v>326</v>
      </c>
      <c r="S3779" t="s">
        <v>333</v>
      </c>
      <c r="T3779" t="s">
        <v>335</v>
      </c>
      <c r="U3779" t="s">
        <v>340</v>
      </c>
      <c r="V3779" t="s">
        <v>344</v>
      </c>
      <c r="W3779" t="s">
        <v>349</v>
      </c>
      <c r="AK3779" t="s">
        <v>360</v>
      </c>
    </row>
    <row r="3780" spans="1:37">
      <c r="A3780" t="s">
        <v>43</v>
      </c>
      <c r="B3780" t="s">
        <v>63</v>
      </c>
      <c r="C3780" t="s">
        <v>85</v>
      </c>
      <c r="D3780" t="s">
        <v>104</v>
      </c>
      <c r="E3780" t="s">
        <v>123</v>
      </c>
      <c r="F3780" t="s">
        <v>157</v>
      </c>
      <c r="G3780" t="s">
        <v>183</v>
      </c>
      <c r="AK3780" t="s">
        <v>360</v>
      </c>
    </row>
    <row r="3781" spans="1:37">
      <c r="A3781" t="s">
        <v>44</v>
      </c>
      <c r="B3781" t="s">
        <v>64</v>
      </c>
      <c r="C3781" t="s">
        <v>86</v>
      </c>
      <c r="D3781" t="s">
        <v>105</v>
      </c>
      <c r="E3781" t="s">
        <v>124</v>
      </c>
      <c r="F3781" t="s">
        <v>158</v>
      </c>
      <c r="G3781" t="s">
        <v>184</v>
      </c>
      <c r="AK3781" t="s">
        <v>360</v>
      </c>
    </row>
    <row r="3782" spans="1:37">
      <c r="A3782" t="s">
        <v>45</v>
      </c>
      <c r="B3782" t="s">
        <v>65</v>
      </c>
      <c r="C3782" t="s">
        <v>87</v>
      </c>
      <c r="D3782" t="s">
        <v>106</v>
      </c>
      <c r="E3782" t="s">
        <v>125</v>
      </c>
      <c r="F3782" t="s">
        <v>159</v>
      </c>
      <c r="G3782" t="s">
        <v>185</v>
      </c>
      <c r="H3782" t="s">
        <v>159</v>
      </c>
      <c r="I3782" t="s">
        <v>185</v>
      </c>
      <c r="J3782" t="s">
        <v>255</v>
      </c>
      <c r="AK3782" t="s">
        <v>360</v>
      </c>
    </row>
    <row r="3783" spans="1:37">
      <c r="A3783" t="s">
        <v>46</v>
      </c>
      <c r="B3783" t="s">
        <v>66</v>
      </c>
      <c r="C3783" t="s">
        <v>88</v>
      </c>
      <c r="D3783" t="s">
        <v>76</v>
      </c>
      <c r="E3783" t="s">
        <v>126</v>
      </c>
      <c r="F3783" t="s">
        <v>160</v>
      </c>
      <c r="G3783" t="s">
        <v>186</v>
      </c>
      <c r="H3783" t="s">
        <v>217</v>
      </c>
      <c r="I3783" t="s">
        <v>238</v>
      </c>
      <c r="J3783" t="s">
        <v>256</v>
      </c>
      <c r="K3783" t="s">
        <v>265</v>
      </c>
      <c r="L3783" t="s">
        <v>281</v>
      </c>
      <c r="M3783" t="s">
        <v>290</v>
      </c>
      <c r="N3783" t="s">
        <v>299</v>
      </c>
      <c r="O3783" t="s">
        <v>308</v>
      </c>
      <c r="P3783" t="s">
        <v>228</v>
      </c>
      <c r="Q3783" t="s">
        <v>72</v>
      </c>
      <c r="R3783" t="s">
        <v>327</v>
      </c>
      <c r="S3783" t="s">
        <v>327</v>
      </c>
      <c r="T3783" t="s">
        <v>336</v>
      </c>
      <c r="U3783" t="s">
        <v>336</v>
      </c>
      <c r="V3783" t="s">
        <v>336</v>
      </c>
      <c r="W3783" t="s">
        <v>336</v>
      </c>
      <c r="X3783" t="s">
        <v>353</v>
      </c>
      <c r="AK3783" t="s">
        <v>360</v>
      </c>
    </row>
    <row r="3784" spans="1:37">
      <c r="B3784" t="s">
        <v>67</v>
      </c>
      <c r="C3784" t="s">
        <v>89</v>
      </c>
      <c r="D3784" t="s">
        <v>107</v>
      </c>
      <c r="AK3784" t="s">
        <v>360</v>
      </c>
    </row>
    <row r="3785" spans="1:37">
      <c r="B3785" t="s">
        <v>68</v>
      </c>
      <c r="C3785" t="s">
        <v>90</v>
      </c>
      <c r="D3785" t="s">
        <v>108</v>
      </c>
      <c r="AK3785" t="s">
        <v>360</v>
      </c>
    </row>
    <row r="3786" spans="1:37">
      <c r="A3786" t="s">
        <v>47</v>
      </c>
      <c r="B3786" t="s">
        <v>69</v>
      </c>
      <c r="C3786" t="s">
        <v>91</v>
      </c>
      <c r="D3786" t="s">
        <v>109</v>
      </c>
      <c r="E3786" t="s">
        <v>109</v>
      </c>
      <c r="F3786" t="s">
        <v>109</v>
      </c>
      <c r="G3786" t="s">
        <v>109</v>
      </c>
      <c r="H3786" t="s">
        <v>109</v>
      </c>
      <c r="I3786" t="s">
        <v>239</v>
      </c>
      <c r="AK3786" t="s">
        <v>360</v>
      </c>
    </row>
    <row r="3787" spans="1:37">
      <c r="B3787" t="s">
        <v>70</v>
      </c>
      <c r="C3787" t="s">
        <v>92</v>
      </c>
      <c r="D3787" t="s">
        <v>110</v>
      </c>
      <c r="E3787" t="s">
        <v>127</v>
      </c>
      <c r="F3787" t="s">
        <v>161</v>
      </c>
      <c r="G3787" t="s">
        <v>187</v>
      </c>
      <c r="H3787" t="s">
        <v>218</v>
      </c>
      <c r="AK3787" t="s">
        <v>360</v>
      </c>
    </row>
    <row r="3788" spans="1:37">
      <c r="B3788" t="s">
        <v>71</v>
      </c>
      <c r="C3788" t="s">
        <v>93</v>
      </c>
      <c r="D3788" t="s">
        <v>111</v>
      </c>
      <c r="E3788" t="s">
        <v>128</v>
      </c>
      <c r="F3788" t="s">
        <v>162</v>
      </c>
      <c r="G3788" t="s">
        <v>188</v>
      </c>
      <c r="H3788" t="s">
        <v>219</v>
      </c>
      <c r="I3788" t="s">
        <v>240</v>
      </c>
      <c r="J3788" t="s">
        <v>257</v>
      </c>
      <c r="K3788" t="s">
        <v>269</v>
      </c>
      <c r="L3788" t="s">
        <v>109</v>
      </c>
      <c r="M3788" t="s">
        <v>109</v>
      </c>
      <c r="N3788" t="s">
        <v>109</v>
      </c>
      <c r="O3788" t="s">
        <v>109</v>
      </c>
      <c r="P3788" t="s">
        <v>109</v>
      </c>
      <c r="Q3788" t="s">
        <v>321</v>
      </c>
      <c r="AK3788" t="s">
        <v>360</v>
      </c>
    </row>
    <row r="3789" spans="1:37">
      <c r="A3789" t="s">
        <v>48</v>
      </c>
      <c r="B3789" t="s">
        <v>71</v>
      </c>
      <c r="C3789" t="s">
        <v>93</v>
      </c>
      <c r="D3789" t="s">
        <v>111</v>
      </c>
      <c r="E3789" t="s">
        <v>128</v>
      </c>
      <c r="F3789" t="s">
        <v>163</v>
      </c>
      <c r="G3789" t="s">
        <v>189</v>
      </c>
      <c r="H3789" t="s">
        <v>220</v>
      </c>
      <c r="I3789" t="s">
        <v>241</v>
      </c>
      <c r="J3789" t="s">
        <v>258</v>
      </c>
      <c r="K3789" t="s">
        <v>270</v>
      </c>
      <c r="AK3789" t="s">
        <v>360</v>
      </c>
    </row>
    <row r="3790" spans="1:37">
      <c r="B3790" t="s">
        <v>72</v>
      </c>
      <c r="C3790" t="s">
        <v>72</v>
      </c>
      <c r="D3790" t="s">
        <v>72</v>
      </c>
      <c r="E3790" t="s">
        <v>139</v>
      </c>
      <c r="F3790" t="s">
        <v>139</v>
      </c>
      <c r="G3790" t="s">
        <v>192</v>
      </c>
      <c r="H3790" t="s">
        <v>192</v>
      </c>
      <c r="I3790" t="s">
        <v>192</v>
      </c>
      <c r="J3790" t="s">
        <v>192</v>
      </c>
      <c r="K3790" t="s">
        <v>272</v>
      </c>
      <c r="AK3790" t="s">
        <v>360</v>
      </c>
    </row>
    <row r="3791" spans="1:37">
      <c r="A3791" t="s">
        <v>37</v>
      </c>
      <c r="B3791" t="s">
        <v>49</v>
      </c>
      <c r="C3791" t="s">
        <v>73</v>
      </c>
      <c r="D3791" t="s">
        <v>94</v>
      </c>
      <c r="E3791" t="s">
        <v>112</v>
      </c>
      <c r="F3791" t="s">
        <v>146</v>
      </c>
      <c r="G3791" t="s">
        <v>172</v>
      </c>
      <c r="H3791" t="s">
        <v>207</v>
      </c>
      <c r="I3791" t="s">
        <v>226</v>
      </c>
      <c r="J3791" t="s">
        <v>246</v>
      </c>
      <c r="K3791" t="s">
        <v>259</v>
      </c>
      <c r="AK3791" t="s">
        <v>360</v>
      </c>
    </row>
    <row r="3792" spans="1:37">
      <c r="A3792" t="s">
        <v>38</v>
      </c>
      <c r="B3792" t="s">
        <v>50</v>
      </c>
      <c r="C3792" t="s">
        <v>74</v>
      </c>
      <c r="D3792" t="s">
        <v>95</v>
      </c>
      <c r="E3792" t="s">
        <v>113</v>
      </c>
      <c r="F3792" t="s">
        <v>147</v>
      </c>
      <c r="G3792" t="s">
        <v>173</v>
      </c>
      <c r="H3792" t="s">
        <v>208</v>
      </c>
      <c r="I3792" t="s">
        <v>227</v>
      </c>
      <c r="J3792" t="s">
        <v>115</v>
      </c>
      <c r="K3792" t="s">
        <v>260</v>
      </c>
      <c r="L3792" t="s">
        <v>273</v>
      </c>
      <c r="M3792" t="s">
        <v>282</v>
      </c>
      <c r="N3792" t="s">
        <v>291</v>
      </c>
      <c r="AK3792" t="s">
        <v>360</v>
      </c>
    </row>
    <row r="3793" spans="1:37">
      <c r="B3793" t="s">
        <v>51</v>
      </c>
      <c r="C3793" t="s">
        <v>75</v>
      </c>
      <c r="D3793" t="s">
        <v>52</v>
      </c>
      <c r="E3793" t="s">
        <v>114</v>
      </c>
      <c r="F3793" t="s">
        <v>148</v>
      </c>
      <c r="G3793" t="s">
        <v>148</v>
      </c>
      <c r="H3793" t="s">
        <v>209</v>
      </c>
      <c r="I3793" t="s">
        <v>228</v>
      </c>
      <c r="J3793" t="s">
        <v>247</v>
      </c>
      <c r="K3793" t="s">
        <v>261</v>
      </c>
      <c r="L3793" t="s">
        <v>274</v>
      </c>
      <c r="M3793" t="s">
        <v>283</v>
      </c>
      <c r="N3793" t="s">
        <v>292</v>
      </c>
      <c r="O3793" t="s">
        <v>300</v>
      </c>
      <c r="AK3793" t="s">
        <v>360</v>
      </c>
    </row>
    <row r="3794" spans="1:37">
      <c r="B3794" t="s">
        <v>52</v>
      </c>
      <c r="C3794" t="s">
        <v>76</v>
      </c>
      <c r="D3794" t="s">
        <v>96</v>
      </c>
      <c r="E3794" t="s">
        <v>115</v>
      </c>
      <c r="F3794" t="s">
        <v>149</v>
      </c>
      <c r="G3794" t="s">
        <v>174</v>
      </c>
      <c r="H3794" t="s">
        <v>96</v>
      </c>
      <c r="I3794" t="s">
        <v>229</v>
      </c>
      <c r="J3794" t="s">
        <v>248</v>
      </c>
      <c r="K3794" t="s">
        <v>262</v>
      </c>
      <c r="L3794" t="s">
        <v>52</v>
      </c>
      <c r="M3794" t="s">
        <v>76</v>
      </c>
      <c r="N3794" t="s">
        <v>293</v>
      </c>
      <c r="O3794" t="s">
        <v>301</v>
      </c>
      <c r="P3794" t="s">
        <v>309</v>
      </c>
      <c r="Q3794" t="s">
        <v>315</v>
      </c>
      <c r="R3794" t="s">
        <v>228</v>
      </c>
      <c r="S3794" t="s">
        <v>328</v>
      </c>
      <c r="T3794" t="s">
        <v>149</v>
      </c>
      <c r="U3794" t="s">
        <v>337</v>
      </c>
      <c r="V3794" t="s">
        <v>341</v>
      </c>
      <c r="W3794" t="s">
        <v>345</v>
      </c>
      <c r="X3794" t="s">
        <v>350</v>
      </c>
      <c r="AK3794" t="s">
        <v>360</v>
      </c>
    </row>
    <row r="3795" spans="1:37">
      <c r="B3795" t="s">
        <v>53</v>
      </c>
      <c r="C3795" t="s">
        <v>77</v>
      </c>
      <c r="D3795" t="s">
        <v>97</v>
      </c>
      <c r="E3795" t="s">
        <v>116</v>
      </c>
      <c r="F3795" t="s">
        <v>150</v>
      </c>
      <c r="G3795" t="s">
        <v>175</v>
      </c>
      <c r="H3795" t="s">
        <v>210</v>
      </c>
      <c r="I3795" t="s">
        <v>230</v>
      </c>
      <c r="J3795" t="s">
        <v>249</v>
      </c>
      <c r="K3795" t="s">
        <v>263</v>
      </c>
      <c r="L3795" t="s">
        <v>275</v>
      </c>
      <c r="M3795" t="s">
        <v>284</v>
      </c>
      <c r="N3795" t="s">
        <v>294</v>
      </c>
      <c r="O3795" t="s">
        <v>302</v>
      </c>
      <c r="P3795" t="s">
        <v>310</v>
      </c>
      <c r="Q3795" t="s">
        <v>316</v>
      </c>
      <c r="R3795" t="s">
        <v>322</v>
      </c>
      <c r="S3795" t="s">
        <v>329</v>
      </c>
      <c r="AK3795" t="s">
        <v>360</v>
      </c>
    </row>
    <row r="3796" spans="1:37">
      <c r="A3796" t="s">
        <v>39</v>
      </c>
      <c r="B3796" t="s">
        <v>54</v>
      </c>
      <c r="C3796" t="s">
        <v>54</v>
      </c>
      <c r="D3796" t="s">
        <v>54</v>
      </c>
      <c r="E3796" t="s">
        <v>54</v>
      </c>
      <c r="F3796" t="s">
        <v>54</v>
      </c>
      <c r="G3796" t="s">
        <v>54</v>
      </c>
      <c r="H3796" t="s">
        <v>54</v>
      </c>
      <c r="I3796" t="s">
        <v>54</v>
      </c>
      <c r="J3796" t="s">
        <v>54</v>
      </c>
      <c r="K3796" t="s">
        <v>54</v>
      </c>
      <c r="L3796" t="s">
        <v>54</v>
      </c>
      <c r="M3796" t="s">
        <v>54</v>
      </c>
      <c r="N3796" t="s">
        <v>54</v>
      </c>
      <c r="O3796" t="s">
        <v>54</v>
      </c>
      <c r="P3796" t="s">
        <v>54</v>
      </c>
      <c r="Q3796" t="s">
        <v>54</v>
      </c>
      <c r="R3796" t="s">
        <v>323</v>
      </c>
      <c r="S3796" t="s">
        <v>330</v>
      </c>
      <c r="AK3796" t="s">
        <v>360</v>
      </c>
    </row>
    <row r="3797" spans="1:37">
      <c r="B3797" t="s">
        <v>55</v>
      </c>
      <c r="C3797" t="s">
        <v>78</v>
      </c>
      <c r="D3797" t="s">
        <v>55</v>
      </c>
      <c r="E3797" t="s">
        <v>78</v>
      </c>
      <c r="F3797" t="s">
        <v>55</v>
      </c>
      <c r="G3797" t="s">
        <v>78</v>
      </c>
      <c r="H3797" t="s">
        <v>55</v>
      </c>
      <c r="I3797" t="s">
        <v>78</v>
      </c>
      <c r="J3797" t="s">
        <v>55</v>
      </c>
      <c r="K3797" t="s">
        <v>78</v>
      </c>
      <c r="L3797" t="s">
        <v>55</v>
      </c>
      <c r="M3797" t="s">
        <v>78</v>
      </c>
      <c r="N3797" t="s">
        <v>55</v>
      </c>
      <c r="O3797" t="s">
        <v>78</v>
      </c>
      <c r="P3797" t="s">
        <v>55</v>
      </c>
      <c r="Q3797" t="s">
        <v>78</v>
      </c>
      <c r="R3797" t="s">
        <v>55</v>
      </c>
      <c r="S3797" t="s">
        <v>78</v>
      </c>
      <c r="T3797" t="s">
        <v>55</v>
      </c>
      <c r="U3797" t="s">
        <v>78</v>
      </c>
      <c r="V3797" t="s">
        <v>55</v>
      </c>
      <c r="W3797" t="s">
        <v>78</v>
      </c>
      <c r="X3797" t="s">
        <v>55</v>
      </c>
      <c r="Y3797" t="s">
        <v>78</v>
      </c>
      <c r="Z3797" t="s">
        <v>55</v>
      </c>
      <c r="AA3797" t="s">
        <v>78</v>
      </c>
      <c r="AB3797" t="s">
        <v>55</v>
      </c>
      <c r="AC3797" t="s">
        <v>78</v>
      </c>
      <c r="AD3797" t="s">
        <v>55</v>
      </c>
      <c r="AE3797" t="s">
        <v>78</v>
      </c>
      <c r="AF3797" t="s">
        <v>55</v>
      </c>
      <c r="AG3797" t="s">
        <v>78</v>
      </c>
      <c r="AH3797" t="s">
        <v>55</v>
      </c>
      <c r="AI3797" t="s">
        <v>78</v>
      </c>
      <c r="AK3797" t="s">
        <v>360</v>
      </c>
    </row>
    <row r="3798" spans="1:37">
      <c r="B3798" t="s">
        <v>56</v>
      </c>
      <c r="C3798" t="s">
        <v>56</v>
      </c>
      <c r="D3798" t="s">
        <v>56</v>
      </c>
      <c r="E3798" t="s">
        <v>56</v>
      </c>
      <c r="F3798" t="s">
        <v>56</v>
      </c>
      <c r="G3798" t="s">
        <v>176</v>
      </c>
      <c r="H3798" t="s">
        <v>211</v>
      </c>
      <c r="I3798" t="s">
        <v>231</v>
      </c>
      <c r="J3798" t="s">
        <v>250</v>
      </c>
      <c r="K3798" t="s">
        <v>264</v>
      </c>
      <c r="L3798" t="s">
        <v>276</v>
      </c>
      <c r="M3798" t="s">
        <v>285</v>
      </c>
      <c r="N3798" t="s">
        <v>295</v>
      </c>
      <c r="O3798" t="s">
        <v>303</v>
      </c>
      <c r="P3798" t="s">
        <v>56</v>
      </c>
      <c r="Q3798" t="s">
        <v>317</v>
      </c>
      <c r="R3798" t="s">
        <v>324</v>
      </c>
      <c r="S3798" t="s">
        <v>331</v>
      </c>
      <c r="T3798" t="s">
        <v>334</v>
      </c>
      <c r="U3798" t="s">
        <v>338</v>
      </c>
      <c r="V3798" t="s">
        <v>342</v>
      </c>
      <c r="W3798" t="s">
        <v>346</v>
      </c>
      <c r="X3798" t="s">
        <v>351</v>
      </c>
      <c r="AK3798" t="s">
        <v>360</v>
      </c>
    </row>
    <row r="3799" spans="1:37">
      <c r="B3799" t="s">
        <v>57</v>
      </c>
      <c r="C3799" t="s">
        <v>79</v>
      </c>
      <c r="D3799" t="s">
        <v>98</v>
      </c>
      <c r="E3799" t="s">
        <v>117</v>
      </c>
      <c r="F3799" t="s">
        <v>151</v>
      </c>
      <c r="G3799" t="s">
        <v>177</v>
      </c>
      <c r="H3799" t="s">
        <v>212</v>
      </c>
      <c r="I3799" t="s">
        <v>232</v>
      </c>
      <c r="J3799" t="s">
        <v>251</v>
      </c>
      <c r="K3799" t="s">
        <v>265</v>
      </c>
      <c r="L3799" t="s">
        <v>277</v>
      </c>
      <c r="M3799" t="s">
        <v>286</v>
      </c>
      <c r="N3799" t="s">
        <v>296</v>
      </c>
      <c r="O3799" t="s">
        <v>304</v>
      </c>
      <c r="P3799" t="s">
        <v>311</v>
      </c>
      <c r="Q3799" t="s">
        <v>318</v>
      </c>
      <c r="R3799" t="s">
        <v>185</v>
      </c>
      <c r="S3799" t="s">
        <v>159</v>
      </c>
      <c r="T3799" t="s">
        <v>185</v>
      </c>
      <c r="U3799" t="s">
        <v>339</v>
      </c>
      <c r="V3799" t="s">
        <v>72</v>
      </c>
      <c r="W3799" t="s">
        <v>347</v>
      </c>
      <c r="X3799" t="s">
        <v>72</v>
      </c>
      <c r="Y3799" t="s">
        <v>96</v>
      </c>
      <c r="AK3799" t="s">
        <v>360</v>
      </c>
    </row>
    <row r="3800" spans="1:37">
      <c r="B3800" t="s">
        <v>58</v>
      </c>
      <c r="C3800" t="s">
        <v>80</v>
      </c>
      <c r="D3800" t="s">
        <v>99</v>
      </c>
      <c r="E3800" t="s">
        <v>118</v>
      </c>
      <c r="F3800" t="s">
        <v>152</v>
      </c>
      <c r="G3800" t="s">
        <v>178</v>
      </c>
      <c r="H3800" t="s">
        <v>213</v>
      </c>
      <c r="I3800" t="s">
        <v>233</v>
      </c>
      <c r="J3800" t="s">
        <v>252</v>
      </c>
      <c r="K3800" t="s">
        <v>266</v>
      </c>
      <c r="L3800" t="s">
        <v>278</v>
      </c>
      <c r="M3800" t="s">
        <v>287</v>
      </c>
      <c r="N3800" t="s">
        <v>297</v>
      </c>
      <c r="O3800" t="s">
        <v>305</v>
      </c>
      <c r="P3800" t="s">
        <v>312</v>
      </c>
      <c r="Q3800" t="s">
        <v>319</v>
      </c>
      <c r="R3800">
        <f>&gt;10       ветра      3.6     18   5 12</f>
        <v>0</v>
      </c>
      <c r="AK3800" t="s">
        <v>360</v>
      </c>
    </row>
    <row r="3801" spans="1:37">
      <c r="A3801" t="s">
        <v>40</v>
      </c>
      <c r="B3801" t="s">
        <v>59</v>
      </c>
      <c r="C3801" t="s">
        <v>81</v>
      </c>
      <c r="D3801" t="s">
        <v>100</v>
      </c>
      <c r="E3801" t="s">
        <v>119</v>
      </c>
      <c r="F3801" t="s">
        <v>153</v>
      </c>
      <c r="G3801" t="s">
        <v>179</v>
      </c>
      <c r="H3801" t="s">
        <v>214</v>
      </c>
      <c r="I3801" t="s">
        <v>234</v>
      </c>
      <c r="AK3801" t="s">
        <v>360</v>
      </c>
    </row>
    <row r="3802" spans="1:37">
      <c r="A3802" t="s">
        <v>40</v>
      </c>
      <c r="B3802" t="s">
        <v>60</v>
      </c>
      <c r="C3802" t="s">
        <v>82</v>
      </c>
      <c r="D3802" t="s">
        <v>101</v>
      </c>
      <c r="E3802" t="s">
        <v>120</v>
      </c>
      <c r="F3802" t="s">
        <v>154</v>
      </c>
      <c r="G3802" t="s">
        <v>180</v>
      </c>
      <c r="H3802" t="s">
        <v>215</v>
      </c>
      <c r="I3802" t="s">
        <v>235</v>
      </c>
      <c r="J3802" t="s">
        <v>253</v>
      </c>
      <c r="K3802" t="s">
        <v>267</v>
      </c>
      <c r="L3802" t="s">
        <v>279</v>
      </c>
      <c r="M3802" t="s">
        <v>288</v>
      </c>
      <c r="N3802" t="s">
        <v>100</v>
      </c>
      <c r="O3802" t="s">
        <v>306</v>
      </c>
      <c r="P3802" t="s">
        <v>313</v>
      </c>
      <c r="Q3802" t="s">
        <v>320</v>
      </c>
      <c r="R3802" t="s">
        <v>325</v>
      </c>
      <c r="S3802" t="s">
        <v>332</v>
      </c>
      <c r="T3802" t="s">
        <v>119</v>
      </c>
      <c r="U3802" t="s">
        <v>234</v>
      </c>
      <c r="V3802" t="s">
        <v>343</v>
      </c>
      <c r="W3802" t="s">
        <v>348</v>
      </c>
      <c r="X3802" t="s">
        <v>352</v>
      </c>
      <c r="Y3802" t="s">
        <v>354</v>
      </c>
      <c r="AK3802" t="s">
        <v>360</v>
      </c>
    </row>
    <row r="3803" spans="1:37">
      <c r="A3803" t="s">
        <v>41</v>
      </c>
      <c r="B3803" t="s">
        <v>61</v>
      </c>
      <c r="C3803" t="s">
        <v>83</v>
      </c>
      <c r="D3803" t="s">
        <v>102</v>
      </c>
      <c r="E3803" t="s">
        <v>121</v>
      </c>
      <c r="F3803" t="s">
        <v>155</v>
      </c>
      <c r="G3803" t="s">
        <v>181</v>
      </c>
      <c r="H3803" t="s">
        <v>216</v>
      </c>
      <c r="I3803" t="s">
        <v>236</v>
      </c>
      <c r="AK3803" t="s">
        <v>360</v>
      </c>
    </row>
    <row r="3804" spans="1:37">
      <c r="A3804" t="s">
        <v>42</v>
      </c>
      <c r="B3804" t="s">
        <v>62</v>
      </c>
      <c r="C3804" t="s">
        <v>84</v>
      </c>
      <c r="D3804" t="s">
        <v>103</v>
      </c>
      <c r="E3804" t="s">
        <v>122</v>
      </c>
      <c r="F3804" t="s">
        <v>156</v>
      </c>
      <c r="G3804" t="s">
        <v>182</v>
      </c>
      <c r="H3804" t="s">
        <v>83</v>
      </c>
      <c r="I3804" t="s">
        <v>237</v>
      </c>
      <c r="J3804" t="s">
        <v>254</v>
      </c>
      <c r="K3804" t="s">
        <v>268</v>
      </c>
      <c r="L3804" t="s">
        <v>280</v>
      </c>
      <c r="M3804" t="s">
        <v>289</v>
      </c>
      <c r="N3804" t="s">
        <v>298</v>
      </c>
      <c r="O3804" t="s">
        <v>307</v>
      </c>
      <c r="P3804" t="s">
        <v>314</v>
      </c>
      <c r="Q3804" t="s">
        <v>216</v>
      </c>
      <c r="R3804" t="s">
        <v>326</v>
      </c>
      <c r="S3804" t="s">
        <v>333</v>
      </c>
      <c r="T3804" t="s">
        <v>335</v>
      </c>
      <c r="U3804" t="s">
        <v>340</v>
      </c>
      <c r="V3804" t="s">
        <v>344</v>
      </c>
      <c r="W3804" t="s">
        <v>349</v>
      </c>
      <c r="AK3804" t="s">
        <v>360</v>
      </c>
    </row>
    <row r="3805" spans="1:37">
      <c r="A3805" t="s">
        <v>43</v>
      </c>
      <c r="B3805" t="s">
        <v>63</v>
      </c>
      <c r="C3805" t="s">
        <v>85</v>
      </c>
      <c r="D3805" t="s">
        <v>104</v>
      </c>
      <c r="E3805" t="s">
        <v>123</v>
      </c>
      <c r="F3805" t="s">
        <v>157</v>
      </c>
      <c r="G3805" t="s">
        <v>183</v>
      </c>
      <c r="AK3805" t="s">
        <v>360</v>
      </c>
    </row>
    <row r="3806" spans="1:37">
      <c r="A3806" t="s">
        <v>44</v>
      </c>
      <c r="B3806" t="s">
        <v>64</v>
      </c>
      <c r="C3806" t="s">
        <v>86</v>
      </c>
      <c r="D3806" t="s">
        <v>105</v>
      </c>
      <c r="E3806" t="s">
        <v>124</v>
      </c>
      <c r="F3806" t="s">
        <v>158</v>
      </c>
      <c r="G3806" t="s">
        <v>184</v>
      </c>
      <c r="AK3806" t="s">
        <v>360</v>
      </c>
    </row>
    <row r="3807" spans="1:37">
      <c r="A3807" t="s">
        <v>45</v>
      </c>
      <c r="B3807" t="s">
        <v>65</v>
      </c>
      <c r="C3807" t="s">
        <v>87</v>
      </c>
      <c r="D3807" t="s">
        <v>106</v>
      </c>
      <c r="E3807" t="s">
        <v>125</v>
      </c>
      <c r="F3807" t="s">
        <v>159</v>
      </c>
      <c r="G3807" t="s">
        <v>185</v>
      </c>
      <c r="H3807" t="s">
        <v>159</v>
      </c>
      <c r="I3807" t="s">
        <v>185</v>
      </c>
      <c r="J3807" t="s">
        <v>255</v>
      </c>
      <c r="AK3807" t="s">
        <v>360</v>
      </c>
    </row>
    <row r="3808" spans="1:37">
      <c r="A3808" t="s">
        <v>46</v>
      </c>
      <c r="B3808" t="s">
        <v>66</v>
      </c>
      <c r="C3808" t="s">
        <v>88</v>
      </c>
      <c r="D3808" t="s">
        <v>76</v>
      </c>
      <c r="E3808" t="s">
        <v>126</v>
      </c>
      <c r="F3808" t="s">
        <v>160</v>
      </c>
      <c r="G3808" t="s">
        <v>186</v>
      </c>
      <c r="H3808" t="s">
        <v>217</v>
      </c>
      <c r="I3808" t="s">
        <v>238</v>
      </c>
      <c r="J3808" t="s">
        <v>256</v>
      </c>
      <c r="K3808" t="s">
        <v>265</v>
      </c>
      <c r="L3808" t="s">
        <v>281</v>
      </c>
      <c r="M3808" t="s">
        <v>290</v>
      </c>
      <c r="N3808" t="s">
        <v>299</v>
      </c>
      <c r="O3808" t="s">
        <v>308</v>
      </c>
      <c r="P3808" t="s">
        <v>228</v>
      </c>
      <c r="Q3808" t="s">
        <v>72</v>
      </c>
      <c r="R3808" t="s">
        <v>327</v>
      </c>
      <c r="S3808" t="s">
        <v>327</v>
      </c>
      <c r="T3808" t="s">
        <v>336</v>
      </c>
      <c r="U3808" t="s">
        <v>336</v>
      </c>
      <c r="V3808" t="s">
        <v>336</v>
      </c>
      <c r="W3808" t="s">
        <v>336</v>
      </c>
      <c r="X3808" t="s">
        <v>353</v>
      </c>
      <c r="AK3808" t="s">
        <v>360</v>
      </c>
    </row>
    <row r="3809" spans="1:37">
      <c r="B3809" t="s">
        <v>67</v>
      </c>
      <c r="C3809" t="s">
        <v>89</v>
      </c>
      <c r="D3809" t="s">
        <v>107</v>
      </c>
      <c r="AK3809" t="s">
        <v>360</v>
      </c>
    </row>
    <row r="3810" spans="1:37">
      <c r="B3810" t="s">
        <v>68</v>
      </c>
      <c r="C3810" t="s">
        <v>90</v>
      </c>
      <c r="D3810" t="s">
        <v>108</v>
      </c>
      <c r="AK3810" t="s">
        <v>360</v>
      </c>
    </row>
    <row r="3811" spans="1:37">
      <c r="A3811" t="s">
        <v>47</v>
      </c>
      <c r="B3811" t="s">
        <v>69</v>
      </c>
      <c r="C3811" t="s">
        <v>91</v>
      </c>
      <c r="D3811" t="s">
        <v>109</v>
      </c>
      <c r="E3811" t="s">
        <v>109</v>
      </c>
      <c r="F3811" t="s">
        <v>109</v>
      </c>
      <c r="G3811" t="s">
        <v>109</v>
      </c>
      <c r="H3811" t="s">
        <v>109</v>
      </c>
      <c r="I3811" t="s">
        <v>239</v>
      </c>
      <c r="AK3811" t="s">
        <v>360</v>
      </c>
    </row>
    <row r="3812" spans="1:37">
      <c r="B3812" t="s">
        <v>70</v>
      </c>
      <c r="C3812" t="s">
        <v>92</v>
      </c>
      <c r="D3812" t="s">
        <v>110</v>
      </c>
      <c r="E3812" t="s">
        <v>127</v>
      </c>
      <c r="F3812" t="s">
        <v>161</v>
      </c>
      <c r="G3812" t="s">
        <v>187</v>
      </c>
      <c r="H3812" t="s">
        <v>218</v>
      </c>
      <c r="AK3812" t="s">
        <v>360</v>
      </c>
    </row>
    <row r="3813" spans="1:37">
      <c r="B3813" t="s">
        <v>71</v>
      </c>
      <c r="C3813" t="s">
        <v>93</v>
      </c>
      <c r="D3813" t="s">
        <v>111</v>
      </c>
      <c r="E3813" t="s">
        <v>128</v>
      </c>
      <c r="F3813" t="s">
        <v>162</v>
      </c>
      <c r="G3813" t="s">
        <v>188</v>
      </c>
      <c r="H3813" t="s">
        <v>219</v>
      </c>
      <c r="I3813" t="s">
        <v>240</v>
      </c>
      <c r="J3813" t="s">
        <v>257</v>
      </c>
      <c r="K3813" t="s">
        <v>269</v>
      </c>
      <c r="L3813" t="s">
        <v>109</v>
      </c>
      <c r="M3813" t="s">
        <v>109</v>
      </c>
      <c r="N3813" t="s">
        <v>109</v>
      </c>
      <c r="O3813" t="s">
        <v>109</v>
      </c>
      <c r="P3813" t="s">
        <v>109</v>
      </c>
      <c r="Q3813" t="s">
        <v>321</v>
      </c>
      <c r="AK3813" t="s">
        <v>360</v>
      </c>
    </row>
    <row r="3814" spans="1:37">
      <c r="A3814" t="s">
        <v>48</v>
      </c>
      <c r="B3814" t="s">
        <v>71</v>
      </c>
      <c r="C3814" t="s">
        <v>93</v>
      </c>
      <c r="D3814" t="s">
        <v>111</v>
      </c>
      <c r="E3814" t="s">
        <v>128</v>
      </c>
      <c r="F3814" t="s">
        <v>163</v>
      </c>
      <c r="G3814" t="s">
        <v>189</v>
      </c>
      <c r="H3814" t="s">
        <v>220</v>
      </c>
      <c r="I3814" t="s">
        <v>241</v>
      </c>
      <c r="J3814" t="s">
        <v>258</v>
      </c>
      <c r="K3814" t="s">
        <v>270</v>
      </c>
      <c r="AK3814" t="s">
        <v>360</v>
      </c>
    </row>
    <row r="3815" spans="1:37">
      <c r="B3815" t="s">
        <v>72</v>
      </c>
      <c r="C3815" t="s">
        <v>72</v>
      </c>
      <c r="D3815" t="s">
        <v>72</v>
      </c>
      <c r="E3815" t="s">
        <v>139</v>
      </c>
      <c r="F3815" t="s">
        <v>139</v>
      </c>
      <c r="G3815" t="s">
        <v>192</v>
      </c>
      <c r="H3815" t="s">
        <v>192</v>
      </c>
      <c r="I3815" t="s">
        <v>192</v>
      </c>
      <c r="J3815" t="s">
        <v>192</v>
      </c>
      <c r="K3815" t="s">
        <v>271</v>
      </c>
      <c r="AK3815" t="s">
        <v>360</v>
      </c>
    </row>
    <row r="3816" spans="1:37">
      <c r="A3816" t="s">
        <v>37</v>
      </c>
      <c r="B3816" t="s">
        <v>49</v>
      </c>
      <c r="C3816" t="s">
        <v>73</v>
      </c>
      <c r="D3816" t="s">
        <v>94</v>
      </c>
      <c r="E3816" t="s">
        <v>112</v>
      </c>
      <c r="F3816" t="s">
        <v>146</v>
      </c>
      <c r="G3816" t="s">
        <v>172</v>
      </c>
      <c r="H3816" t="s">
        <v>207</v>
      </c>
      <c r="I3816" t="s">
        <v>226</v>
      </c>
      <c r="J3816" t="s">
        <v>246</v>
      </c>
      <c r="K3816" t="s">
        <v>259</v>
      </c>
      <c r="AK3816" t="s">
        <v>360</v>
      </c>
    </row>
    <row r="3817" spans="1:37">
      <c r="A3817" t="s">
        <v>38</v>
      </c>
      <c r="B3817" t="s">
        <v>50</v>
      </c>
      <c r="C3817" t="s">
        <v>74</v>
      </c>
      <c r="D3817" t="s">
        <v>95</v>
      </c>
      <c r="E3817" t="s">
        <v>113</v>
      </c>
      <c r="F3817" t="s">
        <v>147</v>
      </c>
      <c r="G3817" t="s">
        <v>173</v>
      </c>
      <c r="H3817" t="s">
        <v>208</v>
      </c>
      <c r="I3817" t="s">
        <v>227</v>
      </c>
      <c r="J3817" t="s">
        <v>115</v>
      </c>
      <c r="K3817" t="s">
        <v>260</v>
      </c>
      <c r="L3817" t="s">
        <v>273</v>
      </c>
      <c r="M3817" t="s">
        <v>282</v>
      </c>
      <c r="N3817" t="s">
        <v>291</v>
      </c>
      <c r="AK3817" t="s">
        <v>360</v>
      </c>
    </row>
    <row r="3818" spans="1:37">
      <c r="B3818" t="s">
        <v>51</v>
      </c>
      <c r="C3818" t="s">
        <v>75</v>
      </c>
      <c r="D3818" t="s">
        <v>52</v>
      </c>
      <c r="E3818" t="s">
        <v>114</v>
      </c>
      <c r="F3818" t="s">
        <v>148</v>
      </c>
      <c r="G3818" t="s">
        <v>148</v>
      </c>
      <c r="H3818" t="s">
        <v>209</v>
      </c>
      <c r="I3818" t="s">
        <v>228</v>
      </c>
      <c r="J3818" t="s">
        <v>247</v>
      </c>
      <c r="K3818" t="s">
        <v>261</v>
      </c>
      <c r="L3818" t="s">
        <v>274</v>
      </c>
      <c r="M3818" t="s">
        <v>283</v>
      </c>
      <c r="N3818" t="s">
        <v>292</v>
      </c>
      <c r="O3818" t="s">
        <v>300</v>
      </c>
      <c r="AK3818" t="s">
        <v>360</v>
      </c>
    </row>
    <row r="3819" spans="1:37">
      <c r="B3819" t="s">
        <v>52</v>
      </c>
      <c r="C3819" t="s">
        <v>76</v>
      </c>
      <c r="D3819" t="s">
        <v>96</v>
      </c>
      <c r="E3819" t="s">
        <v>115</v>
      </c>
      <c r="F3819" t="s">
        <v>149</v>
      </c>
      <c r="G3819" t="s">
        <v>174</v>
      </c>
      <c r="H3819" t="s">
        <v>96</v>
      </c>
      <c r="I3819" t="s">
        <v>229</v>
      </c>
      <c r="J3819" t="s">
        <v>248</v>
      </c>
      <c r="K3819" t="s">
        <v>262</v>
      </c>
      <c r="L3819" t="s">
        <v>52</v>
      </c>
      <c r="M3819" t="s">
        <v>76</v>
      </c>
      <c r="N3819" t="s">
        <v>293</v>
      </c>
      <c r="O3819" t="s">
        <v>301</v>
      </c>
      <c r="P3819" t="s">
        <v>309</v>
      </c>
      <c r="Q3819" t="s">
        <v>315</v>
      </c>
      <c r="R3819" t="s">
        <v>228</v>
      </c>
      <c r="S3819" t="s">
        <v>328</v>
      </c>
      <c r="T3819" t="s">
        <v>149</v>
      </c>
      <c r="U3819" t="s">
        <v>337</v>
      </c>
      <c r="V3819" t="s">
        <v>341</v>
      </c>
      <c r="W3819" t="s">
        <v>345</v>
      </c>
      <c r="X3819" t="s">
        <v>350</v>
      </c>
      <c r="AK3819" t="s">
        <v>360</v>
      </c>
    </row>
    <row r="3820" spans="1:37">
      <c r="B3820" t="s">
        <v>53</v>
      </c>
      <c r="C3820" t="s">
        <v>77</v>
      </c>
      <c r="D3820" t="s">
        <v>97</v>
      </c>
      <c r="E3820" t="s">
        <v>116</v>
      </c>
      <c r="F3820" t="s">
        <v>150</v>
      </c>
      <c r="G3820" t="s">
        <v>175</v>
      </c>
      <c r="H3820" t="s">
        <v>210</v>
      </c>
      <c r="I3820" t="s">
        <v>230</v>
      </c>
      <c r="J3820" t="s">
        <v>249</v>
      </c>
      <c r="K3820" t="s">
        <v>263</v>
      </c>
      <c r="L3820" t="s">
        <v>275</v>
      </c>
      <c r="M3820" t="s">
        <v>284</v>
      </c>
      <c r="N3820" t="s">
        <v>294</v>
      </c>
      <c r="O3820" t="s">
        <v>302</v>
      </c>
      <c r="P3820" t="s">
        <v>310</v>
      </c>
      <c r="Q3820" t="s">
        <v>316</v>
      </c>
      <c r="R3820" t="s">
        <v>322</v>
      </c>
      <c r="S3820" t="s">
        <v>329</v>
      </c>
      <c r="AK3820" t="s">
        <v>360</v>
      </c>
    </row>
    <row r="3821" spans="1:37">
      <c r="A3821" t="s">
        <v>39</v>
      </c>
      <c r="B3821" t="s">
        <v>54</v>
      </c>
      <c r="C3821" t="s">
        <v>54</v>
      </c>
      <c r="D3821" t="s">
        <v>54</v>
      </c>
      <c r="E3821" t="s">
        <v>54</v>
      </c>
      <c r="F3821" t="s">
        <v>54</v>
      </c>
      <c r="G3821" t="s">
        <v>54</v>
      </c>
      <c r="H3821" t="s">
        <v>54</v>
      </c>
      <c r="I3821" t="s">
        <v>54</v>
      </c>
      <c r="J3821" t="s">
        <v>54</v>
      </c>
      <c r="K3821" t="s">
        <v>54</v>
      </c>
      <c r="L3821" t="s">
        <v>54</v>
      </c>
      <c r="M3821" t="s">
        <v>54</v>
      </c>
      <c r="N3821" t="s">
        <v>54</v>
      </c>
      <c r="O3821" t="s">
        <v>54</v>
      </c>
      <c r="P3821" t="s">
        <v>54</v>
      </c>
      <c r="Q3821" t="s">
        <v>54</v>
      </c>
      <c r="R3821" t="s">
        <v>323</v>
      </c>
      <c r="S3821" t="s">
        <v>330</v>
      </c>
      <c r="AK3821" t="s">
        <v>360</v>
      </c>
    </row>
    <row r="3822" spans="1:37">
      <c r="B3822" t="s">
        <v>55</v>
      </c>
      <c r="C3822" t="s">
        <v>78</v>
      </c>
      <c r="D3822" t="s">
        <v>55</v>
      </c>
      <c r="E3822" t="s">
        <v>78</v>
      </c>
      <c r="F3822" t="s">
        <v>55</v>
      </c>
      <c r="G3822" t="s">
        <v>78</v>
      </c>
      <c r="H3822" t="s">
        <v>55</v>
      </c>
      <c r="I3822" t="s">
        <v>78</v>
      </c>
      <c r="J3822" t="s">
        <v>55</v>
      </c>
      <c r="K3822" t="s">
        <v>78</v>
      </c>
      <c r="L3822" t="s">
        <v>55</v>
      </c>
      <c r="M3822" t="s">
        <v>78</v>
      </c>
      <c r="N3822" t="s">
        <v>55</v>
      </c>
      <c r="O3822" t="s">
        <v>78</v>
      </c>
      <c r="P3822" t="s">
        <v>55</v>
      </c>
      <c r="Q3822" t="s">
        <v>78</v>
      </c>
      <c r="R3822" t="s">
        <v>55</v>
      </c>
      <c r="S3822" t="s">
        <v>78</v>
      </c>
      <c r="T3822" t="s">
        <v>55</v>
      </c>
      <c r="U3822" t="s">
        <v>78</v>
      </c>
      <c r="V3822" t="s">
        <v>55</v>
      </c>
      <c r="W3822" t="s">
        <v>78</v>
      </c>
      <c r="X3822" t="s">
        <v>55</v>
      </c>
      <c r="Y3822" t="s">
        <v>78</v>
      </c>
      <c r="Z3822" t="s">
        <v>55</v>
      </c>
      <c r="AA3822" t="s">
        <v>78</v>
      </c>
      <c r="AB3822" t="s">
        <v>55</v>
      </c>
      <c r="AC3822" t="s">
        <v>78</v>
      </c>
      <c r="AD3822" t="s">
        <v>55</v>
      </c>
      <c r="AE3822" t="s">
        <v>78</v>
      </c>
      <c r="AF3822" t="s">
        <v>55</v>
      </c>
      <c r="AG3822" t="s">
        <v>78</v>
      </c>
      <c r="AH3822" t="s">
        <v>55</v>
      </c>
      <c r="AI3822" t="s">
        <v>78</v>
      </c>
      <c r="AK3822" t="s">
        <v>360</v>
      </c>
    </row>
    <row r="3823" spans="1:37">
      <c r="B3823" t="s">
        <v>56</v>
      </c>
      <c r="C3823" t="s">
        <v>56</v>
      </c>
      <c r="D3823" t="s">
        <v>56</v>
      </c>
      <c r="E3823" t="s">
        <v>56</v>
      </c>
      <c r="F3823" t="s">
        <v>56</v>
      </c>
      <c r="G3823" t="s">
        <v>176</v>
      </c>
      <c r="H3823" t="s">
        <v>211</v>
      </c>
      <c r="I3823" t="s">
        <v>231</v>
      </c>
      <c r="J3823" t="s">
        <v>250</v>
      </c>
      <c r="K3823" t="s">
        <v>264</v>
      </c>
      <c r="L3823" t="s">
        <v>276</v>
      </c>
      <c r="M3823" t="s">
        <v>285</v>
      </c>
      <c r="N3823" t="s">
        <v>295</v>
      </c>
      <c r="O3823" t="s">
        <v>303</v>
      </c>
      <c r="P3823" t="s">
        <v>56</v>
      </c>
      <c r="Q3823" t="s">
        <v>317</v>
      </c>
      <c r="R3823" t="s">
        <v>324</v>
      </c>
      <c r="S3823" t="s">
        <v>331</v>
      </c>
      <c r="T3823" t="s">
        <v>334</v>
      </c>
      <c r="U3823" t="s">
        <v>338</v>
      </c>
      <c r="V3823" t="s">
        <v>342</v>
      </c>
      <c r="W3823" t="s">
        <v>346</v>
      </c>
      <c r="X3823" t="s">
        <v>351</v>
      </c>
      <c r="AK3823" t="s">
        <v>360</v>
      </c>
    </row>
    <row r="3824" spans="1:37">
      <c r="B3824" t="s">
        <v>57</v>
      </c>
      <c r="C3824" t="s">
        <v>79</v>
      </c>
      <c r="D3824" t="s">
        <v>98</v>
      </c>
      <c r="E3824" t="s">
        <v>117</v>
      </c>
      <c r="F3824" t="s">
        <v>151</v>
      </c>
      <c r="G3824" t="s">
        <v>177</v>
      </c>
      <c r="H3824" t="s">
        <v>212</v>
      </c>
      <c r="I3824" t="s">
        <v>232</v>
      </c>
      <c r="J3824" t="s">
        <v>251</v>
      </c>
      <c r="K3824" t="s">
        <v>265</v>
      </c>
      <c r="L3824" t="s">
        <v>277</v>
      </c>
      <c r="M3824" t="s">
        <v>286</v>
      </c>
      <c r="N3824" t="s">
        <v>296</v>
      </c>
      <c r="O3824" t="s">
        <v>304</v>
      </c>
      <c r="P3824" t="s">
        <v>311</v>
      </c>
      <c r="Q3824" t="s">
        <v>318</v>
      </c>
      <c r="R3824" t="s">
        <v>185</v>
      </c>
      <c r="S3824" t="s">
        <v>159</v>
      </c>
      <c r="T3824" t="s">
        <v>185</v>
      </c>
      <c r="U3824" t="s">
        <v>339</v>
      </c>
      <c r="V3824" t="s">
        <v>72</v>
      </c>
      <c r="W3824" t="s">
        <v>347</v>
      </c>
      <c r="X3824" t="s">
        <v>72</v>
      </c>
      <c r="Y3824" t="s">
        <v>96</v>
      </c>
      <c r="AK3824" t="s">
        <v>360</v>
      </c>
    </row>
    <row r="3825" spans="1:37">
      <c r="B3825" t="s">
        <v>58</v>
      </c>
      <c r="C3825" t="s">
        <v>80</v>
      </c>
      <c r="D3825" t="s">
        <v>99</v>
      </c>
      <c r="E3825" t="s">
        <v>118</v>
      </c>
      <c r="F3825" t="s">
        <v>152</v>
      </c>
      <c r="G3825" t="s">
        <v>178</v>
      </c>
      <c r="H3825" t="s">
        <v>213</v>
      </c>
      <c r="I3825" t="s">
        <v>233</v>
      </c>
      <c r="J3825" t="s">
        <v>252</v>
      </c>
      <c r="K3825" t="s">
        <v>266</v>
      </c>
      <c r="L3825" t="s">
        <v>278</v>
      </c>
      <c r="M3825" t="s">
        <v>287</v>
      </c>
      <c r="N3825" t="s">
        <v>297</v>
      </c>
      <c r="O3825" t="s">
        <v>305</v>
      </c>
      <c r="P3825" t="s">
        <v>312</v>
      </c>
      <c r="Q3825" t="s">
        <v>319</v>
      </c>
      <c r="R3825">
        <f>&gt;10       ветра      2.2     21   2</f>
        <v>0</v>
      </c>
      <c r="AK3825" t="s">
        <v>360</v>
      </c>
    </row>
    <row r="3826" spans="1:37">
      <c r="A3826" t="s">
        <v>40</v>
      </c>
      <c r="B3826" t="s">
        <v>59</v>
      </c>
      <c r="C3826" t="s">
        <v>81</v>
      </c>
      <c r="D3826" t="s">
        <v>100</v>
      </c>
      <c r="E3826" t="s">
        <v>119</v>
      </c>
      <c r="F3826" t="s">
        <v>153</v>
      </c>
      <c r="G3826" t="s">
        <v>179</v>
      </c>
      <c r="H3826" t="s">
        <v>214</v>
      </c>
      <c r="I3826" t="s">
        <v>234</v>
      </c>
      <c r="AK3826" t="s">
        <v>360</v>
      </c>
    </row>
    <row r="3827" spans="1:37">
      <c r="A3827" t="s">
        <v>40</v>
      </c>
      <c r="B3827" t="s">
        <v>60</v>
      </c>
      <c r="C3827" t="s">
        <v>82</v>
      </c>
      <c r="D3827" t="s">
        <v>101</v>
      </c>
      <c r="E3827" t="s">
        <v>120</v>
      </c>
      <c r="F3827" t="s">
        <v>154</v>
      </c>
      <c r="G3827" t="s">
        <v>180</v>
      </c>
      <c r="H3827" t="s">
        <v>215</v>
      </c>
      <c r="I3827" t="s">
        <v>235</v>
      </c>
      <c r="J3827" t="s">
        <v>253</v>
      </c>
      <c r="K3827" t="s">
        <v>267</v>
      </c>
      <c r="L3827" t="s">
        <v>279</v>
      </c>
      <c r="M3827" t="s">
        <v>288</v>
      </c>
      <c r="N3827" t="s">
        <v>100</v>
      </c>
      <c r="O3827" t="s">
        <v>306</v>
      </c>
      <c r="P3827" t="s">
        <v>313</v>
      </c>
      <c r="Q3827" t="s">
        <v>320</v>
      </c>
      <c r="R3827" t="s">
        <v>325</v>
      </c>
      <c r="S3827" t="s">
        <v>332</v>
      </c>
      <c r="T3827" t="s">
        <v>119</v>
      </c>
      <c r="U3827" t="s">
        <v>234</v>
      </c>
      <c r="V3827" t="s">
        <v>343</v>
      </c>
      <c r="W3827" t="s">
        <v>348</v>
      </c>
      <c r="X3827" t="s">
        <v>352</v>
      </c>
      <c r="Y3827" t="s">
        <v>354</v>
      </c>
      <c r="AK3827" t="s">
        <v>360</v>
      </c>
    </row>
    <row r="3828" spans="1:37">
      <c r="A3828" t="s">
        <v>41</v>
      </c>
      <c r="B3828" t="s">
        <v>61</v>
      </c>
      <c r="C3828" t="s">
        <v>83</v>
      </c>
      <c r="D3828" t="s">
        <v>102</v>
      </c>
      <c r="E3828" t="s">
        <v>121</v>
      </c>
      <c r="F3828" t="s">
        <v>155</v>
      </c>
      <c r="G3828" t="s">
        <v>181</v>
      </c>
      <c r="H3828" t="s">
        <v>216</v>
      </c>
      <c r="I3828" t="s">
        <v>236</v>
      </c>
      <c r="AK3828" t="s">
        <v>360</v>
      </c>
    </row>
    <row r="3829" spans="1:37">
      <c r="A3829" t="s">
        <v>42</v>
      </c>
      <c r="B3829" t="s">
        <v>62</v>
      </c>
      <c r="C3829" t="s">
        <v>84</v>
      </c>
      <c r="D3829" t="s">
        <v>103</v>
      </c>
      <c r="E3829" t="s">
        <v>122</v>
      </c>
      <c r="F3829" t="s">
        <v>156</v>
      </c>
      <c r="G3829" t="s">
        <v>182</v>
      </c>
      <c r="H3829" t="s">
        <v>83</v>
      </c>
      <c r="I3829" t="s">
        <v>237</v>
      </c>
      <c r="J3829" t="s">
        <v>254</v>
      </c>
      <c r="K3829" t="s">
        <v>268</v>
      </c>
      <c r="L3829" t="s">
        <v>280</v>
      </c>
      <c r="M3829" t="s">
        <v>289</v>
      </c>
      <c r="N3829" t="s">
        <v>298</v>
      </c>
      <c r="O3829" t="s">
        <v>307</v>
      </c>
      <c r="P3829" t="s">
        <v>314</v>
      </c>
      <c r="Q3829" t="s">
        <v>216</v>
      </c>
      <c r="R3829" t="s">
        <v>326</v>
      </c>
      <c r="S3829" t="s">
        <v>333</v>
      </c>
      <c r="T3829" t="s">
        <v>335</v>
      </c>
      <c r="U3829" t="s">
        <v>340</v>
      </c>
      <c r="V3829" t="s">
        <v>344</v>
      </c>
      <c r="W3829" t="s">
        <v>349</v>
      </c>
      <c r="AK3829" t="s">
        <v>360</v>
      </c>
    </row>
    <row r="3830" spans="1:37">
      <c r="A3830" t="s">
        <v>43</v>
      </c>
      <c r="B3830" t="s">
        <v>63</v>
      </c>
      <c r="C3830" t="s">
        <v>85</v>
      </c>
      <c r="D3830" t="s">
        <v>104</v>
      </c>
      <c r="E3830" t="s">
        <v>123</v>
      </c>
      <c r="F3830" t="s">
        <v>157</v>
      </c>
      <c r="G3830" t="s">
        <v>183</v>
      </c>
      <c r="AK3830" t="s">
        <v>360</v>
      </c>
    </row>
    <row r="3831" spans="1:37">
      <c r="A3831" t="s">
        <v>44</v>
      </c>
      <c r="B3831" t="s">
        <v>64</v>
      </c>
      <c r="C3831" t="s">
        <v>86</v>
      </c>
      <c r="D3831" t="s">
        <v>105</v>
      </c>
      <c r="E3831" t="s">
        <v>124</v>
      </c>
      <c r="F3831" t="s">
        <v>158</v>
      </c>
      <c r="G3831" t="s">
        <v>184</v>
      </c>
      <c r="AK3831" t="s">
        <v>360</v>
      </c>
    </row>
    <row r="3832" spans="1:37">
      <c r="A3832" t="s">
        <v>45</v>
      </c>
      <c r="B3832" t="s">
        <v>65</v>
      </c>
      <c r="C3832" t="s">
        <v>87</v>
      </c>
      <c r="D3832" t="s">
        <v>106</v>
      </c>
      <c r="E3832" t="s">
        <v>125</v>
      </c>
      <c r="F3832" t="s">
        <v>159</v>
      </c>
      <c r="G3832" t="s">
        <v>185</v>
      </c>
      <c r="H3832" t="s">
        <v>159</v>
      </c>
      <c r="I3832" t="s">
        <v>185</v>
      </c>
      <c r="J3832" t="s">
        <v>255</v>
      </c>
      <c r="AK3832" t="s">
        <v>360</v>
      </c>
    </row>
    <row r="3833" spans="1:37">
      <c r="A3833" t="s">
        <v>46</v>
      </c>
      <c r="B3833" t="s">
        <v>66</v>
      </c>
      <c r="C3833" t="s">
        <v>88</v>
      </c>
      <c r="D3833" t="s">
        <v>76</v>
      </c>
      <c r="E3833" t="s">
        <v>126</v>
      </c>
      <c r="F3833" t="s">
        <v>160</v>
      </c>
      <c r="G3833" t="s">
        <v>186</v>
      </c>
      <c r="H3833" t="s">
        <v>217</v>
      </c>
      <c r="I3833" t="s">
        <v>238</v>
      </c>
      <c r="J3833" t="s">
        <v>256</v>
      </c>
      <c r="K3833" t="s">
        <v>265</v>
      </c>
      <c r="L3833" t="s">
        <v>281</v>
      </c>
      <c r="M3833" t="s">
        <v>290</v>
      </c>
      <c r="N3833" t="s">
        <v>299</v>
      </c>
      <c r="O3833" t="s">
        <v>308</v>
      </c>
      <c r="P3833" t="s">
        <v>228</v>
      </c>
      <c r="Q3833" t="s">
        <v>72</v>
      </c>
      <c r="R3833" t="s">
        <v>327</v>
      </c>
      <c r="S3833" t="s">
        <v>327</v>
      </c>
      <c r="T3833" t="s">
        <v>336</v>
      </c>
      <c r="U3833" t="s">
        <v>336</v>
      </c>
      <c r="V3833" t="s">
        <v>336</v>
      </c>
      <c r="W3833" t="s">
        <v>336</v>
      </c>
      <c r="X3833" t="s">
        <v>353</v>
      </c>
      <c r="AK3833" t="s">
        <v>360</v>
      </c>
    </row>
    <row r="3834" spans="1:37">
      <c r="B3834" t="s">
        <v>67</v>
      </c>
      <c r="C3834" t="s">
        <v>89</v>
      </c>
      <c r="D3834" t="s">
        <v>107</v>
      </c>
      <c r="AK3834" t="s">
        <v>360</v>
      </c>
    </row>
    <row r="3835" spans="1:37">
      <c r="B3835" t="s">
        <v>68</v>
      </c>
      <c r="C3835" t="s">
        <v>90</v>
      </c>
      <c r="D3835" t="s">
        <v>108</v>
      </c>
      <c r="AK3835" t="s">
        <v>360</v>
      </c>
    </row>
    <row r="3836" spans="1:37">
      <c r="A3836" t="s">
        <v>47</v>
      </c>
      <c r="B3836" t="s">
        <v>69</v>
      </c>
      <c r="C3836" t="s">
        <v>91</v>
      </c>
      <c r="D3836" t="s">
        <v>109</v>
      </c>
      <c r="E3836" t="s">
        <v>109</v>
      </c>
      <c r="F3836" t="s">
        <v>109</v>
      </c>
      <c r="G3836" t="s">
        <v>109</v>
      </c>
      <c r="H3836" t="s">
        <v>109</v>
      </c>
      <c r="I3836" t="s">
        <v>239</v>
      </c>
      <c r="AK3836" t="s">
        <v>360</v>
      </c>
    </row>
    <row r="3837" spans="1:37">
      <c r="B3837" t="s">
        <v>70</v>
      </c>
      <c r="C3837" t="s">
        <v>92</v>
      </c>
      <c r="D3837" t="s">
        <v>110</v>
      </c>
      <c r="E3837" t="s">
        <v>127</v>
      </c>
      <c r="F3837" t="s">
        <v>161</v>
      </c>
      <c r="G3837" t="s">
        <v>187</v>
      </c>
      <c r="H3837" t="s">
        <v>218</v>
      </c>
      <c r="AK3837" t="s">
        <v>360</v>
      </c>
    </row>
    <row r="3838" spans="1:37">
      <c r="B3838" t="s">
        <v>71</v>
      </c>
      <c r="C3838" t="s">
        <v>93</v>
      </c>
      <c r="D3838" t="s">
        <v>111</v>
      </c>
      <c r="E3838" t="s">
        <v>128</v>
      </c>
      <c r="F3838" t="s">
        <v>162</v>
      </c>
      <c r="G3838" t="s">
        <v>188</v>
      </c>
      <c r="H3838" t="s">
        <v>219</v>
      </c>
      <c r="I3838" t="s">
        <v>240</v>
      </c>
      <c r="J3838" t="s">
        <v>257</v>
      </c>
      <c r="K3838" t="s">
        <v>269</v>
      </c>
      <c r="L3838" t="s">
        <v>109</v>
      </c>
      <c r="M3838" t="s">
        <v>109</v>
      </c>
      <c r="N3838" t="s">
        <v>109</v>
      </c>
      <c r="O3838" t="s">
        <v>109</v>
      </c>
      <c r="P3838" t="s">
        <v>109</v>
      </c>
      <c r="Q3838" t="s">
        <v>321</v>
      </c>
      <c r="AK3838" t="s">
        <v>360</v>
      </c>
    </row>
    <row r="3839" spans="1:37">
      <c r="A3839" t="s">
        <v>48</v>
      </c>
      <c r="B3839" t="s">
        <v>71</v>
      </c>
      <c r="C3839" t="s">
        <v>93</v>
      </c>
      <c r="D3839" t="s">
        <v>111</v>
      </c>
      <c r="E3839" t="s">
        <v>128</v>
      </c>
      <c r="F3839" t="s">
        <v>163</v>
      </c>
      <c r="G3839" t="s">
        <v>189</v>
      </c>
      <c r="H3839" t="s">
        <v>220</v>
      </c>
      <c r="I3839" t="s">
        <v>241</v>
      </c>
      <c r="J3839" t="s">
        <v>258</v>
      </c>
      <c r="K3839" t="s">
        <v>270</v>
      </c>
      <c r="AK3839" t="s">
        <v>360</v>
      </c>
    </row>
    <row r="3840" spans="1:37">
      <c r="B3840" t="s">
        <v>72</v>
      </c>
      <c r="C3840" t="s">
        <v>72</v>
      </c>
      <c r="D3840" t="s">
        <v>72</v>
      </c>
      <c r="E3840" t="s">
        <v>72</v>
      </c>
      <c r="F3840" t="s">
        <v>72</v>
      </c>
      <c r="G3840" t="s">
        <v>72</v>
      </c>
      <c r="H3840" t="s">
        <v>72</v>
      </c>
      <c r="I3840" t="s">
        <v>72</v>
      </c>
      <c r="J3840" t="s">
        <v>72</v>
      </c>
      <c r="K3840" t="s">
        <v>272</v>
      </c>
      <c r="AK3840" t="s">
        <v>360</v>
      </c>
    </row>
    <row r="3841" spans="1:37">
      <c r="A3841" t="s">
        <v>37</v>
      </c>
      <c r="B3841" t="s">
        <v>49</v>
      </c>
      <c r="C3841" t="s">
        <v>73</v>
      </c>
      <c r="D3841" t="s">
        <v>94</v>
      </c>
      <c r="E3841" t="s">
        <v>112</v>
      </c>
      <c r="F3841" t="s">
        <v>146</v>
      </c>
      <c r="G3841" t="s">
        <v>172</v>
      </c>
      <c r="H3841" t="s">
        <v>207</v>
      </c>
      <c r="I3841" t="s">
        <v>226</v>
      </c>
      <c r="J3841" t="s">
        <v>246</v>
      </c>
      <c r="K3841" t="s">
        <v>259</v>
      </c>
      <c r="AK3841" t="s">
        <v>360</v>
      </c>
    </row>
    <row r="3842" spans="1:37">
      <c r="A3842" t="s">
        <v>38</v>
      </c>
      <c r="B3842" t="s">
        <v>50</v>
      </c>
      <c r="C3842" t="s">
        <v>74</v>
      </c>
      <c r="D3842" t="s">
        <v>95</v>
      </c>
      <c r="E3842" t="s">
        <v>113</v>
      </c>
      <c r="F3842" t="s">
        <v>147</v>
      </c>
      <c r="G3842" t="s">
        <v>173</v>
      </c>
      <c r="H3842" t="s">
        <v>208</v>
      </c>
      <c r="I3842" t="s">
        <v>227</v>
      </c>
      <c r="J3842" t="s">
        <v>115</v>
      </c>
      <c r="K3842" t="s">
        <v>260</v>
      </c>
      <c r="L3842" t="s">
        <v>273</v>
      </c>
      <c r="M3842" t="s">
        <v>282</v>
      </c>
      <c r="N3842" t="s">
        <v>291</v>
      </c>
      <c r="AK3842" t="s">
        <v>360</v>
      </c>
    </row>
    <row r="3843" spans="1:37">
      <c r="B3843" t="s">
        <v>51</v>
      </c>
      <c r="C3843" t="s">
        <v>75</v>
      </c>
      <c r="D3843" t="s">
        <v>52</v>
      </c>
      <c r="E3843" t="s">
        <v>114</v>
      </c>
      <c r="F3843" t="s">
        <v>148</v>
      </c>
      <c r="G3843" t="s">
        <v>148</v>
      </c>
      <c r="H3843" t="s">
        <v>209</v>
      </c>
      <c r="I3843" t="s">
        <v>228</v>
      </c>
      <c r="J3843" t="s">
        <v>247</v>
      </c>
      <c r="K3843" t="s">
        <v>261</v>
      </c>
      <c r="L3843" t="s">
        <v>274</v>
      </c>
      <c r="M3843" t="s">
        <v>283</v>
      </c>
      <c r="N3843" t="s">
        <v>292</v>
      </c>
      <c r="O3843" t="s">
        <v>300</v>
      </c>
      <c r="AK3843" t="s">
        <v>360</v>
      </c>
    </row>
    <row r="3844" spans="1:37">
      <c r="B3844" t="s">
        <v>52</v>
      </c>
      <c r="C3844" t="s">
        <v>76</v>
      </c>
      <c r="D3844" t="s">
        <v>96</v>
      </c>
      <c r="E3844" t="s">
        <v>115</v>
      </c>
      <c r="F3844" t="s">
        <v>149</v>
      </c>
      <c r="G3844" t="s">
        <v>174</v>
      </c>
      <c r="H3844" t="s">
        <v>96</v>
      </c>
      <c r="I3844" t="s">
        <v>229</v>
      </c>
      <c r="J3844" t="s">
        <v>248</v>
      </c>
      <c r="K3844" t="s">
        <v>262</v>
      </c>
      <c r="L3844" t="s">
        <v>52</v>
      </c>
      <c r="M3844" t="s">
        <v>76</v>
      </c>
      <c r="N3844" t="s">
        <v>293</v>
      </c>
      <c r="O3844" t="s">
        <v>301</v>
      </c>
      <c r="P3844" t="s">
        <v>309</v>
      </c>
      <c r="Q3844" t="s">
        <v>315</v>
      </c>
      <c r="R3844" t="s">
        <v>228</v>
      </c>
      <c r="S3844" t="s">
        <v>328</v>
      </c>
      <c r="T3844" t="s">
        <v>149</v>
      </c>
      <c r="U3844" t="s">
        <v>337</v>
      </c>
      <c r="V3844" t="s">
        <v>341</v>
      </c>
      <c r="W3844" t="s">
        <v>345</v>
      </c>
      <c r="X3844" t="s">
        <v>350</v>
      </c>
      <c r="AK3844" t="s">
        <v>360</v>
      </c>
    </row>
    <row r="3845" spans="1:37">
      <c r="B3845" t="s">
        <v>53</v>
      </c>
      <c r="C3845" t="s">
        <v>77</v>
      </c>
      <c r="D3845" t="s">
        <v>97</v>
      </c>
      <c r="E3845" t="s">
        <v>116</v>
      </c>
      <c r="F3845" t="s">
        <v>150</v>
      </c>
      <c r="G3845" t="s">
        <v>175</v>
      </c>
      <c r="H3845" t="s">
        <v>210</v>
      </c>
      <c r="I3845" t="s">
        <v>230</v>
      </c>
      <c r="J3845" t="s">
        <v>249</v>
      </c>
      <c r="K3845" t="s">
        <v>263</v>
      </c>
      <c r="L3845" t="s">
        <v>275</v>
      </c>
      <c r="M3845" t="s">
        <v>284</v>
      </c>
      <c r="N3845" t="s">
        <v>294</v>
      </c>
      <c r="O3845" t="s">
        <v>302</v>
      </c>
      <c r="P3845" t="s">
        <v>310</v>
      </c>
      <c r="Q3845" t="s">
        <v>316</v>
      </c>
      <c r="R3845" t="s">
        <v>322</v>
      </c>
      <c r="S3845" t="s">
        <v>329</v>
      </c>
      <c r="AK3845" t="s">
        <v>360</v>
      </c>
    </row>
    <row r="3846" spans="1:37">
      <c r="A3846" t="s">
        <v>39</v>
      </c>
      <c r="B3846" t="s">
        <v>54</v>
      </c>
      <c r="C3846" t="s">
        <v>54</v>
      </c>
      <c r="D3846" t="s">
        <v>54</v>
      </c>
      <c r="E3846" t="s">
        <v>54</v>
      </c>
      <c r="F3846" t="s">
        <v>54</v>
      </c>
      <c r="G3846" t="s">
        <v>54</v>
      </c>
      <c r="H3846" t="s">
        <v>54</v>
      </c>
      <c r="I3846" t="s">
        <v>54</v>
      </c>
      <c r="J3846" t="s">
        <v>54</v>
      </c>
      <c r="K3846" t="s">
        <v>54</v>
      </c>
      <c r="L3846" t="s">
        <v>54</v>
      </c>
      <c r="M3846" t="s">
        <v>54</v>
      </c>
      <c r="N3846" t="s">
        <v>54</v>
      </c>
      <c r="O3846" t="s">
        <v>54</v>
      </c>
      <c r="P3846" t="s">
        <v>54</v>
      </c>
      <c r="Q3846" t="s">
        <v>54</v>
      </c>
      <c r="R3846" t="s">
        <v>323</v>
      </c>
      <c r="S3846" t="s">
        <v>330</v>
      </c>
      <c r="AK3846" t="s">
        <v>360</v>
      </c>
    </row>
    <row r="3847" spans="1:37">
      <c r="B3847" t="s">
        <v>55</v>
      </c>
      <c r="C3847" t="s">
        <v>78</v>
      </c>
      <c r="D3847" t="s">
        <v>55</v>
      </c>
      <c r="E3847" t="s">
        <v>78</v>
      </c>
      <c r="F3847" t="s">
        <v>55</v>
      </c>
      <c r="G3847" t="s">
        <v>78</v>
      </c>
      <c r="H3847" t="s">
        <v>55</v>
      </c>
      <c r="I3847" t="s">
        <v>78</v>
      </c>
      <c r="J3847" t="s">
        <v>55</v>
      </c>
      <c r="K3847" t="s">
        <v>78</v>
      </c>
      <c r="L3847" t="s">
        <v>55</v>
      </c>
      <c r="M3847" t="s">
        <v>78</v>
      </c>
      <c r="N3847" t="s">
        <v>55</v>
      </c>
      <c r="O3847" t="s">
        <v>78</v>
      </c>
      <c r="P3847" t="s">
        <v>55</v>
      </c>
      <c r="Q3847" t="s">
        <v>78</v>
      </c>
      <c r="R3847" t="s">
        <v>55</v>
      </c>
      <c r="S3847" t="s">
        <v>78</v>
      </c>
      <c r="T3847" t="s">
        <v>55</v>
      </c>
      <c r="U3847" t="s">
        <v>78</v>
      </c>
      <c r="V3847" t="s">
        <v>55</v>
      </c>
      <c r="W3847" t="s">
        <v>78</v>
      </c>
      <c r="X3847" t="s">
        <v>55</v>
      </c>
      <c r="Y3847" t="s">
        <v>78</v>
      </c>
      <c r="Z3847" t="s">
        <v>55</v>
      </c>
      <c r="AA3847" t="s">
        <v>78</v>
      </c>
      <c r="AB3847" t="s">
        <v>55</v>
      </c>
      <c r="AC3847" t="s">
        <v>78</v>
      </c>
      <c r="AD3847" t="s">
        <v>55</v>
      </c>
      <c r="AE3847" t="s">
        <v>78</v>
      </c>
      <c r="AF3847" t="s">
        <v>55</v>
      </c>
      <c r="AG3847" t="s">
        <v>78</v>
      </c>
      <c r="AH3847" t="s">
        <v>55</v>
      </c>
      <c r="AI3847" t="s">
        <v>78</v>
      </c>
      <c r="AK3847" t="s">
        <v>360</v>
      </c>
    </row>
    <row r="3848" spans="1:37">
      <c r="B3848" t="s">
        <v>56</v>
      </c>
      <c r="C3848" t="s">
        <v>56</v>
      </c>
      <c r="D3848" t="s">
        <v>56</v>
      </c>
      <c r="E3848" t="s">
        <v>56</v>
      </c>
      <c r="F3848" t="s">
        <v>56</v>
      </c>
      <c r="G3848" t="s">
        <v>176</v>
      </c>
      <c r="H3848" t="s">
        <v>211</v>
      </c>
      <c r="I3848" t="s">
        <v>231</v>
      </c>
      <c r="J3848" t="s">
        <v>250</v>
      </c>
      <c r="K3848" t="s">
        <v>264</v>
      </c>
      <c r="L3848" t="s">
        <v>276</v>
      </c>
      <c r="M3848" t="s">
        <v>285</v>
      </c>
      <c r="N3848" t="s">
        <v>295</v>
      </c>
      <c r="O3848" t="s">
        <v>303</v>
      </c>
      <c r="P3848" t="s">
        <v>56</v>
      </c>
      <c r="Q3848" t="s">
        <v>317</v>
      </c>
      <c r="R3848" t="s">
        <v>324</v>
      </c>
      <c r="S3848" t="s">
        <v>331</v>
      </c>
      <c r="T3848" t="s">
        <v>334</v>
      </c>
      <c r="U3848" t="s">
        <v>338</v>
      </c>
      <c r="V3848" t="s">
        <v>342</v>
      </c>
      <c r="W3848" t="s">
        <v>346</v>
      </c>
      <c r="X3848" t="s">
        <v>351</v>
      </c>
      <c r="AK3848" t="s">
        <v>360</v>
      </c>
    </row>
    <row r="3849" spans="1:37">
      <c r="B3849" t="s">
        <v>57</v>
      </c>
      <c r="C3849" t="s">
        <v>79</v>
      </c>
      <c r="D3849" t="s">
        <v>98</v>
      </c>
      <c r="E3849" t="s">
        <v>117</v>
      </c>
      <c r="F3849" t="s">
        <v>151</v>
      </c>
      <c r="G3849" t="s">
        <v>177</v>
      </c>
      <c r="H3849" t="s">
        <v>212</v>
      </c>
      <c r="I3849" t="s">
        <v>232</v>
      </c>
      <c r="J3849" t="s">
        <v>251</v>
      </c>
      <c r="K3849" t="s">
        <v>265</v>
      </c>
      <c r="L3849" t="s">
        <v>277</v>
      </c>
      <c r="M3849" t="s">
        <v>286</v>
      </c>
      <c r="N3849" t="s">
        <v>296</v>
      </c>
      <c r="O3849" t="s">
        <v>304</v>
      </c>
      <c r="P3849" t="s">
        <v>311</v>
      </c>
      <c r="Q3849" t="s">
        <v>318</v>
      </c>
      <c r="R3849" t="s">
        <v>185</v>
      </c>
      <c r="S3849" t="s">
        <v>159</v>
      </c>
      <c r="T3849" t="s">
        <v>185</v>
      </c>
      <c r="U3849" t="s">
        <v>339</v>
      </c>
      <c r="V3849" t="s">
        <v>72</v>
      </c>
      <c r="W3849" t="s">
        <v>347</v>
      </c>
      <c r="X3849" t="s">
        <v>72</v>
      </c>
      <c r="Y3849" t="s">
        <v>96</v>
      </c>
      <c r="AK3849" t="s">
        <v>360</v>
      </c>
    </row>
    <row r="3850" spans="1:37">
      <c r="B3850" t="s">
        <v>58</v>
      </c>
      <c r="C3850" t="s">
        <v>80</v>
      </c>
      <c r="D3850" t="s">
        <v>99</v>
      </c>
      <c r="E3850" t="s">
        <v>118</v>
      </c>
      <c r="F3850" t="s">
        <v>152</v>
      </c>
      <c r="G3850" t="s">
        <v>178</v>
      </c>
      <c r="H3850" t="s">
        <v>213</v>
      </c>
      <c r="I3850" t="s">
        <v>233</v>
      </c>
      <c r="J3850" t="s">
        <v>252</v>
      </c>
      <c r="K3850" t="s">
        <v>266</v>
      </c>
      <c r="L3850" t="s">
        <v>278</v>
      </c>
      <c r="M3850" t="s">
        <v>287</v>
      </c>
      <c r="N3850" t="s">
        <v>297</v>
      </c>
      <c r="O3850" t="s">
        <v>305</v>
      </c>
      <c r="P3850" t="s">
        <v>312</v>
      </c>
      <c r="Q3850" t="s">
        <v>319</v>
      </c>
      <c r="R3850">
        <f>&gt;10       ветра      2.6     23   1</f>
        <v>0</v>
      </c>
      <c r="AK3850" t="s">
        <v>360</v>
      </c>
    </row>
    <row r="3851" spans="1:37">
      <c r="A3851" t="s">
        <v>40</v>
      </c>
      <c r="B3851" t="s">
        <v>59</v>
      </c>
      <c r="C3851" t="s">
        <v>81</v>
      </c>
      <c r="D3851" t="s">
        <v>100</v>
      </c>
      <c r="E3851" t="s">
        <v>119</v>
      </c>
      <c r="F3851" t="s">
        <v>153</v>
      </c>
      <c r="G3851" t="s">
        <v>179</v>
      </c>
      <c r="H3851" t="s">
        <v>214</v>
      </c>
      <c r="I3851" t="s">
        <v>234</v>
      </c>
      <c r="AK3851" t="s">
        <v>360</v>
      </c>
    </row>
    <row r="3852" spans="1:37">
      <c r="A3852" t="s">
        <v>40</v>
      </c>
      <c r="B3852" t="s">
        <v>60</v>
      </c>
      <c r="C3852" t="s">
        <v>82</v>
      </c>
      <c r="D3852" t="s">
        <v>101</v>
      </c>
      <c r="E3852" t="s">
        <v>120</v>
      </c>
      <c r="F3852" t="s">
        <v>154</v>
      </c>
      <c r="G3852" t="s">
        <v>180</v>
      </c>
      <c r="H3852" t="s">
        <v>215</v>
      </c>
      <c r="I3852" t="s">
        <v>235</v>
      </c>
      <c r="J3852" t="s">
        <v>253</v>
      </c>
      <c r="K3852" t="s">
        <v>267</v>
      </c>
      <c r="L3852" t="s">
        <v>279</v>
      </c>
      <c r="M3852" t="s">
        <v>288</v>
      </c>
      <c r="N3852" t="s">
        <v>100</v>
      </c>
      <c r="O3852" t="s">
        <v>306</v>
      </c>
      <c r="P3852" t="s">
        <v>313</v>
      </c>
      <c r="Q3852" t="s">
        <v>320</v>
      </c>
      <c r="R3852" t="s">
        <v>325</v>
      </c>
      <c r="S3852" t="s">
        <v>332</v>
      </c>
      <c r="T3852" t="s">
        <v>119</v>
      </c>
      <c r="U3852" t="s">
        <v>234</v>
      </c>
      <c r="V3852" t="s">
        <v>343</v>
      </c>
      <c r="W3852" t="s">
        <v>348</v>
      </c>
      <c r="X3852" t="s">
        <v>352</v>
      </c>
      <c r="Y3852" t="s">
        <v>354</v>
      </c>
      <c r="AK3852" t="s">
        <v>360</v>
      </c>
    </row>
    <row r="3853" spans="1:37">
      <c r="A3853" t="s">
        <v>41</v>
      </c>
      <c r="B3853" t="s">
        <v>61</v>
      </c>
      <c r="C3853" t="s">
        <v>83</v>
      </c>
      <c r="D3853" t="s">
        <v>102</v>
      </c>
      <c r="E3853" t="s">
        <v>121</v>
      </c>
      <c r="F3853" t="s">
        <v>155</v>
      </c>
      <c r="G3853" t="s">
        <v>181</v>
      </c>
      <c r="H3853" t="s">
        <v>216</v>
      </c>
      <c r="I3853" t="s">
        <v>236</v>
      </c>
      <c r="AK3853" t="s">
        <v>360</v>
      </c>
    </row>
    <row r="3854" spans="1:37">
      <c r="A3854" t="s">
        <v>42</v>
      </c>
      <c r="B3854" t="s">
        <v>62</v>
      </c>
      <c r="C3854" t="s">
        <v>84</v>
      </c>
      <c r="D3854" t="s">
        <v>103</v>
      </c>
      <c r="E3854" t="s">
        <v>122</v>
      </c>
      <c r="F3854" t="s">
        <v>156</v>
      </c>
      <c r="G3854" t="s">
        <v>182</v>
      </c>
      <c r="H3854" t="s">
        <v>83</v>
      </c>
      <c r="I3854" t="s">
        <v>237</v>
      </c>
      <c r="J3854" t="s">
        <v>254</v>
      </c>
      <c r="K3854" t="s">
        <v>268</v>
      </c>
      <c r="L3854" t="s">
        <v>280</v>
      </c>
      <c r="M3854" t="s">
        <v>289</v>
      </c>
      <c r="N3854" t="s">
        <v>298</v>
      </c>
      <c r="O3854" t="s">
        <v>307</v>
      </c>
      <c r="P3854" t="s">
        <v>314</v>
      </c>
      <c r="Q3854" t="s">
        <v>216</v>
      </c>
      <c r="R3854" t="s">
        <v>326</v>
      </c>
      <c r="S3854" t="s">
        <v>333</v>
      </c>
      <c r="T3854" t="s">
        <v>335</v>
      </c>
      <c r="U3854" t="s">
        <v>340</v>
      </c>
      <c r="V3854" t="s">
        <v>344</v>
      </c>
      <c r="W3854" t="s">
        <v>349</v>
      </c>
      <c r="AK3854" t="s">
        <v>360</v>
      </c>
    </row>
    <row r="3855" spans="1:37">
      <c r="A3855" t="s">
        <v>43</v>
      </c>
      <c r="B3855" t="s">
        <v>63</v>
      </c>
      <c r="C3855" t="s">
        <v>85</v>
      </c>
      <c r="D3855" t="s">
        <v>104</v>
      </c>
      <c r="E3855" t="s">
        <v>123</v>
      </c>
      <c r="F3855" t="s">
        <v>157</v>
      </c>
      <c r="G3855" t="s">
        <v>183</v>
      </c>
      <c r="AK3855" t="s">
        <v>360</v>
      </c>
    </row>
    <row r="3856" spans="1:37">
      <c r="A3856" t="s">
        <v>44</v>
      </c>
      <c r="B3856" t="s">
        <v>64</v>
      </c>
      <c r="C3856" t="s">
        <v>86</v>
      </c>
      <c r="D3856" t="s">
        <v>105</v>
      </c>
      <c r="E3856" t="s">
        <v>124</v>
      </c>
      <c r="F3856" t="s">
        <v>158</v>
      </c>
      <c r="G3856" t="s">
        <v>184</v>
      </c>
      <c r="AK3856" t="s">
        <v>360</v>
      </c>
    </row>
    <row r="3857" spans="1:37">
      <c r="A3857" t="s">
        <v>45</v>
      </c>
      <c r="B3857" t="s">
        <v>65</v>
      </c>
      <c r="C3857" t="s">
        <v>87</v>
      </c>
      <c r="D3857" t="s">
        <v>106</v>
      </c>
      <c r="E3857" t="s">
        <v>125</v>
      </c>
      <c r="F3857" t="s">
        <v>159</v>
      </c>
      <c r="G3857" t="s">
        <v>185</v>
      </c>
      <c r="H3857" t="s">
        <v>159</v>
      </c>
      <c r="I3857" t="s">
        <v>185</v>
      </c>
      <c r="J3857" t="s">
        <v>255</v>
      </c>
      <c r="AK3857" t="s">
        <v>360</v>
      </c>
    </row>
    <row r="3858" spans="1:37">
      <c r="A3858" t="s">
        <v>46</v>
      </c>
      <c r="B3858" t="s">
        <v>66</v>
      </c>
      <c r="C3858" t="s">
        <v>88</v>
      </c>
      <c r="D3858" t="s">
        <v>76</v>
      </c>
      <c r="E3858" t="s">
        <v>126</v>
      </c>
      <c r="F3858" t="s">
        <v>160</v>
      </c>
      <c r="G3858" t="s">
        <v>186</v>
      </c>
      <c r="H3858" t="s">
        <v>217</v>
      </c>
      <c r="I3858" t="s">
        <v>238</v>
      </c>
      <c r="J3858" t="s">
        <v>256</v>
      </c>
      <c r="K3858" t="s">
        <v>265</v>
      </c>
      <c r="L3858" t="s">
        <v>281</v>
      </c>
      <c r="M3858" t="s">
        <v>290</v>
      </c>
      <c r="N3858" t="s">
        <v>299</v>
      </c>
      <c r="O3858" t="s">
        <v>308</v>
      </c>
      <c r="P3858" t="s">
        <v>228</v>
      </c>
      <c r="Q3858" t="s">
        <v>72</v>
      </c>
      <c r="R3858" t="s">
        <v>327</v>
      </c>
      <c r="S3858" t="s">
        <v>327</v>
      </c>
      <c r="T3858" t="s">
        <v>336</v>
      </c>
      <c r="U3858" t="s">
        <v>336</v>
      </c>
      <c r="V3858" t="s">
        <v>336</v>
      </c>
      <c r="W3858" t="s">
        <v>336</v>
      </c>
      <c r="X3858" t="s">
        <v>353</v>
      </c>
      <c r="AK3858" t="s">
        <v>360</v>
      </c>
    </row>
    <row r="3859" spans="1:37">
      <c r="B3859" t="s">
        <v>67</v>
      </c>
      <c r="C3859" t="s">
        <v>89</v>
      </c>
      <c r="D3859" t="s">
        <v>107</v>
      </c>
      <c r="AK3859" t="s">
        <v>360</v>
      </c>
    </row>
    <row r="3860" spans="1:37">
      <c r="B3860" t="s">
        <v>68</v>
      </c>
      <c r="C3860" t="s">
        <v>90</v>
      </c>
      <c r="D3860" t="s">
        <v>108</v>
      </c>
      <c r="AK3860" t="s">
        <v>360</v>
      </c>
    </row>
    <row r="3861" spans="1:37">
      <c r="A3861" t="s">
        <v>47</v>
      </c>
      <c r="B3861" t="s">
        <v>69</v>
      </c>
      <c r="C3861" t="s">
        <v>91</v>
      </c>
      <c r="D3861" t="s">
        <v>109</v>
      </c>
      <c r="E3861" t="s">
        <v>109</v>
      </c>
      <c r="F3861" t="s">
        <v>109</v>
      </c>
      <c r="G3861" t="s">
        <v>109</v>
      </c>
      <c r="H3861" t="s">
        <v>109</v>
      </c>
      <c r="I3861" t="s">
        <v>239</v>
      </c>
      <c r="AK3861" t="s">
        <v>360</v>
      </c>
    </row>
    <row r="3862" spans="1:37">
      <c r="B3862" t="s">
        <v>70</v>
      </c>
      <c r="C3862" t="s">
        <v>92</v>
      </c>
      <c r="D3862" t="s">
        <v>110</v>
      </c>
      <c r="E3862" t="s">
        <v>127</v>
      </c>
      <c r="F3862" t="s">
        <v>161</v>
      </c>
      <c r="G3862" t="s">
        <v>187</v>
      </c>
      <c r="H3862" t="s">
        <v>218</v>
      </c>
      <c r="AK3862" t="s">
        <v>360</v>
      </c>
    </row>
    <row r="3863" spans="1:37">
      <c r="B3863" t="s">
        <v>71</v>
      </c>
      <c r="C3863" t="s">
        <v>93</v>
      </c>
      <c r="D3863" t="s">
        <v>111</v>
      </c>
      <c r="E3863" t="s">
        <v>128</v>
      </c>
      <c r="F3863" t="s">
        <v>162</v>
      </c>
      <c r="G3863" t="s">
        <v>188</v>
      </c>
      <c r="H3863" t="s">
        <v>219</v>
      </c>
      <c r="I3863" t="s">
        <v>240</v>
      </c>
      <c r="J3863" t="s">
        <v>257</v>
      </c>
      <c r="K3863" t="s">
        <v>269</v>
      </c>
      <c r="L3863" t="s">
        <v>109</v>
      </c>
      <c r="M3863" t="s">
        <v>109</v>
      </c>
      <c r="N3863" t="s">
        <v>109</v>
      </c>
      <c r="O3863" t="s">
        <v>109</v>
      </c>
      <c r="P3863" t="s">
        <v>109</v>
      </c>
      <c r="Q3863" t="s">
        <v>321</v>
      </c>
      <c r="AK3863" t="s">
        <v>360</v>
      </c>
    </row>
    <row r="3864" spans="1:37">
      <c r="A3864" t="s">
        <v>48</v>
      </c>
      <c r="B3864" t="s">
        <v>71</v>
      </c>
      <c r="C3864" t="s">
        <v>93</v>
      </c>
      <c r="D3864" t="s">
        <v>111</v>
      </c>
      <c r="E3864" t="s">
        <v>128</v>
      </c>
      <c r="F3864" t="s">
        <v>163</v>
      </c>
      <c r="G3864" t="s">
        <v>189</v>
      </c>
      <c r="H3864" t="s">
        <v>220</v>
      </c>
      <c r="I3864" t="s">
        <v>241</v>
      </c>
      <c r="J3864" t="s">
        <v>258</v>
      </c>
      <c r="K3864" t="s">
        <v>270</v>
      </c>
      <c r="AK3864" t="s">
        <v>360</v>
      </c>
    </row>
    <row r="3865" spans="1:37">
      <c r="B3865" t="s">
        <v>72</v>
      </c>
      <c r="C3865" t="s">
        <v>72</v>
      </c>
      <c r="D3865" t="s">
        <v>72</v>
      </c>
      <c r="E3865" t="s">
        <v>72</v>
      </c>
      <c r="F3865" t="s">
        <v>72</v>
      </c>
      <c r="G3865" t="s">
        <v>72</v>
      </c>
      <c r="H3865" t="s">
        <v>72</v>
      </c>
      <c r="I3865" t="s">
        <v>72</v>
      </c>
      <c r="J3865" t="s">
        <v>72</v>
      </c>
      <c r="K3865" t="s">
        <v>272</v>
      </c>
      <c r="AK3865" t="s">
        <v>360</v>
      </c>
    </row>
    <row r="3866" spans="1:37">
      <c r="A3866" t="s">
        <v>37</v>
      </c>
      <c r="B3866" t="s">
        <v>49</v>
      </c>
      <c r="C3866" t="s">
        <v>73</v>
      </c>
      <c r="D3866" t="s">
        <v>94</v>
      </c>
      <c r="E3866" t="s">
        <v>112</v>
      </c>
      <c r="F3866" t="s">
        <v>146</v>
      </c>
      <c r="G3866" t="s">
        <v>172</v>
      </c>
      <c r="H3866" t="s">
        <v>207</v>
      </c>
      <c r="I3866" t="s">
        <v>226</v>
      </c>
      <c r="J3866" t="s">
        <v>246</v>
      </c>
      <c r="K3866" t="s">
        <v>259</v>
      </c>
      <c r="AK3866" t="s">
        <v>360</v>
      </c>
    </row>
    <row r="3867" spans="1:37">
      <c r="A3867" t="s">
        <v>38</v>
      </c>
      <c r="B3867" t="s">
        <v>50</v>
      </c>
      <c r="C3867" t="s">
        <v>74</v>
      </c>
      <c r="D3867" t="s">
        <v>95</v>
      </c>
      <c r="E3867" t="s">
        <v>113</v>
      </c>
      <c r="F3867" t="s">
        <v>147</v>
      </c>
      <c r="G3867" t="s">
        <v>173</v>
      </c>
      <c r="H3867" t="s">
        <v>208</v>
      </c>
      <c r="I3867" t="s">
        <v>227</v>
      </c>
      <c r="J3867" t="s">
        <v>115</v>
      </c>
      <c r="K3867" t="s">
        <v>260</v>
      </c>
      <c r="L3867" t="s">
        <v>273</v>
      </c>
      <c r="M3867" t="s">
        <v>282</v>
      </c>
      <c r="N3867" t="s">
        <v>291</v>
      </c>
      <c r="AK3867" t="s">
        <v>360</v>
      </c>
    </row>
    <row r="3868" spans="1:37">
      <c r="B3868" t="s">
        <v>51</v>
      </c>
      <c r="C3868" t="s">
        <v>75</v>
      </c>
      <c r="D3868" t="s">
        <v>52</v>
      </c>
      <c r="E3868" t="s">
        <v>114</v>
      </c>
      <c r="F3868" t="s">
        <v>148</v>
      </c>
      <c r="G3868" t="s">
        <v>148</v>
      </c>
      <c r="H3868" t="s">
        <v>209</v>
      </c>
      <c r="I3868" t="s">
        <v>228</v>
      </c>
      <c r="J3868" t="s">
        <v>247</v>
      </c>
      <c r="K3868" t="s">
        <v>261</v>
      </c>
      <c r="L3868" t="s">
        <v>274</v>
      </c>
      <c r="M3868" t="s">
        <v>283</v>
      </c>
      <c r="N3868" t="s">
        <v>292</v>
      </c>
      <c r="O3868" t="s">
        <v>300</v>
      </c>
      <c r="AK3868" t="s">
        <v>360</v>
      </c>
    </row>
    <row r="3869" spans="1:37">
      <c r="B3869" t="s">
        <v>52</v>
      </c>
      <c r="C3869" t="s">
        <v>76</v>
      </c>
      <c r="D3869" t="s">
        <v>96</v>
      </c>
      <c r="E3869" t="s">
        <v>115</v>
      </c>
      <c r="F3869" t="s">
        <v>149</v>
      </c>
      <c r="G3869" t="s">
        <v>174</v>
      </c>
      <c r="H3869" t="s">
        <v>96</v>
      </c>
      <c r="I3869" t="s">
        <v>229</v>
      </c>
      <c r="J3869" t="s">
        <v>248</v>
      </c>
      <c r="K3869" t="s">
        <v>262</v>
      </c>
      <c r="L3869" t="s">
        <v>52</v>
      </c>
      <c r="M3869" t="s">
        <v>76</v>
      </c>
      <c r="N3869" t="s">
        <v>293</v>
      </c>
      <c r="O3869" t="s">
        <v>301</v>
      </c>
      <c r="P3869" t="s">
        <v>309</v>
      </c>
      <c r="Q3869" t="s">
        <v>315</v>
      </c>
      <c r="R3869" t="s">
        <v>228</v>
      </c>
      <c r="S3869" t="s">
        <v>328</v>
      </c>
      <c r="T3869" t="s">
        <v>149</v>
      </c>
      <c r="U3869" t="s">
        <v>337</v>
      </c>
      <c r="V3869" t="s">
        <v>341</v>
      </c>
      <c r="W3869" t="s">
        <v>345</v>
      </c>
      <c r="X3869" t="s">
        <v>350</v>
      </c>
      <c r="AK3869" t="s">
        <v>360</v>
      </c>
    </row>
    <row r="3870" spans="1:37">
      <c r="B3870" t="s">
        <v>53</v>
      </c>
      <c r="C3870" t="s">
        <v>77</v>
      </c>
      <c r="D3870" t="s">
        <v>97</v>
      </c>
      <c r="E3870" t="s">
        <v>116</v>
      </c>
      <c r="F3870" t="s">
        <v>150</v>
      </c>
      <c r="G3870" t="s">
        <v>175</v>
      </c>
      <c r="H3870" t="s">
        <v>210</v>
      </c>
      <c r="I3870" t="s">
        <v>230</v>
      </c>
      <c r="J3870" t="s">
        <v>249</v>
      </c>
      <c r="K3870" t="s">
        <v>263</v>
      </c>
      <c r="L3870" t="s">
        <v>275</v>
      </c>
      <c r="M3870" t="s">
        <v>284</v>
      </c>
      <c r="N3870" t="s">
        <v>294</v>
      </c>
      <c r="O3870" t="s">
        <v>302</v>
      </c>
      <c r="P3870" t="s">
        <v>310</v>
      </c>
      <c r="Q3870" t="s">
        <v>316</v>
      </c>
      <c r="R3870" t="s">
        <v>322</v>
      </c>
      <c r="S3870" t="s">
        <v>329</v>
      </c>
      <c r="AK3870" t="s">
        <v>360</v>
      </c>
    </row>
    <row r="3871" spans="1:37">
      <c r="A3871" t="s">
        <v>39</v>
      </c>
      <c r="B3871" t="s">
        <v>54</v>
      </c>
      <c r="C3871" t="s">
        <v>54</v>
      </c>
      <c r="D3871" t="s">
        <v>54</v>
      </c>
      <c r="E3871" t="s">
        <v>54</v>
      </c>
      <c r="F3871" t="s">
        <v>54</v>
      </c>
      <c r="G3871" t="s">
        <v>54</v>
      </c>
      <c r="H3871" t="s">
        <v>54</v>
      </c>
      <c r="I3871" t="s">
        <v>54</v>
      </c>
      <c r="J3871" t="s">
        <v>54</v>
      </c>
      <c r="K3871" t="s">
        <v>54</v>
      </c>
      <c r="L3871" t="s">
        <v>54</v>
      </c>
      <c r="M3871" t="s">
        <v>54</v>
      </c>
      <c r="N3871" t="s">
        <v>54</v>
      </c>
      <c r="O3871" t="s">
        <v>54</v>
      </c>
      <c r="P3871" t="s">
        <v>54</v>
      </c>
      <c r="Q3871" t="s">
        <v>54</v>
      </c>
      <c r="R3871" t="s">
        <v>323</v>
      </c>
      <c r="S3871" t="s">
        <v>330</v>
      </c>
      <c r="AK3871" t="s">
        <v>360</v>
      </c>
    </row>
    <row r="3872" spans="1:37">
      <c r="B3872" t="s">
        <v>55</v>
      </c>
      <c r="C3872" t="s">
        <v>78</v>
      </c>
      <c r="D3872" t="s">
        <v>55</v>
      </c>
      <c r="E3872" t="s">
        <v>78</v>
      </c>
      <c r="F3872" t="s">
        <v>55</v>
      </c>
      <c r="G3872" t="s">
        <v>78</v>
      </c>
      <c r="H3872" t="s">
        <v>55</v>
      </c>
      <c r="I3872" t="s">
        <v>78</v>
      </c>
      <c r="J3872" t="s">
        <v>55</v>
      </c>
      <c r="K3872" t="s">
        <v>78</v>
      </c>
      <c r="L3872" t="s">
        <v>55</v>
      </c>
      <c r="M3872" t="s">
        <v>78</v>
      </c>
      <c r="N3872" t="s">
        <v>55</v>
      </c>
      <c r="O3872" t="s">
        <v>78</v>
      </c>
      <c r="P3872" t="s">
        <v>55</v>
      </c>
      <c r="Q3872" t="s">
        <v>78</v>
      </c>
      <c r="R3872" t="s">
        <v>55</v>
      </c>
      <c r="S3872" t="s">
        <v>78</v>
      </c>
      <c r="T3872" t="s">
        <v>55</v>
      </c>
      <c r="U3872" t="s">
        <v>78</v>
      </c>
      <c r="V3872" t="s">
        <v>55</v>
      </c>
      <c r="W3872" t="s">
        <v>78</v>
      </c>
      <c r="X3872" t="s">
        <v>55</v>
      </c>
      <c r="Y3872" t="s">
        <v>78</v>
      </c>
      <c r="Z3872" t="s">
        <v>55</v>
      </c>
      <c r="AA3872" t="s">
        <v>78</v>
      </c>
      <c r="AB3872" t="s">
        <v>55</v>
      </c>
      <c r="AC3872" t="s">
        <v>78</v>
      </c>
      <c r="AD3872" t="s">
        <v>55</v>
      </c>
      <c r="AE3872" t="s">
        <v>78</v>
      </c>
      <c r="AF3872" t="s">
        <v>55</v>
      </c>
      <c r="AG3872" t="s">
        <v>78</v>
      </c>
      <c r="AH3872" t="s">
        <v>55</v>
      </c>
      <c r="AI3872" t="s">
        <v>78</v>
      </c>
      <c r="AK3872" t="s">
        <v>360</v>
      </c>
    </row>
    <row r="3873" spans="1:37">
      <c r="B3873" t="s">
        <v>56</v>
      </c>
      <c r="C3873" t="s">
        <v>56</v>
      </c>
      <c r="D3873" t="s">
        <v>56</v>
      </c>
      <c r="E3873" t="s">
        <v>56</v>
      </c>
      <c r="F3873" t="s">
        <v>56</v>
      </c>
      <c r="G3873" t="s">
        <v>176</v>
      </c>
      <c r="H3873" t="s">
        <v>211</v>
      </c>
      <c r="I3873" t="s">
        <v>231</v>
      </c>
      <c r="J3873" t="s">
        <v>250</v>
      </c>
      <c r="K3873" t="s">
        <v>264</v>
      </c>
      <c r="L3873" t="s">
        <v>276</v>
      </c>
      <c r="M3873" t="s">
        <v>285</v>
      </c>
      <c r="N3873" t="s">
        <v>295</v>
      </c>
      <c r="O3873" t="s">
        <v>303</v>
      </c>
      <c r="P3873" t="s">
        <v>56</v>
      </c>
      <c r="Q3873" t="s">
        <v>317</v>
      </c>
      <c r="R3873" t="s">
        <v>324</v>
      </c>
      <c r="S3873" t="s">
        <v>331</v>
      </c>
      <c r="T3873" t="s">
        <v>334</v>
      </c>
      <c r="U3873" t="s">
        <v>338</v>
      </c>
      <c r="V3873" t="s">
        <v>342</v>
      </c>
      <c r="W3873" t="s">
        <v>346</v>
      </c>
      <c r="X3873" t="s">
        <v>351</v>
      </c>
      <c r="AK3873" t="s">
        <v>360</v>
      </c>
    </row>
    <row r="3874" spans="1:37">
      <c r="B3874" t="s">
        <v>57</v>
      </c>
      <c r="C3874" t="s">
        <v>79</v>
      </c>
      <c r="D3874" t="s">
        <v>98</v>
      </c>
      <c r="E3874" t="s">
        <v>117</v>
      </c>
      <c r="F3874" t="s">
        <v>151</v>
      </c>
      <c r="G3874" t="s">
        <v>177</v>
      </c>
      <c r="H3874" t="s">
        <v>212</v>
      </c>
      <c r="I3874" t="s">
        <v>232</v>
      </c>
      <c r="J3874" t="s">
        <v>251</v>
      </c>
      <c r="K3874" t="s">
        <v>265</v>
      </c>
      <c r="L3874" t="s">
        <v>277</v>
      </c>
      <c r="M3874" t="s">
        <v>286</v>
      </c>
      <c r="N3874" t="s">
        <v>296</v>
      </c>
      <c r="O3874" t="s">
        <v>304</v>
      </c>
      <c r="P3874" t="s">
        <v>311</v>
      </c>
      <c r="Q3874" t="s">
        <v>318</v>
      </c>
      <c r="R3874" t="s">
        <v>185</v>
      </c>
      <c r="S3874" t="s">
        <v>159</v>
      </c>
      <c r="T3874" t="s">
        <v>185</v>
      </c>
      <c r="U3874" t="s">
        <v>339</v>
      </c>
      <c r="V3874" t="s">
        <v>72</v>
      </c>
      <c r="W3874" t="s">
        <v>347</v>
      </c>
      <c r="X3874" t="s">
        <v>72</v>
      </c>
      <c r="Y3874" t="s">
        <v>96</v>
      </c>
      <c r="AK3874" t="s">
        <v>360</v>
      </c>
    </row>
    <row r="3875" spans="1:37">
      <c r="B3875" t="s">
        <v>58</v>
      </c>
      <c r="C3875" t="s">
        <v>80</v>
      </c>
      <c r="D3875" t="s">
        <v>99</v>
      </c>
      <c r="E3875" t="s">
        <v>118</v>
      </c>
      <c r="F3875" t="s">
        <v>152</v>
      </c>
      <c r="G3875" t="s">
        <v>178</v>
      </c>
      <c r="H3875" t="s">
        <v>213</v>
      </c>
      <c r="I3875" t="s">
        <v>233</v>
      </c>
      <c r="J3875" t="s">
        <v>252</v>
      </c>
      <c r="K3875" t="s">
        <v>266</v>
      </c>
      <c r="L3875" t="s">
        <v>278</v>
      </c>
      <c r="M3875" t="s">
        <v>287</v>
      </c>
      <c r="N3875" t="s">
        <v>297</v>
      </c>
      <c r="O3875" t="s">
        <v>305</v>
      </c>
      <c r="P3875" t="s">
        <v>312</v>
      </c>
      <c r="Q3875" t="s">
        <v>319</v>
      </c>
      <c r="R3875">
        <f>&gt;10       ветра      1.9     19   5</f>
        <v>0</v>
      </c>
      <c r="AK3875" t="s">
        <v>360</v>
      </c>
    </row>
    <row r="3876" spans="1:37">
      <c r="A3876" t="s">
        <v>40</v>
      </c>
      <c r="B3876" t="s">
        <v>59</v>
      </c>
      <c r="C3876" t="s">
        <v>81</v>
      </c>
      <c r="D3876" t="s">
        <v>100</v>
      </c>
      <c r="E3876" t="s">
        <v>119</v>
      </c>
      <c r="F3876" t="s">
        <v>153</v>
      </c>
      <c r="G3876" t="s">
        <v>179</v>
      </c>
      <c r="H3876" t="s">
        <v>214</v>
      </c>
      <c r="I3876" t="s">
        <v>234</v>
      </c>
      <c r="AK3876" t="s">
        <v>360</v>
      </c>
    </row>
    <row r="3877" spans="1:37">
      <c r="A3877" t="s">
        <v>40</v>
      </c>
      <c r="B3877" t="s">
        <v>60</v>
      </c>
      <c r="C3877" t="s">
        <v>82</v>
      </c>
      <c r="D3877" t="s">
        <v>101</v>
      </c>
      <c r="E3877" t="s">
        <v>120</v>
      </c>
      <c r="F3877" t="s">
        <v>154</v>
      </c>
      <c r="G3877" t="s">
        <v>180</v>
      </c>
      <c r="H3877" t="s">
        <v>215</v>
      </c>
      <c r="I3877" t="s">
        <v>235</v>
      </c>
      <c r="J3877" t="s">
        <v>253</v>
      </c>
      <c r="K3877" t="s">
        <v>267</v>
      </c>
      <c r="L3877" t="s">
        <v>279</v>
      </c>
      <c r="M3877" t="s">
        <v>288</v>
      </c>
      <c r="N3877" t="s">
        <v>100</v>
      </c>
      <c r="O3877" t="s">
        <v>306</v>
      </c>
      <c r="P3877" t="s">
        <v>313</v>
      </c>
      <c r="Q3877" t="s">
        <v>320</v>
      </c>
      <c r="R3877" t="s">
        <v>325</v>
      </c>
      <c r="S3877" t="s">
        <v>332</v>
      </c>
      <c r="T3877" t="s">
        <v>119</v>
      </c>
      <c r="U3877" t="s">
        <v>234</v>
      </c>
      <c r="V3877" t="s">
        <v>343</v>
      </c>
      <c r="W3877" t="s">
        <v>348</v>
      </c>
      <c r="X3877" t="s">
        <v>352</v>
      </c>
      <c r="Y3877" t="s">
        <v>354</v>
      </c>
      <c r="AK3877" t="s">
        <v>360</v>
      </c>
    </row>
    <row r="3878" spans="1:37">
      <c r="A3878" t="s">
        <v>41</v>
      </c>
      <c r="B3878" t="s">
        <v>61</v>
      </c>
      <c r="C3878" t="s">
        <v>83</v>
      </c>
      <c r="D3878" t="s">
        <v>102</v>
      </c>
      <c r="E3878" t="s">
        <v>121</v>
      </c>
      <c r="F3878" t="s">
        <v>155</v>
      </c>
      <c r="G3878" t="s">
        <v>181</v>
      </c>
      <c r="H3878" t="s">
        <v>216</v>
      </c>
      <c r="I3878" t="s">
        <v>236</v>
      </c>
      <c r="AK3878" t="s">
        <v>360</v>
      </c>
    </row>
    <row r="3879" spans="1:37">
      <c r="A3879" t="s">
        <v>42</v>
      </c>
      <c r="B3879" t="s">
        <v>62</v>
      </c>
      <c r="C3879" t="s">
        <v>84</v>
      </c>
      <c r="D3879" t="s">
        <v>103</v>
      </c>
      <c r="E3879" t="s">
        <v>122</v>
      </c>
      <c r="F3879" t="s">
        <v>156</v>
      </c>
      <c r="G3879" t="s">
        <v>182</v>
      </c>
      <c r="H3879" t="s">
        <v>83</v>
      </c>
      <c r="I3879" t="s">
        <v>237</v>
      </c>
      <c r="J3879" t="s">
        <v>254</v>
      </c>
      <c r="K3879" t="s">
        <v>268</v>
      </c>
      <c r="L3879" t="s">
        <v>280</v>
      </c>
      <c r="M3879" t="s">
        <v>289</v>
      </c>
      <c r="N3879" t="s">
        <v>298</v>
      </c>
      <c r="O3879" t="s">
        <v>307</v>
      </c>
      <c r="P3879" t="s">
        <v>314</v>
      </c>
      <c r="Q3879" t="s">
        <v>216</v>
      </c>
      <c r="R3879" t="s">
        <v>326</v>
      </c>
      <c r="S3879" t="s">
        <v>333</v>
      </c>
      <c r="T3879" t="s">
        <v>335</v>
      </c>
      <c r="U3879" t="s">
        <v>340</v>
      </c>
      <c r="V3879" t="s">
        <v>344</v>
      </c>
      <c r="W3879" t="s">
        <v>349</v>
      </c>
      <c r="AK3879" t="s">
        <v>360</v>
      </c>
    </row>
    <row r="3880" spans="1:37">
      <c r="A3880" t="s">
        <v>43</v>
      </c>
      <c r="B3880" t="s">
        <v>63</v>
      </c>
      <c r="C3880" t="s">
        <v>85</v>
      </c>
      <c r="D3880" t="s">
        <v>104</v>
      </c>
      <c r="E3880" t="s">
        <v>123</v>
      </c>
      <c r="F3880" t="s">
        <v>157</v>
      </c>
      <c r="G3880" t="s">
        <v>183</v>
      </c>
      <c r="AK3880" t="s">
        <v>360</v>
      </c>
    </row>
    <row r="3881" spans="1:37">
      <c r="A3881" t="s">
        <v>44</v>
      </c>
      <c r="B3881" t="s">
        <v>64</v>
      </c>
      <c r="C3881" t="s">
        <v>86</v>
      </c>
      <c r="D3881" t="s">
        <v>105</v>
      </c>
      <c r="E3881" t="s">
        <v>124</v>
      </c>
      <c r="F3881" t="s">
        <v>158</v>
      </c>
      <c r="G3881" t="s">
        <v>184</v>
      </c>
      <c r="AK3881" t="s">
        <v>360</v>
      </c>
    </row>
    <row r="3882" spans="1:37">
      <c r="A3882" t="s">
        <v>45</v>
      </c>
      <c r="B3882" t="s">
        <v>65</v>
      </c>
      <c r="C3882" t="s">
        <v>87</v>
      </c>
      <c r="D3882" t="s">
        <v>106</v>
      </c>
      <c r="E3882" t="s">
        <v>125</v>
      </c>
      <c r="F3882" t="s">
        <v>159</v>
      </c>
      <c r="G3882" t="s">
        <v>185</v>
      </c>
      <c r="H3882" t="s">
        <v>159</v>
      </c>
      <c r="I3882" t="s">
        <v>185</v>
      </c>
      <c r="J3882" t="s">
        <v>255</v>
      </c>
      <c r="AK3882" t="s">
        <v>360</v>
      </c>
    </row>
    <row r="3883" spans="1:37">
      <c r="A3883" t="s">
        <v>46</v>
      </c>
      <c r="B3883" t="s">
        <v>66</v>
      </c>
      <c r="C3883" t="s">
        <v>88</v>
      </c>
      <c r="D3883" t="s">
        <v>76</v>
      </c>
      <c r="E3883" t="s">
        <v>126</v>
      </c>
      <c r="F3883" t="s">
        <v>160</v>
      </c>
      <c r="G3883" t="s">
        <v>186</v>
      </c>
      <c r="H3883" t="s">
        <v>217</v>
      </c>
      <c r="I3883" t="s">
        <v>238</v>
      </c>
      <c r="J3883" t="s">
        <v>256</v>
      </c>
      <c r="K3883" t="s">
        <v>265</v>
      </c>
      <c r="L3883" t="s">
        <v>281</v>
      </c>
      <c r="M3883" t="s">
        <v>290</v>
      </c>
      <c r="N3883" t="s">
        <v>299</v>
      </c>
      <c r="O3883" t="s">
        <v>308</v>
      </c>
      <c r="P3883" t="s">
        <v>228</v>
      </c>
      <c r="Q3883" t="s">
        <v>72</v>
      </c>
      <c r="R3883" t="s">
        <v>327</v>
      </c>
      <c r="S3883" t="s">
        <v>327</v>
      </c>
      <c r="T3883" t="s">
        <v>336</v>
      </c>
      <c r="U3883" t="s">
        <v>336</v>
      </c>
      <c r="V3883" t="s">
        <v>336</v>
      </c>
      <c r="W3883" t="s">
        <v>336</v>
      </c>
      <c r="X3883" t="s">
        <v>353</v>
      </c>
      <c r="AK3883" t="s">
        <v>360</v>
      </c>
    </row>
    <row r="3884" spans="1:37">
      <c r="B3884" t="s">
        <v>67</v>
      </c>
      <c r="C3884" t="s">
        <v>89</v>
      </c>
      <c r="D3884" t="s">
        <v>107</v>
      </c>
      <c r="AK3884" t="s">
        <v>360</v>
      </c>
    </row>
    <row r="3885" spans="1:37">
      <c r="B3885" t="s">
        <v>68</v>
      </c>
      <c r="C3885" t="s">
        <v>90</v>
      </c>
      <c r="D3885" t="s">
        <v>108</v>
      </c>
      <c r="AK3885" t="s">
        <v>360</v>
      </c>
    </row>
    <row r="3886" spans="1:37">
      <c r="A3886" t="s">
        <v>47</v>
      </c>
      <c r="B3886" t="s">
        <v>69</v>
      </c>
      <c r="C3886" t="s">
        <v>91</v>
      </c>
      <c r="D3886" t="s">
        <v>109</v>
      </c>
      <c r="E3886" t="s">
        <v>109</v>
      </c>
      <c r="F3886" t="s">
        <v>109</v>
      </c>
      <c r="G3886" t="s">
        <v>109</v>
      </c>
      <c r="H3886" t="s">
        <v>109</v>
      </c>
      <c r="I3886" t="s">
        <v>239</v>
      </c>
      <c r="AK3886" t="s">
        <v>360</v>
      </c>
    </row>
    <row r="3887" spans="1:37">
      <c r="B3887" t="s">
        <v>70</v>
      </c>
      <c r="C3887" t="s">
        <v>92</v>
      </c>
      <c r="D3887" t="s">
        <v>110</v>
      </c>
      <c r="E3887" t="s">
        <v>127</v>
      </c>
      <c r="F3887" t="s">
        <v>161</v>
      </c>
      <c r="G3887" t="s">
        <v>187</v>
      </c>
      <c r="H3887" t="s">
        <v>218</v>
      </c>
      <c r="AK3887" t="s">
        <v>360</v>
      </c>
    </row>
    <row r="3888" spans="1:37">
      <c r="B3888" t="s">
        <v>71</v>
      </c>
      <c r="C3888" t="s">
        <v>93</v>
      </c>
      <c r="D3888" t="s">
        <v>111</v>
      </c>
      <c r="E3888" t="s">
        <v>128</v>
      </c>
      <c r="F3888" t="s">
        <v>162</v>
      </c>
      <c r="G3888" t="s">
        <v>188</v>
      </c>
      <c r="H3888" t="s">
        <v>219</v>
      </c>
      <c r="I3888" t="s">
        <v>240</v>
      </c>
      <c r="J3888" t="s">
        <v>257</v>
      </c>
      <c r="K3888" t="s">
        <v>269</v>
      </c>
      <c r="L3888" t="s">
        <v>109</v>
      </c>
      <c r="M3888" t="s">
        <v>109</v>
      </c>
      <c r="N3888" t="s">
        <v>109</v>
      </c>
      <c r="O3888" t="s">
        <v>109</v>
      </c>
      <c r="P3888" t="s">
        <v>109</v>
      </c>
      <c r="Q3888" t="s">
        <v>321</v>
      </c>
      <c r="AK3888" t="s">
        <v>360</v>
      </c>
    </row>
    <row r="3889" spans="1:37">
      <c r="A3889" t="s">
        <v>48</v>
      </c>
      <c r="B3889" t="s">
        <v>71</v>
      </c>
      <c r="C3889" t="s">
        <v>93</v>
      </c>
      <c r="D3889" t="s">
        <v>111</v>
      </c>
      <c r="E3889" t="s">
        <v>128</v>
      </c>
      <c r="F3889" t="s">
        <v>163</v>
      </c>
      <c r="G3889" t="s">
        <v>189</v>
      </c>
      <c r="H3889" t="s">
        <v>220</v>
      </c>
      <c r="I3889" t="s">
        <v>241</v>
      </c>
      <c r="J3889" t="s">
        <v>258</v>
      </c>
      <c r="K3889" t="s">
        <v>270</v>
      </c>
      <c r="AK3889" t="s">
        <v>360</v>
      </c>
    </row>
    <row r="3890" spans="1:37">
      <c r="B3890" t="s">
        <v>72</v>
      </c>
      <c r="C3890" t="s">
        <v>72</v>
      </c>
      <c r="D3890" t="s">
        <v>72</v>
      </c>
      <c r="E3890" t="s">
        <v>72</v>
      </c>
      <c r="F3890" t="s">
        <v>72</v>
      </c>
      <c r="G3890" t="s">
        <v>72</v>
      </c>
      <c r="H3890" t="s">
        <v>72</v>
      </c>
      <c r="I3890" t="s">
        <v>72</v>
      </c>
      <c r="J3890" t="s">
        <v>72</v>
      </c>
      <c r="K3890" t="s">
        <v>272</v>
      </c>
      <c r="AK3890" t="s">
        <v>360</v>
      </c>
    </row>
    <row r="3891" spans="1:37">
      <c r="A3891" t="s">
        <v>37</v>
      </c>
      <c r="B3891" t="s">
        <v>49</v>
      </c>
      <c r="C3891" t="s">
        <v>73</v>
      </c>
      <c r="D3891" t="s">
        <v>94</v>
      </c>
      <c r="E3891" t="s">
        <v>112</v>
      </c>
      <c r="F3891" t="s">
        <v>146</v>
      </c>
      <c r="G3891" t="s">
        <v>172</v>
      </c>
      <c r="H3891" t="s">
        <v>207</v>
      </c>
      <c r="I3891" t="s">
        <v>226</v>
      </c>
      <c r="J3891" t="s">
        <v>246</v>
      </c>
      <c r="K3891" t="s">
        <v>259</v>
      </c>
      <c r="AK3891" t="s">
        <v>360</v>
      </c>
    </row>
    <row r="3892" spans="1:37">
      <c r="A3892" t="s">
        <v>38</v>
      </c>
      <c r="B3892" t="s">
        <v>50</v>
      </c>
      <c r="C3892" t="s">
        <v>74</v>
      </c>
      <c r="D3892" t="s">
        <v>95</v>
      </c>
      <c r="E3892" t="s">
        <v>113</v>
      </c>
      <c r="F3892" t="s">
        <v>147</v>
      </c>
      <c r="G3892" t="s">
        <v>173</v>
      </c>
      <c r="H3892" t="s">
        <v>208</v>
      </c>
      <c r="I3892" t="s">
        <v>227</v>
      </c>
      <c r="J3892" t="s">
        <v>115</v>
      </c>
      <c r="K3892" t="s">
        <v>260</v>
      </c>
      <c r="L3892" t="s">
        <v>273</v>
      </c>
      <c r="M3892" t="s">
        <v>282</v>
      </c>
      <c r="N3892" t="s">
        <v>291</v>
      </c>
      <c r="AK3892" t="s">
        <v>360</v>
      </c>
    </row>
    <row r="3893" spans="1:37">
      <c r="B3893" t="s">
        <v>51</v>
      </c>
      <c r="C3893" t="s">
        <v>75</v>
      </c>
      <c r="D3893" t="s">
        <v>52</v>
      </c>
      <c r="E3893" t="s">
        <v>114</v>
      </c>
      <c r="F3893" t="s">
        <v>148</v>
      </c>
      <c r="G3893" t="s">
        <v>148</v>
      </c>
      <c r="H3893" t="s">
        <v>209</v>
      </c>
      <c r="I3893" t="s">
        <v>228</v>
      </c>
      <c r="J3893" t="s">
        <v>247</v>
      </c>
      <c r="K3893" t="s">
        <v>261</v>
      </c>
      <c r="L3893" t="s">
        <v>274</v>
      </c>
      <c r="M3893" t="s">
        <v>283</v>
      </c>
      <c r="N3893" t="s">
        <v>292</v>
      </c>
      <c r="O3893" t="s">
        <v>300</v>
      </c>
      <c r="AK3893" t="s">
        <v>360</v>
      </c>
    </row>
    <row r="3894" spans="1:37">
      <c r="B3894" t="s">
        <v>52</v>
      </c>
      <c r="C3894" t="s">
        <v>76</v>
      </c>
      <c r="D3894" t="s">
        <v>96</v>
      </c>
      <c r="E3894" t="s">
        <v>115</v>
      </c>
      <c r="F3894" t="s">
        <v>149</v>
      </c>
      <c r="G3894" t="s">
        <v>174</v>
      </c>
      <c r="H3894" t="s">
        <v>96</v>
      </c>
      <c r="I3894" t="s">
        <v>229</v>
      </c>
      <c r="J3894" t="s">
        <v>248</v>
      </c>
      <c r="K3894" t="s">
        <v>262</v>
      </c>
      <c r="L3894" t="s">
        <v>52</v>
      </c>
      <c r="M3894" t="s">
        <v>76</v>
      </c>
      <c r="N3894" t="s">
        <v>293</v>
      </c>
      <c r="O3894" t="s">
        <v>301</v>
      </c>
      <c r="P3894" t="s">
        <v>309</v>
      </c>
      <c r="Q3894" t="s">
        <v>315</v>
      </c>
      <c r="R3894" t="s">
        <v>228</v>
      </c>
      <c r="S3894" t="s">
        <v>328</v>
      </c>
      <c r="T3894" t="s">
        <v>149</v>
      </c>
      <c r="U3894" t="s">
        <v>337</v>
      </c>
      <c r="V3894" t="s">
        <v>341</v>
      </c>
      <c r="W3894" t="s">
        <v>345</v>
      </c>
      <c r="X3894" t="s">
        <v>350</v>
      </c>
      <c r="AK3894" t="s">
        <v>360</v>
      </c>
    </row>
    <row r="3895" spans="1:37">
      <c r="B3895" t="s">
        <v>53</v>
      </c>
      <c r="C3895" t="s">
        <v>77</v>
      </c>
      <c r="D3895" t="s">
        <v>97</v>
      </c>
      <c r="E3895" t="s">
        <v>116</v>
      </c>
      <c r="F3895" t="s">
        <v>150</v>
      </c>
      <c r="G3895" t="s">
        <v>175</v>
      </c>
      <c r="H3895" t="s">
        <v>210</v>
      </c>
      <c r="I3895" t="s">
        <v>230</v>
      </c>
      <c r="J3895" t="s">
        <v>249</v>
      </c>
      <c r="K3895" t="s">
        <v>263</v>
      </c>
      <c r="L3895" t="s">
        <v>275</v>
      </c>
      <c r="M3895" t="s">
        <v>284</v>
      </c>
      <c r="N3895" t="s">
        <v>294</v>
      </c>
      <c r="O3895" t="s">
        <v>302</v>
      </c>
      <c r="P3895" t="s">
        <v>310</v>
      </c>
      <c r="Q3895" t="s">
        <v>316</v>
      </c>
      <c r="R3895" t="s">
        <v>322</v>
      </c>
      <c r="S3895" t="s">
        <v>329</v>
      </c>
      <c r="AK3895" t="s">
        <v>360</v>
      </c>
    </row>
    <row r="3896" spans="1:37">
      <c r="A3896" t="s">
        <v>39</v>
      </c>
      <c r="B3896" t="s">
        <v>54</v>
      </c>
      <c r="C3896" t="s">
        <v>54</v>
      </c>
      <c r="D3896" t="s">
        <v>54</v>
      </c>
      <c r="E3896" t="s">
        <v>54</v>
      </c>
      <c r="F3896" t="s">
        <v>54</v>
      </c>
      <c r="G3896" t="s">
        <v>54</v>
      </c>
      <c r="H3896" t="s">
        <v>54</v>
      </c>
      <c r="I3896" t="s">
        <v>54</v>
      </c>
      <c r="J3896" t="s">
        <v>54</v>
      </c>
      <c r="K3896" t="s">
        <v>54</v>
      </c>
      <c r="L3896" t="s">
        <v>54</v>
      </c>
      <c r="M3896" t="s">
        <v>54</v>
      </c>
      <c r="N3896" t="s">
        <v>54</v>
      </c>
      <c r="O3896" t="s">
        <v>54</v>
      </c>
      <c r="P3896" t="s">
        <v>54</v>
      </c>
      <c r="Q3896" t="s">
        <v>54</v>
      </c>
      <c r="R3896" t="s">
        <v>323</v>
      </c>
      <c r="S3896" t="s">
        <v>330</v>
      </c>
      <c r="AK3896" t="s">
        <v>360</v>
      </c>
    </row>
    <row r="3897" spans="1:37">
      <c r="B3897" t="s">
        <v>55</v>
      </c>
      <c r="C3897" t="s">
        <v>78</v>
      </c>
      <c r="D3897" t="s">
        <v>55</v>
      </c>
      <c r="E3897" t="s">
        <v>78</v>
      </c>
      <c r="F3897" t="s">
        <v>55</v>
      </c>
      <c r="G3897" t="s">
        <v>78</v>
      </c>
      <c r="H3897" t="s">
        <v>55</v>
      </c>
      <c r="I3897" t="s">
        <v>78</v>
      </c>
      <c r="J3897" t="s">
        <v>55</v>
      </c>
      <c r="K3897" t="s">
        <v>78</v>
      </c>
      <c r="L3897" t="s">
        <v>55</v>
      </c>
      <c r="M3897" t="s">
        <v>78</v>
      </c>
      <c r="N3897" t="s">
        <v>55</v>
      </c>
      <c r="O3897" t="s">
        <v>78</v>
      </c>
      <c r="P3897" t="s">
        <v>55</v>
      </c>
      <c r="Q3897" t="s">
        <v>78</v>
      </c>
      <c r="R3897" t="s">
        <v>55</v>
      </c>
      <c r="S3897" t="s">
        <v>78</v>
      </c>
      <c r="T3897" t="s">
        <v>55</v>
      </c>
      <c r="U3897" t="s">
        <v>78</v>
      </c>
      <c r="V3897" t="s">
        <v>55</v>
      </c>
      <c r="W3897" t="s">
        <v>78</v>
      </c>
      <c r="X3897" t="s">
        <v>55</v>
      </c>
      <c r="Y3897" t="s">
        <v>78</v>
      </c>
      <c r="Z3897" t="s">
        <v>55</v>
      </c>
      <c r="AA3897" t="s">
        <v>78</v>
      </c>
      <c r="AB3897" t="s">
        <v>55</v>
      </c>
      <c r="AC3897" t="s">
        <v>78</v>
      </c>
      <c r="AD3897" t="s">
        <v>55</v>
      </c>
      <c r="AE3897" t="s">
        <v>78</v>
      </c>
      <c r="AF3897" t="s">
        <v>55</v>
      </c>
      <c r="AG3897" t="s">
        <v>78</v>
      </c>
      <c r="AH3897" t="s">
        <v>55</v>
      </c>
      <c r="AI3897" t="s">
        <v>78</v>
      </c>
      <c r="AK3897" t="s">
        <v>360</v>
      </c>
    </row>
    <row r="3898" spans="1:37">
      <c r="B3898" t="s">
        <v>56</v>
      </c>
      <c r="C3898" t="s">
        <v>56</v>
      </c>
      <c r="D3898" t="s">
        <v>56</v>
      </c>
      <c r="E3898" t="s">
        <v>56</v>
      </c>
      <c r="F3898" t="s">
        <v>56</v>
      </c>
      <c r="G3898" t="s">
        <v>176</v>
      </c>
      <c r="H3898" t="s">
        <v>211</v>
      </c>
      <c r="I3898" t="s">
        <v>231</v>
      </c>
      <c r="J3898" t="s">
        <v>250</v>
      </c>
      <c r="K3898" t="s">
        <v>264</v>
      </c>
      <c r="L3898" t="s">
        <v>276</v>
      </c>
      <c r="M3898" t="s">
        <v>285</v>
      </c>
      <c r="N3898" t="s">
        <v>295</v>
      </c>
      <c r="O3898" t="s">
        <v>303</v>
      </c>
      <c r="P3898" t="s">
        <v>56</v>
      </c>
      <c r="Q3898" t="s">
        <v>317</v>
      </c>
      <c r="R3898" t="s">
        <v>324</v>
      </c>
      <c r="S3898" t="s">
        <v>331</v>
      </c>
      <c r="T3898" t="s">
        <v>334</v>
      </c>
      <c r="U3898" t="s">
        <v>338</v>
      </c>
      <c r="V3898" t="s">
        <v>342</v>
      </c>
      <c r="W3898" t="s">
        <v>346</v>
      </c>
      <c r="X3898" t="s">
        <v>351</v>
      </c>
      <c r="AK3898" t="s">
        <v>360</v>
      </c>
    </row>
    <row r="3899" spans="1:37">
      <c r="B3899" t="s">
        <v>57</v>
      </c>
      <c r="C3899" t="s">
        <v>79</v>
      </c>
      <c r="D3899" t="s">
        <v>98</v>
      </c>
      <c r="E3899" t="s">
        <v>117</v>
      </c>
      <c r="F3899" t="s">
        <v>151</v>
      </c>
      <c r="G3899" t="s">
        <v>177</v>
      </c>
      <c r="H3899" t="s">
        <v>212</v>
      </c>
      <c r="I3899" t="s">
        <v>232</v>
      </c>
      <c r="J3899" t="s">
        <v>251</v>
      </c>
      <c r="K3899" t="s">
        <v>265</v>
      </c>
      <c r="L3899" t="s">
        <v>277</v>
      </c>
      <c r="M3899" t="s">
        <v>286</v>
      </c>
      <c r="N3899" t="s">
        <v>296</v>
      </c>
      <c r="O3899" t="s">
        <v>304</v>
      </c>
      <c r="P3899" t="s">
        <v>311</v>
      </c>
      <c r="Q3899" t="s">
        <v>318</v>
      </c>
      <c r="R3899" t="s">
        <v>185</v>
      </c>
      <c r="S3899" t="s">
        <v>159</v>
      </c>
      <c r="T3899" t="s">
        <v>185</v>
      </c>
      <c r="U3899" t="s">
        <v>339</v>
      </c>
      <c r="V3899" t="s">
        <v>72</v>
      </c>
      <c r="W3899" t="s">
        <v>347</v>
      </c>
      <c r="X3899" t="s">
        <v>72</v>
      </c>
      <c r="Y3899" t="s">
        <v>96</v>
      </c>
      <c r="AK3899" t="s">
        <v>360</v>
      </c>
    </row>
    <row r="3900" spans="1:37">
      <c r="B3900" t="s">
        <v>58</v>
      </c>
      <c r="C3900" t="s">
        <v>80</v>
      </c>
      <c r="D3900" t="s">
        <v>99</v>
      </c>
      <c r="E3900" t="s">
        <v>118</v>
      </c>
      <c r="F3900" t="s">
        <v>152</v>
      </c>
      <c r="G3900" t="s">
        <v>178</v>
      </c>
      <c r="H3900" t="s">
        <v>213</v>
      </c>
      <c r="I3900" t="s">
        <v>233</v>
      </c>
      <c r="J3900" t="s">
        <v>252</v>
      </c>
      <c r="K3900" t="s">
        <v>266</v>
      </c>
      <c r="L3900" t="s">
        <v>278</v>
      </c>
      <c r="M3900" t="s">
        <v>287</v>
      </c>
      <c r="N3900" t="s">
        <v>297</v>
      </c>
      <c r="O3900" t="s">
        <v>305</v>
      </c>
      <c r="P3900" t="s">
        <v>312</v>
      </c>
      <c r="Q3900" t="s">
        <v>319</v>
      </c>
      <c r="R3900">
        <f>&gt;10       ветра      2.6     20  30</f>
        <v>0</v>
      </c>
      <c r="AK3900" t="s">
        <v>360</v>
      </c>
    </row>
    <row r="3901" spans="1:37">
      <c r="A3901" t="s">
        <v>40</v>
      </c>
      <c r="B3901" t="s">
        <v>59</v>
      </c>
      <c r="C3901" t="s">
        <v>81</v>
      </c>
      <c r="D3901" t="s">
        <v>100</v>
      </c>
      <c r="E3901" t="s">
        <v>119</v>
      </c>
      <c r="F3901" t="s">
        <v>153</v>
      </c>
      <c r="G3901" t="s">
        <v>179</v>
      </c>
      <c r="H3901" t="s">
        <v>214</v>
      </c>
      <c r="I3901" t="s">
        <v>234</v>
      </c>
      <c r="AK3901" t="s">
        <v>360</v>
      </c>
    </row>
    <row r="3902" spans="1:37">
      <c r="A3902" t="s">
        <v>40</v>
      </c>
      <c r="B3902" t="s">
        <v>60</v>
      </c>
      <c r="C3902" t="s">
        <v>82</v>
      </c>
      <c r="D3902" t="s">
        <v>101</v>
      </c>
      <c r="E3902" t="s">
        <v>120</v>
      </c>
      <c r="F3902" t="s">
        <v>154</v>
      </c>
      <c r="G3902" t="s">
        <v>180</v>
      </c>
      <c r="H3902" t="s">
        <v>215</v>
      </c>
      <c r="I3902" t="s">
        <v>235</v>
      </c>
      <c r="J3902" t="s">
        <v>253</v>
      </c>
      <c r="K3902" t="s">
        <v>267</v>
      </c>
      <c r="L3902" t="s">
        <v>279</v>
      </c>
      <c r="M3902" t="s">
        <v>288</v>
      </c>
      <c r="N3902" t="s">
        <v>100</v>
      </c>
      <c r="O3902" t="s">
        <v>306</v>
      </c>
      <c r="P3902" t="s">
        <v>313</v>
      </c>
      <c r="Q3902" t="s">
        <v>320</v>
      </c>
      <c r="R3902" t="s">
        <v>325</v>
      </c>
      <c r="S3902" t="s">
        <v>332</v>
      </c>
      <c r="T3902" t="s">
        <v>119</v>
      </c>
      <c r="U3902" t="s">
        <v>234</v>
      </c>
      <c r="V3902" t="s">
        <v>343</v>
      </c>
      <c r="W3902" t="s">
        <v>348</v>
      </c>
      <c r="X3902" t="s">
        <v>352</v>
      </c>
      <c r="Y3902" t="s">
        <v>354</v>
      </c>
      <c r="AK3902" t="s">
        <v>360</v>
      </c>
    </row>
    <row r="3903" spans="1:37">
      <c r="A3903" t="s">
        <v>41</v>
      </c>
      <c r="B3903" t="s">
        <v>61</v>
      </c>
      <c r="C3903" t="s">
        <v>83</v>
      </c>
      <c r="D3903" t="s">
        <v>102</v>
      </c>
      <c r="E3903" t="s">
        <v>121</v>
      </c>
      <c r="F3903" t="s">
        <v>155</v>
      </c>
      <c r="G3903" t="s">
        <v>181</v>
      </c>
      <c r="H3903" t="s">
        <v>216</v>
      </c>
      <c r="I3903" t="s">
        <v>236</v>
      </c>
      <c r="AK3903" t="s">
        <v>360</v>
      </c>
    </row>
    <row r="3904" spans="1:37">
      <c r="A3904" t="s">
        <v>42</v>
      </c>
      <c r="B3904" t="s">
        <v>62</v>
      </c>
      <c r="C3904" t="s">
        <v>84</v>
      </c>
      <c r="D3904" t="s">
        <v>103</v>
      </c>
      <c r="E3904" t="s">
        <v>122</v>
      </c>
      <c r="F3904" t="s">
        <v>156</v>
      </c>
      <c r="G3904" t="s">
        <v>182</v>
      </c>
      <c r="H3904" t="s">
        <v>83</v>
      </c>
      <c r="I3904" t="s">
        <v>237</v>
      </c>
      <c r="J3904" t="s">
        <v>254</v>
      </c>
      <c r="K3904" t="s">
        <v>268</v>
      </c>
      <c r="L3904" t="s">
        <v>280</v>
      </c>
      <c r="M3904" t="s">
        <v>289</v>
      </c>
      <c r="N3904" t="s">
        <v>298</v>
      </c>
      <c r="O3904" t="s">
        <v>307</v>
      </c>
      <c r="P3904" t="s">
        <v>314</v>
      </c>
      <c r="Q3904" t="s">
        <v>216</v>
      </c>
      <c r="R3904" t="s">
        <v>326</v>
      </c>
      <c r="S3904" t="s">
        <v>333</v>
      </c>
      <c r="T3904" t="s">
        <v>335</v>
      </c>
      <c r="U3904" t="s">
        <v>340</v>
      </c>
      <c r="V3904" t="s">
        <v>344</v>
      </c>
      <c r="W3904" t="s">
        <v>349</v>
      </c>
      <c r="AK3904" t="s">
        <v>360</v>
      </c>
    </row>
    <row r="3905" spans="1:37">
      <c r="A3905" t="s">
        <v>43</v>
      </c>
      <c r="B3905" t="s">
        <v>63</v>
      </c>
      <c r="C3905" t="s">
        <v>85</v>
      </c>
      <c r="D3905" t="s">
        <v>104</v>
      </c>
      <c r="E3905" t="s">
        <v>123</v>
      </c>
      <c r="F3905" t="s">
        <v>157</v>
      </c>
      <c r="G3905" t="s">
        <v>183</v>
      </c>
      <c r="AK3905" t="s">
        <v>360</v>
      </c>
    </row>
    <row r="3906" spans="1:37">
      <c r="A3906" t="s">
        <v>44</v>
      </c>
      <c r="B3906" t="s">
        <v>64</v>
      </c>
      <c r="C3906" t="s">
        <v>86</v>
      </c>
      <c r="D3906" t="s">
        <v>105</v>
      </c>
      <c r="E3906" t="s">
        <v>124</v>
      </c>
      <c r="F3906" t="s">
        <v>158</v>
      </c>
      <c r="G3906" t="s">
        <v>184</v>
      </c>
      <c r="AK3906" t="s">
        <v>360</v>
      </c>
    </row>
    <row r="3907" spans="1:37">
      <c r="A3907" t="s">
        <v>45</v>
      </c>
      <c r="B3907" t="s">
        <v>65</v>
      </c>
      <c r="C3907" t="s">
        <v>87</v>
      </c>
      <c r="D3907" t="s">
        <v>106</v>
      </c>
      <c r="E3907" t="s">
        <v>125</v>
      </c>
      <c r="F3907" t="s">
        <v>159</v>
      </c>
      <c r="G3907" t="s">
        <v>185</v>
      </c>
      <c r="H3907" t="s">
        <v>159</v>
      </c>
      <c r="I3907" t="s">
        <v>185</v>
      </c>
      <c r="J3907" t="s">
        <v>255</v>
      </c>
      <c r="AK3907" t="s">
        <v>360</v>
      </c>
    </row>
    <row r="3908" spans="1:37">
      <c r="A3908" t="s">
        <v>46</v>
      </c>
      <c r="B3908" t="s">
        <v>66</v>
      </c>
      <c r="C3908" t="s">
        <v>88</v>
      </c>
      <c r="D3908" t="s">
        <v>76</v>
      </c>
      <c r="E3908" t="s">
        <v>126</v>
      </c>
      <c r="F3908" t="s">
        <v>160</v>
      </c>
      <c r="G3908" t="s">
        <v>186</v>
      </c>
      <c r="H3908" t="s">
        <v>217</v>
      </c>
      <c r="I3908" t="s">
        <v>238</v>
      </c>
      <c r="J3908" t="s">
        <v>256</v>
      </c>
      <c r="K3908" t="s">
        <v>265</v>
      </c>
      <c r="L3908" t="s">
        <v>281</v>
      </c>
      <c r="M3908" t="s">
        <v>290</v>
      </c>
      <c r="N3908" t="s">
        <v>299</v>
      </c>
      <c r="O3908" t="s">
        <v>308</v>
      </c>
      <c r="P3908" t="s">
        <v>228</v>
      </c>
      <c r="Q3908" t="s">
        <v>72</v>
      </c>
      <c r="R3908" t="s">
        <v>327</v>
      </c>
      <c r="S3908" t="s">
        <v>327</v>
      </c>
      <c r="T3908" t="s">
        <v>336</v>
      </c>
      <c r="U3908" t="s">
        <v>336</v>
      </c>
      <c r="V3908" t="s">
        <v>336</v>
      </c>
      <c r="W3908" t="s">
        <v>336</v>
      </c>
      <c r="X3908" t="s">
        <v>353</v>
      </c>
      <c r="AK3908" t="s">
        <v>360</v>
      </c>
    </row>
    <row r="3909" spans="1:37">
      <c r="B3909" t="s">
        <v>67</v>
      </c>
      <c r="C3909" t="s">
        <v>89</v>
      </c>
      <c r="D3909" t="s">
        <v>107</v>
      </c>
      <c r="AK3909" t="s">
        <v>360</v>
      </c>
    </row>
    <row r="3910" spans="1:37">
      <c r="B3910" t="s">
        <v>68</v>
      </c>
      <c r="C3910" t="s">
        <v>90</v>
      </c>
      <c r="D3910" t="s">
        <v>108</v>
      </c>
      <c r="AK3910" t="s">
        <v>360</v>
      </c>
    </row>
    <row r="3911" spans="1:37">
      <c r="A3911" t="s">
        <v>47</v>
      </c>
      <c r="B3911" t="s">
        <v>69</v>
      </c>
      <c r="C3911" t="s">
        <v>91</v>
      </c>
      <c r="D3911" t="s">
        <v>109</v>
      </c>
      <c r="E3911" t="s">
        <v>109</v>
      </c>
      <c r="F3911" t="s">
        <v>109</v>
      </c>
      <c r="G3911" t="s">
        <v>109</v>
      </c>
      <c r="H3911" t="s">
        <v>109</v>
      </c>
      <c r="I3911" t="s">
        <v>239</v>
      </c>
      <c r="AK3911" t="s">
        <v>360</v>
      </c>
    </row>
    <row r="3912" spans="1:37">
      <c r="B3912" t="s">
        <v>70</v>
      </c>
      <c r="C3912" t="s">
        <v>92</v>
      </c>
      <c r="D3912" t="s">
        <v>110</v>
      </c>
      <c r="E3912" t="s">
        <v>127</v>
      </c>
      <c r="F3912" t="s">
        <v>161</v>
      </c>
      <c r="G3912" t="s">
        <v>187</v>
      </c>
      <c r="H3912" t="s">
        <v>218</v>
      </c>
      <c r="AK3912" t="s">
        <v>360</v>
      </c>
    </row>
    <row r="3913" spans="1:37">
      <c r="B3913" t="s">
        <v>71</v>
      </c>
      <c r="C3913" t="s">
        <v>93</v>
      </c>
      <c r="D3913" t="s">
        <v>111</v>
      </c>
      <c r="E3913" t="s">
        <v>128</v>
      </c>
      <c r="F3913" t="s">
        <v>162</v>
      </c>
      <c r="G3913" t="s">
        <v>188</v>
      </c>
      <c r="H3913" t="s">
        <v>219</v>
      </c>
      <c r="I3913" t="s">
        <v>240</v>
      </c>
      <c r="J3913" t="s">
        <v>257</v>
      </c>
      <c r="K3913" t="s">
        <v>269</v>
      </c>
      <c r="L3913" t="s">
        <v>109</v>
      </c>
      <c r="M3913" t="s">
        <v>109</v>
      </c>
      <c r="N3913" t="s">
        <v>109</v>
      </c>
      <c r="O3913" t="s">
        <v>109</v>
      </c>
      <c r="P3913" t="s">
        <v>109</v>
      </c>
      <c r="Q3913" t="s">
        <v>321</v>
      </c>
      <c r="AK3913" t="s">
        <v>360</v>
      </c>
    </row>
    <row r="3914" spans="1:37">
      <c r="A3914" t="s">
        <v>48</v>
      </c>
      <c r="B3914" t="s">
        <v>71</v>
      </c>
      <c r="C3914" t="s">
        <v>93</v>
      </c>
      <c r="D3914" t="s">
        <v>111</v>
      </c>
      <c r="E3914" t="s">
        <v>128</v>
      </c>
      <c r="F3914" t="s">
        <v>163</v>
      </c>
      <c r="G3914" t="s">
        <v>189</v>
      </c>
      <c r="H3914" t="s">
        <v>220</v>
      </c>
      <c r="I3914" t="s">
        <v>241</v>
      </c>
      <c r="J3914" t="s">
        <v>258</v>
      </c>
      <c r="K3914" t="s">
        <v>270</v>
      </c>
      <c r="AK3914" t="s">
        <v>360</v>
      </c>
    </row>
    <row r="3915" spans="1:37">
      <c r="B3915" t="s">
        <v>72</v>
      </c>
      <c r="C3915" t="s">
        <v>72</v>
      </c>
      <c r="D3915" t="s">
        <v>72</v>
      </c>
      <c r="E3915" t="s">
        <v>72</v>
      </c>
      <c r="F3915" t="s">
        <v>72</v>
      </c>
      <c r="G3915" t="s">
        <v>72</v>
      </c>
      <c r="H3915" t="s">
        <v>72</v>
      </c>
      <c r="I3915" t="s">
        <v>72</v>
      </c>
      <c r="J3915" t="s">
        <v>72</v>
      </c>
      <c r="K3915" t="s">
        <v>272</v>
      </c>
      <c r="AK3915" t="s">
        <v>360</v>
      </c>
    </row>
    <row r="3916" spans="1:37">
      <c r="A3916" t="s">
        <v>37</v>
      </c>
      <c r="B3916" t="s">
        <v>49</v>
      </c>
      <c r="C3916" t="s">
        <v>73</v>
      </c>
      <c r="D3916" t="s">
        <v>94</v>
      </c>
      <c r="E3916" t="s">
        <v>112</v>
      </c>
      <c r="F3916" t="s">
        <v>146</v>
      </c>
      <c r="G3916" t="s">
        <v>172</v>
      </c>
      <c r="H3916" t="s">
        <v>207</v>
      </c>
      <c r="I3916" t="s">
        <v>226</v>
      </c>
      <c r="J3916" t="s">
        <v>246</v>
      </c>
      <c r="K3916" t="s">
        <v>259</v>
      </c>
      <c r="AK3916" t="s">
        <v>360</v>
      </c>
    </row>
    <row r="3917" spans="1:37">
      <c r="A3917" t="s">
        <v>38</v>
      </c>
      <c r="B3917" t="s">
        <v>50</v>
      </c>
      <c r="C3917" t="s">
        <v>74</v>
      </c>
      <c r="D3917" t="s">
        <v>95</v>
      </c>
      <c r="E3917" t="s">
        <v>113</v>
      </c>
      <c r="F3917" t="s">
        <v>147</v>
      </c>
      <c r="G3917" t="s">
        <v>173</v>
      </c>
      <c r="H3917" t="s">
        <v>208</v>
      </c>
      <c r="I3917" t="s">
        <v>227</v>
      </c>
      <c r="J3917" t="s">
        <v>115</v>
      </c>
      <c r="K3917" t="s">
        <v>260</v>
      </c>
      <c r="L3917" t="s">
        <v>273</v>
      </c>
      <c r="M3917" t="s">
        <v>282</v>
      </c>
      <c r="N3917" t="s">
        <v>291</v>
      </c>
      <c r="AK3917" t="s">
        <v>360</v>
      </c>
    </row>
    <row r="3918" spans="1:37">
      <c r="B3918" t="s">
        <v>51</v>
      </c>
      <c r="C3918" t="s">
        <v>75</v>
      </c>
      <c r="D3918" t="s">
        <v>52</v>
      </c>
      <c r="E3918" t="s">
        <v>114</v>
      </c>
      <c r="F3918" t="s">
        <v>148</v>
      </c>
      <c r="G3918" t="s">
        <v>148</v>
      </c>
      <c r="H3918" t="s">
        <v>209</v>
      </c>
      <c r="I3918" t="s">
        <v>228</v>
      </c>
      <c r="J3918" t="s">
        <v>247</v>
      </c>
      <c r="K3918" t="s">
        <v>261</v>
      </c>
      <c r="L3918" t="s">
        <v>274</v>
      </c>
      <c r="M3918" t="s">
        <v>283</v>
      </c>
      <c r="N3918" t="s">
        <v>292</v>
      </c>
      <c r="O3918" t="s">
        <v>300</v>
      </c>
      <c r="AK3918" t="s">
        <v>360</v>
      </c>
    </row>
    <row r="3919" spans="1:37">
      <c r="B3919" t="s">
        <v>52</v>
      </c>
      <c r="C3919" t="s">
        <v>76</v>
      </c>
      <c r="D3919" t="s">
        <v>96</v>
      </c>
      <c r="E3919" t="s">
        <v>115</v>
      </c>
      <c r="F3919" t="s">
        <v>149</v>
      </c>
      <c r="G3919" t="s">
        <v>174</v>
      </c>
      <c r="H3919" t="s">
        <v>96</v>
      </c>
      <c r="I3919" t="s">
        <v>229</v>
      </c>
      <c r="J3919" t="s">
        <v>248</v>
      </c>
      <c r="K3919" t="s">
        <v>262</v>
      </c>
      <c r="L3919" t="s">
        <v>52</v>
      </c>
      <c r="M3919" t="s">
        <v>76</v>
      </c>
      <c r="N3919" t="s">
        <v>293</v>
      </c>
      <c r="O3919" t="s">
        <v>301</v>
      </c>
      <c r="P3919" t="s">
        <v>309</v>
      </c>
      <c r="Q3919" t="s">
        <v>315</v>
      </c>
      <c r="R3919" t="s">
        <v>228</v>
      </c>
      <c r="S3919" t="s">
        <v>328</v>
      </c>
      <c r="T3919" t="s">
        <v>149</v>
      </c>
      <c r="U3919" t="s">
        <v>337</v>
      </c>
      <c r="V3919" t="s">
        <v>341</v>
      </c>
      <c r="W3919" t="s">
        <v>345</v>
      </c>
      <c r="X3919" t="s">
        <v>350</v>
      </c>
      <c r="AK3919" t="s">
        <v>360</v>
      </c>
    </row>
    <row r="3920" spans="1:37">
      <c r="B3920" t="s">
        <v>53</v>
      </c>
      <c r="C3920" t="s">
        <v>77</v>
      </c>
      <c r="D3920" t="s">
        <v>97</v>
      </c>
      <c r="E3920" t="s">
        <v>116</v>
      </c>
      <c r="F3920" t="s">
        <v>150</v>
      </c>
      <c r="G3920" t="s">
        <v>175</v>
      </c>
      <c r="H3920" t="s">
        <v>210</v>
      </c>
      <c r="I3920" t="s">
        <v>230</v>
      </c>
      <c r="J3920" t="s">
        <v>249</v>
      </c>
      <c r="K3920" t="s">
        <v>263</v>
      </c>
      <c r="L3920" t="s">
        <v>275</v>
      </c>
      <c r="M3920" t="s">
        <v>284</v>
      </c>
      <c r="N3920" t="s">
        <v>294</v>
      </c>
      <c r="O3920" t="s">
        <v>302</v>
      </c>
      <c r="P3920" t="s">
        <v>310</v>
      </c>
      <c r="Q3920" t="s">
        <v>316</v>
      </c>
      <c r="R3920" t="s">
        <v>322</v>
      </c>
      <c r="S3920" t="s">
        <v>329</v>
      </c>
      <c r="AK3920" t="s">
        <v>360</v>
      </c>
    </row>
    <row r="3921" spans="1:37">
      <c r="A3921" t="s">
        <v>39</v>
      </c>
      <c r="B3921" t="s">
        <v>54</v>
      </c>
      <c r="C3921" t="s">
        <v>54</v>
      </c>
      <c r="D3921" t="s">
        <v>54</v>
      </c>
      <c r="E3921" t="s">
        <v>54</v>
      </c>
      <c r="F3921" t="s">
        <v>54</v>
      </c>
      <c r="G3921" t="s">
        <v>54</v>
      </c>
      <c r="H3921" t="s">
        <v>54</v>
      </c>
      <c r="I3921" t="s">
        <v>54</v>
      </c>
      <c r="J3921" t="s">
        <v>54</v>
      </c>
      <c r="K3921" t="s">
        <v>54</v>
      </c>
      <c r="L3921" t="s">
        <v>54</v>
      </c>
      <c r="M3921" t="s">
        <v>54</v>
      </c>
      <c r="N3921" t="s">
        <v>54</v>
      </c>
      <c r="O3921" t="s">
        <v>54</v>
      </c>
      <c r="P3921" t="s">
        <v>54</v>
      </c>
      <c r="Q3921" t="s">
        <v>54</v>
      </c>
      <c r="R3921" t="s">
        <v>323</v>
      </c>
      <c r="S3921" t="s">
        <v>330</v>
      </c>
      <c r="AK3921" t="s">
        <v>360</v>
      </c>
    </row>
    <row r="3922" spans="1:37">
      <c r="B3922" t="s">
        <v>55</v>
      </c>
      <c r="C3922" t="s">
        <v>78</v>
      </c>
      <c r="D3922" t="s">
        <v>55</v>
      </c>
      <c r="E3922" t="s">
        <v>78</v>
      </c>
      <c r="F3922" t="s">
        <v>55</v>
      </c>
      <c r="G3922" t="s">
        <v>78</v>
      </c>
      <c r="H3922" t="s">
        <v>55</v>
      </c>
      <c r="I3922" t="s">
        <v>78</v>
      </c>
      <c r="J3922" t="s">
        <v>55</v>
      </c>
      <c r="K3922" t="s">
        <v>78</v>
      </c>
      <c r="L3922" t="s">
        <v>55</v>
      </c>
      <c r="M3922" t="s">
        <v>78</v>
      </c>
      <c r="N3922" t="s">
        <v>55</v>
      </c>
      <c r="O3922" t="s">
        <v>78</v>
      </c>
      <c r="P3922" t="s">
        <v>55</v>
      </c>
      <c r="Q3922" t="s">
        <v>78</v>
      </c>
      <c r="R3922" t="s">
        <v>55</v>
      </c>
      <c r="S3922" t="s">
        <v>78</v>
      </c>
      <c r="T3922" t="s">
        <v>55</v>
      </c>
      <c r="U3922" t="s">
        <v>78</v>
      </c>
      <c r="V3922" t="s">
        <v>55</v>
      </c>
      <c r="W3922" t="s">
        <v>78</v>
      </c>
      <c r="X3922" t="s">
        <v>55</v>
      </c>
      <c r="Y3922" t="s">
        <v>78</v>
      </c>
      <c r="Z3922" t="s">
        <v>55</v>
      </c>
      <c r="AA3922" t="s">
        <v>78</v>
      </c>
      <c r="AB3922" t="s">
        <v>55</v>
      </c>
      <c r="AC3922" t="s">
        <v>78</v>
      </c>
      <c r="AD3922" t="s">
        <v>55</v>
      </c>
      <c r="AE3922" t="s">
        <v>78</v>
      </c>
      <c r="AF3922" t="s">
        <v>55</v>
      </c>
      <c r="AG3922" t="s">
        <v>78</v>
      </c>
      <c r="AH3922" t="s">
        <v>55</v>
      </c>
      <c r="AI3922" t="s">
        <v>78</v>
      </c>
      <c r="AK3922" t="s">
        <v>360</v>
      </c>
    </row>
    <row r="3923" spans="1:37">
      <c r="B3923" t="s">
        <v>56</v>
      </c>
      <c r="C3923" t="s">
        <v>56</v>
      </c>
      <c r="D3923" t="s">
        <v>56</v>
      </c>
      <c r="E3923" t="s">
        <v>56</v>
      </c>
      <c r="F3923" t="s">
        <v>56</v>
      </c>
      <c r="G3923" t="s">
        <v>176</v>
      </c>
      <c r="H3923" t="s">
        <v>211</v>
      </c>
      <c r="I3923" t="s">
        <v>231</v>
      </c>
      <c r="J3923" t="s">
        <v>250</v>
      </c>
      <c r="K3923" t="s">
        <v>264</v>
      </c>
      <c r="L3923" t="s">
        <v>276</v>
      </c>
      <c r="M3923" t="s">
        <v>285</v>
      </c>
      <c r="N3923" t="s">
        <v>295</v>
      </c>
      <c r="O3923" t="s">
        <v>303</v>
      </c>
      <c r="P3923" t="s">
        <v>56</v>
      </c>
      <c r="Q3923" t="s">
        <v>317</v>
      </c>
      <c r="R3923" t="s">
        <v>324</v>
      </c>
      <c r="S3923" t="s">
        <v>331</v>
      </c>
      <c r="T3923" t="s">
        <v>334</v>
      </c>
      <c r="U3923" t="s">
        <v>338</v>
      </c>
      <c r="V3923" t="s">
        <v>342</v>
      </c>
      <c r="W3923" t="s">
        <v>346</v>
      </c>
      <c r="X3923" t="s">
        <v>351</v>
      </c>
      <c r="AK3923" t="s">
        <v>360</v>
      </c>
    </row>
    <row r="3924" spans="1:37">
      <c r="B3924" t="s">
        <v>57</v>
      </c>
      <c r="C3924" t="s">
        <v>79</v>
      </c>
      <c r="D3924" t="s">
        <v>98</v>
      </c>
      <c r="E3924" t="s">
        <v>117</v>
      </c>
      <c r="F3924" t="s">
        <v>151</v>
      </c>
      <c r="G3924" t="s">
        <v>177</v>
      </c>
      <c r="H3924" t="s">
        <v>212</v>
      </c>
      <c r="I3924" t="s">
        <v>232</v>
      </c>
      <c r="J3924" t="s">
        <v>251</v>
      </c>
      <c r="K3924" t="s">
        <v>265</v>
      </c>
      <c r="L3924" t="s">
        <v>277</v>
      </c>
      <c r="M3924" t="s">
        <v>286</v>
      </c>
      <c r="N3924" t="s">
        <v>296</v>
      </c>
      <c r="O3924" t="s">
        <v>304</v>
      </c>
      <c r="P3924" t="s">
        <v>311</v>
      </c>
      <c r="Q3924" t="s">
        <v>318</v>
      </c>
      <c r="R3924" t="s">
        <v>185</v>
      </c>
      <c r="S3924" t="s">
        <v>159</v>
      </c>
      <c r="T3924" t="s">
        <v>185</v>
      </c>
      <c r="U3924" t="s">
        <v>339</v>
      </c>
      <c r="V3924" t="s">
        <v>72</v>
      </c>
      <c r="W3924" t="s">
        <v>347</v>
      </c>
      <c r="X3924" t="s">
        <v>72</v>
      </c>
      <c r="Y3924" t="s">
        <v>96</v>
      </c>
      <c r="AK3924" t="s">
        <v>360</v>
      </c>
    </row>
    <row r="3925" spans="1:37">
      <c r="B3925" t="s">
        <v>58</v>
      </c>
      <c r="C3925" t="s">
        <v>80</v>
      </c>
      <c r="D3925" t="s">
        <v>99</v>
      </c>
      <c r="E3925" t="s">
        <v>118</v>
      </c>
      <c r="F3925" t="s">
        <v>152</v>
      </c>
      <c r="G3925" t="s">
        <v>178</v>
      </c>
      <c r="H3925" t="s">
        <v>213</v>
      </c>
      <c r="I3925" t="s">
        <v>233</v>
      </c>
      <c r="J3925" t="s">
        <v>252</v>
      </c>
      <c r="K3925" t="s">
        <v>266</v>
      </c>
      <c r="L3925" t="s">
        <v>278</v>
      </c>
      <c r="M3925" t="s">
        <v>287</v>
      </c>
      <c r="N3925" t="s">
        <v>297</v>
      </c>
      <c r="O3925" t="s">
        <v>305</v>
      </c>
      <c r="P3925" t="s">
        <v>312</v>
      </c>
      <c r="Q3925" t="s">
        <v>319</v>
      </c>
      <c r="R3925">
        <f>&gt;10       ветра      3.8     25   1</f>
        <v>0</v>
      </c>
      <c r="AK3925" t="s">
        <v>360</v>
      </c>
    </row>
    <row r="3926" spans="1:37">
      <c r="A3926" t="s">
        <v>40</v>
      </c>
      <c r="B3926" t="s">
        <v>59</v>
      </c>
      <c r="C3926" t="s">
        <v>81</v>
      </c>
      <c r="D3926" t="s">
        <v>100</v>
      </c>
      <c r="E3926" t="s">
        <v>119</v>
      </c>
      <c r="F3926" t="s">
        <v>153</v>
      </c>
      <c r="G3926" t="s">
        <v>179</v>
      </c>
      <c r="H3926" t="s">
        <v>214</v>
      </c>
      <c r="I3926" t="s">
        <v>234</v>
      </c>
      <c r="AK3926" t="s">
        <v>360</v>
      </c>
    </row>
    <row r="3927" spans="1:37">
      <c r="A3927" t="s">
        <v>40</v>
      </c>
      <c r="B3927" t="s">
        <v>60</v>
      </c>
      <c r="C3927" t="s">
        <v>82</v>
      </c>
      <c r="D3927" t="s">
        <v>101</v>
      </c>
      <c r="E3927" t="s">
        <v>120</v>
      </c>
      <c r="F3927" t="s">
        <v>154</v>
      </c>
      <c r="G3927" t="s">
        <v>180</v>
      </c>
      <c r="H3927" t="s">
        <v>215</v>
      </c>
      <c r="I3927" t="s">
        <v>235</v>
      </c>
      <c r="J3927" t="s">
        <v>253</v>
      </c>
      <c r="K3927" t="s">
        <v>267</v>
      </c>
      <c r="L3927" t="s">
        <v>279</v>
      </c>
      <c r="M3927" t="s">
        <v>288</v>
      </c>
      <c r="N3927" t="s">
        <v>100</v>
      </c>
      <c r="O3927" t="s">
        <v>306</v>
      </c>
      <c r="P3927" t="s">
        <v>313</v>
      </c>
      <c r="Q3927" t="s">
        <v>320</v>
      </c>
      <c r="R3927" t="s">
        <v>325</v>
      </c>
      <c r="S3927" t="s">
        <v>332</v>
      </c>
      <c r="T3927" t="s">
        <v>119</v>
      </c>
      <c r="U3927" t="s">
        <v>234</v>
      </c>
      <c r="V3927" t="s">
        <v>343</v>
      </c>
      <c r="W3927" t="s">
        <v>348</v>
      </c>
      <c r="X3927" t="s">
        <v>352</v>
      </c>
      <c r="Y3927" t="s">
        <v>354</v>
      </c>
      <c r="AK3927" t="s">
        <v>360</v>
      </c>
    </row>
    <row r="3928" spans="1:37">
      <c r="A3928" t="s">
        <v>41</v>
      </c>
      <c r="B3928" t="s">
        <v>61</v>
      </c>
      <c r="C3928" t="s">
        <v>83</v>
      </c>
      <c r="D3928" t="s">
        <v>102</v>
      </c>
      <c r="E3928" t="s">
        <v>121</v>
      </c>
      <c r="F3928" t="s">
        <v>155</v>
      </c>
      <c r="G3928" t="s">
        <v>181</v>
      </c>
      <c r="H3928" t="s">
        <v>216</v>
      </c>
      <c r="I3928" t="s">
        <v>236</v>
      </c>
      <c r="AK3928" t="s">
        <v>360</v>
      </c>
    </row>
    <row r="3929" spans="1:37">
      <c r="A3929" t="s">
        <v>42</v>
      </c>
      <c r="B3929" t="s">
        <v>62</v>
      </c>
      <c r="C3929" t="s">
        <v>84</v>
      </c>
      <c r="D3929" t="s">
        <v>103</v>
      </c>
      <c r="E3929" t="s">
        <v>122</v>
      </c>
      <c r="F3929" t="s">
        <v>156</v>
      </c>
      <c r="G3929" t="s">
        <v>182</v>
      </c>
      <c r="H3929" t="s">
        <v>83</v>
      </c>
      <c r="I3929" t="s">
        <v>237</v>
      </c>
      <c r="J3929" t="s">
        <v>254</v>
      </c>
      <c r="K3929" t="s">
        <v>268</v>
      </c>
      <c r="L3929" t="s">
        <v>280</v>
      </c>
      <c r="M3929" t="s">
        <v>289</v>
      </c>
      <c r="N3929" t="s">
        <v>298</v>
      </c>
      <c r="O3929" t="s">
        <v>307</v>
      </c>
      <c r="P3929" t="s">
        <v>314</v>
      </c>
      <c r="Q3929" t="s">
        <v>216</v>
      </c>
      <c r="R3929" t="s">
        <v>326</v>
      </c>
      <c r="S3929" t="s">
        <v>333</v>
      </c>
      <c r="T3929" t="s">
        <v>335</v>
      </c>
      <c r="U3929" t="s">
        <v>340</v>
      </c>
      <c r="V3929" t="s">
        <v>344</v>
      </c>
      <c r="W3929" t="s">
        <v>349</v>
      </c>
      <c r="AK3929" t="s">
        <v>360</v>
      </c>
    </row>
    <row r="3930" spans="1:37">
      <c r="A3930" t="s">
        <v>43</v>
      </c>
      <c r="B3930" t="s">
        <v>63</v>
      </c>
      <c r="C3930" t="s">
        <v>85</v>
      </c>
      <c r="D3930" t="s">
        <v>104</v>
      </c>
      <c r="E3930" t="s">
        <v>123</v>
      </c>
      <c r="F3930" t="s">
        <v>157</v>
      </c>
      <c r="G3930" t="s">
        <v>183</v>
      </c>
      <c r="AK3930" t="s">
        <v>360</v>
      </c>
    </row>
    <row r="3931" spans="1:37">
      <c r="A3931" t="s">
        <v>44</v>
      </c>
      <c r="B3931" t="s">
        <v>64</v>
      </c>
      <c r="C3931" t="s">
        <v>86</v>
      </c>
      <c r="D3931" t="s">
        <v>105</v>
      </c>
      <c r="E3931" t="s">
        <v>124</v>
      </c>
      <c r="F3931" t="s">
        <v>158</v>
      </c>
      <c r="G3931" t="s">
        <v>184</v>
      </c>
      <c r="AK3931" t="s">
        <v>360</v>
      </c>
    </row>
    <row r="3932" spans="1:37">
      <c r="A3932" t="s">
        <v>45</v>
      </c>
      <c r="B3932" t="s">
        <v>65</v>
      </c>
      <c r="C3932" t="s">
        <v>87</v>
      </c>
      <c r="D3932" t="s">
        <v>106</v>
      </c>
      <c r="E3932" t="s">
        <v>125</v>
      </c>
      <c r="F3932" t="s">
        <v>159</v>
      </c>
      <c r="G3932" t="s">
        <v>185</v>
      </c>
      <c r="H3932" t="s">
        <v>159</v>
      </c>
      <c r="I3932" t="s">
        <v>185</v>
      </c>
      <c r="J3932" t="s">
        <v>255</v>
      </c>
      <c r="AK3932" t="s">
        <v>360</v>
      </c>
    </row>
    <row r="3933" spans="1:37">
      <c r="A3933" t="s">
        <v>46</v>
      </c>
      <c r="B3933" t="s">
        <v>66</v>
      </c>
      <c r="C3933" t="s">
        <v>88</v>
      </c>
      <c r="D3933" t="s">
        <v>76</v>
      </c>
      <c r="E3933" t="s">
        <v>126</v>
      </c>
      <c r="F3933" t="s">
        <v>160</v>
      </c>
      <c r="G3933" t="s">
        <v>186</v>
      </c>
      <c r="H3933" t="s">
        <v>217</v>
      </c>
      <c r="I3933" t="s">
        <v>238</v>
      </c>
      <c r="J3933" t="s">
        <v>256</v>
      </c>
      <c r="K3933" t="s">
        <v>265</v>
      </c>
      <c r="L3933" t="s">
        <v>281</v>
      </c>
      <c r="M3933" t="s">
        <v>290</v>
      </c>
      <c r="N3933" t="s">
        <v>299</v>
      </c>
      <c r="O3933" t="s">
        <v>308</v>
      </c>
      <c r="P3933" t="s">
        <v>228</v>
      </c>
      <c r="Q3933" t="s">
        <v>72</v>
      </c>
      <c r="R3933" t="s">
        <v>327</v>
      </c>
      <c r="S3933" t="s">
        <v>327</v>
      </c>
      <c r="T3933" t="s">
        <v>336</v>
      </c>
      <c r="U3933" t="s">
        <v>336</v>
      </c>
      <c r="V3933" t="s">
        <v>336</v>
      </c>
      <c r="W3933" t="s">
        <v>336</v>
      </c>
      <c r="X3933" t="s">
        <v>353</v>
      </c>
      <c r="AK3933" t="s">
        <v>360</v>
      </c>
    </row>
    <row r="3934" spans="1:37">
      <c r="B3934" t="s">
        <v>67</v>
      </c>
      <c r="C3934" t="s">
        <v>89</v>
      </c>
      <c r="D3934" t="s">
        <v>107</v>
      </c>
      <c r="AK3934" t="s">
        <v>360</v>
      </c>
    </row>
    <row r="3935" spans="1:37">
      <c r="B3935" t="s">
        <v>68</v>
      </c>
      <c r="C3935" t="s">
        <v>90</v>
      </c>
      <c r="D3935" t="s">
        <v>108</v>
      </c>
      <c r="AK3935" t="s">
        <v>360</v>
      </c>
    </row>
    <row r="3936" spans="1:37">
      <c r="A3936" t="s">
        <v>47</v>
      </c>
      <c r="B3936" t="s">
        <v>69</v>
      </c>
      <c r="C3936" t="s">
        <v>91</v>
      </c>
      <c r="D3936" t="s">
        <v>109</v>
      </c>
      <c r="E3936" t="s">
        <v>109</v>
      </c>
      <c r="F3936" t="s">
        <v>109</v>
      </c>
      <c r="G3936" t="s">
        <v>109</v>
      </c>
      <c r="H3936" t="s">
        <v>109</v>
      </c>
      <c r="I3936" t="s">
        <v>239</v>
      </c>
      <c r="AK3936" t="s">
        <v>360</v>
      </c>
    </row>
    <row r="3937" spans="1:37">
      <c r="B3937" t="s">
        <v>70</v>
      </c>
      <c r="C3937" t="s">
        <v>92</v>
      </c>
      <c r="D3937" t="s">
        <v>110</v>
      </c>
      <c r="E3937" t="s">
        <v>127</v>
      </c>
      <c r="F3937" t="s">
        <v>161</v>
      </c>
      <c r="G3937" t="s">
        <v>187</v>
      </c>
      <c r="H3937" t="s">
        <v>218</v>
      </c>
      <c r="AK3937" t="s">
        <v>360</v>
      </c>
    </row>
    <row r="3938" spans="1:37">
      <c r="B3938" t="s">
        <v>71</v>
      </c>
      <c r="C3938" t="s">
        <v>93</v>
      </c>
      <c r="D3938" t="s">
        <v>111</v>
      </c>
      <c r="E3938" t="s">
        <v>128</v>
      </c>
      <c r="F3938" t="s">
        <v>162</v>
      </c>
      <c r="G3938" t="s">
        <v>188</v>
      </c>
      <c r="H3938" t="s">
        <v>219</v>
      </c>
      <c r="I3938" t="s">
        <v>240</v>
      </c>
      <c r="J3938" t="s">
        <v>257</v>
      </c>
      <c r="K3938" t="s">
        <v>269</v>
      </c>
      <c r="L3938" t="s">
        <v>109</v>
      </c>
      <c r="M3938" t="s">
        <v>109</v>
      </c>
      <c r="N3938" t="s">
        <v>109</v>
      </c>
      <c r="O3938" t="s">
        <v>109</v>
      </c>
      <c r="P3938" t="s">
        <v>109</v>
      </c>
      <c r="Q3938" t="s">
        <v>321</v>
      </c>
      <c r="AK3938" t="s">
        <v>360</v>
      </c>
    </row>
    <row r="3939" spans="1:37">
      <c r="A3939" t="s">
        <v>48</v>
      </c>
      <c r="B3939" t="s">
        <v>71</v>
      </c>
      <c r="C3939" t="s">
        <v>93</v>
      </c>
      <c r="D3939" t="s">
        <v>111</v>
      </c>
      <c r="E3939" t="s">
        <v>128</v>
      </c>
      <c r="F3939" t="s">
        <v>163</v>
      </c>
      <c r="G3939" t="s">
        <v>189</v>
      </c>
      <c r="H3939" t="s">
        <v>220</v>
      </c>
      <c r="I3939" t="s">
        <v>241</v>
      </c>
      <c r="J3939" t="s">
        <v>258</v>
      </c>
      <c r="K3939" t="s">
        <v>270</v>
      </c>
      <c r="AK3939" t="s">
        <v>360</v>
      </c>
    </row>
    <row r="3940" spans="1:37">
      <c r="B3940" t="s">
        <v>72</v>
      </c>
      <c r="C3940" t="s">
        <v>72</v>
      </c>
      <c r="D3940" t="s">
        <v>72</v>
      </c>
      <c r="E3940" t="s">
        <v>72</v>
      </c>
      <c r="F3940" t="s">
        <v>72</v>
      </c>
      <c r="G3940" t="s">
        <v>72</v>
      </c>
      <c r="H3940" t="s">
        <v>72</v>
      </c>
      <c r="I3940" t="s">
        <v>72</v>
      </c>
      <c r="J3940" t="s">
        <v>72</v>
      </c>
      <c r="K3940" t="s">
        <v>272</v>
      </c>
      <c r="AK3940" t="s">
        <v>360</v>
      </c>
    </row>
    <row r="3941" spans="1:37">
      <c r="A3941" t="s">
        <v>37</v>
      </c>
      <c r="B3941" t="s">
        <v>49</v>
      </c>
      <c r="C3941" t="s">
        <v>73</v>
      </c>
      <c r="D3941" t="s">
        <v>94</v>
      </c>
      <c r="E3941" t="s">
        <v>112</v>
      </c>
      <c r="F3941" t="s">
        <v>146</v>
      </c>
      <c r="G3941" t="s">
        <v>172</v>
      </c>
      <c r="H3941" t="s">
        <v>207</v>
      </c>
      <c r="I3941" t="s">
        <v>226</v>
      </c>
      <c r="J3941" t="s">
        <v>246</v>
      </c>
      <c r="K3941" t="s">
        <v>259</v>
      </c>
      <c r="AK3941" t="s">
        <v>360</v>
      </c>
    </row>
    <row r="3942" spans="1:37">
      <c r="A3942" t="s">
        <v>38</v>
      </c>
      <c r="B3942" t="s">
        <v>50</v>
      </c>
      <c r="C3942" t="s">
        <v>74</v>
      </c>
      <c r="D3942" t="s">
        <v>95</v>
      </c>
      <c r="E3942" t="s">
        <v>113</v>
      </c>
      <c r="F3942" t="s">
        <v>147</v>
      </c>
      <c r="G3942" t="s">
        <v>173</v>
      </c>
      <c r="H3942" t="s">
        <v>208</v>
      </c>
      <c r="I3942" t="s">
        <v>227</v>
      </c>
      <c r="J3942" t="s">
        <v>115</v>
      </c>
      <c r="K3942" t="s">
        <v>260</v>
      </c>
      <c r="L3942" t="s">
        <v>273</v>
      </c>
      <c r="M3942" t="s">
        <v>282</v>
      </c>
      <c r="N3942" t="s">
        <v>291</v>
      </c>
      <c r="AK3942" t="s">
        <v>360</v>
      </c>
    </row>
    <row r="3943" spans="1:37">
      <c r="B3943" t="s">
        <v>51</v>
      </c>
      <c r="C3943" t="s">
        <v>75</v>
      </c>
      <c r="D3943" t="s">
        <v>52</v>
      </c>
      <c r="E3943" t="s">
        <v>114</v>
      </c>
      <c r="F3943" t="s">
        <v>148</v>
      </c>
      <c r="G3943" t="s">
        <v>148</v>
      </c>
      <c r="H3943" t="s">
        <v>209</v>
      </c>
      <c r="I3943" t="s">
        <v>228</v>
      </c>
      <c r="J3943" t="s">
        <v>247</v>
      </c>
      <c r="K3943" t="s">
        <v>261</v>
      </c>
      <c r="L3943" t="s">
        <v>274</v>
      </c>
      <c r="M3943" t="s">
        <v>283</v>
      </c>
      <c r="N3943" t="s">
        <v>292</v>
      </c>
      <c r="O3943" t="s">
        <v>300</v>
      </c>
      <c r="AK3943" t="s">
        <v>360</v>
      </c>
    </row>
    <row r="3944" spans="1:37">
      <c r="B3944" t="s">
        <v>52</v>
      </c>
      <c r="C3944" t="s">
        <v>76</v>
      </c>
      <c r="D3944" t="s">
        <v>96</v>
      </c>
      <c r="E3944" t="s">
        <v>115</v>
      </c>
      <c r="F3944" t="s">
        <v>149</v>
      </c>
      <c r="G3944" t="s">
        <v>174</v>
      </c>
      <c r="H3944" t="s">
        <v>96</v>
      </c>
      <c r="I3944" t="s">
        <v>229</v>
      </c>
      <c r="J3944" t="s">
        <v>248</v>
      </c>
      <c r="K3944" t="s">
        <v>262</v>
      </c>
      <c r="L3944" t="s">
        <v>52</v>
      </c>
      <c r="M3944" t="s">
        <v>76</v>
      </c>
      <c r="N3944" t="s">
        <v>293</v>
      </c>
      <c r="O3944" t="s">
        <v>301</v>
      </c>
      <c r="P3944" t="s">
        <v>309</v>
      </c>
      <c r="Q3944" t="s">
        <v>315</v>
      </c>
      <c r="R3944" t="s">
        <v>228</v>
      </c>
      <c r="S3944" t="s">
        <v>328</v>
      </c>
      <c r="T3944" t="s">
        <v>149</v>
      </c>
      <c r="U3944" t="s">
        <v>337</v>
      </c>
      <c r="V3944" t="s">
        <v>341</v>
      </c>
      <c r="W3944" t="s">
        <v>345</v>
      </c>
      <c r="X3944" t="s">
        <v>350</v>
      </c>
      <c r="AK3944" t="s">
        <v>360</v>
      </c>
    </row>
    <row r="3945" spans="1:37">
      <c r="B3945" t="s">
        <v>53</v>
      </c>
      <c r="C3945" t="s">
        <v>77</v>
      </c>
      <c r="D3945" t="s">
        <v>97</v>
      </c>
      <c r="E3945" t="s">
        <v>116</v>
      </c>
      <c r="F3945" t="s">
        <v>150</v>
      </c>
      <c r="G3945" t="s">
        <v>175</v>
      </c>
      <c r="H3945" t="s">
        <v>210</v>
      </c>
      <c r="I3945" t="s">
        <v>230</v>
      </c>
      <c r="J3945" t="s">
        <v>249</v>
      </c>
      <c r="K3945" t="s">
        <v>263</v>
      </c>
      <c r="L3945" t="s">
        <v>275</v>
      </c>
      <c r="M3945" t="s">
        <v>284</v>
      </c>
      <c r="N3945" t="s">
        <v>294</v>
      </c>
      <c r="O3945" t="s">
        <v>302</v>
      </c>
      <c r="P3945" t="s">
        <v>310</v>
      </c>
      <c r="Q3945" t="s">
        <v>316</v>
      </c>
      <c r="R3945" t="s">
        <v>322</v>
      </c>
      <c r="S3945" t="s">
        <v>329</v>
      </c>
      <c r="AK3945" t="s">
        <v>360</v>
      </c>
    </row>
    <row r="3946" spans="1:37">
      <c r="A3946" t="s">
        <v>39</v>
      </c>
      <c r="B3946" t="s">
        <v>54</v>
      </c>
      <c r="C3946" t="s">
        <v>54</v>
      </c>
      <c r="D3946" t="s">
        <v>54</v>
      </c>
      <c r="E3946" t="s">
        <v>54</v>
      </c>
      <c r="F3946" t="s">
        <v>54</v>
      </c>
      <c r="G3946" t="s">
        <v>54</v>
      </c>
      <c r="H3946" t="s">
        <v>54</v>
      </c>
      <c r="I3946" t="s">
        <v>54</v>
      </c>
      <c r="J3946" t="s">
        <v>54</v>
      </c>
      <c r="K3946" t="s">
        <v>54</v>
      </c>
      <c r="L3946" t="s">
        <v>54</v>
      </c>
      <c r="M3946" t="s">
        <v>54</v>
      </c>
      <c r="N3946" t="s">
        <v>54</v>
      </c>
      <c r="O3946" t="s">
        <v>54</v>
      </c>
      <c r="P3946" t="s">
        <v>54</v>
      </c>
      <c r="Q3946" t="s">
        <v>54</v>
      </c>
      <c r="R3946" t="s">
        <v>323</v>
      </c>
      <c r="S3946" t="s">
        <v>330</v>
      </c>
      <c r="AK3946" t="s">
        <v>360</v>
      </c>
    </row>
    <row r="3947" spans="1:37">
      <c r="B3947" t="s">
        <v>55</v>
      </c>
      <c r="C3947" t="s">
        <v>78</v>
      </c>
      <c r="D3947" t="s">
        <v>55</v>
      </c>
      <c r="E3947" t="s">
        <v>78</v>
      </c>
      <c r="F3947" t="s">
        <v>55</v>
      </c>
      <c r="G3947" t="s">
        <v>78</v>
      </c>
      <c r="H3947" t="s">
        <v>55</v>
      </c>
      <c r="I3947" t="s">
        <v>78</v>
      </c>
      <c r="J3947" t="s">
        <v>55</v>
      </c>
      <c r="K3947" t="s">
        <v>78</v>
      </c>
      <c r="L3947" t="s">
        <v>55</v>
      </c>
      <c r="M3947" t="s">
        <v>78</v>
      </c>
      <c r="N3947" t="s">
        <v>55</v>
      </c>
      <c r="O3947" t="s">
        <v>78</v>
      </c>
      <c r="P3947" t="s">
        <v>55</v>
      </c>
      <c r="Q3947" t="s">
        <v>78</v>
      </c>
      <c r="R3947" t="s">
        <v>55</v>
      </c>
      <c r="S3947" t="s">
        <v>78</v>
      </c>
      <c r="T3947" t="s">
        <v>55</v>
      </c>
      <c r="U3947" t="s">
        <v>78</v>
      </c>
      <c r="V3947" t="s">
        <v>55</v>
      </c>
      <c r="W3947" t="s">
        <v>78</v>
      </c>
      <c r="X3947" t="s">
        <v>55</v>
      </c>
      <c r="Y3947" t="s">
        <v>78</v>
      </c>
      <c r="Z3947" t="s">
        <v>55</v>
      </c>
      <c r="AA3947" t="s">
        <v>78</v>
      </c>
      <c r="AB3947" t="s">
        <v>55</v>
      </c>
      <c r="AC3947" t="s">
        <v>78</v>
      </c>
      <c r="AD3947" t="s">
        <v>55</v>
      </c>
      <c r="AE3947" t="s">
        <v>78</v>
      </c>
      <c r="AF3947" t="s">
        <v>55</v>
      </c>
      <c r="AG3947" t="s">
        <v>78</v>
      </c>
      <c r="AH3947" t="s">
        <v>55</v>
      </c>
      <c r="AI3947" t="s">
        <v>78</v>
      </c>
      <c r="AK3947" t="s">
        <v>360</v>
      </c>
    </row>
    <row r="3948" spans="1:37">
      <c r="B3948" t="s">
        <v>56</v>
      </c>
      <c r="C3948" t="s">
        <v>56</v>
      </c>
      <c r="D3948" t="s">
        <v>56</v>
      </c>
      <c r="E3948" t="s">
        <v>56</v>
      </c>
      <c r="F3948" t="s">
        <v>56</v>
      </c>
      <c r="G3948" t="s">
        <v>176</v>
      </c>
      <c r="H3948" t="s">
        <v>211</v>
      </c>
      <c r="I3948" t="s">
        <v>231</v>
      </c>
      <c r="J3948" t="s">
        <v>250</v>
      </c>
      <c r="K3948" t="s">
        <v>264</v>
      </c>
      <c r="L3948" t="s">
        <v>276</v>
      </c>
      <c r="M3948" t="s">
        <v>285</v>
      </c>
      <c r="N3948" t="s">
        <v>295</v>
      </c>
      <c r="O3948" t="s">
        <v>303</v>
      </c>
      <c r="P3948" t="s">
        <v>56</v>
      </c>
      <c r="Q3948" t="s">
        <v>317</v>
      </c>
      <c r="R3948" t="s">
        <v>324</v>
      </c>
      <c r="S3948" t="s">
        <v>331</v>
      </c>
      <c r="T3948" t="s">
        <v>334</v>
      </c>
      <c r="U3948" t="s">
        <v>338</v>
      </c>
      <c r="V3948" t="s">
        <v>342</v>
      </c>
      <c r="W3948" t="s">
        <v>346</v>
      </c>
      <c r="X3948" t="s">
        <v>351</v>
      </c>
      <c r="AK3948" t="s">
        <v>360</v>
      </c>
    </row>
    <row r="3949" spans="1:37">
      <c r="B3949" t="s">
        <v>57</v>
      </c>
      <c r="C3949" t="s">
        <v>79</v>
      </c>
      <c r="D3949" t="s">
        <v>98</v>
      </c>
      <c r="E3949" t="s">
        <v>117</v>
      </c>
      <c r="F3949" t="s">
        <v>151</v>
      </c>
      <c r="G3949" t="s">
        <v>177</v>
      </c>
      <c r="H3949" t="s">
        <v>212</v>
      </c>
      <c r="I3949" t="s">
        <v>232</v>
      </c>
      <c r="J3949" t="s">
        <v>251</v>
      </c>
      <c r="K3949" t="s">
        <v>265</v>
      </c>
      <c r="L3949" t="s">
        <v>277</v>
      </c>
      <c r="M3949" t="s">
        <v>286</v>
      </c>
      <c r="N3949" t="s">
        <v>296</v>
      </c>
      <c r="O3949" t="s">
        <v>304</v>
      </c>
      <c r="P3949" t="s">
        <v>311</v>
      </c>
      <c r="Q3949" t="s">
        <v>318</v>
      </c>
      <c r="R3949" t="s">
        <v>185</v>
      </c>
      <c r="S3949" t="s">
        <v>159</v>
      </c>
      <c r="T3949" t="s">
        <v>185</v>
      </c>
      <c r="U3949" t="s">
        <v>339</v>
      </c>
      <c r="V3949" t="s">
        <v>72</v>
      </c>
      <c r="W3949" t="s">
        <v>347</v>
      </c>
      <c r="X3949" t="s">
        <v>72</v>
      </c>
      <c r="Y3949" t="s">
        <v>96</v>
      </c>
      <c r="AK3949" t="s">
        <v>360</v>
      </c>
    </row>
    <row r="3950" spans="1:37">
      <c r="B3950" t="s">
        <v>58</v>
      </c>
      <c r="C3950" t="s">
        <v>80</v>
      </c>
      <c r="D3950" t="s">
        <v>99</v>
      </c>
      <c r="E3950" t="s">
        <v>118</v>
      </c>
      <c r="F3950" t="s">
        <v>152</v>
      </c>
      <c r="G3950" t="s">
        <v>178</v>
      </c>
      <c r="H3950" t="s">
        <v>213</v>
      </c>
      <c r="I3950" t="s">
        <v>233</v>
      </c>
      <c r="J3950" t="s">
        <v>252</v>
      </c>
      <c r="K3950" t="s">
        <v>266</v>
      </c>
      <c r="L3950" t="s">
        <v>278</v>
      </c>
      <c r="M3950" t="s">
        <v>287</v>
      </c>
      <c r="N3950" t="s">
        <v>297</v>
      </c>
      <c r="O3950" t="s">
        <v>305</v>
      </c>
      <c r="P3950" t="s">
        <v>312</v>
      </c>
      <c r="Q3950" t="s">
        <v>319</v>
      </c>
      <c r="R3950">
        <f>&gt;10       ветра      2.5     16   5 12</f>
        <v>0</v>
      </c>
      <c r="AK3950" t="s">
        <v>360</v>
      </c>
    </row>
    <row r="3951" spans="1:37">
      <c r="A3951" t="s">
        <v>40</v>
      </c>
      <c r="B3951" t="s">
        <v>59</v>
      </c>
      <c r="C3951" t="s">
        <v>81</v>
      </c>
      <c r="D3951" t="s">
        <v>100</v>
      </c>
      <c r="E3951" t="s">
        <v>119</v>
      </c>
      <c r="F3951" t="s">
        <v>153</v>
      </c>
      <c r="G3951" t="s">
        <v>179</v>
      </c>
      <c r="H3951" t="s">
        <v>214</v>
      </c>
      <c r="I3951" t="s">
        <v>234</v>
      </c>
      <c r="AK3951" t="s">
        <v>360</v>
      </c>
    </row>
    <row r="3952" spans="1:37">
      <c r="A3952" t="s">
        <v>40</v>
      </c>
      <c r="B3952" t="s">
        <v>60</v>
      </c>
      <c r="C3952" t="s">
        <v>82</v>
      </c>
      <c r="D3952" t="s">
        <v>101</v>
      </c>
      <c r="E3952" t="s">
        <v>120</v>
      </c>
      <c r="F3952" t="s">
        <v>154</v>
      </c>
      <c r="G3952" t="s">
        <v>180</v>
      </c>
      <c r="H3952" t="s">
        <v>215</v>
      </c>
      <c r="I3952" t="s">
        <v>235</v>
      </c>
      <c r="J3952" t="s">
        <v>253</v>
      </c>
      <c r="K3952" t="s">
        <v>267</v>
      </c>
      <c r="L3952" t="s">
        <v>279</v>
      </c>
      <c r="M3952" t="s">
        <v>288</v>
      </c>
      <c r="N3952" t="s">
        <v>100</v>
      </c>
      <c r="O3952" t="s">
        <v>306</v>
      </c>
      <c r="P3952" t="s">
        <v>313</v>
      </c>
      <c r="Q3952" t="s">
        <v>320</v>
      </c>
      <c r="R3952" t="s">
        <v>325</v>
      </c>
      <c r="S3952" t="s">
        <v>332</v>
      </c>
      <c r="T3952" t="s">
        <v>119</v>
      </c>
      <c r="U3952" t="s">
        <v>234</v>
      </c>
      <c r="V3952" t="s">
        <v>343</v>
      </c>
      <c r="W3952" t="s">
        <v>348</v>
      </c>
      <c r="X3952" t="s">
        <v>352</v>
      </c>
      <c r="Y3952" t="s">
        <v>354</v>
      </c>
      <c r="AK3952" t="s">
        <v>360</v>
      </c>
    </row>
    <row r="3953" spans="1:37">
      <c r="A3953" t="s">
        <v>41</v>
      </c>
      <c r="B3953" t="s">
        <v>61</v>
      </c>
      <c r="C3953" t="s">
        <v>83</v>
      </c>
      <c r="D3953" t="s">
        <v>102</v>
      </c>
      <c r="E3953" t="s">
        <v>121</v>
      </c>
      <c r="F3953" t="s">
        <v>155</v>
      </c>
      <c r="G3953" t="s">
        <v>181</v>
      </c>
      <c r="H3953" t="s">
        <v>216</v>
      </c>
      <c r="I3953" t="s">
        <v>236</v>
      </c>
      <c r="AK3953" t="s">
        <v>360</v>
      </c>
    </row>
    <row r="3954" spans="1:37">
      <c r="A3954" t="s">
        <v>42</v>
      </c>
      <c r="B3954" t="s">
        <v>62</v>
      </c>
      <c r="C3954" t="s">
        <v>84</v>
      </c>
      <c r="D3954" t="s">
        <v>103</v>
      </c>
      <c r="E3954" t="s">
        <v>122</v>
      </c>
      <c r="F3954" t="s">
        <v>156</v>
      </c>
      <c r="G3954" t="s">
        <v>182</v>
      </c>
      <c r="H3954" t="s">
        <v>83</v>
      </c>
      <c r="I3954" t="s">
        <v>237</v>
      </c>
      <c r="J3954" t="s">
        <v>254</v>
      </c>
      <c r="K3954" t="s">
        <v>268</v>
      </c>
      <c r="L3954" t="s">
        <v>280</v>
      </c>
      <c r="M3954" t="s">
        <v>289</v>
      </c>
      <c r="N3954" t="s">
        <v>298</v>
      </c>
      <c r="O3954" t="s">
        <v>307</v>
      </c>
      <c r="P3954" t="s">
        <v>314</v>
      </c>
      <c r="Q3954" t="s">
        <v>216</v>
      </c>
      <c r="R3954" t="s">
        <v>326</v>
      </c>
      <c r="S3954" t="s">
        <v>333</v>
      </c>
      <c r="T3954" t="s">
        <v>335</v>
      </c>
      <c r="U3954" t="s">
        <v>340</v>
      </c>
      <c r="V3954" t="s">
        <v>344</v>
      </c>
      <c r="W3954" t="s">
        <v>349</v>
      </c>
      <c r="AK3954" t="s">
        <v>360</v>
      </c>
    </row>
    <row r="3955" spans="1:37">
      <c r="A3955" t="s">
        <v>43</v>
      </c>
      <c r="B3955" t="s">
        <v>63</v>
      </c>
      <c r="C3955" t="s">
        <v>85</v>
      </c>
      <c r="D3955" t="s">
        <v>104</v>
      </c>
      <c r="E3955" t="s">
        <v>123</v>
      </c>
      <c r="F3955" t="s">
        <v>157</v>
      </c>
      <c r="G3955" t="s">
        <v>183</v>
      </c>
      <c r="AK3955" t="s">
        <v>360</v>
      </c>
    </row>
    <row r="3956" spans="1:37">
      <c r="A3956" t="s">
        <v>44</v>
      </c>
      <c r="B3956" t="s">
        <v>64</v>
      </c>
      <c r="C3956" t="s">
        <v>86</v>
      </c>
      <c r="D3956" t="s">
        <v>105</v>
      </c>
      <c r="E3956" t="s">
        <v>124</v>
      </c>
      <c r="F3956" t="s">
        <v>158</v>
      </c>
      <c r="G3956" t="s">
        <v>184</v>
      </c>
      <c r="AK3956" t="s">
        <v>360</v>
      </c>
    </row>
    <row r="3957" spans="1:37">
      <c r="A3957" t="s">
        <v>45</v>
      </c>
      <c r="B3957" t="s">
        <v>65</v>
      </c>
      <c r="C3957" t="s">
        <v>87</v>
      </c>
      <c r="D3957" t="s">
        <v>106</v>
      </c>
      <c r="E3957" t="s">
        <v>125</v>
      </c>
      <c r="F3957" t="s">
        <v>159</v>
      </c>
      <c r="G3957" t="s">
        <v>185</v>
      </c>
      <c r="H3957" t="s">
        <v>159</v>
      </c>
      <c r="I3957" t="s">
        <v>185</v>
      </c>
      <c r="J3957" t="s">
        <v>255</v>
      </c>
      <c r="AK3957" t="s">
        <v>360</v>
      </c>
    </row>
    <row r="3958" spans="1:37">
      <c r="A3958" t="s">
        <v>46</v>
      </c>
      <c r="B3958" t="s">
        <v>66</v>
      </c>
      <c r="C3958" t="s">
        <v>88</v>
      </c>
      <c r="D3958" t="s">
        <v>76</v>
      </c>
      <c r="E3958" t="s">
        <v>126</v>
      </c>
      <c r="F3958" t="s">
        <v>160</v>
      </c>
      <c r="G3958" t="s">
        <v>186</v>
      </c>
      <c r="H3958" t="s">
        <v>217</v>
      </c>
      <c r="I3958" t="s">
        <v>238</v>
      </c>
      <c r="J3958" t="s">
        <v>256</v>
      </c>
      <c r="K3958" t="s">
        <v>265</v>
      </c>
      <c r="L3958" t="s">
        <v>281</v>
      </c>
      <c r="M3958" t="s">
        <v>290</v>
      </c>
      <c r="N3958" t="s">
        <v>299</v>
      </c>
      <c r="O3958" t="s">
        <v>308</v>
      </c>
      <c r="P3958" t="s">
        <v>228</v>
      </c>
      <c r="Q3958" t="s">
        <v>72</v>
      </c>
      <c r="R3958" t="s">
        <v>327</v>
      </c>
      <c r="S3958" t="s">
        <v>327</v>
      </c>
      <c r="T3958" t="s">
        <v>336</v>
      </c>
      <c r="U3958" t="s">
        <v>336</v>
      </c>
      <c r="V3958" t="s">
        <v>336</v>
      </c>
      <c r="W3958" t="s">
        <v>336</v>
      </c>
      <c r="X3958" t="s">
        <v>353</v>
      </c>
      <c r="AK3958" t="s">
        <v>360</v>
      </c>
    </row>
    <row r="3959" spans="1:37">
      <c r="B3959" t="s">
        <v>67</v>
      </c>
      <c r="C3959" t="s">
        <v>89</v>
      </c>
      <c r="D3959" t="s">
        <v>107</v>
      </c>
      <c r="AK3959" t="s">
        <v>360</v>
      </c>
    </row>
    <row r="3960" spans="1:37">
      <c r="B3960" t="s">
        <v>68</v>
      </c>
      <c r="C3960" t="s">
        <v>90</v>
      </c>
      <c r="D3960" t="s">
        <v>108</v>
      </c>
      <c r="AK3960" t="s">
        <v>360</v>
      </c>
    </row>
    <row r="3961" spans="1:37">
      <c r="A3961" t="s">
        <v>47</v>
      </c>
      <c r="B3961" t="s">
        <v>69</v>
      </c>
      <c r="C3961" t="s">
        <v>91</v>
      </c>
      <c r="D3961" t="s">
        <v>109</v>
      </c>
      <c r="E3961" t="s">
        <v>109</v>
      </c>
      <c r="F3961" t="s">
        <v>109</v>
      </c>
      <c r="G3961" t="s">
        <v>109</v>
      </c>
      <c r="H3961" t="s">
        <v>109</v>
      </c>
      <c r="I3961" t="s">
        <v>239</v>
      </c>
      <c r="AK3961" t="s">
        <v>360</v>
      </c>
    </row>
    <row r="3962" spans="1:37">
      <c r="B3962" t="s">
        <v>70</v>
      </c>
      <c r="C3962" t="s">
        <v>92</v>
      </c>
      <c r="D3962" t="s">
        <v>110</v>
      </c>
      <c r="E3962" t="s">
        <v>127</v>
      </c>
      <c r="F3962" t="s">
        <v>161</v>
      </c>
      <c r="G3962" t="s">
        <v>187</v>
      </c>
      <c r="H3962" t="s">
        <v>218</v>
      </c>
      <c r="AK3962" t="s">
        <v>360</v>
      </c>
    </row>
    <row r="3963" spans="1:37">
      <c r="B3963" t="s">
        <v>71</v>
      </c>
      <c r="C3963" t="s">
        <v>93</v>
      </c>
      <c r="D3963" t="s">
        <v>111</v>
      </c>
      <c r="E3963" t="s">
        <v>128</v>
      </c>
      <c r="F3963" t="s">
        <v>162</v>
      </c>
      <c r="G3963" t="s">
        <v>188</v>
      </c>
      <c r="H3963" t="s">
        <v>219</v>
      </c>
      <c r="I3963" t="s">
        <v>240</v>
      </c>
      <c r="J3963" t="s">
        <v>257</v>
      </c>
      <c r="K3963" t="s">
        <v>269</v>
      </c>
      <c r="L3963" t="s">
        <v>109</v>
      </c>
      <c r="M3963" t="s">
        <v>109</v>
      </c>
      <c r="N3963" t="s">
        <v>109</v>
      </c>
      <c r="O3963" t="s">
        <v>109</v>
      </c>
      <c r="P3963" t="s">
        <v>109</v>
      </c>
      <c r="Q3963" t="s">
        <v>321</v>
      </c>
      <c r="AK3963" t="s">
        <v>360</v>
      </c>
    </row>
    <row r="3964" spans="1:37">
      <c r="A3964" t="s">
        <v>48</v>
      </c>
      <c r="B3964" t="s">
        <v>71</v>
      </c>
      <c r="C3964" t="s">
        <v>93</v>
      </c>
      <c r="D3964" t="s">
        <v>111</v>
      </c>
      <c r="E3964" t="s">
        <v>128</v>
      </c>
      <c r="F3964" t="s">
        <v>163</v>
      </c>
      <c r="G3964" t="s">
        <v>189</v>
      </c>
      <c r="H3964" t="s">
        <v>220</v>
      </c>
      <c r="I3964" t="s">
        <v>241</v>
      </c>
      <c r="J3964" t="s">
        <v>258</v>
      </c>
      <c r="K3964" t="s">
        <v>270</v>
      </c>
      <c r="AK3964" t="s">
        <v>360</v>
      </c>
    </row>
    <row r="3965" spans="1:37">
      <c r="B3965" t="s">
        <v>72</v>
      </c>
      <c r="C3965" t="s">
        <v>72</v>
      </c>
      <c r="D3965" t="s">
        <v>72</v>
      </c>
      <c r="E3965" t="s">
        <v>72</v>
      </c>
      <c r="F3965" t="s">
        <v>72</v>
      </c>
      <c r="G3965" t="s">
        <v>72</v>
      </c>
      <c r="H3965" t="s">
        <v>72</v>
      </c>
      <c r="I3965" t="s">
        <v>72</v>
      </c>
      <c r="J3965" t="s">
        <v>72</v>
      </c>
      <c r="K3965" t="s">
        <v>272</v>
      </c>
      <c r="AK3965" t="s">
        <v>360</v>
      </c>
    </row>
    <row r="3966" spans="1:37">
      <c r="A3966" t="s">
        <v>37</v>
      </c>
      <c r="B3966" t="s">
        <v>49</v>
      </c>
      <c r="C3966" t="s">
        <v>73</v>
      </c>
      <c r="D3966" t="s">
        <v>94</v>
      </c>
      <c r="E3966" t="s">
        <v>112</v>
      </c>
      <c r="F3966" t="s">
        <v>146</v>
      </c>
      <c r="G3966" t="s">
        <v>172</v>
      </c>
      <c r="H3966" t="s">
        <v>207</v>
      </c>
      <c r="I3966" t="s">
        <v>226</v>
      </c>
      <c r="J3966" t="s">
        <v>246</v>
      </c>
      <c r="K3966" t="s">
        <v>259</v>
      </c>
      <c r="AK3966" t="s">
        <v>360</v>
      </c>
    </row>
    <row r="3967" spans="1:37">
      <c r="A3967" t="s">
        <v>38</v>
      </c>
      <c r="B3967" t="s">
        <v>50</v>
      </c>
      <c r="C3967" t="s">
        <v>74</v>
      </c>
      <c r="D3967" t="s">
        <v>95</v>
      </c>
      <c r="E3967" t="s">
        <v>113</v>
      </c>
      <c r="F3967" t="s">
        <v>147</v>
      </c>
      <c r="G3967" t="s">
        <v>173</v>
      </c>
      <c r="H3967" t="s">
        <v>208</v>
      </c>
      <c r="I3967" t="s">
        <v>227</v>
      </c>
      <c r="J3967" t="s">
        <v>115</v>
      </c>
      <c r="K3967" t="s">
        <v>260</v>
      </c>
      <c r="L3967" t="s">
        <v>273</v>
      </c>
      <c r="M3967" t="s">
        <v>282</v>
      </c>
      <c r="N3967" t="s">
        <v>291</v>
      </c>
      <c r="AK3967" t="s">
        <v>360</v>
      </c>
    </row>
    <row r="3968" spans="1:37">
      <c r="B3968" t="s">
        <v>51</v>
      </c>
      <c r="C3968" t="s">
        <v>75</v>
      </c>
      <c r="D3968" t="s">
        <v>52</v>
      </c>
      <c r="E3968" t="s">
        <v>114</v>
      </c>
      <c r="F3968" t="s">
        <v>148</v>
      </c>
      <c r="G3968" t="s">
        <v>148</v>
      </c>
      <c r="H3968" t="s">
        <v>209</v>
      </c>
      <c r="I3968" t="s">
        <v>228</v>
      </c>
      <c r="J3968" t="s">
        <v>247</v>
      </c>
      <c r="K3968" t="s">
        <v>261</v>
      </c>
      <c r="L3968" t="s">
        <v>274</v>
      </c>
      <c r="M3968" t="s">
        <v>283</v>
      </c>
      <c r="N3968" t="s">
        <v>292</v>
      </c>
      <c r="O3968" t="s">
        <v>300</v>
      </c>
      <c r="AK3968" t="s">
        <v>360</v>
      </c>
    </row>
    <row r="3969" spans="1:37">
      <c r="B3969" t="s">
        <v>52</v>
      </c>
      <c r="C3969" t="s">
        <v>76</v>
      </c>
      <c r="D3969" t="s">
        <v>96</v>
      </c>
      <c r="E3969" t="s">
        <v>115</v>
      </c>
      <c r="F3969" t="s">
        <v>149</v>
      </c>
      <c r="G3969" t="s">
        <v>174</v>
      </c>
      <c r="H3969" t="s">
        <v>96</v>
      </c>
      <c r="I3969" t="s">
        <v>229</v>
      </c>
      <c r="J3969" t="s">
        <v>248</v>
      </c>
      <c r="K3969" t="s">
        <v>262</v>
      </c>
      <c r="L3969" t="s">
        <v>52</v>
      </c>
      <c r="M3969" t="s">
        <v>76</v>
      </c>
      <c r="N3969" t="s">
        <v>293</v>
      </c>
      <c r="O3969" t="s">
        <v>301</v>
      </c>
      <c r="P3969" t="s">
        <v>309</v>
      </c>
      <c r="Q3969" t="s">
        <v>315</v>
      </c>
      <c r="R3969" t="s">
        <v>228</v>
      </c>
      <c r="S3969" t="s">
        <v>328</v>
      </c>
      <c r="T3969" t="s">
        <v>149</v>
      </c>
      <c r="U3969" t="s">
        <v>337</v>
      </c>
      <c r="V3969" t="s">
        <v>341</v>
      </c>
      <c r="W3969" t="s">
        <v>345</v>
      </c>
      <c r="X3969" t="s">
        <v>350</v>
      </c>
      <c r="AK3969" t="s">
        <v>360</v>
      </c>
    </row>
    <row r="3970" spans="1:37">
      <c r="B3970" t="s">
        <v>53</v>
      </c>
      <c r="C3970" t="s">
        <v>77</v>
      </c>
      <c r="D3970" t="s">
        <v>97</v>
      </c>
      <c r="E3970" t="s">
        <v>116</v>
      </c>
      <c r="F3970" t="s">
        <v>150</v>
      </c>
      <c r="G3970" t="s">
        <v>175</v>
      </c>
      <c r="H3970" t="s">
        <v>210</v>
      </c>
      <c r="I3970" t="s">
        <v>230</v>
      </c>
      <c r="J3970" t="s">
        <v>249</v>
      </c>
      <c r="K3970" t="s">
        <v>263</v>
      </c>
      <c r="L3970" t="s">
        <v>275</v>
      </c>
      <c r="M3970" t="s">
        <v>284</v>
      </c>
      <c r="N3970" t="s">
        <v>294</v>
      </c>
      <c r="O3970" t="s">
        <v>302</v>
      </c>
      <c r="P3970" t="s">
        <v>310</v>
      </c>
      <c r="Q3970" t="s">
        <v>316</v>
      </c>
      <c r="R3970" t="s">
        <v>322</v>
      </c>
      <c r="S3970" t="s">
        <v>329</v>
      </c>
      <c r="AK3970" t="s">
        <v>360</v>
      </c>
    </row>
    <row r="3971" spans="1:37">
      <c r="A3971" t="s">
        <v>39</v>
      </c>
      <c r="B3971" t="s">
        <v>54</v>
      </c>
      <c r="C3971" t="s">
        <v>54</v>
      </c>
      <c r="D3971" t="s">
        <v>54</v>
      </c>
      <c r="E3971" t="s">
        <v>54</v>
      </c>
      <c r="F3971" t="s">
        <v>54</v>
      </c>
      <c r="G3971" t="s">
        <v>54</v>
      </c>
      <c r="H3971" t="s">
        <v>54</v>
      </c>
      <c r="I3971" t="s">
        <v>54</v>
      </c>
      <c r="J3971" t="s">
        <v>54</v>
      </c>
      <c r="K3971" t="s">
        <v>54</v>
      </c>
      <c r="L3971" t="s">
        <v>54</v>
      </c>
      <c r="M3971" t="s">
        <v>54</v>
      </c>
      <c r="N3971" t="s">
        <v>54</v>
      </c>
      <c r="O3971" t="s">
        <v>54</v>
      </c>
      <c r="P3971" t="s">
        <v>54</v>
      </c>
      <c r="Q3971" t="s">
        <v>54</v>
      </c>
      <c r="R3971" t="s">
        <v>323</v>
      </c>
      <c r="S3971" t="s">
        <v>330</v>
      </c>
      <c r="AK3971" t="s">
        <v>360</v>
      </c>
    </row>
    <row r="3972" spans="1:37">
      <c r="B3972" t="s">
        <v>55</v>
      </c>
      <c r="C3972" t="s">
        <v>78</v>
      </c>
      <c r="D3972" t="s">
        <v>55</v>
      </c>
      <c r="E3972" t="s">
        <v>78</v>
      </c>
      <c r="F3972" t="s">
        <v>55</v>
      </c>
      <c r="G3972" t="s">
        <v>78</v>
      </c>
      <c r="H3972" t="s">
        <v>55</v>
      </c>
      <c r="I3972" t="s">
        <v>78</v>
      </c>
      <c r="J3972" t="s">
        <v>55</v>
      </c>
      <c r="K3972" t="s">
        <v>78</v>
      </c>
      <c r="L3972" t="s">
        <v>55</v>
      </c>
      <c r="M3972" t="s">
        <v>78</v>
      </c>
      <c r="N3972" t="s">
        <v>55</v>
      </c>
      <c r="O3972" t="s">
        <v>78</v>
      </c>
      <c r="P3972" t="s">
        <v>55</v>
      </c>
      <c r="Q3972" t="s">
        <v>78</v>
      </c>
      <c r="R3972" t="s">
        <v>55</v>
      </c>
      <c r="S3972" t="s">
        <v>78</v>
      </c>
      <c r="T3972" t="s">
        <v>55</v>
      </c>
      <c r="U3972" t="s">
        <v>78</v>
      </c>
      <c r="V3972" t="s">
        <v>55</v>
      </c>
      <c r="W3972" t="s">
        <v>78</v>
      </c>
      <c r="X3972" t="s">
        <v>55</v>
      </c>
      <c r="Y3972" t="s">
        <v>78</v>
      </c>
      <c r="Z3972" t="s">
        <v>55</v>
      </c>
      <c r="AA3972" t="s">
        <v>78</v>
      </c>
      <c r="AB3972" t="s">
        <v>55</v>
      </c>
      <c r="AC3972" t="s">
        <v>78</v>
      </c>
      <c r="AD3972" t="s">
        <v>55</v>
      </c>
      <c r="AE3972" t="s">
        <v>78</v>
      </c>
      <c r="AF3972" t="s">
        <v>55</v>
      </c>
      <c r="AG3972" t="s">
        <v>78</v>
      </c>
      <c r="AH3972" t="s">
        <v>55</v>
      </c>
      <c r="AI3972" t="s">
        <v>78</v>
      </c>
      <c r="AK3972" t="s">
        <v>360</v>
      </c>
    </row>
    <row r="3973" spans="1:37">
      <c r="B3973" t="s">
        <v>56</v>
      </c>
      <c r="C3973" t="s">
        <v>56</v>
      </c>
      <c r="D3973" t="s">
        <v>56</v>
      </c>
      <c r="E3973" t="s">
        <v>56</v>
      </c>
      <c r="F3973" t="s">
        <v>56</v>
      </c>
      <c r="G3973" t="s">
        <v>176</v>
      </c>
      <c r="H3973" t="s">
        <v>211</v>
      </c>
      <c r="I3973" t="s">
        <v>231</v>
      </c>
      <c r="J3973" t="s">
        <v>250</v>
      </c>
      <c r="K3973" t="s">
        <v>264</v>
      </c>
      <c r="L3973" t="s">
        <v>276</v>
      </c>
      <c r="M3973" t="s">
        <v>285</v>
      </c>
      <c r="N3973" t="s">
        <v>295</v>
      </c>
      <c r="O3973" t="s">
        <v>303</v>
      </c>
      <c r="P3973" t="s">
        <v>56</v>
      </c>
      <c r="Q3973" t="s">
        <v>317</v>
      </c>
      <c r="R3973" t="s">
        <v>324</v>
      </c>
      <c r="S3973" t="s">
        <v>331</v>
      </c>
      <c r="T3973" t="s">
        <v>334</v>
      </c>
      <c r="U3973" t="s">
        <v>338</v>
      </c>
      <c r="V3973" t="s">
        <v>342</v>
      </c>
      <c r="W3973" t="s">
        <v>346</v>
      </c>
      <c r="X3973" t="s">
        <v>351</v>
      </c>
      <c r="AK3973" t="s">
        <v>360</v>
      </c>
    </row>
    <row r="3974" spans="1:37">
      <c r="B3974" t="s">
        <v>57</v>
      </c>
      <c r="C3974" t="s">
        <v>79</v>
      </c>
      <c r="D3974" t="s">
        <v>98</v>
      </c>
      <c r="E3974" t="s">
        <v>117</v>
      </c>
      <c r="F3974" t="s">
        <v>151</v>
      </c>
      <c r="G3974" t="s">
        <v>177</v>
      </c>
      <c r="H3974" t="s">
        <v>212</v>
      </c>
      <c r="I3974" t="s">
        <v>232</v>
      </c>
      <c r="J3974" t="s">
        <v>251</v>
      </c>
      <c r="K3974" t="s">
        <v>265</v>
      </c>
      <c r="L3974" t="s">
        <v>277</v>
      </c>
      <c r="M3974" t="s">
        <v>286</v>
      </c>
      <c r="N3974" t="s">
        <v>296</v>
      </c>
      <c r="O3974" t="s">
        <v>304</v>
      </c>
      <c r="P3974" t="s">
        <v>311</v>
      </c>
      <c r="Q3974" t="s">
        <v>318</v>
      </c>
      <c r="R3974" t="s">
        <v>185</v>
      </c>
      <c r="S3974" t="s">
        <v>159</v>
      </c>
      <c r="T3974" t="s">
        <v>185</v>
      </c>
      <c r="U3974" t="s">
        <v>339</v>
      </c>
      <c r="V3974" t="s">
        <v>72</v>
      </c>
      <c r="W3974" t="s">
        <v>347</v>
      </c>
      <c r="X3974" t="s">
        <v>72</v>
      </c>
      <c r="Y3974" t="s">
        <v>96</v>
      </c>
      <c r="AK3974" t="s">
        <v>360</v>
      </c>
    </row>
    <row r="3975" spans="1:37">
      <c r="B3975" t="s">
        <v>58</v>
      </c>
      <c r="C3975" t="s">
        <v>80</v>
      </c>
      <c r="D3975" t="s">
        <v>99</v>
      </c>
      <c r="E3975" t="s">
        <v>118</v>
      </c>
      <c r="F3975" t="s">
        <v>152</v>
      </c>
      <c r="G3975" t="s">
        <v>178</v>
      </c>
      <c r="H3975" t="s">
        <v>213</v>
      </c>
      <c r="I3975" t="s">
        <v>233</v>
      </c>
      <c r="J3975" t="s">
        <v>252</v>
      </c>
      <c r="K3975" t="s">
        <v>266</v>
      </c>
      <c r="L3975" t="s">
        <v>278</v>
      </c>
      <c r="M3975" t="s">
        <v>287</v>
      </c>
      <c r="N3975" t="s">
        <v>297</v>
      </c>
      <c r="O3975" t="s">
        <v>305</v>
      </c>
      <c r="P3975" t="s">
        <v>312</v>
      </c>
      <c r="Q3975" t="s">
        <v>319</v>
      </c>
      <c r="R3975">
        <f>&gt;10       ветра      1.2     18  12 30</f>
        <v>0</v>
      </c>
      <c r="AK3975" t="s">
        <v>360</v>
      </c>
    </row>
    <row r="3976" spans="1:37">
      <c r="A3976" t="s">
        <v>40</v>
      </c>
      <c r="B3976" t="s">
        <v>59</v>
      </c>
      <c r="C3976" t="s">
        <v>81</v>
      </c>
      <c r="D3976" t="s">
        <v>100</v>
      </c>
      <c r="E3976" t="s">
        <v>119</v>
      </c>
      <c r="F3976" t="s">
        <v>153</v>
      </c>
      <c r="G3976" t="s">
        <v>179</v>
      </c>
      <c r="H3976" t="s">
        <v>214</v>
      </c>
      <c r="I3976" t="s">
        <v>234</v>
      </c>
      <c r="AK3976" t="s">
        <v>360</v>
      </c>
    </row>
    <row r="3977" spans="1:37">
      <c r="A3977" t="s">
        <v>40</v>
      </c>
      <c r="B3977" t="s">
        <v>60</v>
      </c>
      <c r="C3977" t="s">
        <v>82</v>
      </c>
      <c r="D3977" t="s">
        <v>101</v>
      </c>
      <c r="E3977" t="s">
        <v>120</v>
      </c>
      <c r="F3977" t="s">
        <v>154</v>
      </c>
      <c r="G3977" t="s">
        <v>180</v>
      </c>
      <c r="H3977" t="s">
        <v>215</v>
      </c>
      <c r="I3977" t="s">
        <v>235</v>
      </c>
      <c r="J3977" t="s">
        <v>253</v>
      </c>
      <c r="K3977" t="s">
        <v>267</v>
      </c>
      <c r="L3977" t="s">
        <v>279</v>
      </c>
      <c r="M3977" t="s">
        <v>288</v>
      </c>
      <c r="N3977" t="s">
        <v>100</v>
      </c>
      <c r="O3977" t="s">
        <v>306</v>
      </c>
      <c r="P3977" t="s">
        <v>313</v>
      </c>
      <c r="Q3977" t="s">
        <v>320</v>
      </c>
      <c r="R3977" t="s">
        <v>325</v>
      </c>
      <c r="S3977" t="s">
        <v>332</v>
      </c>
      <c r="T3977" t="s">
        <v>119</v>
      </c>
      <c r="U3977" t="s">
        <v>234</v>
      </c>
      <c r="V3977" t="s">
        <v>343</v>
      </c>
      <c r="W3977" t="s">
        <v>348</v>
      </c>
      <c r="X3977" t="s">
        <v>352</v>
      </c>
      <c r="Y3977" t="s">
        <v>354</v>
      </c>
      <c r="AK3977" t="s">
        <v>360</v>
      </c>
    </row>
    <row r="3978" spans="1:37">
      <c r="A3978" t="s">
        <v>41</v>
      </c>
      <c r="B3978" t="s">
        <v>61</v>
      </c>
      <c r="C3978" t="s">
        <v>83</v>
      </c>
      <c r="D3978" t="s">
        <v>102</v>
      </c>
      <c r="E3978" t="s">
        <v>121</v>
      </c>
      <c r="F3978" t="s">
        <v>155</v>
      </c>
      <c r="G3978" t="s">
        <v>181</v>
      </c>
      <c r="H3978" t="s">
        <v>216</v>
      </c>
      <c r="I3978" t="s">
        <v>236</v>
      </c>
      <c r="AK3978" t="s">
        <v>360</v>
      </c>
    </row>
    <row r="3979" spans="1:37">
      <c r="A3979" t="s">
        <v>42</v>
      </c>
      <c r="B3979" t="s">
        <v>62</v>
      </c>
      <c r="C3979" t="s">
        <v>84</v>
      </c>
      <c r="D3979" t="s">
        <v>103</v>
      </c>
      <c r="E3979" t="s">
        <v>122</v>
      </c>
      <c r="F3979" t="s">
        <v>156</v>
      </c>
      <c r="G3979" t="s">
        <v>182</v>
      </c>
      <c r="H3979" t="s">
        <v>83</v>
      </c>
      <c r="I3979" t="s">
        <v>237</v>
      </c>
      <c r="J3979" t="s">
        <v>254</v>
      </c>
      <c r="K3979" t="s">
        <v>268</v>
      </c>
      <c r="L3979" t="s">
        <v>280</v>
      </c>
      <c r="M3979" t="s">
        <v>289</v>
      </c>
      <c r="N3979" t="s">
        <v>298</v>
      </c>
      <c r="O3979" t="s">
        <v>307</v>
      </c>
      <c r="P3979" t="s">
        <v>314</v>
      </c>
      <c r="Q3979" t="s">
        <v>216</v>
      </c>
      <c r="R3979" t="s">
        <v>326</v>
      </c>
      <c r="S3979" t="s">
        <v>333</v>
      </c>
      <c r="T3979" t="s">
        <v>335</v>
      </c>
      <c r="U3979" t="s">
        <v>340</v>
      </c>
      <c r="V3979" t="s">
        <v>344</v>
      </c>
      <c r="W3979" t="s">
        <v>349</v>
      </c>
      <c r="AK3979" t="s">
        <v>360</v>
      </c>
    </row>
    <row r="3980" spans="1:37">
      <c r="A3980" t="s">
        <v>43</v>
      </c>
      <c r="B3980" t="s">
        <v>63</v>
      </c>
      <c r="C3980" t="s">
        <v>85</v>
      </c>
      <c r="D3980" t="s">
        <v>104</v>
      </c>
      <c r="E3980" t="s">
        <v>123</v>
      </c>
      <c r="F3980" t="s">
        <v>157</v>
      </c>
      <c r="G3980" t="s">
        <v>183</v>
      </c>
      <c r="AK3980" t="s">
        <v>360</v>
      </c>
    </row>
    <row r="3981" spans="1:37">
      <c r="A3981" t="s">
        <v>44</v>
      </c>
      <c r="B3981" t="s">
        <v>64</v>
      </c>
      <c r="C3981" t="s">
        <v>86</v>
      </c>
      <c r="D3981" t="s">
        <v>105</v>
      </c>
      <c r="E3981" t="s">
        <v>124</v>
      </c>
      <c r="F3981" t="s">
        <v>158</v>
      </c>
      <c r="G3981" t="s">
        <v>184</v>
      </c>
      <c r="AK3981" t="s">
        <v>360</v>
      </c>
    </row>
    <row r="3982" spans="1:37">
      <c r="A3982" t="s">
        <v>45</v>
      </c>
      <c r="B3982" t="s">
        <v>65</v>
      </c>
      <c r="C3982" t="s">
        <v>87</v>
      </c>
      <c r="D3982" t="s">
        <v>106</v>
      </c>
      <c r="E3982" t="s">
        <v>125</v>
      </c>
      <c r="F3982" t="s">
        <v>159</v>
      </c>
      <c r="G3982" t="s">
        <v>185</v>
      </c>
      <c r="H3982" t="s">
        <v>159</v>
      </c>
      <c r="I3982" t="s">
        <v>185</v>
      </c>
      <c r="J3982" t="s">
        <v>255</v>
      </c>
      <c r="AK3982" t="s">
        <v>360</v>
      </c>
    </row>
    <row r="3983" spans="1:37">
      <c r="A3983" t="s">
        <v>46</v>
      </c>
      <c r="B3983" t="s">
        <v>66</v>
      </c>
      <c r="C3983" t="s">
        <v>88</v>
      </c>
      <c r="D3983" t="s">
        <v>76</v>
      </c>
      <c r="E3983" t="s">
        <v>126</v>
      </c>
      <c r="F3983" t="s">
        <v>160</v>
      </c>
      <c r="G3983" t="s">
        <v>186</v>
      </c>
      <c r="H3983" t="s">
        <v>217</v>
      </c>
      <c r="I3983" t="s">
        <v>238</v>
      </c>
      <c r="J3983" t="s">
        <v>256</v>
      </c>
      <c r="K3983" t="s">
        <v>265</v>
      </c>
      <c r="L3983" t="s">
        <v>281</v>
      </c>
      <c r="M3983" t="s">
        <v>290</v>
      </c>
      <c r="N3983" t="s">
        <v>299</v>
      </c>
      <c r="O3983" t="s">
        <v>308</v>
      </c>
      <c r="P3983" t="s">
        <v>228</v>
      </c>
      <c r="Q3983" t="s">
        <v>72</v>
      </c>
      <c r="R3983" t="s">
        <v>327</v>
      </c>
      <c r="S3983" t="s">
        <v>327</v>
      </c>
      <c r="T3983" t="s">
        <v>336</v>
      </c>
      <c r="U3983" t="s">
        <v>336</v>
      </c>
      <c r="V3983" t="s">
        <v>336</v>
      </c>
      <c r="W3983" t="s">
        <v>336</v>
      </c>
      <c r="X3983" t="s">
        <v>353</v>
      </c>
      <c r="AK3983" t="s">
        <v>360</v>
      </c>
    </row>
    <row r="3984" spans="1:37">
      <c r="B3984" t="s">
        <v>67</v>
      </c>
      <c r="C3984" t="s">
        <v>89</v>
      </c>
      <c r="D3984" t="s">
        <v>107</v>
      </c>
      <c r="AK3984" t="s">
        <v>360</v>
      </c>
    </row>
    <row r="3985" spans="1:37">
      <c r="B3985" t="s">
        <v>68</v>
      </c>
      <c r="C3985" t="s">
        <v>90</v>
      </c>
      <c r="D3985" t="s">
        <v>108</v>
      </c>
      <c r="AK3985" t="s">
        <v>360</v>
      </c>
    </row>
    <row r="3986" spans="1:37">
      <c r="A3986" t="s">
        <v>47</v>
      </c>
      <c r="B3986" t="s">
        <v>69</v>
      </c>
      <c r="C3986" t="s">
        <v>91</v>
      </c>
      <c r="D3986" t="s">
        <v>109</v>
      </c>
      <c r="E3986" t="s">
        <v>109</v>
      </c>
      <c r="F3986" t="s">
        <v>109</v>
      </c>
      <c r="G3986" t="s">
        <v>109</v>
      </c>
      <c r="H3986" t="s">
        <v>109</v>
      </c>
      <c r="I3986" t="s">
        <v>239</v>
      </c>
      <c r="AK3986" t="s">
        <v>360</v>
      </c>
    </row>
    <row r="3987" spans="1:37">
      <c r="B3987" t="s">
        <v>70</v>
      </c>
      <c r="C3987" t="s">
        <v>92</v>
      </c>
      <c r="D3987" t="s">
        <v>110</v>
      </c>
      <c r="E3987" t="s">
        <v>127</v>
      </c>
      <c r="F3987" t="s">
        <v>161</v>
      </c>
      <c r="G3987" t="s">
        <v>187</v>
      </c>
      <c r="H3987" t="s">
        <v>218</v>
      </c>
      <c r="AK3987" t="s">
        <v>360</v>
      </c>
    </row>
    <row r="3988" spans="1:37">
      <c r="B3988" t="s">
        <v>71</v>
      </c>
      <c r="C3988" t="s">
        <v>93</v>
      </c>
      <c r="D3988" t="s">
        <v>111</v>
      </c>
      <c r="E3988" t="s">
        <v>128</v>
      </c>
      <c r="F3988" t="s">
        <v>162</v>
      </c>
      <c r="G3988" t="s">
        <v>188</v>
      </c>
      <c r="H3988" t="s">
        <v>219</v>
      </c>
      <c r="I3988" t="s">
        <v>240</v>
      </c>
      <c r="J3988" t="s">
        <v>257</v>
      </c>
      <c r="K3988" t="s">
        <v>269</v>
      </c>
      <c r="L3988" t="s">
        <v>109</v>
      </c>
      <c r="M3988" t="s">
        <v>109</v>
      </c>
      <c r="N3988" t="s">
        <v>109</v>
      </c>
      <c r="O3988" t="s">
        <v>109</v>
      </c>
      <c r="P3988" t="s">
        <v>109</v>
      </c>
      <c r="Q3988" t="s">
        <v>321</v>
      </c>
      <c r="AK3988" t="s">
        <v>360</v>
      </c>
    </row>
    <row r="3989" spans="1:37">
      <c r="A3989" t="s">
        <v>48</v>
      </c>
      <c r="B3989" t="s">
        <v>71</v>
      </c>
      <c r="C3989" t="s">
        <v>93</v>
      </c>
      <c r="D3989" t="s">
        <v>111</v>
      </c>
      <c r="E3989" t="s">
        <v>128</v>
      </c>
      <c r="F3989" t="s">
        <v>163</v>
      </c>
      <c r="G3989" t="s">
        <v>189</v>
      </c>
      <c r="H3989" t="s">
        <v>220</v>
      </c>
      <c r="I3989" t="s">
        <v>241</v>
      </c>
      <c r="J3989" t="s">
        <v>258</v>
      </c>
      <c r="K3989" t="s">
        <v>270</v>
      </c>
      <c r="AK3989" t="s">
        <v>360</v>
      </c>
    </row>
    <row r="3990" spans="1:37">
      <c r="B3990" t="s">
        <v>72</v>
      </c>
      <c r="C3990" t="s">
        <v>72</v>
      </c>
      <c r="D3990" t="s">
        <v>72</v>
      </c>
      <c r="E3990" t="s">
        <v>72</v>
      </c>
      <c r="F3990" t="s">
        <v>72</v>
      </c>
      <c r="G3990" t="s">
        <v>72</v>
      </c>
      <c r="H3990" t="s">
        <v>72</v>
      </c>
      <c r="I3990" t="s">
        <v>72</v>
      </c>
      <c r="J3990" t="s">
        <v>72</v>
      </c>
      <c r="K3990" t="s">
        <v>272</v>
      </c>
      <c r="AK3990" t="s">
        <v>360</v>
      </c>
    </row>
    <row r="3991" spans="1:37">
      <c r="A3991" t="s">
        <v>37</v>
      </c>
      <c r="B3991" t="s">
        <v>49</v>
      </c>
      <c r="C3991" t="s">
        <v>73</v>
      </c>
      <c r="D3991" t="s">
        <v>94</v>
      </c>
      <c r="E3991" t="s">
        <v>112</v>
      </c>
      <c r="F3991" t="s">
        <v>146</v>
      </c>
      <c r="G3991" t="s">
        <v>172</v>
      </c>
      <c r="H3991" t="s">
        <v>207</v>
      </c>
      <c r="I3991" t="s">
        <v>226</v>
      </c>
      <c r="J3991" t="s">
        <v>246</v>
      </c>
      <c r="K3991" t="s">
        <v>259</v>
      </c>
      <c r="AK3991" t="s">
        <v>360</v>
      </c>
    </row>
    <row r="3992" spans="1:37">
      <c r="A3992" t="s">
        <v>38</v>
      </c>
      <c r="B3992" t="s">
        <v>50</v>
      </c>
      <c r="C3992" t="s">
        <v>74</v>
      </c>
      <c r="D3992" t="s">
        <v>95</v>
      </c>
      <c r="E3992" t="s">
        <v>113</v>
      </c>
      <c r="F3992" t="s">
        <v>147</v>
      </c>
      <c r="G3992" t="s">
        <v>173</v>
      </c>
      <c r="H3992" t="s">
        <v>208</v>
      </c>
      <c r="I3992" t="s">
        <v>227</v>
      </c>
      <c r="J3992" t="s">
        <v>115</v>
      </c>
      <c r="K3992" t="s">
        <v>260</v>
      </c>
      <c r="L3992" t="s">
        <v>273</v>
      </c>
      <c r="M3992" t="s">
        <v>282</v>
      </c>
      <c r="N3992" t="s">
        <v>291</v>
      </c>
      <c r="AK3992" t="s">
        <v>360</v>
      </c>
    </row>
    <row r="3993" spans="1:37">
      <c r="B3993" t="s">
        <v>51</v>
      </c>
      <c r="C3993" t="s">
        <v>75</v>
      </c>
      <c r="D3993" t="s">
        <v>52</v>
      </c>
      <c r="E3993" t="s">
        <v>114</v>
      </c>
      <c r="F3993" t="s">
        <v>148</v>
      </c>
      <c r="G3993" t="s">
        <v>148</v>
      </c>
      <c r="H3993" t="s">
        <v>209</v>
      </c>
      <c r="I3993" t="s">
        <v>228</v>
      </c>
      <c r="J3993" t="s">
        <v>247</v>
      </c>
      <c r="K3993" t="s">
        <v>261</v>
      </c>
      <c r="L3993" t="s">
        <v>274</v>
      </c>
      <c r="M3993" t="s">
        <v>283</v>
      </c>
      <c r="N3993" t="s">
        <v>292</v>
      </c>
      <c r="O3993" t="s">
        <v>300</v>
      </c>
      <c r="AK3993" t="s">
        <v>360</v>
      </c>
    </row>
    <row r="3994" spans="1:37">
      <c r="B3994" t="s">
        <v>52</v>
      </c>
      <c r="C3994" t="s">
        <v>76</v>
      </c>
      <c r="D3994" t="s">
        <v>96</v>
      </c>
      <c r="E3994" t="s">
        <v>115</v>
      </c>
      <c r="F3994" t="s">
        <v>149</v>
      </c>
      <c r="G3994" t="s">
        <v>174</v>
      </c>
      <c r="H3994" t="s">
        <v>96</v>
      </c>
      <c r="I3994" t="s">
        <v>229</v>
      </c>
      <c r="J3994" t="s">
        <v>248</v>
      </c>
      <c r="K3994" t="s">
        <v>262</v>
      </c>
      <c r="L3994" t="s">
        <v>52</v>
      </c>
      <c r="M3994" t="s">
        <v>76</v>
      </c>
      <c r="N3994" t="s">
        <v>293</v>
      </c>
      <c r="O3994" t="s">
        <v>301</v>
      </c>
      <c r="P3994" t="s">
        <v>309</v>
      </c>
      <c r="Q3994" t="s">
        <v>315</v>
      </c>
      <c r="R3994" t="s">
        <v>228</v>
      </c>
      <c r="S3994" t="s">
        <v>328</v>
      </c>
      <c r="T3994" t="s">
        <v>149</v>
      </c>
      <c r="U3994" t="s">
        <v>337</v>
      </c>
      <c r="V3994" t="s">
        <v>341</v>
      </c>
      <c r="W3994" t="s">
        <v>345</v>
      </c>
      <c r="X3994" t="s">
        <v>350</v>
      </c>
      <c r="AK3994" t="s">
        <v>360</v>
      </c>
    </row>
    <row r="3995" spans="1:37">
      <c r="B3995" t="s">
        <v>53</v>
      </c>
      <c r="C3995" t="s">
        <v>77</v>
      </c>
      <c r="D3995" t="s">
        <v>97</v>
      </c>
      <c r="E3995" t="s">
        <v>116</v>
      </c>
      <c r="F3995" t="s">
        <v>150</v>
      </c>
      <c r="G3995" t="s">
        <v>175</v>
      </c>
      <c r="H3995" t="s">
        <v>210</v>
      </c>
      <c r="I3995" t="s">
        <v>230</v>
      </c>
      <c r="J3995" t="s">
        <v>249</v>
      </c>
      <c r="K3995" t="s">
        <v>263</v>
      </c>
      <c r="L3995" t="s">
        <v>275</v>
      </c>
      <c r="M3995" t="s">
        <v>284</v>
      </c>
      <c r="N3995" t="s">
        <v>294</v>
      </c>
      <c r="O3995" t="s">
        <v>302</v>
      </c>
      <c r="P3995" t="s">
        <v>310</v>
      </c>
      <c r="Q3995" t="s">
        <v>316</v>
      </c>
      <c r="R3995" t="s">
        <v>322</v>
      </c>
      <c r="S3995" t="s">
        <v>329</v>
      </c>
      <c r="AK3995" t="s">
        <v>360</v>
      </c>
    </row>
    <row r="3996" spans="1:37">
      <c r="A3996" t="s">
        <v>39</v>
      </c>
      <c r="B3996" t="s">
        <v>54</v>
      </c>
      <c r="C3996" t="s">
        <v>54</v>
      </c>
      <c r="D3996" t="s">
        <v>54</v>
      </c>
      <c r="E3996" t="s">
        <v>54</v>
      </c>
      <c r="F3996" t="s">
        <v>54</v>
      </c>
      <c r="G3996" t="s">
        <v>54</v>
      </c>
      <c r="H3996" t="s">
        <v>54</v>
      </c>
      <c r="I3996" t="s">
        <v>54</v>
      </c>
      <c r="J3996" t="s">
        <v>54</v>
      </c>
      <c r="K3996" t="s">
        <v>54</v>
      </c>
      <c r="L3996" t="s">
        <v>54</v>
      </c>
      <c r="M3996" t="s">
        <v>54</v>
      </c>
      <c r="N3996" t="s">
        <v>54</v>
      </c>
      <c r="O3996" t="s">
        <v>54</v>
      </c>
      <c r="P3996" t="s">
        <v>54</v>
      </c>
      <c r="Q3996" t="s">
        <v>54</v>
      </c>
      <c r="R3996" t="s">
        <v>323</v>
      </c>
      <c r="S3996" t="s">
        <v>330</v>
      </c>
      <c r="AK3996" t="s">
        <v>360</v>
      </c>
    </row>
    <row r="3997" spans="1:37">
      <c r="B3997" t="s">
        <v>55</v>
      </c>
      <c r="C3997" t="s">
        <v>78</v>
      </c>
      <c r="D3997" t="s">
        <v>55</v>
      </c>
      <c r="E3997" t="s">
        <v>78</v>
      </c>
      <c r="F3997" t="s">
        <v>55</v>
      </c>
      <c r="G3997" t="s">
        <v>78</v>
      </c>
      <c r="H3997" t="s">
        <v>55</v>
      </c>
      <c r="I3997" t="s">
        <v>78</v>
      </c>
      <c r="J3997" t="s">
        <v>55</v>
      </c>
      <c r="K3997" t="s">
        <v>78</v>
      </c>
      <c r="L3997" t="s">
        <v>55</v>
      </c>
      <c r="M3997" t="s">
        <v>78</v>
      </c>
      <c r="N3997" t="s">
        <v>55</v>
      </c>
      <c r="O3997" t="s">
        <v>78</v>
      </c>
      <c r="P3997" t="s">
        <v>55</v>
      </c>
      <c r="Q3997" t="s">
        <v>78</v>
      </c>
      <c r="R3997" t="s">
        <v>55</v>
      </c>
      <c r="S3997" t="s">
        <v>78</v>
      </c>
      <c r="T3997" t="s">
        <v>55</v>
      </c>
      <c r="U3997" t="s">
        <v>78</v>
      </c>
      <c r="V3997" t="s">
        <v>55</v>
      </c>
      <c r="W3997" t="s">
        <v>78</v>
      </c>
      <c r="X3997" t="s">
        <v>55</v>
      </c>
      <c r="Y3997" t="s">
        <v>78</v>
      </c>
      <c r="Z3997" t="s">
        <v>55</v>
      </c>
      <c r="AA3997" t="s">
        <v>78</v>
      </c>
      <c r="AB3997" t="s">
        <v>55</v>
      </c>
      <c r="AC3997" t="s">
        <v>78</v>
      </c>
      <c r="AD3997" t="s">
        <v>55</v>
      </c>
      <c r="AE3997" t="s">
        <v>78</v>
      </c>
      <c r="AF3997" t="s">
        <v>55</v>
      </c>
      <c r="AG3997" t="s">
        <v>78</v>
      </c>
      <c r="AH3997" t="s">
        <v>55</v>
      </c>
      <c r="AI3997" t="s">
        <v>78</v>
      </c>
      <c r="AK3997" t="s">
        <v>360</v>
      </c>
    </row>
    <row r="3998" spans="1:37">
      <c r="B3998" t="s">
        <v>56</v>
      </c>
      <c r="C3998" t="s">
        <v>56</v>
      </c>
      <c r="D3998" t="s">
        <v>56</v>
      </c>
      <c r="E3998" t="s">
        <v>56</v>
      </c>
      <c r="F3998" t="s">
        <v>56</v>
      </c>
      <c r="G3998" t="s">
        <v>176</v>
      </c>
      <c r="H3998" t="s">
        <v>211</v>
      </c>
      <c r="I3998" t="s">
        <v>231</v>
      </c>
      <c r="J3998" t="s">
        <v>250</v>
      </c>
      <c r="K3998" t="s">
        <v>264</v>
      </c>
      <c r="L3998" t="s">
        <v>276</v>
      </c>
      <c r="M3998" t="s">
        <v>285</v>
      </c>
      <c r="N3998" t="s">
        <v>295</v>
      </c>
      <c r="O3998" t="s">
        <v>303</v>
      </c>
      <c r="P3998" t="s">
        <v>56</v>
      </c>
      <c r="Q3998" t="s">
        <v>317</v>
      </c>
      <c r="R3998" t="s">
        <v>324</v>
      </c>
      <c r="S3998" t="s">
        <v>331</v>
      </c>
      <c r="T3998" t="s">
        <v>334</v>
      </c>
      <c r="U3998" t="s">
        <v>338</v>
      </c>
      <c r="V3998" t="s">
        <v>342</v>
      </c>
      <c r="W3998" t="s">
        <v>346</v>
      </c>
      <c r="X3998" t="s">
        <v>351</v>
      </c>
      <c r="AK3998" t="s">
        <v>360</v>
      </c>
    </row>
    <row r="3999" spans="1:37">
      <c r="B3999" t="s">
        <v>57</v>
      </c>
      <c r="C3999" t="s">
        <v>79</v>
      </c>
      <c r="D3999" t="s">
        <v>98</v>
      </c>
      <c r="E3999" t="s">
        <v>117</v>
      </c>
      <c r="F3999" t="s">
        <v>151</v>
      </c>
      <c r="G3999" t="s">
        <v>177</v>
      </c>
      <c r="H3999" t="s">
        <v>212</v>
      </c>
      <c r="I3999" t="s">
        <v>232</v>
      </c>
      <c r="J3999" t="s">
        <v>251</v>
      </c>
      <c r="K3999" t="s">
        <v>265</v>
      </c>
      <c r="L3999" t="s">
        <v>277</v>
      </c>
      <c r="M3999" t="s">
        <v>286</v>
      </c>
      <c r="N3999" t="s">
        <v>296</v>
      </c>
      <c r="O3999" t="s">
        <v>304</v>
      </c>
      <c r="P3999" t="s">
        <v>311</v>
      </c>
      <c r="Q3999" t="s">
        <v>318</v>
      </c>
      <c r="R3999" t="s">
        <v>185</v>
      </c>
      <c r="S3999" t="s">
        <v>159</v>
      </c>
      <c r="T3999" t="s">
        <v>185</v>
      </c>
      <c r="U3999" t="s">
        <v>339</v>
      </c>
      <c r="V3999" t="s">
        <v>72</v>
      </c>
      <c r="W3999" t="s">
        <v>347</v>
      </c>
      <c r="X3999" t="s">
        <v>72</v>
      </c>
      <c r="Y3999" t="s">
        <v>96</v>
      </c>
      <c r="AK3999" t="s">
        <v>360</v>
      </c>
    </row>
    <row r="4000" spans="1:37">
      <c r="B4000" t="s">
        <v>58</v>
      </c>
      <c r="C4000" t="s">
        <v>80</v>
      </c>
      <c r="D4000" t="s">
        <v>99</v>
      </c>
      <c r="E4000" t="s">
        <v>118</v>
      </c>
      <c r="F4000" t="s">
        <v>152</v>
      </c>
      <c r="G4000" t="s">
        <v>178</v>
      </c>
      <c r="H4000" t="s">
        <v>213</v>
      </c>
      <c r="I4000" t="s">
        <v>233</v>
      </c>
      <c r="J4000" t="s">
        <v>252</v>
      </c>
      <c r="K4000" t="s">
        <v>266</v>
      </c>
      <c r="L4000" t="s">
        <v>278</v>
      </c>
      <c r="M4000" t="s">
        <v>287</v>
      </c>
      <c r="N4000" t="s">
        <v>297</v>
      </c>
      <c r="O4000" t="s">
        <v>305</v>
      </c>
      <c r="P4000" t="s">
        <v>312</v>
      </c>
      <c r="Q4000" t="s">
        <v>319</v>
      </c>
      <c r="R4000">
        <f>&gt;10       ветра      1.7     19  12</f>
        <v>0</v>
      </c>
      <c r="AK4000" t="s">
        <v>360</v>
      </c>
    </row>
    <row r="4001" spans="1:37">
      <c r="A4001" t="s">
        <v>40</v>
      </c>
      <c r="B4001" t="s">
        <v>59</v>
      </c>
      <c r="C4001" t="s">
        <v>81</v>
      </c>
      <c r="D4001" t="s">
        <v>100</v>
      </c>
      <c r="E4001" t="s">
        <v>119</v>
      </c>
      <c r="F4001" t="s">
        <v>153</v>
      </c>
      <c r="G4001" t="s">
        <v>179</v>
      </c>
      <c r="H4001" t="s">
        <v>214</v>
      </c>
      <c r="I4001" t="s">
        <v>234</v>
      </c>
      <c r="AK4001" t="s">
        <v>360</v>
      </c>
    </row>
    <row r="4002" spans="1:37">
      <c r="A4002" t="s">
        <v>40</v>
      </c>
      <c r="B4002" t="s">
        <v>60</v>
      </c>
      <c r="C4002" t="s">
        <v>82</v>
      </c>
      <c r="D4002" t="s">
        <v>101</v>
      </c>
      <c r="E4002" t="s">
        <v>120</v>
      </c>
      <c r="F4002" t="s">
        <v>154</v>
      </c>
      <c r="G4002" t="s">
        <v>180</v>
      </c>
      <c r="H4002" t="s">
        <v>215</v>
      </c>
      <c r="I4002" t="s">
        <v>235</v>
      </c>
      <c r="J4002" t="s">
        <v>253</v>
      </c>
      <c r="K4002" t="s">
        <v>267</v>
      </c>
      <c r="L4002" t="s">
        <v>279</v>
      </c>
      <c r="M4002" t="s">
        <v>288</v>
      </c>
      <c r="N4002" t="s">
        <v>100</v>
      </c>
      <c r="O4002" t="s">
        <v>306</v>
      </c>
      <c r="P4002" t="s">
        <v>313</v>
      </c>
      <c r="Q4002" t="s">
        <v>320</v>
      </c>
      <c r="R4002" t="s">
        <v>325</v>
      </c>
      <c r="S4002" t="s">
        <v>332</v>
      </c>
      <c r="T4002" t="s">
        <v>119</v>
      </c>
      <c r="U4002" t="s">
        <v>234</v>
      </c>
      <c r="V4002" t="s">
        <v>343</v>
      </c>
      <c r="W4002" t="s">
        <v>348</v>
      </c>
      <c r="X4002" t="s">
        <v>352</v>
      </c>
      <c r="Y4002" t="s">
        <v>354</v>
      </c>
      <c r="AK4002" t="s">
        <v>360</v>
      </c>
    </row>
    <row r="4003" spans="1:37">
      <c r="A4003" t="s">
        <v>41</v>
      </c>
      <c r="B4003" t="s">
        <v>61</v>
      </c>
      <c r="C4003" t="s">
        <v>83</v>
      </c>
      <c r="D4003" t="s">
        <v>102</v>
      </c>
      <c r="E4003" t="s">
        <v>121</v>
      </c>
      <c r="F4003" t="s">
        <v>155</v>
      </c>
      <c r="G4003" t="s">
        <v>181</v>
      </c>
      <c r="H4003" t="s">
        <v>216</v>
      </c>
      <c r="I4003" t="s">
        <v>236</v>
      </c>
      <c r="AK4003" t="s">
        <v>360</v>
      </c>
    </row>
    <row r="4004" spans="1:37">
      <c r="A4004" t="s">
        <v>42</v>
      </c>
      <c r="B4004" t="s">
        <v>62</v>
      </c>
      <c r="C4004" t="s">
        <v>84</v>
      </c>
      <c r="D4004" t="s">
        <v>103</v>
      </c>
      <c r="E4004" t="s">
        <v>122</v>
      </c>
      <c r="F4004" t="s">
        <v>156</v>
      </c>
      <c r="G4004" t="s">
        <v>182</v>
      </c>
      <c r="H4004" t="s">
        <v>83</v>
      </c>
      <c r="I4004" t="s">
        <v>237</v>
      </c>
      <c r="J4004" t="s">
        <v>254</v>
      </c>
      <c r="K4004" t="s">
        <v>268</v>
      </c>
      <c r="L4004" t="s">
        <v>280</v>
      </c>
      <c r="M4004" t="s">
        <v>289</v>
      </c>
      <c r="N4004" t="s">
        <v>298</v>
      </c>
      <c r="O4004" t="s">
        <v>307</v>
      </c>
      <c r="P4004" t="s">
        <v>314</v>
      </c>
      <c r="Q4004" t="s">
        <v>216</v>
      </c>
      <c r="R4004" t="s">
        <v>326</v>
      </c>
      <c r="S4004" t="s">
        <v>333</v>
      </c>
      <c r="T4004" t="s">
        <v>335</v>
      </c>
      <c r="U4004" t="s">
        <v>340</v>
      </c>
      <c r="V4004" t="s">
        <v>344</v>
      </c>
      <c r="W4004" t="s">
        <v>349</v>
      </c>
      <c r="AK4004" t="s">
        <v>360</v>
      </c>
    </row>
    <row r="4005" spans="1:37">
      <c r="A4005" t="s">
        <v>43</v>
      </c>
      <c r="B4005" t="s">
        <v>63</v>
      </c>
      <c r="C4005" t="s">
        <v>85</v>
      </c>
      <c r="D4005" t="s">
        <v>104</v>
      </c>
      <c r="E4005" t="s">
        <v>123</v>
      </c>
      <c r="F4005" t="s">
        <v>157</v>
      </c>
      <c r="G4005" t="s">
        <v>183</v>
      </c>
      <c r="AK4005" t="s">
        <v>360</v>
      </c>
    </row>
    <row r="4006" spans="1:37">
      <c r="A4006" t="s">
        <v>44</v>
      </c>
      <c r="B4006" t="s">
        <v>64</v>
      </c>
      <c r="C4006" t="s">
        <v>86</v>
      </c>
      <c r="D4006" t="s">
        <v>105</v>
      </c>
      <c r="E4006" t="s">
        <v>124</v>
      </c>
      <c r="F4006" t="s">
        <v>158</v>
      </c>
      <c r="G4006" t="s">
        <v>184</v>
      </c>
      <c r="AK4006" t="s">
        <v>360</v>
      </c>
    </row>
    <row r="4007" spans="1:37">
      <c r="A4007" t="s">
        <v>45</v>
      </c>
      <c r="B4007" t="s">
        <v>65</v>
      </c>
      <c r="C4007" t="s">
        <v>87</v>
      </c>
      <c r="D4007" t="s">
        <v>106</v>
      </c>
      <c r="E4007" t="s">
        <v>125</v>
      </c>
      <c r="F4007" t="s">
        <v>159</v>
      </c>
      <c r="G4007" t="s">
        <v>185</v>
      </c>
      <c r="H4007" t="s">
        <v>159</v>
      </c>
      <c r="I4007" t="s">
        <v>185</v>
      </c>
      <c r="J4007" t="s">
        <v>255</v>
      </c>
      <c r="AK4007" t="s">
        <v>360</v>
      </c>
    </row>
    <row r="4008" spans="1:37">
      <c r="A4008" t="s">
        <v>46</v>
      </c>
      <c r="B4008" t="s">
        <v>66</v>
      </c>
      <c r="C4008" t="s">
        <v>88</v>
      </c>
      <c r="D4008" t="s">
        <v>76</v>
      </c>
      <c r="E4008" t="s">
        <v>126</v>
      </c>
      <c r="F4008" t="s">
        <v>160</v>
      </c>
      <c r="G4008" t="s">
        <v>186</v>
      </c>
      <c r="H4008" t="s">
        <v>217</v>
      </c>
      <c r="I4008" t="s">
        <v>238</v>
      </c>
      <c r="J4008" t="s">
        <v>256</v>
      </c>
      <c r="K4008" t="s">
        <v>265</v>
      </c>
      <c r="L4008" t="s">
        <v>281</v>
      </c>
      <c r="M4008" t="s">
        <v>290</v>
      </c>
      <c r="N4008" t="s">
        <v>299</v>
      </c>
      <c r="O4008" t="s">
        <v>308</v>
      </c>
      <c r="P4008" t="s">
        <v>228</v>
      </c>
      <c r="Q4008" t="s">
        <v>72</v>
      </c>
      <c r="R4008" t="s">
        <v>327</v>
      </c>
      <c r="S4008" t="s">
        <v>327</v>
      </c>
      <c r="T4008" t="s">
        <v>336</v>
      </c>
      <c r="U4008" t="s">
        <v>336</v>
      </c>
      <c r="V4008" t="s">
        <v>336</v>
      </c>
      <c r="W4008" t="s">
        <v>336</v>
      </c>
      <c r="X4008" t="s">
        <v>353</v>
      </c>
      <c r="AK4008" t="s">
        <v>360</v>
      </c>
    </row>
    <row r="4009" spans="1:37">
      <c r="B4009" t="s">
        <v>67</v>
      </c>
      <c r="C4009" t="s">
        <v>89</v>
      </c>
      <c r="D4009" t="s">
        <v>107</v>
      </c>
      <c r="AK4009" t="s">
        <v>360</v>
      </c>
    </row>
    <row r="4010" spans="1:37">
      <c r="B4010" t="s">
        <v>68</v>
      </c>
      <c r="C4010" t="s">
        <v>90</v>
      </c>
      <c r="D4010" t="s">
        <v>108</v>
      </c>
      <c r="AK4010" t="s">
        <v>360</v>
      </c>
    </row>
    <row r="4011" spans="1:37">
      <c r="A4011" t="s">
        <v>47</v>
      </c>
      <c r="B4011" t="s">
        <v>69</v>
      </c>
      <c r="C4011" t="s">
        <v>91</v>
      </c>
      <c r="D4011" t="s">
        <v>109</v>
      </c>
      <c r="E4011" t="s">
        <v>109</v>
      </c>
      <c r="F4011" t="s">
        <v>109</v>
      </c>
      <c r="G4011" t="s">
        <v>109</v>
      </c>
      <c r="H4011" t="s">
        <v>109</v>
      </c>
      <c r="I4011" t="s">
        <v>239</v>
      </c>
      <c r="AK4011" t="s">
        <v>360</v>
      </c>
    </row>
    <row r="4012" spans="1:37">
      <c r="B4012" t="s">
        <v>70</v>
      </c>
      <c r="C4012" t="s">
        <v>92</v>
      </c>
      <c r="D4012" t="s">
        <v>110</v>
      </c>
      <c r="E4012" t="s">
        <v>127</v>
      </c>
      <c r="F4012" t="s">
        <v>161</v>
      </c>
      <c r="G4012" t="s">
        <v>187</v>
      </c>
      <c r="H4012" t="s">
        <v>218</v>
      </c>
      <c r="AK4012" t="s">
        <v>360</v>
      </c>
    </row>
    <row r="4013" spans="1:37">
      <c r="B4013" t="s">
        <v>71</v>
      </c>
      <c r="C4013" t="s">
        <v>93</v>
      </c>
      <c r="D4013" t="s">
        <v>111</v>
      </c>
      <c r="E4013" t="s">
        <v>128</v>
      </c>
      <c r="F4013" t="s">
        <v>162</v>
      </c>
      <c r="G4013" t="s">
        <v>188</v>
      </c>
      <c r="H4013" t="s">
        <v>219</v>
      </c>
      <c r="I4013" t="s">
        <v>240</v>
      </c>
      <c r="J4013" t="s">
        <v>257</v>
      </c>
      <c r="K4013" t="s">
        <v>269</v>
      </c>
      <c r="L4013" t="s">
        <v>109</v>
      </c>
      <c r="M4013" t="s">
        <v>109</v>
      </c>
      <c r="N4013" t="s">
        <v>109</v>
      </c>
      <c r="O4013" t="s">
        <v>109</v>
      </c>
      <c r="P4013" t="s">
        <v>109</v>
      </c>
      <c r="Q4013" t="s">
        <v>321</v>
      </c>
      <c r="AK4013" t="s">
        <v>360</v>
      </c>
    </row>
    <row r="4014" spans="1:37">
      <c r="A4014" t="s">
        <v>48</v>
      </c>
      <c r="B4014" t="s">
        <v>71</v>
      </c>
      <c r="C4014" t="s">
        <v>93</v>
      </c>
      <c r="D4014" t="s">
        <v>111</v>
      </c>
      <c r="E4014" t="s">
        <v>128</v>
      </c>
      <c r="F4014" t="s">
        <v>163</v>
      </c>
      <c r="G4014" t="s">
        <v>189</v>
      </c>
      <c r="H4014" t="s">
        <v>220</v>
      </c>
      <c r="I4014" t="s">
        <v>241</v>
      </c>
      <c r="J4014" t="s">
        <v>258</v>
      </c>
      <c r="K4014" t="s">
        <v>270</v>
      </c>
      <c r="AK4014" t="s">
        <v>360</v>
      </c>
    </row>
    <row r="4015" spans="1:37">
      <c r="B4015" t="s">
        <v>72</v>
      </c>
      <c r="C4015" t="s">
        <v>72</v>
      </c>
      <c r="D4015" t="s">
        <v>72</v>
      </c>
      <c r="E4015" t="s">
        <v>139</v>
      </c>
      <c r="F4015" t="s">
        <v>139</v>
      </c>
      <c r="G4015" t="s">
        <v>192</v>
      </c>
      <c r="H4015" t="s">
        <v>192</v>
      </c>
      <c r="I4015" t="s">
        <v>192</v>
      </c>
      <c r="J4015" t="s">
        <v>192</v>
      </c>
      <c r="K4015" t="s">
        <v>271</v>
      </c>
      <c r="AK4015" t="s">
        <v>360</v>
      </c>
    </row>
    <row r="4016" spans="1:37">
      <c r="A4016" t="s">
        <v>37</v>
      </c>
      <c r="B4016" t="s">
        <v>49</v>
      </c>
      <c r="C4016" t="s">
        <v>73</v>
      </c>
      <c r="D4016" t="s">
        <v>94</v>
      </c>
      <c r="E4016" t="s">
        <v>112</v>
      </c>
      <c r="F4016" t="s">
        <v>146</v>
      </c>
      <c r="G4016" t="s">
        <v>172</v>
      </c>
      <c r="H4016" t="s">
        <v>207</v>
      </c>
      <c r="I4016" t="s">
        <v>226</v>
      </c>
      <c r="J4016" t="s">
        <v>246</v>
      </c>
      <c r="K4016" t="s">
        <v>259</v>
      </c>
      <c r="AK4016" t="s">
        <v>360</v>
      </c>
    </row>
    <row r="4017" spans="1:37">
      <c r="A4017" t="s">
        <v>38</v>
      </c>
      <c r="B4017" t="s">
        <v>50</v>
      </c>
      <c r="C4017" t="s">
        <v>74</v>
      </c>
      <c r="D4017" t="s">
        <v>95</v>
      </c>
      <c r="E4017" t="s">
        <v>113</v>
      </c>
      <c r="F4017" t="s">
        <v>147</v>
      </c>
      <c r="G4017" t="s">
        <v>173</v>
      </c>
      <c r="H4017" t="s">
        <v>208</v>
      </c>
      <c r="I4017" t="s">
        <v>227</v>
      </c>
      <c r="J4017" t="s">
        <v>115</v>
      </c>
      <c r="K4017" t="s">
        <v>260</v>
      </c>
      <c r="L4017" t="s">
        <v>273</v>
      </c>
      <c r="M4017" t="s">
        <v>282</v>
      </c>
      <c r="N4017" t="s">
        <v>291</v>
      </c>
      <c r="AK4017" t="s">
        <v>360</v>
      </c>
    </row>
    <row r="4018" spans="1:37">
      <c r="B4018" t="s">
        <v>51</v>
      </c>
      <c r="C4018" t="s">
        <v>75</v>
      </c>
      <c r="D4018" t="s">
        <v>52</v>
      </c>
      <c r="E4018" t="s">
        <v>114</v>
      </c>
      <c r="F4018" t="s">
        <v>148</v>
      </c>
      <c r="G4018" t="s">
        <v>148</v>
      </c>
      <c r="H4018" t="s">
        <v>209</v>
      </c>
      <c r="I4018" t="s">
        <v>228</v>
      </c>
      <c r="J4018" t="s">
        <v>247</v>
      </c>
      <c r="K4018" t="s">
        <v>261</v>
      </c>
      <c r="L4018" t="s">
        <v>274</v>
      </c>
      <c r="M4018" t="s">
        <v>283</v>
      </c>
      <c r="N4018" t="s">
        <v>292</v>
      </c>
      <c r="O4018" t="s">
        <v>300</v>
      </c>
      <c r="AK4018" t="s">
        <v>360</v>
      </c>
    </row>
    <row r="4019" spans="1:37">
      <c r="B4019" t="s">
        <v>52</v>
      </c>
      <c r="C4019" t="s">
        <v>76</v>
      </c>
      <c r="D4019" t="s">
        <v>96</v>
      </c>
      <c r="E4019" t="s">
        <v>115</v>
      </c>
      <c r="F4019" t="s">
        <v>149</v>
      </c>
      <c r="G4019" t="s">
        <v>174</v>
      </c>
      <c r="H4019" t="s">
        <v>96</v>
      </c>
      <c r="I4019" t="s">
        <v>229</v>
      </c>
      <c r="J4019" t="s">
        <v>248</v>
      </c>
      <c r="K4019" t="s">
        <v>262</v>
      </c>
      <c r="L4019" t="s">
        <v>52</v>
      </c>
      <c r="M4019" t="s">
        <v>76</v>
      </c>
      <c r="N4019" t="s">
        <v>293</v>
      </c>
      <c r="O4019" t="s">
        <v>301</v>
      </c>
      <c r="P4019" t="s">
        <v>309</v>
      </c>
      <c r="Q4019" t="s">
        <v>315</v>
      </c>
      <c r="R4019" t="s">
        <v>228</v>
      </c>
      <c r="S4019" t="s">
        <v>328</v>
      </c>
      <c r="T4019" t="s">
        <v>149</v>
      </c>
      <c r="U4019" t="s">
        <v>337</v>
      </c>
      <c r="V4019" t="s">
        <v>341</v>
      </c>
      <c r="W4019" t="s">
        <v>345</v>
      </c>
      <c r="X4019" t="s">
        <v>350</v>
      </c>
      <c r="AK4019" t="s">
        <v>360</v>
      </c>
    </row>
    <row r="4020" spans="1:37">
      <c r="B4020" t="s">
        <v>53</v>
      </c>
      <c r="C4020" t="s">
        <v>77</v>
      </c>
      <c r="D4020" t="s">
        <v>97</v>
      </c>
      <c r="E4020" t="s">
        <v>116</v>
      </c>
      <c r="F4020" t="s">
        <v>150</v>
      </c>
      <c r="G4020" t="s">
        <v>175</v>
      </c>
      <c r="H4020" t="s">
        <v>210</v>
      </c>
      <c r="I4020" t="s">
        <v>230</v>
      </c>
      <c r="J4020" t="s">
        <v>249</v>
      </c>
      <c r="K4020" t="s">
        <v>263</v>
      </c>
      <c r="L4020" t="s">
        <v>275</v>
      </c>
      <c r="M4020" t="s">
        <v>284</v>
      </c>
      <c r="N4020" t="s">
        <v>294</v>
      </c>
      <c r="O4020" t="s">
        <v>302</v>
      </c>
      <c r="P4020" t="s">
        <v>310</v>
      </c>
      <c r="Q4020" t="s">
        <v>316</v>
      </c>
      <c r="R4020" t="s">
        <v>322</v>
      </c>
      <c r="S4020" t="s">
        <v>329</v>
      </c>
      <c r="AK4020" t="s">
        <v>360</v>
      </c>
    </row>
    <row r="4021" spans="1:37">
      <c r="A4021" t="s">
        <v>39</v>
      </c>
      <c r="B4021" t="s">
        <v>54</v>
      </c>
      <c r="C4021" t="s">
        <v>54</v>
      </c>
      <c r="D4021" t="s">
        <v>54</v>
      </c>
      <c r="E4021" t="s">
        <v>54</v>
      </c>
      <c r="F4021" t="s">
        <v>54</v>
      </c>
      <c r="G4021" t="s">
        <v>54</v>
      </c>
      <c r="H4021" t="s">
        <v>54</v>
      </c>
      <c r="I4021" t="s">
        <v>54</v>
      </c>
      <c r="J4021" t="s">
        <v>54</v>
      </c>
      <c r="K4021" t="s">
        <v>54</v>
      </c>
      <c r="L4021" t="s">
        <v>54</v>
      </c>
      <c r="M4021" t="s">
        <v>54</v>
      </c>
      <c r="N4021" t="s">
        <v>54</v>
      </c>
      <c r="O4021" t="s">
        <v>54</v>
      </c>
      <c r="P4021" t="s">
        <v>54</v>
      </c>
      <c r="Q4021" t="s">
        <v>54</v>
      </c>
      <c r="R4021" t="s">
        <v>323</v>
      </c>
      <c r="S4021" t="s">
        <v>330</v>
      </c>
      <c r="AK4021" t="s">
        <v>360</v>
      </c>
    </row>
    <row r="4022" spans="1:37">
      <c r="B4022" t="s">
        <v>55</v>
      </c>
      <c r="C4022" t="s">
        <v>78</v>
      </c>
      <c r="D4022" t="s">
        <v>55</v>
      </c>
      <c r="E4022" t="s">
        <v>78</v>
      </c>
      <c r="F4022" t="s">
        <v>55</v>
      </c>
      <c r="G4022" t="s">
        <v>78</v>
      </c>
      <c r="H4022" t="s">
        <v>55</v>
      </c>
      <c r="I4022" t="s">
        <v>78</v>
      </c>
      <c r="J4022" t="s">
        <v>55</v>
      </c>
      <c r="K4022" t="s">
        <v>78</v>
      </c>
      <c r="L4022" t="s">
        <v>55</v>
      </c>
      <c r="M4022" t="s">
        <v>78</v>
      </c>
      <c r="N4022" t="s">
        <v>55</v>
      </c>
      <c r="O4022" t="s">
        <v>78</v>
      </c>
      <c r="P4022" t="s">
        <v>55</v>
      </c>
      <c r="Q4022" t="s">
        <v>78</v>
      </c>
      <c r="R4022" t="s">
        <v>55</v>
      </c>
      <c r="S4022" t="s">
        <v>78</v>
      </c>
      <c r="T4022" t="s">
        <v>55</v>
      </c>
      <c r="U4022" t="s">
        <v>78</v>
      </c>
      <c r="V4022" t="s">
        <v>55</v>
      </c>
      <c r="W4022" t="s">
        <v>78</v>
      </c>
      <c r="X4022" t="s">
        <v>55</v>
      </c>
      <c r="Y4022" t="s">
        <v>78</v>
      </c>
      <c r="Z4022" t="s">
        <v>55</v>
      </c>
      <c r="AA4022" t="s">
        <v>78</v>
      </c>
      <c r="AB4022" t="s">
        <v>55</v>
      </c>
      <c r="AC4022" t="s">
        <v>78</v>
      </c>
      <c r="AD4022" t="s">
        <v>55</v>
      </c>
      <c r="AE4022" t="s">
        <v>78</v>
      </c>
      <c r="AF4022" t="s">
        <v>55</v>
      </c>
      <c r="AG4022" t="s">
        <v>78</v>
      </c>
      <c r="AH4022" t="s">
        <v>55</v>
      </c>
      <c r="AI4022" t="s">
        <v>78</v>
      </c>
      <c r="AK4022" t="s">
        <v>360</v>
      </c>
    </row>
    <row r="4023" spans="1:37">
      <c r="B4023" t="s">
        <v>56</v>
      </c>
      <c r="C4023" t="s">
        <v>56</v>
      </c>
      <c r="D4023" t="s">
        <v>56</v>
      </c>
      <c r="E4023" t="s">
        <v>56</v>
      </c>
      <c r="F4023" t="s">
        <v>56</v>
      </c>
      <c r="G4023" t="s">
        <v>176</v>
      </c>
      <c r="H4023" t="s">
        <v>211</v>
      </c>
      <c r="I4023" t="s">
        <v>231</v>
      </c>
      <c r="J4023" t="s">
        <v>250</v>
      </c>
      <c r="K4023" t="s">
        <v>264</v>
      </c>
      <c r="L4023" t="s">
        <v>276</v>
      </c>
      <c r="M4023" t="s">
        <v>285</v>
      </c>
      <c r="N4023" t="s">
        <v>295</v>
      </c>
      <c r="O4023" t="s">
        <v>303</v>
      </c>
      <c r="P4023" t="s">
        <v>56</v>
      </c>
      <c r="Q4023" t="s">
        <v>317</v>
      </c>
      <c r="R4023" t="s">
        <v>324</v>
      </c>
      <c r="S4023" t="s">
        <v>331</v>
      </c>
      <c r="T4023" t="s">
        <v>334</v>
      </c>
      <c r="U4023" t="s">
        <v>338</v>
      </c>
      <c r="V4023" t="s">
        <v>342</v>
      </c>
      <c r="W4023" t="s">
        <v>346</v>
      </c>
      <c r="X4023" t="s">
        <v>351</v>
      </c>
      <c r="AK4023" t="s">
        <v>360</v>
      </c>
    </row>
    <row r="4024" spans="1:37">
      <c r="B4024" t="s">
        <v>57</v>
      </c>
      <c r="C4024" t="s">
        <v>79</v>
      </c>
      <c r="D4024" t="s">
        <v>98</v>
      </c>
      <c r="E4024" t="s">
        <v>117</v>
      </c>
      <c r="F4024" t="s">
        <v>151</v>
      </c>
      <c r="G4024" t="s">
        <v>177</v>
      </c>
      <c r="H4024" t="s">
        <v>212</v>
      </c>
      <c r="I4024" t="s">
        <v>232</v>
      </c>
      <c r="J4024" t="s">
        <v>251</v>
      </c>
      <c r="K4024" t="s">
        <v>265</v>
      </c>
      <c r="L4024" t="s">
        <v>277</v>
      </c>
      <c r="M4024" t="s">
        <v>286</v>
      </c>
      <c r="N4024" t="s">
        <v>296</v>
      </c>
      <c r="O4024" t="s">
        <v>304</v>
      </c>
      <c r="P4024" t="s">
        <v>311</v>
      </c>
      <c r="Q4024" t="s">
        <v>318</v>
      </c>
      <c r="R4024" t="s">
        <v>185</v>
      </c>
      <c r="S4024" t="s">
        <v>159</v>
      </c>
      <c r="T4024" t="s">
        <v>185</v>
      </c>
      <c r="U4024" t="s">
        <v>339</v>
      </c>
      <c r="V4024" t="s">
        <v>72</v>
      </c>
      <c r="W4024" t="s">
        <v>347</v>
      </c>
      <c r="X4024" t="s">
        <v>72</v>
      </c>
      <c r="Y4024" t="s">
        <v>96</v>
      </c>
      <c r="AK4024" t="s">
        <v>360</v>
      </c>
    </row>
    <row r="4025" spans="1:37">
      <c r="B4025" t="s">
        <v>58</v>
      </c>
      <c r="C4025" t="s">
        <v>80</v>
      </c>
      <c r="D4025" t="s">
        <v>99</v>
      </c>
      <c r="E4025" t="s">
        <v>118</v>
      </c>
      <c r="F4025" t="s">
        <v>152</v>
      </c>
      <c r="G4025" t="s">
        <v>178</v>
      </c>
      <c r="H4025" t="s">
        <v>213</v>
      </c>
      <c r="I4025" t="s">
        <v>233</v>
      </c>
      <c r="J4025" t="s">
        <v>252</v>
      </c>
      <c r="K4025" t="s">
        <v>266</v>
      </c>
      <c r="L4025" t="s">
        <v>278</v>
      </c>
      <c r="M4025" t="s">
        <v>287</v>
      </c>
      <c r="N4025" t="s">
        <v>297</v>
      </c>
      <c r="O4025" t="s">
        <v>305</v>
      </c>
      <c r="P4025" t="s">
        <v>312</v>
      </c>
      <c r="Q4025" t="s">
        <v>319</v>
      </c>
      <c r="R4025">
        <f>&gt;10       ветра      4.1     22  28</f>
        <v>0</v>
      </c>
      <c r="AK4025" t="s">
        <v>360</v>
      </c>
    </row>
    <row r="4026" spans="1:37">
      <c r="A4026" t="s">
        <v>40</v>
      </c>
      <c r="B4026" t="s">
        <v>59</v>
      </c>
      <c r="C4026" t="s">
        <v>81</v>
      </c>
      <c r="D4026" t="s">
        <v>100</v>
      </c>
      <c r="E4026" t="s">
        <v>119</v>
      </c>
      <c r="F4026" t="s">
        <v>153</v>
      </c>
      <c r="G4026" t="s">
        <v>179</v>
      </c>
      <c r="H4026" t="s">
        <v>214</v>
      </c>
      <c r="I4026" t="s">
        <v>234</v>
      </c>
      <c r="AK4026" t="s">
        <v>360</v>
      </c>
    </row>
    <row r="4027" spans="1:37">
      <c r="A4027" t="s">
        <v>40</v>
      </c>
      <c r="B4027" t="s">
        <v>60</v>
      </c>
      <c r="C4027" t="s">
        <v>82</v>
      </c>
      <c r="D4027" t="s">
        <v>101</v>
      </c>
      <c r="E4027" t="s">
        <v>120</v>
      </c>
      <c r="F4027" t="s">
        <v>154</v>
      </c>
      <c r="G4027" t="s">
        <v>180</v>
      </c>
      <c r="H4027" t="s">
        <v>215</v>
      </c>
      <c r="I4027" t="s">
        <v>235</v>
      </c>
      <c r="J4027" t="s">
        <v>253</v>
      </c>
      <c r="K4027" t="s">
        <v>267</v>
      </c>
      <c r="L4027" t="s">
        <v>279</v>
      </c>
      <c r="M4027" t="s">
        <v>288</v>
      </c>
      <c r="N4027" t="s">
        <v>100</v>
      </c>
      <c r="O4027" t="s">
        <v>306</v>
      </c>
      <c r="P4027" t="s">
        <v>313</v>
      </c>
      <c r="Q4027" t="s">
        <v>320</v>
      </c>
      <c r="R4027" t="s">
        <v>325</v>
      </c>
      <c r="S4027" t="s">
        <v>332</v>
      </c>
      <c r="T4027" t="s">
        <v>119</v>
      </c>
      <c r="U4027" t="s">
        <v>234</v>
      </c>
      <c r="V4027" t="s">
        <v>343</v>
      </c>
      <c r="W4027" t="s">
        <v>348</v>
      </c>
      <c r="X4027" t="s">
        <v>352</v>
      </c>
      <c r="Y4027" t="s">
        <v>354</v>
      </c>
      <c r="AK4027" t="s">
        <v>360</v>
      </c>
    </row>
    <row r="4028" spans="1:37">
      <c r="A4028" t="s">
        <v>41</v>
      </c>
      <c r="B4028" t="s">
        <v>61</v>
      </c>
      <c r="C4028" t="s">
        <v>83</v>
      </c>
      <c r="D4028" t="s">
        <v>102</v>
      </c>
      <c r="E4028" t="s">
        <v>121</v>
      </c>
      <c r="F4028" t="s">
        <v>155</v>
      </c>
      <c r="G4028" t="s">
        <v>181</v>
      </c>
      <c r="H4028" t="s">
        <v>216</v>
      </c>
      <c r="I4028" t="s">
        <v>236</v>
      </c>
      <c r="AK4028" t="s">
        <v>360</v>
      </c>
    </row>
    <row r="4029" spans="1:37">
      <c r="A4029" t="s">
        <v>42</v>
      </c>
      <c r="B4029" t="s">
        <v>62</v>
      </c>
      <c r="C4029" t="s">
        <v>84</v>
      </c>
      <c r="D4029" t="s">
        <v>103</v>
      </c>
      <c r="E4029" t="s">
        <v>122</v>
      </c>
      <c r="F4029" t="s">
        <v>156</v>
      </c>
      <c r="G4029" t="s">
        <v>182</v>
      </c>
      <c r="H4029" t="s">
        <v>83</v>
      </c>
      <c r="I4029" t="s">
        <v>237</v>
      </c>
      <c r="J4029" t="s">
        <v>254</v>
      </c>
      <c r="K4029" t="s">
        <v>268</v>
      </c>
      <c r="L4029" t="s">
        <v>280</v>
      </c>
      <c r="M4029" t="s">
        <v>289</v>
      </c>
      <c r="N4029" t="s">
        <v>298</v>
      </c>
      <c r="O4029" t="s">
        <v>307</v>
      </c>
      <c r="P4029" t="s">
        <v>314</v>
      </c>
      <c r="Q4029" t="s">
        <v>216</v>
      </c>
      <c r="R4029" t="s">
        <v>326</v>
      </c>
      <c r="S4029" t="s">
        <v>333</v>
      </c>
      <c r="T4029" t="s">
        <v>335</v>
      </c>
      <c r="U4029" t="s">
        <v>340</v>
      </c>
      <c r="V4029" t="s">
        <v>344</v>
      </c>
      <c r="W4029" t="s">
        <v>349</v>
      </c>
      <c r="AK4029" t="s">
        <v>360</v>
      </c>
    </row>
    <row r="4030" spans="1:37">
      <c r="A4030" t="s">
        <v>43</v>
      </c>
      <c r="B4030" t="s">
        <v>63</v>
      </c>
      <c r="C4030" t="s">
        <v>85</v>
      </c>
      <c r="D4030" t="s">
        <v>104</v>
      </c>
      <c r="E4030" t="s">
        <v>123</v>
      </c>
      <c r="F4030" t="s">
        <v>157</v>
      </c>
      <c r="G4030" t="s">
        <v>183</v>
      </c>
      <c r="AK4030" t="s">
        <v>360</v>
      </c>
    </row>
    <row r="4031" spans="1:37">
      <c r="A4031" t="s">
        <v>44</v>
      </c>
      <c r="B4031" t="s">
        <v>64</v>
      </c>
      <c r="C4031" t="s">
        <v>86</v>
      </c>
      <c r="D4031" t="s">
        <v>105</v>
      </c>
      <c r="E4031" t="s">
        <v>124</v>
      </c>
      <c r="F4031" t="s">
        <v>158</v>
      </c>
      <c r="G4031" t="s">
        <v>184</v>
      </c>
      <c r="AK4031" t="s">
        <v>360</v>
      </c>
    </row>
    <row r="4032" spans="1:37">
      <c r="A4032" t="s">
        <v>45</v>
      </c>
      <c r="B4032" t="s">
        <v>65</v>
      </c>
      <c r="C4032" t="s">
        <v>87</v>
      </c>
      <c r="D4032" t="s">
        <v>106</v>
      </c>
      <c r="E4032" t="s">
        <v>125</v>
      </c>
      <c r="F4032" t="s">
        <v>159</v>
      </c>
      <c r="G4032" t="s">
        <v>185</v>
      </c>
      <c r="H4032" t="s">
        <v>159</v>
      </c>
      <c r="I4032" t="s">
        <v>185</v>
      </c>
      <c r="J4032" t="s">
        <v>255</v>
      </c>
      <c r="AK4032" t="s">
        <v>360</v>
      </c>
    </row>
    <row r="4033" spans="1:37">
      <c r="A4033" t="s">
        <v>46</v>
      </c>
      <c r="B4033" t="s">
        <v>66</v>
      </c>
      <c r="C4033" t="s">
        <v>88</v>
      </c>
      <c r="D4033" t="s">
        <v>76</v>
      </c>
      <c r="E4033" t="s">
        <v>126</v>
      </c>
      <c r="F4033" t="s">
        <v>160</v>
      </c>
      <c r="G4033" t="s">
        <v>186</v>
      </c>
      <c r="H4033" t="s">
        <v>217</v>
      </c>
      <c r="I4033" t="s">
        <v>238</v>
      </c>
      <c r="J4033" t="s">
        <v>256</v>
      </c>
      <c r="K4033" t="s">
        <v>265</v>
      </c>
      <c r="L4033" t="s">
        <v>281</v>
      </c>
      <c r="M4033" t="s">
        <v>290</v>
      </c>
      <c r="N4033" t="s">
        <v>299</v>
      </c>
      <c r="O4033" t="s">
        <v>308</v>
      </c>
      <c r="P4033" t="s">
        <v>228</v>
      </c>
      <c r="Q4033" t="s">
        <v>72</v>
      </c>
      <c r="R4033" t="s">
        <v>327</v>
      </c>
      <c r="S4033" t="s">
        <v>327</v>
      </c>
      <c r="T4033" t="s">
        <v>336</v>
      </c>
      <c r="U4033" t="s">
        <v>336</v>
      </c>
      <c r="V4033" t="s">
        <v>336</v>
      </c>
      <c r="W4033" t="s">
        <v>336</v>
      </c>
      <c r="X4033" t="s">
        <v>353</v>
      </c>
      <c r="AK4033" t="s">
        <v>360</v>
      </c>
    </row>
    <row r="4034" spans="1:37">
      <c r="B4034" t="s">
        <v>67</v>
      </c>
      <c r="C4034" t="s">
        <v>89</v>
      </c>
      <c r="D4034" t="s">
        <v>107</v>
      </c>
      <c r="AK4034" t="s">
        <v>360</v>
      </c>
    </row>
    <row r="4035" spans="1:37">
      <c r="B4035" t="s">
        <v>68</v>
      </c>
      <c r="C4035" t="s">
        <v>90</v>
      </c>
      <c r="D4035" t="s">
        <v>108</v>
      </c>
      <c r="AK4035" t="s">
        <v>360</v>
      </c>
    </row>
    <row r="4036" spans="1:37">
      <c r="A4036" t="s">
        <v>47</v>
      </c>
      <c r="B4036" t="s">
        <v>69</v>
      </c>
      <c r="C4036" t="s">
        <v>91</v>
      </c>
      <c r="D4036" t="s">
        <v>109</v>
      </c>
      <c r="E4036" t="s">
        <v>109</v>
      </c>
      <c r="F4036" t="s">
        <v>109</v>
      </c>
      <c r="G4036" t="s">
        <v>109</v>
      </c>
      <c r="H4036" t="s">
        <v>109</v>
      </c>
      <c r="I4036" t="s">
        <v>239</v>
      </c>
      <c r="AK4036" t="s">
        <v>360</v>
      </c>
    </row>
    <row r="4037" spans="1:37">
      <c r="B4037" t="s">
        <v>70</v>
      </c>
      <c r="C4037" t="s">
        <v>92</v>
      </c>
      <c r="D4037" t="s">
        <v>110</v>
      </c>
      <c r="E4037" t="s">
        <v>127</v>
      </c>
      <c r="F4037" t="s">
        <v>161</v>
      </c>
      <c r="G4037" t="s">
        <v>187</v>
      </c>
      <c r="H4037" t="s">
        <v>218</v>
      </c>
      <c r="AK4037" t="s">
        <v>360</v>
      </c>
    </row>
    <row r="4038" spans="1:37">
      <c r="B4038" t="s">
        <v>71</v>
      </c>
      <c r="C4038" t="s">
        <v>93</v>
      </c>
      <c r="D4038" t="s">
        <v>111</v>
      </c>
      <c r="E4038" t="s">
        <v>128</v>
      </c>
      <c r="F4038" t="s">
        <v>162</v>
      </c>
      <c r="G4038" t="s">
        <v>188</v>
      </c>
      <c r="H4038" t="s">
        <v>219</v>
      </c>
      <c r="I4038" t="s">
        <v>240</v>
      </c>
      <c r="J4038" t="s">
        <v>257</v>
      </c>
      <c r="K4038" t="s">
        <v>269</v>
      </c>
      <c r="L4038" t="s">
        <v>109</v>
      </c>
      <c r="M4038" t="s">
        <v>109</v>
      </c>
      <c r="N4038" t="s">
        <v>109</v>
      </c>
      <c r="O4038" t="s">
        <v>109</v>
      </c>
      <c r="P4038" t="s">
        <v>109</v>
      </c>
      <c r="Q4038" t="s">
        <v>321</v>
      </c>
      <c r="AK4038" t="s">
        <v>360</v>
      </c>
    </row>
    <row r="4039" spans="1:37">
      <c r="A4039" t="s">
        <v>48</v>
      </c>
      <c r="B4039" t="s">
        <v>71</v>
      </c>
      <c r="C4039" t="s">
        <v>93</v>
      </c>
      <c r="D4039" t="s">
        <v>111</v>
      </c>
      <c r="E4039" t="s">
        <v>128</v>
      </c>
      <c r="F4039" t="s">
        <v>163</v>
      </c>
      <c r="G4039" t="s">
        <v>189</v>
      </c>
      <c r="H4039" t="s">
        <v>220</v>
      </c>
      <c r="I4039" t="s">
        <v>241</v>
      </c>
      <c r="J4039" t="s">
        <v>258</v>
      </c>
      <c r="K4039" t="s">
        <v>270</v>
      </c>
      <c r="AK4039" t="s">
        <v>360</v>
      </c>
    </row>
    <row r="4040" spans="1:37">
      <c r="B4040" t="s">
        <v>72</v>
      </c>
      <c r="C4040" t="s">
        <v>72</v>
      </c>
      <c r="D4040" t="s">
        <v>72</v>
      </c>
      <c r="E4040" t="s">
        <v>139</v>
      </c>
      <c r="F4040" t="s">
        <v>139</v>
      </c>
      <c r="G4040" t="s">
        <v>192</v>
      </c>
      <c r="H4040" t="s">
        <v>192</v>
      </c>
      <c r="I4040" t="s">
        <v>192</v>
      </c>
      <c r="J4040" t="s">
        <v>192</v>
      </c>
      <c r="K4040" t="s">
        <v>271</v>
      </c>
      <c r="AK4040" t="s">
        <v>360</v>
      </c>
    </row>
    <row r="4041" spans="1:37">
      <c r="A4041" t="s">
        <v>37</v>
      </c>
      <c r="B4041" t="s">
        <v>49</v>
      </c>
      <c r="C4041" t="s">
        <v>73</v>
      </c>
      <c r="D4041" t="s">
        <v>94</v>
      </c>
      <c r="E4041" t="s">
        <v>112</v>
      </c>
      <c r="F4041" t="s">
        <v>146</v>
      </c>
      <c r="G4041" t="s">
        <v>172</v>
      </c>
      <c r="H4041" t="s">
        <v>207</v>
      </c>
      <c r="I4041" t="s">
        <v>226</v>
      </c>
      <c r="J4041" t="s">
        <v>246</v>
      </c>
      <c r="K4041" t="s">
        <v>259</v>
      </c>
      <c r="AK4041" t="s">
        <v>360</v>
      </c>
    </row>
    <row r="4042" spans="1:37">
      <c r="A4042" t="s">
        <v>38</v>
      </c>
      <c r="B4042" t="s">
        <v>50</v>
      </c>
      <c r="C4042" t="s">
        <v>74</v>
      </c>
      <c r="D4042" t="s">
        <v>95</v>
      </c>
      <c r="E4042" t="s">
        <v>113</v>
      </c>
      <c r="F4042" t="s">
        <v>147</v>
      </c>
      <c r="G4042" t="s">
        <v>173</v>
      </c>
      <c r="H4042" t="s">
        <v>208</v>
      </c>
      <c r="I4042" t="s">
        <v>227</v>
      </c>
      <c r="J4042" t="s">
        <v>115</v>
      </c>
      <c r="K4042" t="s">
        <v>260</v>
      </c>
      <c r="L4042" t="s">
        <v>273</v>
      </c>
      <c r="M4042" t="s">
        <v>282</v>
      </c>
      <c r="N4042" t="s">
        <v>291</v>
      </c>
      <c r="AK4042" t="s">
        <v>360</v>
      </c>
    </row>
    <row r="4043" spans="1:37">
      <c r="B4043" t="s">
        <v>51</v>
      </c>
      <c r="C4043" t="s">
        <v>75</v>
      </c>
      <c r="D4043" t="s">
        <v>52</v>
      </c>
      <c r="E4043" t="s">
        <v>114</v>
      </c>
      <c r="F4043" t="s">
        <v>148</v>
      </c>
      <c r="G4043" t="s">
        <v>148</v>
      </c>
      <c r="H4043" t="s">
        <v>209</v>
      </c>
      <c r="I4043" t="s">
        <v>228</v>
      </c>
      <c r="J4043" t="s">
        <v>247</v>
      </c>
      <c r="K4043" t="s">
        <v>261</v>
      </c>
      <c r="L4043" t="s">
        <v>274</v>
      </c>
      <c r="M4043" t="s">
        <v>283</v>
      </c>
      <c r="N4043" t="s">
        <v>292</v>
      </c>
      <c r="O4043" t="s">
        <v>300</v>
      </c>
      <c r="AK4043" t="s">
        <v>360</v>
      </c>
    </row>
    <row r="4044" spans="1:37">
      <c r="B4044" t="s">
        <v>52</v>
      </c>
      <c r="C4044" t="s">
        <v>76</v>
      </c>
      <c r="D4044" t="s">
        <v>96</v>
      </c>
      <c r="E4044" t="s">
        <v>115</v>
      </c>
      <c r="F4044" t="s">
        <v>149</v>
      </c>
      <c r="G4044" t="s">
        <v>174</v>
      </c>
      <c r="H4044" t="s">
        <v>96</v>
      </c>
      <c r="I4044" t="s">
        <v>229</v>
      </c>
      <c r="J4044" t="s">
        <v>248</v>
      </c>
      <c r="K4044" t="s">
        <v>262</v>
      </c>
      <c r="L4044" t="s">
        <v>52</v>
      </c>
      <c r="M4044" t="s">
        <v>76</v>
      </c>
      <c r="N4044" t="s">
        <v>293</v>
      </c>
      <c r="O4044" t="s">
        <v>301</v>
      </c>
      <c r="P4044" t="s">
        <v>309</v>
      </c>
      <c r="Q4044" t="s">
        <v>315</v>
      </c>
      <c r="R4044" t="s">
        <v>228</v>
      </c>
      <c r="S4044" t="s">
        <v>328</v>
      </c>
      <c r="T4044" t="s">
        <v>149</v>
      </c>
      <c r="U4044" t="s">
        <v>337</v>
      </c>
      <c r="V4044" t="s">
        <v>341</v>
      </c>
      <c r="W4044" t="s">
        <v>345</v>
      </c>
      <c r="X4044" t="s">
        <v>350</v>
      </c>
      <c r="AK4044" t="s">
        <v>360</v>
      </c>
    </row>
    <row r="4045" spans="1:37">
      <c r="B4045" t="s">
        <v>53</v>
      </c>
      <c r="C4045" t="s">
        <v>77</v>
      </c>
      <c r="D4045" t="s">
        <v>97</v>
      </c>
      <c r="E4045" t="s">
        <v>116</v>
      </c>
      <c r="F4045" t="s">
        <v>150</v>
      </c>
      <c r="G4045" t="s">
        <v>175</v>
      </c>
      <c r="H4045" t="s">
        <v>210</v>
      </c>
      <c r="I4045" t="s">
        <v>230</v>
      </c>
      <c r="J4045" t="s">
        <v>249</v>
      </c>
      <c r="K4045" t="s">
        <v>263</v>
      </c>
      <c r="L4045" t="s">
        <v>275</v>
      </c>
      <c r="M4045" t="s">
        <v>284</v>
      </c>
      <c r="N4045" t="s">
        <v>294</v>
      </c>
      <c r="O4045" t="s">
        <v>302</v>
      </c>
      <c r="P4045" t="s">
        <v>310</v>
      </c>
      <c r="Q4045" t="s">
        <v>316</v>
      </c>
      <c r="R4045" t="s">
        <v>322</v>
      </c>
      <c r="S4045" t="s">
        <v>329</v>
      </c>
      <c r="AK4045" t="s">
        <v>360</v>
      </c>
    </row>
    <row r="4046" spans="1:37">
      <c r="A4046" t="s">
        <v>39</v>
      </c>
      <c r="B4046" t="s">
        <v>54</v>
      </c>
      <c r="C4046" t="s">
        <v>54</v>
      </c>
      <c r="D4046" t="s">
        <v>54</v>
      </c>
      <c r="E4046" t="s">
        <v>54</v>
      </c>
      <c r="F4046" t="s">
        <v>54</v>
      </c>
      <c r="G4046" t="s">
        <v>54</v>
      </c>
      <c r="H4046" t="s">
        <v>54</v>
      </c>
      <c r="I4046" t="s">
        <v>54</v>
      </c>
      <c r="J4046" t="s">
        <v>54</v>
      </c>
      <c r="K4046" t="s">
        <v>54</v>
      </c>
      <c r="L4046" t="s">
        <v>54</v>
      </c>
      <c r="M4046" t="s">
        <v>54</v>
      </c>
      <c r="N4046" t="s">
        <v>54</v>
      </c>
      <c r="O4046" t="s">
        <v>54</v>
      </c>
      <c r="P4046" t="s">
        <v>54</v>
      </c>
      <c r="Q4046" t="s">
        <v>54</v>
      </c>
      <c r="R4046" t="s">
        <v>323</v>
      </c>
      <c r="S4046" t="s">
        <v>330</v>
      </c>
      <c r="AK4046" t="s">
        <v>360</v>
      </c>
    </row>
    <row r="4047" spans="1:37">
      <c r="B4047" t="s">
        <v>55</v>
      </c>
      <c r="C4047" t="s">
        <v>78</v>
      </c>
      <c r="D4047" t="s">
        <v>55</v>
      </c>
      <c r="E4047" t="s">
        <v>78</v>
      </c>
      <c r="F4047" t="s">
        <v>55</v>
      </c>
      <c r="G4047" t="s">
        <v>78</v>
      </c>
      <c r="H4047" t="s">
        <v>55</v>
      </c>
      <c r="I4047" t="s">
        <v>78</v>
      </c>
      <c r="J4047" t="s">
        <v>55</v>
      </c>
      <c r="K4047" t="s">
        <v>78</v>
      </c>
      <c r="L4047" t="s">
        <v>55</v>
      </c>
      <c r="M4047" t="s">
        <v>78</v>
      </c>
      <c r="N4047" t="s">
        <v>55</v>
      </c>
      <c r="O4047" t="s">
        <v>78</v>
      </c>
      <c r="P4047" t="s">
        <v>55</v>
      </c>
      <c r="Q4047" t="s">
        <v>78</v>
      </c>
      <c r="R4047" t="s">
        <v>55</v>
      </c>
      <c r="S4047" t="s">
        <v>78</v>
      </c>
      <c r="T4047" t="s">
        <v>55</v>
      </c>
      <c r="U4047" t="s">
        <v>78</v>
      </c>
      <c r="V4047" t="s">
        <v>55</v>
      </c>
      <c r="W4047" t="s">
        <v>78</v>
      </c>
      <c r="X4047" t="s">
        <v>55</v>
      </c>
      <c r="Y4047" t="s">
        <v>78</v>
      </c>
      <c r="Z4047" t="s">
        <v>55</v>
      </c>
      <c r="AA4047" t="s">
        <v>78</v>
      </c>
      <c r="AB4047" t="s">
        <v>55</v>
      </c>
      <c r="AC4047" t="s">
        <v>78</v>
      </c>
      <c r="AD4047" t="s">
        <v>55</v>
      </c>
      <c r="AE4047" t="s">
        <v>78</v>
      </c>
      <c r="AF4047" t="s">
        <v>55</v>
      </c>
      <c r="AG4047" t="s">
        <v>78</v>
      </c>
      <c r="AH4047" t="s">
        <v>55</v>
      </c>
      <c r="AI4047" t="s">
        <v>78</v>
      </c>
      <c r="AK4047" t="s">
        <v>360</v>
      </c>
    </row>
    <row r="4048" spans="1:37">
      <c r="B4048" t="s">
        <v>56</v>
      </c>
      <c r="C4048" t="s">
        <v>56</v>
      </c>
      <c r="D4048" t="s">
        <v>56</v>
      </c>
      <c r="E4048" t="s">
        <v>56</v>
      </c>
      <c r="F4048" t="s">
        <v>56</v>
      </c>
      <c r="G4048" t="s">
        <v>176</v>
      </c>
      <c r="H4048" t="s">
        <v>211</v>
      </c>
      <c r="I4048" t="s">
        <v>231</v>
      </c>
      <c r="J4048" t="s">
        <v>250</v>
      </c>
      <c r="K4048" t="s">
        <v>264</v>
      </c>
      <c r="L4048" t="s">
        <v>276</v>
      </c>
      <c r="M4048" t="s">
        <v>285</v>
      </c>
      <c r="N4048" t="s">
        <v>295</v>
      </c>
      <c r="O4048" t="s">
        <v>303</v>
      </c>
      <c r="P4048" t="s">
        <v>56</v>
      </c>
      <c r="Q4048" t="s">
        <v>317</v>
      </c>
      <c r="R4048" t="s">
        <v>324</v>
      </c>
      <c r="S4048" t="s">
        <v>331</v>
      </c>
      <c r="T4048" t="s">
        <v>334</v>
      </c>
      <c r="U4048" t="s">
        <v>338</v>
      </c>
      <c r="V4048" t="s">
        <v>342</v>
      </c>
      <c r="W4048" t="s">
        <v>346</v>
      </c>
      <c r="X4048" t="s">
        <v>351</v>
      </c>
      <c r="AK4048" t="s">
        <v>360</v>
      </c>
    </row>
    <row r="4049" spans="1:37">
      <c r="B4049" t="s">
        <v>57</v>
      </c>
      <c r="C4049" t="s">
        <v>79</v>
      </c>
      <c r="D4049" t="s">
        <v>98</v>
      </c>
      <c r="E4049" t="s">
        <v>117</v>
      </c>
      <c r="F4049" t="s">
        <v>151</v>
      </c>
      <c r="G4049" t="s">
        <v>177</v>
      </c>
      <c r="H4049" t="s">
        <v>212</v>
      </c>
      <c r="I4049" t="s">
        <v>232</v>
      </c>
      <c r="J4049" t="s">
        <v>251</v>
      </c>
      <c r="K4049" t="s">
        <v>265</v>
      </c>
      <c r="L4049" t="s">
        <v>277</v>
      </c>
      <c r="M4049" t="s">
        <v>286</v>
      </c>
      <c r="N4049" t="s">
        <v>296</v>
      </c>
      <c r="O4049" t="s">
        <v>304</v>
      </c>
      <c r="P4049" t="s">
        <v>311</v>
      </c>
      <c r="Q4049" t="s">
        <v>318</v>
      </c>
      <c r="R4049" t="s">
        <v>185</v>
      </c>
      <c r="S4049" t="s">
        <v>159</v>
      </c>
      <c r="T4049" t="s">
        <v>185</v>
      </c>
      <c r="U4049" t="s">
        <v>339</v>
      </c>
      <c r="V4049" t="s">
        <v>72</v>
      </c>
      <c r="W4049" t="s">
        <v>347</v>
      </c>
      <c r="X4049" t="s">
        <v>72</v>
      </c>
      <c r="Y4049" t="s">
        <v>96</v>
      </c>
      <c r="AK4049" t="s">
        <v>360</v>
      </c>
    </row>
    <row r="4050" spans="1:37">
      <c r="B4050" t="s">
        <v>58</v>
      </c>
      <c r="C4050" t="s">
        <v>80</v>
      </c>
      <c r="D4050" t="s">
        <v>99</v>
      </c>
      <c r="E4050" t="s">
        <v>118</v>
      </c>
      <c r="F4050" t="s">
        <v>152</v>
      </c>
      <c r="G4050" t="s">
        <v>178</v>
      </c>
      <c r="H4050" t="s">
        <v>213</v>
      </c>
      <c r="I4050" t="s">
        <v>233</v>
      </c>
      <c r="J4050" t="s">
        <v>252</v>
      </c>
      <c r="K4050" t="s">
        <v>266</v>
      </c>
      <c r="L4050" t="s">
        <v>278</v>
      </c>
      <c r="M4050" t="s">
        <v>287</v>
      </c>
      <c r="N4050" t="s">
        <v>297</v>
      </c>
      <c r="O4050" t="s">
        <v>305</v>
      </c>
      <c r="P4050" t="s">
        <v>312</v>
      </c>
      <c r="Q4050" t="s">
        <v>319</v>
      </c>
      <c r="R4050">
        <f>&gt;10       ветра      3.5     24  28</f>
        <v>0</v>
      </c>
      <c r="AK4050" t="s">
        <v>360</v>
      </c>
    </row>
    <row r="4051" spans="1:37">
      <c r="A4051" t="s">
        <v>40</v>
      </c>
      <c r="B4051" t="s">
        <v>59</v>
      </c>
      <c r="C4051" t="s">
        <v>81</v>
      </c>
      <c r="D4051" t="s">
        <v>100</v>
      </c>
      <c r="E4051" t="s">
        <v>119</v>
      </c>
      <c r="F4051" t="s">
        <v>153</v>
      </c>
      <c r="G4051" t="s">
        <v>179</v>
      </c>
      <c r="H4051" t="s">
        <v>214</v>
      </c>
      <c r="I4051" t="s">
        <v>234</v>
      </c>
      <c r="AK4051" t="s">
        <v>360</v>
      </c>
    </row>
    <row r="4052" spans="1:37">
      <c r="A4052" t="s">
        <v>40</v>
      </c>
      <c r="B4052" t="s">
        <v>60</v>
      </c>
      <c r="C4052" t="s">
        <v>82</v>
      </c>
      <c r="D4052" t="s">
        <v>101</v>
      </c>
      <c r="E4052" t="s">
        <v>120</v>
      </c>
      <c r="F4052" t="s">
        <v>154</v>
      </c>
      <c r="G4052" t="s">
        <v>180</v>
      </c>
      <c r="H4052" t="s">
        <v>215</v>
      </c>
      <c r="I4052" t="s">
        <v>235</v>
      </c>
      <c r="J4052" t="s">
        <v>253</v>
      </c>
      <c r="K4052" t="s">
        <v>267</v>
      </c>
      <c r="L4052" t="s">
        <v>279</v>
      </c>
      <c r="M4052" t="s">
        <v>288</v>
      </c>
      <c r="N4052" t="s">
        <v>100</v>
      </c>
      <c r="O4052" t="s">
        <v>306</v>
      </c>
      <c r="P4052" t="s">
        <v>313</v>
      </c>
      <c r="Q4052" t="s">
        <v>320</v>
      </c>
      <c r="R4052" t="s">
        <v>325</v>
      </c>
      <c r="S4052" t="s">
        <v>332</v>
      </c>
      <c r="T4052" t="s">
        <v>119</v>
      </c>
      <c r="U4052" t="s">
        <v>234</v>
      </c>
      <c r="V4052" t="s">
        <v>343</v>
      </c>
      <c r="W4052" t="s">
        <v>348</v>
      </c>
      <c r="X4052" t="s">
        <v>352</v>
      </c>
      <c r="Y4052" t="s">
        <v>354</v>
      </c>
      <c r="AK4052" t="s">
        <v>360</v>
      </c>
    </row>
    <row r="4053" spans="1:37">
      <c r="A4053" t="s">
        <v>41</v>
      </c>
      <c r="B4053" t="s">
        <v>61</v>
      </c>
      <c r="C4053" t="s">
        <v>83</v>
      </c>
      <c r="D4053" t="s">
        <v>102</v>
      </c>
      <c r="E4053" t="s">
        <v>121</v>
      </c>
      <c r="F4053" t="s">
        <v>155</v>
      </c>
      <c r="G4053" t="s">
        <v>181</v>
      </c>
      <c r="H4053" t="s">
        <v>216</v>
      </c>
      <c r="I4053" t="s">
        <v>236</v>
      </c>
      <c r="AK4053" t="s">
        <v>360</v>
      </c>
    </row>
    <row r="4054" spans="1:37">
      <c r="A4054" t="s">
        <v>42</v>
      </c>
      <c r="B4054" t="s">
        <v>62</v>
      </c>
      <c r="C4054" t="s">
        <v>84</v>
      </c>
      <c r="D4054" t="s">
        <v>103</v>
      </c>
      <c r="E4054" t="s">
        <v>122</v>
      </c>
      <c r="F4054" t="s">
        <v>156</v>
      </c>
      <c r="G4054" t="s">
        <v>182</v>
      </c>
      <c r="H4054" t="s">
        <v>83</v>
      </c>
      <c r="I4054" t="s">
        <v>237</v>
      </c>
      <c r="J4054" t="s">
        <v>254</v>
      </c>
      <c r="K4054" t="s">
        <v>268</v>
      </c>
      <c r="L4054" t="s">
        <v>280</v>
      </c>
      <c r="M4054" t="s">
        <v>289</v>
      </c>
      <c r="N4054" t="s">
        <v>298</v>
      </c>
      <c r="O4054" t="s">
        <v>307</v>
      </c>
      <c r="P4054" t="s">
        <v>314</v>
      </c>
      <c r="Q4054" t="s">
        <v>216</v>
      </c>
      <c r="R4054" t="s">
        <v>326</v>
      </c>
      <c r="S4054" t="s">
        <v>333</v>
      </c>
      <c r="T4054" t="s">
        <v>335</v>
      </c>
      <c r="U4054" t="s">
        <v>340</v>
      </c>
      <c r="V4054" t="s">
        <v>344</v>
      </c>
      <c r="W4054" t="s">
        <v>349</v>
      </c>
      <c r="AK4054" t="s">
        <v>360</v>
      </c>
    </row>
    <row r="4055" spans="1:37">
      <c r="A4055" t="s">
        <v>43</v>
      </c>
      <c r="B4055" t="s">
        <v>63</v>
      </c>
      <c r="C4055" t="s">
        <v>85</v>
      </c>
      <c r="D4055" t="s">
        <v>104</v>
      </c>
      <c r="E4055" t="s">
        <v>123</v>
      </c>
      <c r="F4055" t="s">
        <v>157</v>
      </c>
      <c r="G4055" t="s">
        <v>183</v>
      </c>
      <c r="AK4055" t="s">
        <v>360</v>
      </c>
    </row>
    <row r="4056" spans="1:37">
      <c r="A4056" t="s">
        <v>44</v>
      </c>
      <c r="B4056" t="s">
        <v>64</v>
      </c>
      <c r="C4056" t="s">
        <v>86</v>
      </c>
      <c r="D4056" t="s">
        <v>105</v>
      </c>
      <c r="E4056" t="s">
        <v>124</v>
      </c>
      <c r="F4056" t="s">
        <v>158</v>
      </c>
      <c r="G4056" t="s">
        <v>184</v>
      </c>
      <c r="AK4056" t="s">
        <v>360</v>
      </c>
    </row>
    <row r="4057" spans="1:37">
      <c r="A4057" t="s">
        <v>45</v>
      </c>
      <c r="B4057" t="s">
        <v>65</v>
      </c>
      <c r="C4057" t="s">
        <v>87</v>
      </c>
      <c r="D4057" t="s">
        <v>106</v>
      </c>
      <c r="E4057" t="s">
        <v>125</v>
      </c>
      <c r="F4057" t="s">
        <v>159</v>
      </c>
      <c r="G4057" t="s">
        <v>185</v>
      </c>
      <c r="H4057" t="s">
        <v>159</v>
      </c>
      <c r="I4057" t="s">
        <v>185</v>
      </c>
      <c r="J4057" t="s">
        <v>255</v>
      </c>
      <c r="AK4057" t="s">
        <v>360</v>
      </c>
    </row>
    <row r="4058" spans="1:37">
      <c r="A4058" t="s">
        <v>46</v>
      </c>
      <c r="B4058" t="s">
        <v>66</v>
      </c>
      <c r="C4058" t="s">
        <v>88</v>
      </c>
      <c r="D4058" t="s">
        <v>76</v>
      </c>
      <c r="E4058" t="s">
        <v>126</v>
      </c>
      <c r="F4058" t="s">
        <v>160</v>
      </c>
      <c r="G4058" t="s">
        <v>186</v>
      </c>
      <c r="H4058" t="s">
        <v>217</v>
      </c>
      <c r="I4058" t="s">
        <v>238</v>
      </c>
      <c r="J4058" t="s">
        <v>256</v>
      </c>
      <c r="K4058" t="s">
        <v>265</v>
      </c>
      <c r="L4058" t="s">
        <v>281</v>
      </c>
      <c r="M4058" t="s">
        <v>290</v>
      </c>
      <c r="N4058" t="s">
        <v>299</v>
      </c>
      <c r="O4058" t="s">
        <v>308</v>
      </c>
      <c r="P4058" t="s">
        <v>228</v>
      </c>
      <c r="Q4058" t="s">
        <v>72</v>
      </c>
      <c r="R4058" t="s">
        <v>327</v>
      </c>
      <c r="S4058" t="s">
        <v>327</v>
      </c>
      <c r="T4058" t="s">
        <v>336</v>
      </c>
      <c r="U4058" t="s">
        <v>336</v>
      </c>
      <c r="V4058" t="s">
        <v>336</v>
      </c>
      <c r="W4058" t="s">
        <v>336</v>
      </c>
      <c r="X4058" t="s">
        <v>353</v>
      </c>
      <c r="AK4058" t="s">
        <v>360</v>
      </c>
    </row>
    <row r="4059" spans="1:37">
      <c r="B4059" t="s">
        <v>67</v>
      </c>
      <c r="C4059" t="s">
        <v>89</v>
      </c>
      <c r="D4059" t="s">
        <v>107</v>
      </c>
      <c r="AK4059" t="s">
        <v>360</v>
      </c>
    </row>
    <row r="4060" spans="1:37">
      <c r="B4060" t="s">
        <v>68</v>
      </c>
      <c r="C4060" t="s">
        <v>90</v>
      </c>
      <c r="D4060" t="s">
        <v>108</v>
      </c>
      <c r="AK4060" t="s">
        <v>360</v>
      </c>
    </row>
    <row r="4061" spans="1:37">
      <c r="A4061" t="s">
        <v>47</v>
      </c>
      <c r="B4061" t="s">
        <v>69</v>
      </c>
      <c r="C4061" t="s">
        <v>91</v>
      </c>
      <c r="D4061" t="s">
        <v>109</v>
      </c>
      <c r="E4061" t="s">
        <v>109</v>
      </c>
      <c r="F4061" t="s">
        <v>109</v>
      </c>
      <c r="G4061" t="s">
        <v>109</v>
      </c>
      <c r="H4061" t="s">
        <v>109</v>
      </c>
      <c r="I4061" t="s">
        <v>239</v>
      </c>
      <c r="AK4061" t="s">
        <v>360</v>
      </c>
    </row>
    <row r="4062" spans="1:37">
      <c r="B4062" t="s">
        <v>70</v>
      </c>
      <c r="C4062" t="s">
        <v>92</v>
      </c>
      <c r="D4062" t="s">
        <v>110</v>
      </c>
      <c r="E4062" t="s">
        <v>127</v>
      </c>
      <c r="F4062" t="s">
        <v>161</v>
      </c>
      <c r="G4062" t="s">
        <v>187</v>
      </c>
      <c r="H4062" t="s">
        <v>218</v>
      </c>
      <c r="AK4062" t="s">
        <v>360</v>
      </c>
    </row>
    <row r="4063" spans="1:37">
      <c r="B4063" t="s">
        <v>71</v>
      </c>
      <c r="C4063" t="s">
        <v>93</v>
      </c>
      <c r="D4063" t="s">
        <v>111</v>
      </c>
      <c r="E4063" t="s">
        <v>128</v>
      </c>
      <c r="F4063" t="s">
        <v>162</v>
      </c>
      <c r="G4063" t="s">
        <v>188</v>
      </c>
      <c r="H4063" t="s">
        <v>219</v>
      </c>
      <c r="I4063" t="s">
        <v>240</v>
      </c>
      <c r="J4063" t="s">
        <v>257</v>
      </c>
      <c r="K4063" t="s">
        <v>269</v>
      </c>
      <c r="L4063" t="s">
        <v>109</v>
      </c>
      <c r="M4063" t="s">
        <v>109</v>
      </c>
      <c r="N4063" t="s">
        <v>109</v>
      </c>
      <c r="O4063" t="s">
        <v>109</v>
      </c>
      <c r="P4063" t="s">
        <v>109</v>
      </c>
      <c r="Q4063" t="s">
        <v>321</v>
      </c>
      <c r="AK4063" t="s">
        <v>360</v>
      </c>
    </row>
    <row r="4064" spans="1:37">
      <c r="A4064" t="s">
        <v>48</v>
      </c>
      <c r="B4064" t="s">
        <v>71</v>
      </c>
      <c r="C4064" t="s">
        <v>93</v>
      </c>
      <c r="D4064" t="s">
        <v>111</v>
      </c>
      <c r="E4064" t="s">
        <v>128</v>
      </c>
      <c r="F4064" t="s">
        <v>163</v>
      </c>
      <c r="G4064" t="s">
        <v>189</v>
      </c>
      <c r="H4064" t="s">
        <v>220</v>
      </c>
      <c r="I4064" t="s">
        <v>241</v>
      </c>
      <c r="J4064" t="s">
        <v>258</v>
      </c>
      <c r="K4064" t="s">
        <v>270</v>
      </c>
      <c r="AK4064" t="s">
        <v>360</v>
      </c>
    </row>
    <row r="4065" spans="1:37">
      <c r="B4065" t="s">
        <v>72</v>
      </c>
      <c r="C4065" t="s">
        <v>72</v>
      </c>
      <c r="D4065" t="s">
        <v>72</v>
      </c>
      <c r="E4065" t="s">
        <v>72</v>
      </c>
      <c r="F4065" t="s">
        <v>72</v>
      </c>
      <c r="G4065" t="s">
        <v>72</v>
      </c>
      <c r="H4065" t="s">
        <v>72</v>
      </c>
      <c r="I4065" t="s">
        <v>72</v>
      </c>
      <c r="J4065" t="s">
        <v>72</v>
      </c>
      <c r="K4065" t="s">
        <v>272</v>
      </c>
      <c r="AK4065" t="s">
        <v>360</v>
      </c>
    </row>
    <row r="4066" spans="1:37">
      <c r="A4066" t="s">
        <v>37</v>
      </c>
      <c r="B4066" t="s">
        <v>49</v>
      </c>
      <c r="C4066" t="s">
        <v>73</v>
      </c>
      <c r="D4066" t="s">
        <v>94</v>
      </c>
      <c r="E4066" t="s">
        <v>112</v>
      </c>
      <c r="F4066" t="s">
        <v>146</v>
      </c>
      <c r="G4066" t="s">
        <v>172</v>
      </c>
      <c r="H4066" t="s">
        <v>207</v>
      </c>
      <c r="I4066" t="s">
        <v>226</v>
      </c>
      <c r="J4066" t="s">
        <v>246</v>
      </c>
      <c r="K4066" t="s">
        <v>259</v>
      </c>
      <c r="AK4066" t="s">
        <v>360</v>
      </c>
    </row>
    <row r="4067" spans="1:37">
      <c r="A4067" t="s">
        <v>38</v>
      </c>
      <c r="B4067" t="s">
        <v>50</v>
      </c>
      <c r="C4067" t="s">
        <v>74</v>
      </c>
      <c r="D4067" t="s">
        <v>95</v>
      </c>
      <c r="E4067" t="s">
        <v>113</v>
      </c>
      <c r="F4067" t="s">
        <v>147</v>
      </c>
      <c r="G4067" t="s">
        <v>173</v>
      </c>
      <c r="H4067" t="s">
        <v>208</v>
      </c>
      <c r="I4067" t="s">
        <v>227</v>
      </c>
      <c r="J4067" t="s">
        <v>115</v>
      </c>
      <c r="K4067" t="s">
        <v>260</v>
      </c>
      <c r="L4067" t="s">
        <v>273</v>
      </c>
      <c r="M4067" t="s">
        <v>282</v>
      </c>
      <c r="N4067" t="s">
        <v>291</v>
      </c>
      <c r="AK4067" t="s">
        <v>360</v>
      </c>
    </row>
    <row r="4068" spans="1:37">
      <c r="B4068" t="s">
        <v>51</v>
      </c>
      <c r="C4068" t="s">
        <v>75</v>
      </c>
      <c r="D4068" t="s">
        <v>52</v>
      </c>
      <c r="E4068" t="s">
        <v>114</v>
      </c>
      <c r="F4068" t="s">
        <v>148</v>
      </c>
      <c r="G4068" t="s">
        <v>148</v>
      </c>
      <c r="H4068" t="s">
        <v>209</v>
      </c>
      <c r="I4068" t="s">
        <v>228</v>
      </c>
      <c r="J4068" t="s">
        <v>247</v>
      </c>
      <c r="K4068" t="s">
        <v>261</v>
      </c>
      <c r="L4068" t="s">
        <v>274</v>
      </c>
      <c r="M4068" t="s">
        <v>283</v>
      </c>
      <c r="N4068" t="s">
        <v>292</v>
      </c>
      <c r="O4068" t="s">
        <v>300</v>
      </c>
      <c r="AK4068" t="s">
        <v>360</v>
      </c>
    </row>
    <row r="4069" spans="1:37">
      <c r="B4069" t="s">
        <v>52</v>
      </c>
      <c r="C4069" t="s">
        <v>76</v>
      </c>
      <c r="D4069" t="s">
        <v>96</v>
      </c>
      <c r="E4069" t="s">
        <v>115</v>
      </c>
      <c r="F4069" t="s">
        <v>149</v>
      </c>
      <c r="G4069" t="s">
        <v>174</v>
      </c>
      <c r="H4069" t="s">
        <v>96</v>
      </c>
      <c r="I4069" t="s">
        <v>229</v>
      </c>
      <c r="J4069" t="s">
        <v>248</v>
      </c>
      <c r="K4069" t="s">
        <v>262</v>
      </c>
      <c r="L4069" t="s">
        <v>52</v>
      </c>
      <c r="M4069" t="s">
        <v>76</v>
      </c>
      <c r="N4069" t="s">
        <v>293</v>
      </c>
      <c r="O4069" t="s">
        <v>301</v>
      </c>
      <c r="P4069" t="s">
        <v>309</v>
      </c>
      <c r="Q4069" t="s">
        <v>315</v>
      </c>
      <c r="R4069" t="s">
        <v>228</v>
      </c>
      <c r="S4069" t="s">
        <v>328</v>
      </c>
      <c r="T4069" t="s">
        <v>149</v>
      </c>
      <c r="U4069" t="s">
        <v>337</v>
      </c>
      <c r="V4069" t="s">
        <v>341</v>
      </c>
      <c r="W4069" t="s">
        <v>345</v>
      </c>
      <c r="X4069" t="s">
        <v>350</v>
      </c>
      <c r="AK4069" t="s">
        <v>360</v>
      </c>
    </row>
    <row r="4070" spans="1:37">
      <c r="B4070" t="s">
        <v>53</v>
      </c>
      <c r="C4070" t="s">
        <v>77</v>
      </c>
      <c r="D4070" t="s">
        <v>97</v>
      </c>
      <c r="E4070" t="s">
        <v>116</v>
      </c>
      <c r="F4070" t="s">
        <v>150</v>
      </c>
      <c r="G4070" t="s">
        <v>175</v>
      </c>
      <c r="H4070" t="s">
        <v>210</v>
      </c>
      <c r="I4070" t="s">
        <v>230</v>
      </c>
      <c r="J4070" t="s">
        <v>249</v>
      </c>
      <c r="K4070" t="s">
        <v>263</v>
      </c>
      <c r="L4070" t="s">
        <v>275</v>
      </c>
      <c r="M4070" t="s">
        <v>284</v>
      </c>
      <c r="N4070" t="s">
        <v>294</v>
      </c>
      <c r="O4070" t="s">
        <v>302</v>
      </c>
      <c r="P4070" t="s">
        <v>310</v>
      </c>
      <c r="Q4070" t="s">
        <v>316</v>
      </c>
      <c r="R4070" t="s">
        <v>322</v>
      </c>
      <c r="S4070" t="s">
        <v>329</v>
      </c>
      <c r="AK4070" t="s">
        <v>360</v>
      </c>
    </row>
    <row r="4071" spans="1:37">
      <c r="A4071" t="s">
        <v>39</v>
      </c>
      <c r="B4071" t="s">
        <v>54</v>
      </c>
      <c r="C4071" t="s">
        <v>54</v>
      </c>
      <c r="D4071" t="s">
        <v>54</v>
      </c>
      <c r="E4071" t="s">
        <v>54</v>
      </c>
      <c r="F4071" t="s">
        <v>54</v>
      </c>
      <c r="G4071" t="s">
        <v>54</v>
      </c>
      <c r="H4071" t="s">
        <v>54</v>
      </c>
      <c r="I4071" t="s">
        <v>54</v>
      </c>
      <c r="J4071" t="s">
        <v>54</v>
      </c>
      <c r="K4071" t="s">
        <v>54</v>
      </c>
      <c r="L4071" t="s">
        <v>54</v>
      </c>
      <c r="M4071" t="s">
        <v>54</v>
      </c>
      <c r="N4071" t="s">
        <v>54</v>
      </c>
      <c r="O4071" t="s">
        <v>54</v>
      </c>
      <c r="P4071" t="s">
        <v>54</v>
      </c>
      <c r="Q4071" t="s">
        <v>54</v>
      </c>
      <c r="R4071" t="s">
        <v>323</v>
      </c>
      <c r="S4071" t="s">
        <v>330</v>
      </c>
      <c r="AK4071" t="s">
        <v>360</v>
      </c>
    </row>
    <row r="4072" spans="1:37">
      <c r="B4072" t="s">
        <v>55</v>
      </c>
      <c r="C4072" t="s">
        <v>78</v>
      </c>
      <c r="D4072" t="s">
        <v>55</v>
      </c>
      <c r="E4072" t="s">
        <v>78</v>
      </c>
      <c r="F4072" t="s">
        <v>55</v>
      </c>
      <c r="G4072" t="s">
        <v>78</v>
      </c>
      <c r="H4072" t="s">
        <v>55</v>
      </c>
      <c r="I4072" t="s">
        <v>78</v>
      </c>
      <c r="J4072" t="s">
        <v>55</v>
      </c>
      <c r="K4072" t="s">
        <v>78</v>
      </c>
      <c r="L4072" t="s">
        <v>55</v>
      </c>
      <c r="M4072" t="s">
        <v>78</v>
      </c>
      <c r="N4072" t="s">
        <v>55</v>
      </c>
      <c r="O4072" t="s">
        <v>78</v>
      </c>
      <c r="P4072" t="s">
        <v>55</v>
      </c>
      <c r="Q4072" t="s">
        <v>78</v>
      </c>
      <c r="R4072" t="s">
        <v>55</v>
      </c>
      <c r="S4072" t="s">
        <v>78</v>
      </c>
      <c r="T4072" t="s">
        <v>55</v>
      </c>
      <c r="U4072" t="s">
        <v>78</v>
      </c>
      <c r="V4072" t="s">
        <v>55</v>
      </c>
      <c r="W4072" t="s">
        <v>78</v>
      </c>
      <c r="X4072" t="s">
        <v>55</v>
      </c>
      <c r="Y4072" t="s">
        <v>78</v>
      </c>
      <c r="Z4072" t="s">
        <v>55</v>
      </c>
      <c r="AA4072" t="s">
        <v>78</v>
      </c>
      <c r="AB4072" t="s">
        <v>55</v>
      </c>
      <c r="AC4072" t="s">
        <v>78</v>
      </c>
      <c r="AD4072" t="s">
        <v>55</v>
      </c>
      <c r="AE4072" t="s">
        <v>78</v>
      </c>
      <c r="AF4072" t="s">
        <v>55</v>
      </c>
      <c r="AG4072" t="s">
        <v>78</v>
      </c>
      <c r="AH4072" t="s">
        <v>55</v>
      </c>
      <c r="AI4072" t="s">
        <v>78</v>
      </c>
      <c r="AK4072" t="s">
        <v>360</v>
      </c>
    </row>
    <row r="4073" spans="1:37">
      <c r="B4073" t="s">
        <v>56</v>
      </c>
      <c r="C4073" t="s">
        <v>56</v>
      </c>
      <c r="D4073" t="s">
        <v>56</v>
      </c>
      <c r="E4073" t="s">
        <v>56</v>
      </c>
      <c r="F4073" t="s">
        <v>56</v>
      </c>
      <c r="G4073" t="s">
        <v>176</v>
      </c>
      <c r="H4073" t="s">
        <v>211</v>
      </c>
      <c r="I4073" t="s">
        <v>231</v>
      </c>
      <c r="J4073" t="s">
        <v>250</v>
      </c>
      <c r="K4073" t="s">
        <v>264</v>
      </c>
      <c r="L4073" t="s">
        <v>276</v>
      </c>
      <c r="M4073" t="s">
        <v>285</v>
      </c>
      <c r="N4073" t="s">
        <v>295</v>
      </c>
      <c r="O4073" t="s">
        <v>303</v>
      </c>
      <c r="P4073" t="s">
        <v>56</v>
      </c>
      <c r="Q4073" t="s">
        <v>317</v>
      </c>
      <c r="R4073" t="s">
        <v>324</v>
      </c>
      <c r="S4073" t="s">
        <v>331</v>
      </c>
      <c r="T4073" t="s">
        <v>334</v>
      </c>
      <c r="U4073" t="s">
        <v>338</v>
      </c>
      <c r="V4073" t="s">
        <v>342</v>
      </c>
      <c r="W4073" t="s">
        <v>346</v>
      </c>
      <c r="X4073" t="s">
        <v>351</v>
      </c>
      <c r="AK4073" t="s">
        <v>360</v>
      </c>
    </row>
    <row r="4074" spans="1:37">
      <c r="B4074" t="s">
        <v>57</v>
      </c>
      <c r="C4074" t="s">
        <v>79</v>
      </c>
      <c r="D4074" t="s">
        <v>98</v>
      </c>
      <c r="E4074" t="s">
        <v>117</v>
      </c>
      <c r="F4074" t="s">
        <v>151</v>
      </c>
      <c r="G4074" t="s">
        <v>177</v>
      </c>
      <c r="H4074" t="s">
        <v>212</v>
      </c>
      <c r="I4074" t="s">
        <v>232</v>
      </c>
      <c r="J4074" t="s">
        <v>251</v>
      </c>
      <c r="K4074" t="s">
        <v>265</v>
      </c>
      <c r="L4074" t="s">
        <v>277</v>
      </c>
      <c r="M4074" t="s">
        <v>286</v>
      </c>
      <c r="N4074" t="s">
        <v>296</v>
      </c>
      <c r="O4074" t="s">
        <v>304</v>
      </c>
      <c r="P4074" t="s">
        <v>311</v>
      </c>
      <c r="Q4074" t="s">
        <v>318</v>
      </c>
      <c r="R4074" t="s">
        <v>185</v>
      </c>
      <c r="S4074" t="s">
        <v>159</v>
      </c>
      <c r="T4074" t="s">
        <v>185</v>
      </c>
      <c r="U4074" t="s">
        <v>339</v>
      </c>
      <c r="V4074" t="s">
        <v>72</v>
      </c>
      <c r="W4074" t="s">
        <v>347</v>
      </c>
      <c r="X4074" t="s">
        <v>72</v>
      </c>
      <c r="Y4074" t="s">
        <v>96</v>
      </c>
      <c r="AK4074" t="s">
        <v>360</v>
      </c>
    </row>
    <row r="4075" spans="1:37">
      <c r="B4075" t="s">
        <v>58</v>
      </c>
      <c r="C4075" t="s">
        <v>80</v>
      </c>
      <c r="D4075" t="s">
        <v>99</v>
      </c>
      <c r="E4075" t="s">
        <v>118</v>
      </c>
      <c r="F4075" t="s">
        <v>152</v>
      </c>
      <c r="G4075" t="s">
        <v>178</v>
      </c>
      <c r="H4075" t="s">
        <v>213</v>
      </c>
      <c r="I4075" t="s">
        <v>233</v>
      </c>
      <c r="J4075" t="s">
        <v>252</v>
      </c>
      <c r="K4075" t="s">
        <v>266</v>
      </c>
      <c r="L4075" t="s">
        <v>278</v>
      </c>
      <c r="M4075" t="s">
        <v>287</v>
      </c>
      <c r="N4075" t="s">
        <v>297</v>
      </c>
      <c r="O4075" t="s">
        <v>305</v>
      </c>
      <c r="P4075" t="s">
        <v>312</v>
      </c>
      <c r="Q4075" t="s">
        <v>319</v>
      </c>
      <c r="R4075">
        <f>&gt;10       ветра      1.1     18  10</f>
        <v>0</v>
      </c>
      <c r="AK4075" t="s">
        <v>360</v>
      </c>
    </row>
    <row r="4076" spans="1:37">
      <c r="A4076" t="s">
        <v>40</v>
      </c>
      <c r="B4076" t="s">
        <v>59</v>
      </c>
      <c r="C4076" t="s">
        <v>81</v>
      </c>
      <c r="D4076" t="s">
        <v>100</v>
      </c>
      <c r="E4076" t="s">
        <v>119</v>
      </c>
      <c r="F4076" t="s">
        <v>153</v>
      </c>
      <c r="G4076" t="s">
        <v>179</v>
      </c>
      <c r="H4076" t="s">
        <v>214</v>
      </c>
      <c r="I4076" t="s">
        <v>234</v>
      </c>
      <c r="AK4076" t="s">
        <v>360</v>
      </c>
    </row>
    <row r="4077" spans="1:37">
      <c r="A4077" t="s">
        <v>40</v>
      </c>
      <c r="B4077" t="s">
        <v>60</v>
      </c>
      <c r="C4077" t="s">
        <v>82</v>
      </c>
      <c r="D4077" t="s">
        <v>101</v>
      </c>
      <c r="E4077" t="s">
        <v>120</v>
      </c>
      <c r="F4077" t="s">
        <v>154</v>
      </c>
      <c r="G4077" t="s">
        <v>180</v>
      </c>
      <c r="H4077" t="s">
        <v>215</v>
      </c>
      <c r="I4077" t="s">
        <v>235</v>
      </c>
      <c r="J4077" t="s">
        <v>253</v>
      </c>
      <c r="K4077" t="s">
        <v>267</v>
      </c>
      <c r="L4077" t="s">
        <v>279</v>
      </c>
      <c r="M4077" t="s">
        <v>288</v>
      </c>
      <c r="N4077" t="s">
        <v>100</v>
      </c>
      <c r="O4077" t="s">
        <v>306</v>
      </c>
      <c r="P4077" t="s">
        <v>313</v>
      </c>
      <c r="Q4077" t="s">
        <v>320</v>
      </c>
      <c r="R4077" t="s">
        <v>325</v>
      </c>
      <c r="S4077" t="s">
        <v>332</v>
      </c>
      <c r="T4077" t="s">
        <v>119</v>
      </c>
      <c r="U4077" t="s">
        <v>234</v>
      </c>
      <c r="V4077" t="s">
        <v>343</v>
      </c>
      <c r="W4077" t="s">
        <v>348</v>
      </c>
      <c r="X4077" t="s">
        <v>352</v>
      </c>
      <c r="Y4077" t="s">
        <v>354</v>
      </c>
      <c r="AK4077" t="s">
        <v>360</v>
      </c>
    </row>
    <row r="4078" spans="1:37">
      <c r="A4078" t="s">
        <v>41</v>
      </c>
      <c r="B4078" t="s">
        <v>61</v>
      </c>
      <c r="C4078" t="s">
        <v>83</v>
      </c>
      <c r="D4078" t="s">
        <v>102</v>
      </c>
      <c r="E4078" t="s">
        <v>121</v>
      </c>
      <c r="F4078" t="s">
        <v>155</v>
      </c>
      <c r="G4078" t="s">
        <v>181</v>
      </c>
      <c r="H4078" t="s">
        <v>216</v>
      </c>
      <c r="I4078" t="s">
        <v>236</v>
      </c>
      <c r="AK4078" t="s">
        <v>360</v>
      </c>
    </row>
    <row r="4079" spans="1:37">
      <c r="A4079" t="s">
        <v>42</v>
      </c>
      <c r="B4079" t="s">
        <v>62</v>
      </c>
      <c r="C4079" t="s">
        <v>84</v>
      </c>
      <c r="D4079" t="s">
        <v>103</v>
      </c>
      <c r="E4079" t="s">
        <v>122</v>
      </c>
      <c r="F4079" t="s">
        <v>156</v>
      </c>
      <c r="G4079" t="s">
        <v>182</v>
      </c>
      <c r="H4079" t="s">
        <v>83</v>
      </c>
      <c r="I4079" t="s">
        <v>237</v>
      </c>
      <c r="J4079" t="s">
        <v>254</v>
      </c>
      <c r="K4079" t="s">
        <v>268</v>
      </c>
      <c r="L4079" t="s">
        <v>280</v>
      </c>
      <c r="M4079" t="s">
        <v>289</v>
      </c>
      <c r="N4079" t="s">
        <v>298</v>
      </c>
      <c r="O4079" t="s">
        <v>307</v>
      </c>
      <c r="P4079" t="s">
        <v>314</v>
      </c>
      <c r="Q4079" t="s">
        <v>216</v>
      </c>
      <c r="R4079" t="s">
        <v>326</v>
      </c>
      <c r="S4079" t="s">
        <v>333</v>
      </c>
      <c r="T4079" t="s">
        <v>335</v>
      </c>
      <c r="U4079" t="s">
        <v>340</v>
      </c>
      <c r="V4079" t="s">
        <v>344</v>
      </c>
      <c r="W4079" t="s">
        <v>349</v>
      </c>
      <c r="AK4079" t="s">
        <v>360</v>
      </c>
    </row>
    <row r="4080" spans="1:37">
      <c r="A4080" t="s">
        <v>43</v>
      </c>
      <c r="B4080" t="s">
        <v>63</v>
      </c>
      <c r="C4080" t="s">
        <v>85</v>
      </c>
      <c r="D4080" t="s">
        <v>104</v>
      </c>
      <c r="E4080" t="s">
        <v>123</v>
      </c>
      <c r="F4080" t="s">
        <v>157</v>
      </c>
      <c r="G4080" t="s">
        <v>183</v>
      </c>
      <c r="AK4080" t="s">
        <v>360</v>
      </c>
    </row>
    <row r="4081" spans="1:37">
      <c r="A4081" t="s">
        <v>44</v>
      </c>
      <c r="B4081" t="s">
        <v>64</v>
      </c>
      <c r="C4081" t="s">
        <v>86</v>
      </c>
      <c r="D4081" t="s">
        <v>105</v>
      </c>
      <c r="E4081" t="s">
        <v>124</v>
      </c>
      <c r="F4081" t="s">
        <v>158</v>
      </c>
      <c r="G4081" t="s">
        <v>184</v>
      </c>
      <c r="AK4081" t="s">
        <v>360</v>
      </c>
    </row>
    <row r="4082" spans="1:37">
      <c r="A4082" t="s">
        <v>45</v>
      </c>
      <c r="B4082" t="s">
        <v>65</v>
      </c>
      <c r="C4082" t="s">
        <v>87</v>
      </c>
      <c r="D4082" t="s">
        <v>106</v>
      </c>
      <c r="E4082" t="s">
        <v>125</v>
      </c>
      <c r="F4082" t="s">
        <v>159</v>
      </c>
      <c r="G4082" t="s">
        <v>185</v>
      </c>
      <c r="H4082" t="s">
        <v>159</v>
      </c>
      <c r="I4082" t="s">
        <v>185</v>
      </c>
      <c r="J4082" t="s">
        <v>255</v>
      </c>
      <c r="AK4082" t="s">
        <v>360</v>
      </c>
    </row>
    <row r="4083" spans="1:37">
      <c r="A4083" t="s">
        <v>46</v>
      </c>
      <c r="B4083" t="s">
        <v>66</v>
      </c>
      <c r="C4083" t="s">
        <v>88</v>
      </c>
      <c r="D4083" t="s">
        <v>76</v>
      </c>
      <c r="E4083" t="s">
        <v>126</v>
      </c>
      <c r="F4083" t="s">
        <v>160</v>
      </c>
      <c r="G4083" t="s">
        <v>186</v>
      </c>
      <c r="H4083" t="s">
        <v>217</v>
      </c>
      <c r="I4083" t="s">
        <v>238</v>
      </c>
      <c r="J4083" t="s">
        <v>256</v>
      </c>
      <c r="K4083" t="s">
        <v>265</v>
      </c>
      <c r="L4083" t="s">
        <v>281</v>
      </c>
      <c r="M4083" t="s">
        <v>290</v>
      </c>
      <c r="N4083" t="s">
        <v>299</v>
      </c>
      <c r="O4083" t="s">
        <v>308</v>
      </c>
      <c r="P4083" t="s">
        <v>228</v>
      </c>
      <c r="Q4083" t="s">
        <v>72</v>
      </c>
      <c r="R4083" t="s">
        <v>327</v>
      </c>
      <c r="S4083" t="s">
        <v>327</v>
      </c>
      <c r="T4083" t="s">
        <v>336</v>
      </c>
      <c r="U4083" t="s">
        <v>336</v>
      </c>
      <c r="V4083" t="s">
        <v>336</v>
      </c>
      <c r="W4083" t="s">
        <v>336</v>
      </c>
      <c r="X4083" t="s">
        <v>353</v>
      </c>
      <c r="AK4083" t="s">
        <v>360</v>
      </c>
    </row>
    <row r="4084" spans="1:37">
      <c r="B4084" t="s">
        <v>67</v>
      </c>
      <c r="C4084" t="s">
        <v>89</v>
      </c>
      <c r="D4084" t="s">
        <v>107</v>
      </c>
      <c r="AK4084" t="s">
        <v>360</v>
      </c>
    </row>
    <row r="4085" spans="1:37">
      <c r="B4085" t="s">
        <v>68</v>
      </c>
      <c r="C4085" t="s">
        <v>90</v>
      </c>
      <c r="D4085" t="s">
        <v>108</v>
      </c>
      <c r="AK4085" t="s">
        <v>360</v>
      </c>
    </row>
    <row r="4086" spans="1:37">
      <c r="A4086" t="s">
        <v>47</v>
      </c>
      <c r="B4086" t="s">
        <v>69</v>
      </c>
      <c r="C4086" t="s">
        <v>91</v>
      </c>
      <c r="D4086" t="s">
        <v>109</v>
      </c>
      <c r="E4086" t="s">
        <v>109</v>
      </c>
      <c r="F4086" t="s">
        <v>109</v>
      </c>
      <c r="G4086" t="s">
        <v>109</v>
      </c>
      <c r="H4086" t="s">
        <v>109</v>
      </c>
      <c r="I4086" t="s">
        <v>239</v>
      </c>
      <c r="AK4086" t="s">
        <v>360</v>
      </c>
    </row>
    <row r="4087" spans="1:37">
      <c r="B4087" t="s">
        <v>70</v>
      </c>
      <c r="C4087" t="s">
        <v>92</v>
      </c>
      <c r="D4087" t="s">
        <v>110</v>
      </c>
      <c r="E4087" t="s">
        <v>127</v>
      </c>
      <c r="F4087" t="s">
        <v>161</v>
      </c>
      <c r="G4087" t="s">
        <v>187</v>
      </c>
      <c r="H4087" t="s">
        <v>218</v>
      </c>
      <c r="AK4087" t="s">
        <v>360</v>
      </c>
    </row>
    <row r="4088" spans="1:37">
      <c r="B4088" t="s">
        <v>71</v>
      </c>
      <c r="C4088" t="s">
        <v>93</v>
      </c>
      <c r="D4088" t="s">
        <v>111</v>
      </c>
      <c r="E4088" t="s">
        <v>128</v>
      </c>
      <c r="F4088" t="s">
        <v>162</v>
      </c>
      <c r="G4088" t="s">
        <v>188</v>
      </c>
      <c r="H4088" t="s">
        <v>219</v>
      </c>
      <c r="I4088" t="s">
        <v>240</v>
      </c>
      <c r="J4088" t="s">
        <v>257</v>
      </c>
      <c r="K4088" t="s">
        <v>269</v>
      </c>
      <c r="L4088" t="s">
        <v>109</v>
      </c>
      <c r="M4088" t="s">
        <v>109</v>
      </c>
      <c r="N4088" t="s">
        <v>109</v>
      </c>
      <c r="O4088" t="s">
        <v>109</v>
      </c>
      <c r="P4088" t="s">
        <v>109</v>
      </c>
      <c r="Q4088" t="s">
        <v>321</v>
      </c>
      <c r="AK4088" t="s">
        <v>360</v>
      </c>
    </row>
    <row r="4089" spans="1:37">
      <c r="A4089" t="s">
        <v>48</v>
      </c>
      <c r="B4089" t="s">
        <v>71</v>
      </c>
      <c r="C4089" t="s">
        <v>93</v>
      </c>
      <c r="D4089" t="s">
        <v>111</v>
      </c>
      <c r="E4089" t="s">
        <v>128</v>
      </c>
      <c r="F4089" t="s">
        <v>163</v>
      </c>
      <c r="G4089" t="s">
        <v>189</v>
      </c>
      <c r="H4089" t="s">
        <v>220</v>
      </c>
      <c r="I4089" t="s">
        <v>241</v>
      </c>
      <c r="J4089" t="s">
        <v>258</v>
      </c>
      <c r="K4089" t="s">
        <v>270</v>
      </c>
      <c r="AK4089" t="s">
        <v>360</v>
      </c>
    </row>
    <row r="4090" spans="1:37">
      <c r="B4090" t="s">
        <v>72</v>
      </c>
      <c r="C4090" t="s">
        <v>72</v>
      </c>
      <c r="D4090" t="s">
        <v>72</v>
      </c>
      <c r="E4090" t="s">
        <v>72</v>
      </c>
      <c r="F4090" t="s">
        <v>72</v>
      </c>
      <c r="G4090" t="s">
        <v>72</v>
      </c>
      <c r="H4090" t="s">
        <v>72</v>
      </c>
      <c r="I4090" t="s">
        <v>72</v>
      </c>
      <c r="J4090" t="s">
        <v>72</v>
      </c>
      <c r="K4090" t="s">
        <v>272</v>
      </c>
      <c r="AK4090" t="s">
        <v>360</v>
      </c>
    </row>
    <row r="4091" spans="1:37">
      <c r="A4091" t="s">
        <v>37</v>
      </c>
      <c r="B4091" t="s">
        <v>49</v>
      </c>
      <c r="C4091" t="s">
        <v>73</v>
      </c>
      <c r="D4091" t="s">
        <v>94</v>
      </c>
      <c r="E4091" t="s">
        <v>112</v>
      </c>
      <c r="F4091" t="s">
        <v>146</v>
      </c>
      <c r="G4091" t="s">
        <v>172</v>
      </c>
      <c r="H4091" t="s">
        <v>207</v>
      </c>
      <c r="I4091" t="s">
        <v>226</v>
      </c>
      <c r="J4091" t="s">
        <v>246</v>
      </c>
      <c r="K4091" t="s">
        <v>259</v>
      </c>
      <c r="AK4091" t="s">
        <v>360</v>
      </c>
    </row>
    <row r="4092" spans="1:37">
      <c r="A4092" t="s">
        <v>38</v>
      </c>
      <c r="B4092" t="s">
        <v>50</v>
      </c>
      <c r="C4092" t="s">
        <v>74</v>
      </c>
      <c r="D4092" t="s">
        <v>95</v>
      </c>
      <c r="E4092" t="s">
        <v>113</v>
      </c>
      <c r="F4092" t="s">
        <v>147</v>
      </c>
      <c r="G4092" t="s">
        <v>173</v>
      </c>
      <c r="H4092" t="s">
        <v>208</v>
      </c>
      <c r="I4092" t="s">
        <v>227</v>
      </c>
      <c r="J4092" t="s">
        <v>115</v>
      </c>
      <c r="K4092" t="s">
        <v>260</v>
      </c>
      <c r="L4092" t="s">
        <v>273</v>
      </c>
      <c r="M4092" t="s">
        <v>282</v>
      </c>
      <c r="N4092" t="s">
        <v>291</v>
      </c>
      <c r="AK4092" t="s">
        <v>360</v>
      </c>
    </row>
    <row r="4093" spans="1:37">
      <c r="B4093" t="s">
        <v>51</v>
      </c>
      <c r="C4093" t="s">
        <v>75</v>
      </c>
      <c r="D4093" t="s">
        <v>52</v>
      </c>
      <c r="E4093" t="s">
        <v>114</v>
      </c>
      <c r="F4093" t="s">
        <v>148</v>
      </c>
      <c r="G4093" t="s">
        <v>148</v>
      </c>
      <c r="H4093" t="s">
        <v>209</v>
      </c>
      <c r="I4093" t="s">
        <v>228</v>
      </c>
      <c r="J4093" t="s">
        <v>247</v>
      </c>
      <c r="K4093" t="s">
        <v>261</v>
      </c>
      <c r="L4093" t="s">
        <v>274</v>
      </c>
      <c r="M4093" t="s">
        <v>283</v>
      </c>
      <c r="N4093" t="s">
        <v>292</v>
      </c>
      <c r="O4093" t="s">
        <v>300</v>
      </c>
      <c r="AK4093" t="s">
        <v>360</v>
      </c>
    </row>
    <row r="4094" spans="1:37">
      <c r="B4094" t="s">
        <v>52</v>
      </c>
      <c r="C4094" t="s">
        <v>76</v>
      </c>
      <c r="D4094" t="s">
        <v>96</v>
      </c>
      <c r="E4094" t="s">
        <v>115</v>
      </c>
      <c r="F4094" t="s">
        <v>149</v>
      </c>
      <c r="G4094" t="s">
        <v>174</v>
      </c>
      <c r="H4094" t="s">
        <v>96</v>
      </c>
      <c r="I4094" t="s">
        <v>229</v>
      </c>
      <c r="J4094" t="s">
        <v>248</v>
      </c>
      <c r="K4094" t="s">
        <v>262</v>
      </c>
      <c r="L4094" t="s">
        <v>52</v>
      </c>
      <c r="M4094" t="s">
        <v>76</v>
      </c>
      <c r="N4094" t="s">
        <v>293</v>
      </c>
      <c r="O4094" t="s">
        <v>301</v>
      </c>
      <c r="P4094" t="s">
        <v>309</v>
      </c>
      <c r="Q4094" t="s">
        <v>315</v>
      </c>
      <c r="R4094" t="s">
        <v>228</v>
      </c>
      <c r="S4094" t="s">
        <v>328</v>
      </c>
      <c r="T4094" t="s">
        <v>149</v>
      </c>
      <c r="U4094" t="s">
        <v>337</v>
      </c>
      <c r="V4094" t="s">
        <v>341</v>
      </c>
      <c r="W4094" t="s">
        <v>345</v>
      </c>
      <c r="X4094" t="s">
        <v>350</v>
      </c>
      <c r="AK4094" t="s">
        <v>360</v>
      </c>
    </row>
    <row r="4095" spans="1:37">
      <c r="B4095" t="s">
        <v>53</v>
      </c>
      <c r="C4095" t="s">
        <v>77</v>
      </c>
      <c r="D4095" t="s">
        <v>97</v>
      </c>
      <c r="E4095" t="s">
        <v>116</v>
      </c>
      <c r="F4095" t="s">
        <v>150</v>
      </c>
      <c r="G4095" t="s">
        <v>175</v>
      </c>
      <c r="H4095" t="s">
        <v>210</v>
      </c>
      <c r="I4095" t="s">
        <v>230</v>
      </c>
      <c r="J4095" t="s">
        <v>249</v>
      </c>
      <c r="K4095" t="s">
        <v>263</v>
      </c>
      <c r="L4095" t="s">
        <v>275</v>
      </c>
      <c r="M4095" t="s">
        <v>284</v>
      </c>
      <c r="N4095" t="s">
        <v>294</v>
      </c>
      <c r="O4095" t="s">
        <v>302</v>
      </c>
      <c r="P4095" t="s">
        <v>310</v>
      </c>
      <c r="Q4095" t="s">
        <v>316</v>
      </c>
      <c r="R4095" t="s">
        <v>322</v>
      </c>
      <c r="S4095" t="s">
        <v>329</v>
      </c>
      <c r="AK4095" t="s">
        <v>360</v>
      </c>
    </row>
    <row r="4096" spans="1:37">
      <c r="A4096" t="s">
        <v>39</v>
      </c>
      <c r="B4096" t="s">
        <v>54</v>
      </c>
      <c r="C4096" t="s">
        <v>54</v>
      </c>
      <c r="D4096" t="s">
        <v>54</v>
      </c>
      <c r="E4096" t="s">
        <v>54</v>
      </c>
      <c r="F4096" t="s">
        <v>54</v>
      </c>
      <c r="G4096" t="s">
        <v>54</v>
      </c>
      <c r="H4096" t="s">
        <v>54</v>
      </c>
      <c r="I4096" t="s">
        <v>54</v>
      </c>
      <c r="J4096" t="s">
        <v>54</v>
      </c>
      <c r="K4096" t="s">
        <v>54</v>
      </c>
      <c r="L4096" t="s">
        <v>54</v>
      </c>
      <c r="M4096" t="s">
        <v>54</v>
      </c>
      <c r="N4096" t="s">
        <v>54</v>
      </c>
      <c r="O4096" t="s">
        <v>54</v>
      </c>
      <c r="P4096" t="s">
        <v>54</v>
      </c>
      <c r="Q4096" t="s">
        <v>54</v>
      </c>
      <c r="R4096" t="s">
        <v>323</v>
      </c>
      <c r="S4096" t="s">
        <v>330</v>
      </c>
      <c r="AK4096" t="s">
        <v>360</v>
      </c>
    </row>
    <row r="4097" spans="1:37">
      <c r="B4097" t="s">
        <v>55</v>
      </c>
      <c r="C4097" t="s">
        <v>78</v>
      </c>
      <c r="D4097" t="s">
        <v>55</v>
      </c>
      <c r="E4097" t="s">
        <v>78</v>
      </c>
      <c r="F4097" t="s">
        <v>55</v>
      </c>
      <c r="G4097" t="s">
        <v>78</v>
      </c>
      <c r="H4097" t="s">
        <v>55</v>
      </c>
      <c r="I4097" t="s">
        <v>78</v>
      </c>
      <c r="J4097" t="s">
        <v>55</v>
      </c>
      <c r="K4097" t="s">
        <v>78</v>
      </c>
      <c r="L4097" t="s">
        <v>55</v>
      </c>
      <c r="M4097" t="s">
        <v>78</v>
      </c>
      <c r="N4097" t="s">
        <v>55</v>
      </c>
      <c r="O4097" t="s">
        <v>78</v>
      </c>
      <c r="P4097" t="s">
        <v>55</v>
      </c>
      <c r="Q4097" t="s">
        <v>78</v>
      </c>
      <c r="R4097" t="s">
        <v>55</v>
      </c>
      <c r="S4097" t="s">
        <v>78</v>
      </c>
      <c r="T4097" t="s">
        <v>55</v>
      </c>
      <c r="U4097" t="s">
        <v>78</v>
      </c>
      <c r="V4097" t="s">
        <v>55</v>
      </c>
      <c r="W4097" t="s">
        <v>78</v>
      </c>
      <c r="X4097" t="s">
        <v>55</v>
      </c>
      <c r="Y4097" t="s">
        <v>78</v>
      </c>
      <c r="Z4097" t="s">
        <v>55</v>
      </c>
      <c r="AA4097" t="s">
        <v>78</v>
      </c>
      <c r="AB4097" t="s">
        <v>55</v>
      </c>
      <c r="AC4097" t="s">
        <v>78</v>
      </c>
      <c r="AD4097" t="s">
        <v>55</v>
      </c>
      <c r="AE4097" t="s">
        <v>78</v>
      </c>
      <c r="AF4097" t="s">
        <v>55</v>
      </c>
      <c r="AG4097" t="s">
        <v>78</v>
      </c>
      <c r="AH4097" t="s">
        <v>55</v>
      </c>
      <c r="AI4097" t="s">
        <v>78</v>
      </c>
      <c r="AK4097" t="s">
        <v>360</v>
      </c>
    </row>
    <row r="4098" spans="1:37">
      <c r="B4098" t="s">
        <v>56</v>
      </c>
      <c r="C4098" t="s">
        <v>56</v>
      </c>
      <c r="D4098" t="s">
        <v>56</v>
      </c>
      <c r="E4098" t="s">
        <v>56</v>
      </c>
      <c r="F4098" t="s">
        <v>56</v>
      </c>
      <c r="G4098" t="s">
        <v>176</v>
      </c>
      <c r="H4098" t="s">
        <v>211</v>
      </c>
      <c r="I4098" t="s">
        <v>231</v>
      </c>
      <c r="J4098" t="s">
        <v>250</v>
      </c>
      <c r="K4098" t="s">
        <v>264</v>
      </c>
      <c r="L4098" t="s">
        <v>276</v>
      </c>
      <c r="M4098" t="s">
        <v>285</v>
      </c>
      <c r="N4098" t="s">
        <v>295</v>
      </c>
      <c r="O4098" t="s">
        <v>303</v>
      </c>
      <c r="P4098" t="s">
        <v>56</v>
      </c>
      <c r="Q4098" t="s">
        <v>317</v>
      </c>
      <c r="R4098" t="s">
        <v>324</v>
      </c>
      <c r="S4098" t="s">
        <v>331</v>
      </c>
      <c r="T4098" t="s">
        <v>334</v>
      </c>
      <c r="U4098" t="s">
        <v>338</v>
      </c>
      <c r="V4098" t="s">
        <v>342</v>
      </c>
      <c r="W4098" t="s">
        <v>346</v>
      </c>
      <c r="X4098" t="s">
        <v>351</v>
      </c>
      <c r="AK4098" t="s">
        <v>360</v>
      </c>
    </row>
    <row r="4099" spans="1:37">
      <c r="B4099" t="s">
        <v>57</v>
      </c>
      <c r="C4099" t="s">
        <v>79</v>
      </c>
      <c r="D4099" t="s">
        <v>98</v>
      </c>
      <c r="E4099" t="s">
        <v>117</v>
      </c>
      <c r="F4099" t="s">
        <v>151</v>
      </c>
      <c r="G4099" t="s">
        <v>177</v>
      </c>
      <c r="H4099" t="s">
        <v>212</v>
      </c>
      <c r="I4099" t="s">
        <v>232</v>
      </c>
      <c r="J4099" t="s">
        <v>251</v>
      </c>
      <c r="K4099" t="s">
        <v>265</v>
      </c>
      <c r="L4099" t="s">
        <v>277</v>
      </c>
      <c r="M4099" t="s">
        <v>286</v>
      </c>
      <c r="N4099" t="s">
        <v>296</v>
      </c>
      <c r="O4099" t="s">
        <v>304</v>
      </c>
      <c r="P4099" t="s">
        <v>311</v>
      </c>
      <c r="Q4099" t="s">
        <v>318</v>
      </c>
      <c r="R4099" t="s">
        <v>185</v>
      </c>
      <c r="S4099" t="s">
        <v>159</v>
      </c>
      <c r="T4099" t="s">
        <v>185</v>
      </c>
      <c r="U4099" t="s">
        <v>339</v>
      </c>
      <c r="V4099" t="s">
        <v>72</v>
      </c>
      <c r="W4099" t="s">
        <v>347</v>
      </c>
      <c r="X4099" t="s">
        <v>72</v>
      </c>
      <c r="Y4099" t="s">
        <v>96</v>
      </c>
      <c r="AK4099" t="s">
        <v>360</v>
      </c>
    </row>
    <row r="4100" spans="1:37">
      <c r="B4100" t="s">
        <v>58</v>
      </c>
      <c r="C4100" t="s">
        <v>80</v>
      </c>
      <c r="D4100" t="s">
        <v>99</v>
      </c>
      <c r="E4100" t="s">
        <v>118</v>
      </c>
      <c r="F4100" t="s">
        <v>152</v>
      </c>
      <c r="G4100" t="s">
        <v>178</v>
      </c>
      <c r="H4100" t="s">
        <v>213</v>
      </c>
      <c r="I4100" t="s">
        <v>233</v>
      </c>
      <c r="J4100" t="s">
        <v>252</v>
      </c>
      <c r="K4100" t="s">
        <v>266</v>
      </c>
      <c r="L4100" t="s">
        <v>278</v>
      </c>
      <c r="M4100" t="s">
        <v>287</v>
      </c>
      <c r="N4100" t="s">
        <v>297</v>
      </c>
      <c r="O4100" t="s">
        <v>305</v>
      </c>
      <c r="P4100" t="s">
        <v>312</v>
      </c>
      <c r="Q4100" t="s">
        <v>319</v>
      </c>
      <c r="R4100">
        <f>&gt;10       ветра      1.7     19   6</f>
        <v>0</v>
      </c>
      <c r="AK4100" t="s">
        <v>360</v>
      </c>
    </row>
    <row r="4101" spans="1:37">
      <c r="A4101" t="s">
        <v>40</v>
      </c>
      <c r="B4101" t="s">
        <v>59</v>
      </c>
      <c r="C4101" t="s">
        <v>81</v>
      </c>
      <c r="D4101" t="s">
        <v>100</v>
      </c>
      <c r="E4101" t="s">
        <v>119</v>
      </c>
      <c r="F4101" t="s">
        <v>153</v>
      </c>
      <c r="G4101" t="s">
        <v>179</v>
      </c>
      <c r="H4101" t="s">
        <v>214</v>
      </c>
      <c r="I4101" t="s">
        <v>234</v>
      </c>
      <c r="AK4101" t="s">
        <v>360</v>
      </c>
    </row>
    <row r="4102" spans="1:37">
      <c r="A4102" t="s">
        <v>40</v>
      </c>
      <c r="B4102" t="s">
        <v>60</v>
      </c>
      <c r="C4102" t="s">
        <v>82</v>
      </c>
      <c r="D4102" t="s">
        <v>101</v>
      </c>
      <c r="E4102" t="s">
        <v>120</v>
      </c>
      <c r="F4102" t="s">
        <v>154</v>
      </c>
      <c r="G4102" t="s">
        <v>180</v>
      </c>
      <c r="H4102" t="s">
        <v>215</v>
      </c>
      <c r="I4102" t="s">
        <v>235</v>
      </c>
      <c r="J4102" t="s">
        <v>253</v>
      </c>
      <c r="K4102" t="s">
        <v>267</v>
      </c>
      <c r="L4102" t="s">
        <v>279</v>
      </c>
      <c r="M4102" t="s">
        <v>288</v>
      </c>
      <c r="N4102" t="s">
        <v>100</v>
      </c>
      <c r="O4102" t="s">
        <v>306</v>
      </c>
      <c r="P4102" t="s">
        <v>313</v>
      </c>
      <c r="Q4102" t="s">
        <v>320</v>
      </c>
      <c r="R4102" t="s">
        <v>325</v>
      </c>
      <c r="S4102" t="s">
        <v>332</v>
      </c>
      <c r="T4102" t="s">
        <v>119</v>
      </c>
      <c r="U4102" t="s">
        <v>234</v>
      </c>
      <c r="V4102" t="s">
        <v>343</v>
      </c>
      <c r="W4102" t="s">
        <v>348</v>
      </c>
      <c r="X4102" t="s">
        <v>352</v>
      </c>
      <c r="Y4102" t="s">
        <v>354</v>
      </c>
      <c r="AK4102" t="s">
        <v>360</v>
      </c>
    </row>
    <row r="4103" spans="1:37">
      <c r="A4103" t="s">
        <v>41</v>
      </c>
      <c r="B4103" t="s">
        <v>61</v>
      </c>
      <c r="C4103" t="s">
        <v>83</v>
      </c>
      <c r="D4103" t="s">
        <v>102</v>
      </c>
      <c r="E4103" t="s">
        <v>121</v>
      </c>
      <c r="F4103" t="s">
        <v>155</v>
      </c>
      <c r="G4103" t="s">
        <v>181</v>
      </c>
      <c r="H4103" t="s">
        <v>216</v>
      </c>
      <c r="I4103" t="s">
        <v>236</v>
      </c>
      <c r="AK4103" t="s">
        <v>360</v>
      </c>
    </row>
    <row r="4104" spans="1:37">
      <c r="A4104" t="s">
        <v>42</v>
      </c>
      <c r="B4104" t="s">
        <v>62</v>
      </c>
      <c r="C4104" t="s">
        <v>84</v>
      </c>
      <c r="D4104" t="s">
        <v>103</v>
      </c>
      <c r="E4104" t="s">
        <v>122</v>
      </c>
      <c r="F4104" t="s">
        <v>156</v>
      </c>
      <c r="G4104" t="s">
        <v>182</v>
      </c>
      <c r="H4104" t="s">
        <v>83</v>
      </c>
      <c r="I4104" t="s">
        <v>237</v>
      </c>
      <c r="J4104" t="s">
        <v>254</v>
      </c>
      <c r="K4104" t="s">
        <v>268</v>
      </c>
      <c r="L4104" t="s">
        <v>280</v>
      </c>
      <c r="M4104" t="s">
        <v>289</v>
      </c>
      <c r="N4104" t="s">
        <v>298</v>
      </c>
      <c r="O4104" t="s">
        <v>307</v>
      </c>
      <c r="P4104" t="s">
        <v>314</v>
      </c>
      <c r="Q4104" t="s">
        <v>216</v>
      </c>
      <c r="R4104" t="s">
        <v>326</v>
      </c>
      <c r="S4104" t="s">
        <v>333</v>
      </c>
      <c r="T4104" t="s">
        <v>335</v>
      </c>
      <c r="U4104" t="s">
        <v>340</v>
      </c>
      <c r="V4104" t="s">
        <v>344</v>
      </c>
      <c r="W4104" t="s">
        <v>349</v>
      </c>
      <c r="AK4104" t="s">
        <v>360</v>
      </c>
    </row>
    <row r="4105" spans="1:37">
      <c r="A4105" t="s">
        <v>43</v>
      </c>
      <c r="B4105" t="s">
        <v>63</v>
      </c>
      <c r="C4105" t="s">
        <v>85</v>
      </c>
      <c r="D4105" t="s">
        <v>104</v>
      </c>
      <c r="E4105" t="s">
        <v>123</v>
      </c>
      <c r="F4105" t="s">
        <v>157</v>
      </c>
      <c r="G4105" t="s">
        <v>183</v>
      </c>
      <c r="AK4105" t="s">
        <v>360</v>
      </c>
    </row>
    <row r="4106" spans="1:37">
      <c r="A4106" t="s">
        <v>44</v>
      </c>
      <c r="B4106" t="s">
        <v>64</v>
      </c>
      <c r="C4106" t="s">
        <v>86</v>
      </c>
      <c r="D4106" t="s">
        <v>105</v>
      </c>
      <c r="E4106" t="s">
        <v>124</v>
      </c>
      <c r="F4106" t="s">
        <v>158</v>
      </c>
      <c r="G4106" t="s">
        <v>184</v>
      </c>
      <c r="AK4106" t="s">
        <v>360</v>
      </c>
    </row>
    <row r="4107" spans="1:37">
      <c r="A4107" t="s">
        <v>45</v>
      </c>
      <c r="B4107" t="s">
        <v>65</v>
      </c>
      <c r="C4107" t="s">
        <v>87</v>
      </c>
      <c r="D4107" t="s">
        <v>106</v>
      </c>
      <c r="E4107" t="s">
        <v>125</v>
      </c>
      <c r="F4107" t="s">
        <v>159</v>
      </c>
      <c r="G4107" t="s">
        <v>185</v>
      </c>
      <c r="H4107" t="s">
        <v>159</v>
      </c>
      <c r="I4107" t="s">
        <v>185</v>
      </c>
      <c r="J4107" t="s">
        <v>255</v>
      </c>
      <c r="AK4107" t="s">
        <v>360</v>
      </c>
    </row>
    <row r="4108" spans="1:37">
      <c r="A4108" t="s">
        <v>46</v>
      </c>
      <c r="B4108" t="s">
        <v>66</v>
      </c>
      <c r="C4108" t="s">
        <v>88</v>
      </c>
      <c r="D4108" t="s">
        <v>76</v>
      </c>
      <c r="E4108" t="s">
        <v>126</v>
      </c>
      <c r="F4108" t="s">
        <v>160</v>
      </c>
      <c r="G4108" t="s">
        <v>186</v>
      </c>
      <c r="H4108" t="s">
        <v>217</v>
      </c>
      <c r="I4108" t="s">
        <v>238</v>
      </c>
      <c r="J4108" t="s">
        <v>256</v>
      </c>
      <c r="K4108" t="s">
        <v>265</v>
      </c>
      <c r="L4108" t="s">
        <v>281</v>
      </c>
      <c r="M4108" t="s">
        <v>290</v>
      </c>
      <c r="N4108" t="s">
        <v>299</v>
      </c>
      <c r="O4108" t="s">
        <v>308</v>
      </c>
      <c r="P4108" t="s">
        <v>228</v>
      </c>
      <c r="Q4108" t="s">
        <v>72</v>
      </c>
      <c r="R4108" t="s">
        <v>327</v>
      </c>
      <c r="S4108" t="s">
        <v>327</v>
      </c>
      <c r="T4108" t="s">
        <v>336</v>
      </c>
      <c r="U4108" t="s">
        <v>336</v>
      </c>
      <c r="V4108" t="s">
        <v>336</v>
      </c>
      <c r="W4108" t="s">
        <v>336</v>
      </c>
      <c r="X4108" t="s">
        <v>353</v>
      </c>
      <c r="AK4108" t="s">
        <v>360</v>
      </c>
    </row>
    <row r="4109" spans="1:37">
      <c r="B4109" t="s">
        <v>67</v>
      </c>
      <c r="C4109" t="s">
        <v>89</v>
      </c>
      <c r="D4109" t="s">
        <v>107</v>
      </c>
      <c r="AK4109" t="s">
        <v>360</v>
      </c>
    </row>
    <row r="4110" spans="1:37">
      <c r="B4110" t="s">
        <v>68</v>
      </c>
      <c r="C4110" t="s">
        <v>90</v>
      </c>
      <c r="D4110" t="s">
        <v>108</v>
      </c>
      <c r="AK4110" t="s">
        <v>360</v>
      </c>
    </row>
    <row r="4111" spans="1:37">
      <c r="A4111" t="s">
        <v>47</v>
      </c>
      <c r="B4111" t="s">
        <v>69</v>
      </c>
      <c r="C4111" t="s">
        <v>91</v>
      </c>
      <c r="D4111" t="s">
        <v>109</v>
      </c>
      <c r="E4111" t="s">
        <v>109</v>
      </c>
      <c r="F4111" t="s">
        <v>109</v>
      </c>
      <c r="G4111" t="s">
        <v>109</v>
      </c>
      <c r="H4111" t="s">
        <v>109</v>
      </c>
      <c r="I4111" t="s">
        <v>239</v>
      </c>
      <c r="AK4111" t="s">
        <v>360</v>
      </c>
    </row>
    <row r="4112" spans="1:37">
      <c r="B4112" t="s">
        <v>70</v>
      </c>
      <c r="C4112" t="s">
        <v>92</v>
      </c>
      <c r="D4112" t="s">
        <v>110</v>
      </c>
      <c r="E4112" t="s">
        <v>127</v>
      </c>
      <c r="F4112" t="s">
        <v>161</v>
      </c>
      <c r="G4112" t="s">
        <v>187</v>
      </c>
      <c r="H4112" t="s">
        <v>218</v>
      </c>
      <c r="AK4112" t="s">
        <v>360</v>
      </c>
    </row>
    <row r="4113" spans="1:37">
      <c r="B4113" t="s">
        <v>71</v>
      </c>
      <c r="C4113" t="s">
        <v>93</v>
      </c>
      <c r="D4113" t="s">
        <v>111</v>
      </c>
      <c r="E4113" t="s">
        <v>128</v>
      </c>
      <c r="F4113" t="s">
        <v>162</v>
      </c>
      <c r="G4113" t="s">
        <v>188</v>
      </c>
      <c r="H4113" t="s">
        <v>219</v>
      </c>
      <c r="I4113" t="s">
        <v>240</v>
      </c>
      <c r="J4113" t="s">
        <v>257</v>
      </c>
      <c r="K4113" t="s">
        <v>269</v>
      </c>
      <c r="L4113" t="s">
        <v>109</v>
      </c>
      <c r="M4113" t="s">
        <v>109</v>
      </c>
      <c r="N4113" t="s">
        <v>109</v>
      </c>
      <c r="O4113" t="s">
        <v>109</v>
      </c>
      <c r="P4113" t="s">
        <v>109</v>
      </c>
      <c r="Q4113" t="s">
        <v>321</v>
      </c>
      <c r="AK4113" t="s">
        <v>360</v>
      </c>
    </row>
    <row r="4114" spans="1:37">
      <c r="A4114" t="s">
        <v>48</v>
      </c>
      <c r="B4114" t="s">
        <v>71</v>
      </c>
      <c r="C4114" t="s">
        <v>93</v>
      </c>
      <c r="D4114" t="s">
        <v>111</v>
      </c>
      <c r="E4114" t="s">
        <v>128</v>
      </c>
      <c r="F4114" t="s">
        <v>163</v>
      </c>
      <c r="G4114" t="s">
        <v>189</v>
      </c>
      <c r="H4114" t="s">
        <v>220</v>
      </c>
      <c r="I4114" t="s">
        <v>241</v>
      </c>
      <c r="J4114" t="s">
        <v>258</v>
      </c>
      <c r="K4114" t="s">
        <v>270</v>
      </c>
      <c r="AK4114" t="s">
        <v>360</v>
      </c>
    </row>
    <row r="4115" spans="1:37">
      <c r="B4115" t="s">
        <v>72</v>
      </c>
      <c r="C4115" t="s">
        <v>72</v>
      </c>
      <c r="D4115" t="s">
        <v>72</v>
      </c>
      <c r="E4115" t="s">
        <v>139</v>
      </c>
      <c r="F4115" t="s">
        <v>139</v>
      </c>
      <c r="G4115" t="s">
        <v>192</v>
      </c>
      <c r="H4115" t="s">
        <v>192</v>
      </c>
      <c r="I4115" t="s">
        <v>192</v>
      </c>
      <c r="J4115" t="s">
        <v>192</v>
      </c>
      <c r="K4115" t="s">
        <v>271</v>
      </c>
      <c r="AK4115" t="s">
        <v>360</v>
      </c>
    </row>
    <row r="4116" spans="1:37">
      <c r="A4116" t="s">
        <v>37</v>
      </c>
      <c r="B4116" t="s">
        <v>49</v>
      </c>
      <c r="C4116" t="s">
        <v>73</v>
      </c>
      <c r="D4116" t="s">
        <v>94</v>
      </c>
      <c r="E4116" t="s">
        <v>112</v>
      </c>
      <c r="F4116" t="s">
        <v>146</v>
      </c>
      <c r="G4116" t="s">
        <v>172</v>
      </c>
      <c r="H4116" t="s">
        <v>207</v>
      </c>
      <c r="I4116" t="s">
        <v>226</v>
      </c>
      <c r="J4116" t="s">
        <v>246</v>
      </c>
      <c r="K4116" t="s">
        <v>259</v>
      </c>
      <c r="AK4116" t="s">
        <v>360</v>
      </c>
    </row>
    <row r="4117" spans="1:37">
      <c r="A4117" t="s">
        <v>38</v>
      </c>
      <c r="B4117" t="s">
        <v>50</v>
      </c>
      <c r="C4117" t="s">
        <v>74</v>
      </c>
      <c r="D4117" t="s">
        <v>95</v>
      </c>
      <c r="E4117" t="s">
        <v>113</v>
      </c>
      <c r="F4117" t="s">
        <v>147</v>
      </c>
      <c r="G4117" t="s">
        <v>173</v>
      </c>
      <c r="H4117" t="s">
        <v>208</v>
      </c>
      <c r="I4117" t="s">
        <v>227</v>
      </c>
      <c r="J4117" t="s">
        <v>115</v>
      </c>
      <c r="K4117" t="s">
        <v>260</v>
      </c>
      <c r="L4117" t="s">
        <v>273</v>
      </c>
      <c r="M4117" t="s">
        <v>282</v>
      </c>
      <c r="N4117" t="s">
        <v>291</v>
      </c>
      <c r="AK4117" t="s">
        <v>360</v>
      </c>
    </row>
    <row r="4118" spans="1:37">
      <c r="B4118" t="s">
        <v>51</v>
      </c>
      <c r="C4118" t="s">
        <v>75</v>
      </c>
      <c r="D4118" t="s">
        <v>52</v>
      </c>
      <c r="E4118" t="s">
        <v>114</v>
      </c>
      <c r="F4118" t="s">
        <v>148</v>
      </c>
      <c r="G4118" t="s">
        <v>148</v>
      </c>
      <c r="H4118" t="s">
        <v>209</v>
      </c>
      <c r="I4118" t="s">
        <v>228</v>
      </c>
      <c r="J4118" t="s">
        <v>247</v>
      </c>
      <c r="K4118" t="s">
        <v>261</v>
      </c>
      <c r="L4118" t="s">
        <v>274</v>
      </c>
      <c r="M4118" t="s">
        <v>283</v>
      </c>
      <c r="N4118" t="s">
        <v>292</v>
      </c>
      <c r="O4118" t="s">
        <v>300</v>
      </c>
      <c r="AK4118" t="s">
        <v>360</v>
      </c>
    </row>
    <row r="4119" spans="1:37">
      <c r="B4119" t="s">
        <v>52</v>
      </c>
      <c r="C4119" t="s">
        <v>76</v>
      </c>
      <c r="D4119" t="s">
        <v>96</v>
      </c>
      <c r="E4119" t="s">
        <v>115</v>
      </c>
      <c r="F4119" t="s">
        <v>149</v>
      </c>
      <c r="G4119" t="s">
        <v>174</v>
      </c>
      <c r="H4119" t="s">
        <v>96</v>
      </c>
      <c r="I4119" t="s">
        <v>229</v>
      </c>
      <c r="J4119" t="s">
        <v>248</v>
      </c>
      <c r="K4119" t="s">
        <v>262</v>
      </c>
      <c r="L4119" t="s">
        <v>52</v>
      </c>
      <c r="M4119" t="s">
        <v>76</v>
      </c>
      <c r="N4119" t="s">
        <v>293</v>
      </c>
      <c r="O4119" t="s">
        <v>301</v>
      </c>
      <c r="P4119" t="s">
        <v>309</v>
      </c>
      <c r="Q4119" t="s">
        <v>315</v>
      </c>
      <c r="R4119" t="s">
        <v>228</v>
      </c>
      <c r="S4119" t="s">
        <v>328</v>
      </c>
      <c r="T4119" t="s">
        <v>149</v>
      </c>
      <c r="U4119" t="s">
        <v>337</v>
      </c>
      <c r="V4119" t="s">
        <v>341</v>
      </c>
      <c r="W4119" t="s">
        <v>345</v>
      </c>
      <c r="X4119" t="s">
        <v>350</v>
      </c>
      <c r="AK4119" t="s">
        <v>360</v>
      </c>
    </row>
    <row r="4120" spans="1:37">
      <c r="B4120" t="s">
        <v>53</v>
      </c>
      <c r="C4120" t="s">
        <v>77</v>
      </c>
      <c r="D4120" t="s">
        <v>97</v>
      </c>
      <c r="E4120" t="s">
        <v>116</v>
      </c>
      <c r="F4120" t="s">
        <v>150</v>
      </c>
      <c r="G4120" t="s">
        <v>175</v>
      </c>
      <c r="H4120" t="s">
        <v>210</v>
      </c>
      <c r="I4120" t="s">
        <v>230</v>
      </c>
      <c r="J4120" t="s">
        <v>249</v>
      </c>
      <c r="K4120" t="s">
        <v>263</v>
      </c>
      <c r="L4120" t="s">
        <v>275</v>
      </c>
      <c r="M4120" t="s">
        <v>284</v>
      </c>
      <c r="N4120" t="s">
        <v>294</v>
      </c>
      <c r="O4120" t="s">
        <v>302</v>
      </c>
      <c r="P4120" t="s">
        <v>310</v>
      </c>
      <c r="Q4120" t="s">
        <v>316</v>
      </c>
      <c r="R4120" t="s">
        <v>322</v>
      </c>
      <c r="S4120" t="s">
        <v>329</v>
      </c>
      <c r="AK4120" t="s">
        <v>360</v>
      </c>
    </row>
    <row r="4121" spans="1:37">
      <c r="A4121" t="s">
        <v>39</v>
      </c>
      <c r="B4121" t="s">
        <v>54</v>
      </c>
      <c r="C4121" t="s">
        <v>54</v>
      </c>
      <c r="D4121" t="s">
        <v>54</v>
      </c>
      <c r="E4121" t="s">
        <v>54</v>
      </c>
      <c r="F4121" t="s">
        <v>54</v>
      </c>
      <c r="G4121" t="s">
        <v>54</v>
      </c>
      <c r="H4121" t="s">
        <v>54</v>
      </c>
      <c r="I4121" t="s">
        <v>54</v>
      </c>
      <c r="J4121" t="s">
        <v>54</v>
      </c>
      <c r="K4121" t="s">
        <v>54</v>
      </c>
      <c r="L4121" t="s">
        <v>54</v>
      </c>
      <c r="M4121" t="s">
        <v>54</v>
      </c>
      <c r="N4121" t="s">
        <v>54</v>
      </c>
      <c r="O4121" t="s">
        <v>54</v>
      </c>
      <c r="P4121" t="s">
        <v>54</v>
      </c>
      <c r="Q4121" t="s">
        <v>54</v>
      </c>
      <c r="R4121" t="s">
        <v>323</v>
      </c>
      <c r="S4121" t="s">
        <v>330</v>
      </c>
      <c r="AK4121" t="s">
        <v>360</v>
      </c>
    </row>
    <row r="4122" spans="1:37">
      <c r="B4122" t="s">
        <v>55</v>
      </c>
      <c r="C4122" t="s">
        <v>78</v>
      </c>
      <c r="D4122" t="s">
        <v>55</v>
      </c>
      <c r="E4122" t="s">
        <v>78</v>
      </c>
      <c r="F4122" t="s">
        <v>55</v>
      </c>
      <c r="G4122" t="s">
        <v>78</v>
      </c>
      <c r="H4122" t="s">
        <v>55</v>
      </c>
      <c r="I4122" t="s">
        <v>78</v>
      </c>
      <c r="J4122" t="s">
        <v>55</v>
      </c>
      <c r="K4122" t="s">
        <v>78</v>
      </c>
      <c r="L4122" t="s">
        <v>55</v>
      </c>
      <c r="M4122" t="s">
        <v>78</v>
      </c>
      <c r="N4122" t="s">
        <v>55</v>
      </c>
      <c r="O4122" t="s">
        <v>78</v>
      </c>
      <c r="P4122" t="s">
        <v>55</v>
      </c>
      <c r="Q4122" t="s">
        <v>78</v>
      </c>
      <c r="R4122" t="s">
        <v>55</v>
      </c>
      <c r="S4122" t="s">
        <v>78</v>
      </c>
      <c r="T4122" t="s">
        <v>55</v>
      </c>
      <c r="U4122" t="s">
        <v>78</v>
      </c>
      <c r="V4122" t="s">
        <v>55</v>
      </c>
      <c r="W4122" t="s">
        <v>78</v>
      </c>
      <c r="X4122" t="s">
        <v>55</v>
      </c>
      <c r="Y4122" t="s">
        <v>78</v>
      </c>
      <c r="Z4122" t="s">
        <v>55</v>
      </c>
      <c r="AA4122" t="s">
        <v>78</v>
      </c>
      <c r="AB4122" t="s">
        <v>55</v>
      </c>
      <c r="AC4122" t="s">
        <v>78</v>
      </c>
      <c r="AD4122" t="s">
        <v>55</v>
      </c>
      <c r="AE4122" t="s">
        <v>78</v>
      </c>
      <c r="AF4122" t="s">
        <v>55</v>
      </c>
      <c r="AG4122" t="s">
        <v>78</v>
      </c>
      <c r="AH4122" t="s">
        <v>55</v>
      </c>
      <c r="AI4122" t="s">
        <v>78</v>
      </c>
      <c r="AK4122" t="s">
        <v>360</v>
      </c>
    </row>
    <row r="4123" spans="1:37">
      <c r="B4123" t="s">
        <v>56</v>
      </c>
      <c r="C4123" t="s">
        <v>56</v>
      </c>
      <c r="D4123" t="s">
        <v>56</v>
      </c>
      <c r="E4123" t="s">
        <v>56</v>
      </c>
      <c r="F4123" t="s">
        <v>56</v>
      </c>
      <c r="G4123" t="s">
        <v>176</v>
      </c>
      <c r="H4123" t="s">
        <v>211</v>
      </c>
      <c r="I4123" t="s">
        <v>231</v>
      </c>
      <c r="J4123" t="s">
        <v>250</v>
      </c>
      <c r="K4123" t="s">
        <v>264</v>
      </c>
      <c r="L4123" t="s">
        <v>276</v>
      </c>
      <c r="M4123" t="s">
        <v>285</v>
      </c>
      <c r="N4123" t="s">
        <v>295</v>
      </c>
      <c r="O4123" t="s">
        <v>303</v>
      </c>
      <c r="P4123" t="s">
        <v>56</v>
      </c>
      <c r="Q4123" t="s">
        <v>317</v>
      </c>
      <c r="R4123" t="s">
        <v>324</v>
      </c>
      <c r="S4123" t="s">
        <v>331</v>
      </c>
      <c r="T4123" t="s">
        <v>334</v>
      </c>
      <c r="U4123" t="s">
        <v>338</v>
      </c>
      <c r="V4123" t="s">
        <v>342</v>
      </c>
      <c r="W4123" t="s">
        <v>346</v>
      </c>
      <c r="X4123" t="s">
        <v>351</v>
      </c>
      <c r="AK4123" t="s">
        <v>360</v>
      </c>
    </row>
    <row r="4124" spans="1:37">
      <c r="B4124" t="s">
        <v>57</v>
      </c>
      <c r="C4124" t="s">
        <v>79</v>
      </c>
      <c r="D4124" t="s">
        <v>98</v>
      </c>
      <c r="E4124" t="s">
        <v>117</v>
      </c>
      <c r="F4124" t="s">
        <v>151</v>
      </c>
      <c r="G4124" t="s">
        <v>177</v>
      </c>
      <c r="H4124" t="s">
        <v>212</v>
      </c>
      <c r="I4124" t="s">
        <v>232</v>
      </c>
      <c r="J4124" t="s">
        <v>251</v>
      </c>
      <c r="K4124" t="s">
        <v>265</v>
      </c>
      <c r="L4124" t="s">
        <v>277</v>
      </c>
      <c r="M4124" t="s">
        <v>286</v>
      </c>
      <c r="N4124" t="s">
        <v>296</v>
      </c>
      <c r="O4124" t="s">
        <v>304</v>
      </c>
      <c r="P4124" t="s">
        <v>311</v>
      </c>
      <c r="Q4124" t="s">
        <v>318</v>
      </c>
      <c r="R4124" t="s">
        <v>185</v>
      </c>
      <c r="S4124" t="s">
        <v>159</v>
      </c>
      <c r="T4124" t="s">
        <v>185</v>
      </c>
      <c r="U4124" t="s">
        <v>339</v>
      </c>
      <c r="V4124" t="s">
        <v>72</v>
      </c>
      <c r="W4124" t="s">
        <v>347</v>
      </c>
      <c r="X4124" t="s">
        <v>72</v>
      </c>
      <c r="Y4124" t="s">
        <v>96</v>
      </c>
      <c r="AK4124" t="s">
        <v>360</v>
      </c>
    </row>
    <row r="4125" spans="1:37">
      <c r="B4125" t="s">
        <v>58</v>
      </c>
      <c r="C4125" t="s">
        <v>80</v>
      </c>
      <c r="D4125" t="s">
        <v>99</v>
      </c>
      <c r="E4125" t="s">
        <v>118</v>
      </c>
      <c r="F4125" t="s">
        <v>152</v>
      </c>
      <c r="G4125" t="s">
        <v>178</v>
      </c>
      <c r="H4125" t="s">
        <v>213</v>
      </c>
      <c r="I4125" t="s">
        <v>233</v>
      </c>
      <c r="J4125" t="s">
        <v>252</v>
      </c>
      <c r="K4125" t="s">
        <v>266</v>
      </c>
      <c r="L4125" t="s">
        <v>278</v>
      </c>
      <c r="M4125" t="s">
        <v>287</v>
      </c>
      <c r="N4125" t="s">
        <v>297</v>
      </c>
      <c r="O4125" t="s">
        <v>305</v>
      </c>
      <c r="P4125" t="s">
        <v>312</v>
      </c>
      <c r="Q4125" t="s">
        <v>319</v>
      </c>
      <c r="R4125">
        <f>&gt;10       ветра      3.0     18   6</f>
        <v>0</v>
      </c>
      <c r="AK4125" t="s">
        <v>360</v>
      </c>
    </row>
    <row r="4126" spans="1:37">
      <c r="A4126" t="s">
        <v>40</v>
      </c>
      <c r="B4126" t="s">
        <v>59</v>
      </c>
      <c r="C4126" t="s">
        <v>81</v>
      </c>
      <c r="D4126" t="s">
        <v>100</v>
      </c>
      <c r="E4126" t="s">
        <v>119</v>
      </c>
      <c r="F4126" t="s">
        <v>153</v>
      </c>
      <c r="G4126" t="s">
        <v>179</v>
      </c>
      <c r="H4126" t="s">
        <v>214</v>
      </c>
      <c r="I4126" t="s">
        <v>234</v>
      </c>
      <c r="AK4126" t="s">
        <v>360</v>
      </c>
    </row>
    <row r="4127" spans="1:37">
      <c r="A4127" t="s">
        <v>40</v>
      </c>
      <c r="B4127" t="s">
        <v>60</v>
      </c>
      <c r="C4127" t="s">
        <v>82</v>
      </c>
      <c r="D4127" t="s">
        <v>101</v>
      </c>
      <c r="E4127" t="s">
        <v>120</v>
      </c>
      <c r="F4127" t="s">
        <v>154</v>
      </c>
      <c r="G4127" t="s">
        <v>180</v>
      </c>
      <c r="H4127" t="s">
        <v>215</v>
      </c>
      <c r="I4127" t="s">
        <v>235</v>
      </c>
      <c r="J4127" t="s">
        <v>253</v>
      </c>
      <c r="K4127" t="s">
        <v>267</v>
      </c>
      <c r="L4127" t="s">
        <v>279</v>
      </c>
      <c r="M4127" t="s">
        <v>288</v>
      </c>
      <c r="N4127" t="s">
        <v>100</v>
      </c>
      <c r="O4127" t="s">
        <v>306</v>
      </c>
      <c r="P4127" t="s">
        <v>313</v>
      </c>
      <c r="Q4127" t="s">
        <v>320</v>
      </c>
      <c r="R4127" t="s">
        <v>325</v>
      </c>
      <c r="S4127" t="s">
        <v>332</v>
      </c>
      <c r="T4127" t="s">
        <v>119</v>
      </c>
      <c r="U4127" t="s">
        <v>234</v>
      </c>
      <c r="V4127" t="s">
        <v>343</v>
      </c>
      <c r="W4127" t="s">
        <v>348</v>
      </c>
      <c r="X4127" t="s">
        <v>352</v>
      </c>
      <c r="Y4127" t="s">
        <v>354</v>
      </c>
      <c r="AK4127" t="s">
        <v>360</v>
      </c>
    </row>
    <row r="4128" spans="1:37">
      <c r="A4128" t="s">
        <v>41</v>
      </c>
      <c r="B4128" t="s">
        <v>61</v>
      </c>
      <c r="C4128" t="s">
        <v>83</v>
      </c>
      <c r="D4128" t="s">
        <v>102</v>
      </c>
      <c r="E4128" t="s">
        <v>121</v>
      </c>
      <c r="F4128" t="s">
        <v>155</v>
      </c>
      <c r="G4128" t="s">
        <v>181</v>
      </c>
      <c r="H4128" t="s">
        <v>216</v>
      </c>
      <c r="I4128" t="s">
        <v>236</v>
      </c>
      <c r="AK4128" t="s">
        <v>360</v>
      </c>
    </row>
    <row r="4129" spans="1:37">
      <c r="A4129" t="s">
        <v>42</v>
      </c>
      <c r="B4129" t="s">
        <v>62</v>
      </c>
      <c r="C4129" t="s">
        <v>84</v>
      </c>
      <c r="D4129" t="s">
        <v>103</v>
      </c>
      <c r="E4129" t="s">
        <v>122</v>
      </c>
      <c r="F4129" t="s">
        <v>156</v>
      </c>
      <c r="G4129" t="s">
        <v>182</v>
      </c>
      <c r="H4129" t="s">
        <v>83</v>
      </c>
      <c r="I4129" t="s">
        <v>237</v>
      </c>
      <c r="J4129" t="s">
        <v>254</v>
      </c>
      <c r="K4129" t="s">
        <v>268</v>
      </c>
      <c r="L4129" t="s">
        <v>280</v>
      </c>
      <c r="M4129" t="s">
        <v>289</v>
      </c>
      <c r="N4129" t="s">
        <v>298</v>
      </c>
      <c r="O4129" t="s">
        <v>307</v>
      </c>
      <c r="P4129" t="s">
        <v>314</v>
      </c>
      <c r="Q4129" t="s">
        <v>216</v>
      </c>
      <c r="R4129" t="s">
        <v>326</v>
      </c>
      <c r="S4129" t="s">
        <v>333</v>
      </c>
      <c r="T4129" t="s">
        <v>335</v>
      </c>
      <c r="U4129" t="s">
        <v>340</v>
      </c>
      <c r="V4129" t="s">
        <v>344</v>
      </c>
      <c r="W4129" t="s">
        <v>349</v>
      </c>
      <c r="AK4129" t="s">
        <v>360</v>
      </c>
    </row>
    <row r="4130" spans="1:37">
      <c r="A4130" t="s">
        <v>43</v>
      </c>
      <c r="B4130" t="s">
        <v>63</v>
      </c>
      <c r="C4130" t="s">
        <v>85</v>
      </c>
      <c r="D4130" t="s">
        <v>104</v>
      </c>
      <c r="E4130" t="s">
        <v>123</v>
      </c>
      <c r="F4130" t="s">
        <v>157</v>
      </c>
      <c r="G4130" t="s">
        <v>183</v>
      </c>
      <c r="AK4130" t="s">
        <v>360</v>
      </c>
    </row>
    <row r="4131" spans="1:37">
      <c r="A4131" t="s">
        <v>44</v>
      </c>
      <c r="B4131" t="s">
        <v>64</v>
      </c>
      <c r="C4131" t="s">
        <v>86</v>
      </c>
      <c r="D4131" t="s">
        <v>105</v>
      </c>
      <c r="E4131" t="s">
        <v>124</v>
      </c>
      <c r="F4131" t="s">
        <v>158</v>
      </c>
      <c r="G4131" t="s">
        <v>184</v>
      </c>
      <c r="AK4131" t="s">
        <v>360</v>
      </c>
    </row>
    <row r="4132" spans="1:37">
      <c r="A4132" t="s">
        <v>45</v>
      </c>
      <c r="B4132" t="s">
        <v>65</v>
      </c>
      <c r="C4132" t="s">
        <v>87</v>
      </c>
      <c r="D4132" t="s">
        <v>106</v>
      </c>
      <c r="E4132" t="s">
        <v>125</v>
      </c>
      <c r="F4132" t="s">
        <v>159</v>
      </c>
      <c r="G4132" t="s">
        <v>185</v>
      </c>
      <c r="H4132" t="s">
        <v>159</v>
      </c>
      <c r="I4132" t="s">
        <v>185</v>
      </c>
      <c r="J4132" t="s">
        <v>255</v>
      </c>
      <c r="AK4132" t="s">
        <v>360</v>
      </c>
    </row>
    <row r="4133" spans="1:37">
      <c r="A4133" t="s">
        <v>46</v>
      </c>
      <c r="B4133" t="s">
        <v>66</v>
      </c>
      <c r="C4133" t="s">
        <v>88</v>
      </c>
      <c r="D4133" t="s">
        <v>76</v>
      </c>
      <c r="E4133" t="s">
        <v>126</v>
      </c>
      <c r="F4133" t="s">
        <v>160</v>
      </c>
      <c r="G4133" t="s">
        <v>186</v>
      </c>
      <c r="H4133" t="s">
        <v>217</v>
      </c>
      <c r="I4133" t="s">
        <v>238</v>
      </c>
      <c r="J4133" t="s">
        <v>256</v>
      </c>
      <c r="K4133" t="s">
        <v>265</v>
      </c>
      <c r="L4133" t="s">
        <v>281</v>
      </c>
      <c r="M4133" t="s">
        <v>290</v>
      </c>
      <c r="N4133" t="s">
        <v>299</v>
      </c>
      <c r="O4133" t="s">
        <v>308</v>
      </c>
      <c r="P4133" t="s">
        <v>228</v>
      </c>
      <c r="Q4133" t="s">
        <v>72</v>
      </c>
      <c r="R4133" t="s">
        <v>327</v>
      </c>
      <c r="S4133" t="s">
        <v>327</v>
      </c>
      <c r="T4133" t="s">
        <v>336</v>
      </c>
      <c r="U4133" t="s">
        <v>336</v>
      </c>
      <c r="V4133" t="s">
        <v>336</v>
      </c>
      <c r="W4133" t="s">
        <v>336</v>
      </c>
      <c r="X4133" t="s">
        <v>353</v>
      </c>
      <c r="AK4133" t="s">
        <v>360</v>
      </c>
    </row>
    <row r="4134" spans="1:37">
      <c r="B4134" t="s">
        <v>67</v>
      </c>
      <c r="C4134" t="s">
        <v>89</v>
      </c>
      <c r="D4134" t="s">
        <v>107</v>
      </c>
      <c r="AK4134" t="s">
        <v>360</v>
      </c>
    </row>
    <row r="4135" spans="1:37">
      <c r="B4135" t="s">
        <v>68</v>
      </c>
      <c r="C4135" t="s">
        <v>90</v>
      </c>
      <c r="D4135" t="s">
        <v>108</v>
      </c>
      <c r="AK4135" t="s">
        <v>360</v>
      </c>
    </row>
    <row r="4136" spans="1:37">
      <c r="A4136" t="s">
        <v>47</v>
      </c>
      <c r="B4136" t="s">
        <v>69</v>
      </c>
      <c r="C4136" t="s">
        <v>91</v>
      </c>
      <c r="D4136" t="s">
        <v>109</v>
      </c>
      <c r="E4136" t="s">
        <v>109</v>
      </c>
      <c r="F4136" t="s">
        <v>109</v>
      </c>
      <c r="G4136" t="s">
        <v>109</v>
      </c>
      <c r="H4136" t="s">
        <v>109</v>
      </c>
      <c r="I4136" t="s">
        <v>239</v>
      </c>
      <c r="AK4136" t="s">
        <v>360</v>
      </c>
    </row>
    <row r="4137" spans="1:37">
      <c r="B4137" t="s">
        <v>70</v>
      </c>
      <c r="C4137" t="s">
        <v>92</v>
      </c>
      <c r="D4137" t="s">
        <v>110</v>
      </c>
      <c r="E4137" t="s">
        <v>127</v>
      </c>
      <c r="F4137" t="s">
        <v>161</v>
      </c>
      <c r="G4137" t="s">
        <v>187</v>
      </c>
      <c r="H4137" t="s">
        <v>218</v>
      </c>
      <c r="AK4137" t="s">
        <v>360</v>
      </c>
    </row>
    <row r="4138" spans="1:37">
      <c r="B4138" t="s">
        <v>71</v>
      </c>
      <c r="C4138" t="s">
        <v>93</v>
      </c>
      <c r="D4138" t="s">
        <v>111</v>
      </c>
      <c r="E4138" t="s">
        <v>128</v>
      </c>
      <c r="F4138" t="s">
        <v>162</v>
      </c>
      <c r="G4138" t="s">
        <v>188</v>
      </c>
      <c r="H4138" t="s">
        <v>219</v>
      </c>
      <c r="I4138" t="s">
        <v>240</v>
      </c>
      <c r="J4138" t="s">
        <v>257</v>
      </c>
      <c r="K4138" t="s">
        <v>269</v>
      </c>
      <c r="L4138" t="s">
        <v>109</v>
      </c>
      <c r="M4138" t="s">
        <v>109</v>
      </c>
      <c r="N4138" t="s">
        <v>109</v>
      </c>
      <c r="O4138" t="s">
        <v>109</v>
      </c>
      <c r="P4138" t="s">
        <v>109</v>
      </c>
      <c r="Q4138" t="s">
        <v>321</v>
      </c>
      <c r="AK4138" t="s">
        <v>360</v>
      </c>
    </row>
    <row r="4139" spans="1:37">
      <c r="A4139" t="s">
        <v>48</v>
      </c>
      <c r="B4139" t="s">
        <v>71</v>
      </c>
      <c r="C4139" t="s">
        <v>93</v>
      </c>
      <c r="D4139" t="s">
        <v>111</v>
      </c>
      <c r="E4139" t="s">
        <v>128</v>
      </c>
      <c r="F4139" t="s">
        <v>163</v>
      </c>
      <c r="G4139" t="s">
        <v>189</v>
      </c>
      <c r="H4139" t="s">
        <v>220</v>
      </c>
      <c r="I4139" t="s">
        <v>241</v>
      </c>
      <c r="J4139" t="s">
        <v>258</v>
      </c>
      <c r="K4139" t="s">
        <v>270</v>
      </c>
      <c r="AK4139" t="s">
        <v>360</v>
      </c>
    </row>
    <row r="4140" spans="1:37">
      <c r="B4140" t="s">
        <v>72</v>
      </c>
      <c r="C4140" t="s">
        <v>72</v>
      </c>
      <c r="D4140" t="s">
        <v>72</v>
      </c>
      <c r="E4140" t="s">
        <v>72</v>
      </c>
      <c r="F4140" t="s">
        <v>72</v>
      </c>
      <c r="G4140" t="s">
        <v>72</v>
      </c>
      <c r="H4140" t="s">
        <v>72</v>
      </c>
      <c r="I4140" t="s">
        <v>72</v>
      </c>
      <c r="J4140" t="s">
        <v>72</v>
      </c>
      <c r="K4140" t="s">
        <v>272</v>
      </c>
      <c r="AK4140" t="s">
        <v>360</v>
      </c>
    </row>
    <row r="4141" spans="1:37">
      <c r="A4141" t="s">
        <v>37</v>
      </c>
      <c r="B4141" t="s">
        <v>49</v>
      </c>
      <c r="C4141" t="s">
        <v>73</v>
      </c>
      <c r="D4141" t="s">
        <v>94</v>
      </c>
      <c r="E4141" t="s">
        <v>112</v>
      </c>
      <c r="F4141" t="s">
        <v>146</v>
      </c>
      <c r="G4141" t="s">
        <v>172</v>
      </c>
      <c r="H4141" t="s">
        <v>207</v>
      </c>
      <c r="I4141" t="s">
        <v>226</v>
      </c>
      <c r="J4141" t="s">
        <v>246</v>
      </c>
      <c r="K4141" t="s">
        <v>259</v>
      </c>
      <c r="AK4141" t="s">
        <v>361</v>
      </c>
    </row>
    <row r="4142" spans="1:37">
      <c r="A4142" t="s">
        <v>38</v>
      </c>
      <c r="B4142" t="s">
        <v>50</v>
      </c>
      <c r="C4142" t="s">
        <v>74</v>
      </c>
      <c r="D4142" t="s">
        <v>95</v>
      </c>
      <c r="E4142" t="s">
        <v>113</v>
      </c>
      <c r="F4142" t="s">
        <v>147</v>
      </c>
      <c r="G4142" t="s">
        <v>173</v>
      </c>
      <c r="H4142" t="s">
        <v>208</v>
      </c>
      <c r="I4142" t="s">
        <v>227</v>
      </c>
      <c r="J4142" t="s">
        <v>115</v>
      </c>
      <c r="K4142" t="s">
        <v>260</v>
      </c>
      <c r="L4142" t="s">
        <v>273</v>
      </c>
      <c r="M4142" t="s">
        <v>282</v>
      </c>
      <c r="N4142" t="s">
        <v>291</v>
      </c>
      <c r="AK4142" t="s">
        <v>361</v>
      </c>
    </row>
    <row r="4143" spans="1:37">
      <c r="B4143" t="s">
        <v>51</v>
      </c>
      <c r="C4143" t="s">
        <v>75</v>
      </c>
      <c r="D4143" t="s">
        <v>52</v>
      </c>
      <c r="E4143" t="s">
        <v>114</v>
      </c>
      <c r="F4143" t="s">
        <v>148</v>
      </c>
      <c r="G4143" t="s">
        <v>148</v>
      </c>
      <c r="H4143" t="s">
        <v>209</v>
      </c>
      <c r="I4143" t="s">
        <v>228</v>
      </c>
      <c r="J4143" t="s">
        <v>247</v>
      </c>
      <c r="K4143" t="s">
        <v>261</v>
      </c>
      <c r="L4143" t="s">
        <v>274</v>
      </c>
      <c r="M4143" t="s">
        <v>283</v>
      </c>
      <c r="N4143" t="s">
        <v>292</v>
      </c>
      <c r="O4143" t="s">
        <v>300</v>
      </c>
      <c r="AK4143" t="s">
        <v>361</v>
      </c>
    </row>
    <row r="4144" spans="1:37">
      <c r="B4144" t="s">
        <v>52</v>
      </c>
      <c r="C4144" t="s">
        <v>76</v>
      </c>
      <c r="D4144" t="s">
        <v>96</v>
      </c>
      <c r="E4144" t="s">
        <v>115</v>
      </c>
      <c r="F4144" t="s">
        <v>149</v>
      </c>
      <c r="G4144" t="s">
        <v>174</v>
      </c>
      <c r="H4144" t="s">
        <v>96</v>
      </c>
      <c r="I4144" t="s">
        <v>229</v>
      </c>
      <c r="J4144" t="s">
        <v>248</v>
      </c>
      <c r="K4144" t="s">
        <v>262</v>
      </c>
      <c r="L4144" t="s">
        <v>52</v>
      </c>
      <c r="M4144" t="s">
        <v>76</v>
      </c>
      <c r="N4144" t="s">
        <v>293</v>
      </c>
      <c r="O4144" t="s">
        <v>301</v>
      </c>
      <c r="P4144" t="s">
        <v>309</v>
      </c>
      <c r="Q4144" t="s">
        <v>315</v>
      </c>
      <c r="R4144" t="s">
        <v>228</v>
      </c>
      <c r="S4144" t="s">
        <v>328</v>
      </c>
      <c r="T4144" t="s">
        <v>149</v>
      </c>
      <c r="U4144" t="s">
        <v>337</v>
      </c>
      <c r="V4144" t="s">
        <v>341</v>
      </c>
      <c r="W4144" t="s">
        <v>345</v>
      </c>
      <c r="X4144" t="s">
        <v>350</v>
      </c>
      <c r="AK4144" t="s">
        <v>361</v>
      </c>
    </row>
    <row r="4145" spans="1:37">
      <c r="B4145" t="s">
        <v>53</v>
      </c>
      <c r="C4145" t="s">
        <v>77</v>
      </c>
      <c r="D4145" t="s">
        <v>97</v>
      </c>
      <c r="E4145" t="s">
        <v>116</v>
      </c>
      <c r="F4145" t="s">
        <v>150</v>
      </c>
      <c r="G4145" t="s">
        <v>175</v>
      </c>
      <c r="H4145" t="s">
        <v>210</v>
      </c>
      <c r="I4145" t="s">
        <v>230</v>
      </c>
      <c r="J4145" t="s">
        <v>249</v>
      </c>
      <c r="K4145" t="s">
        <v>263</v>
      </c>
      <c r="L4145" t="s">
        <v>275</v>
      </c>
      <c r="M4145" t="s">
        <v>284</v>
      </c>
      <c r="N4145" t="s">
        <v>294</v>
      </c>
      <c r="O4145" t="s">
        <v>302</v>
      </c>
      <c r="P4145" t="s">
        <v>310</v>
      </c>
      <c r="Q4145" t="s">
        <v>316</v>
      </c>
      <c r="R4145" t="s">
        <v>322</v>
      </c>
      <c r="S4145" t="s">
        <v>329</v>
      </c>
      <c r="AK4145" t="s">
        <v>361</v>
      </c>
    </row>
    <row r="4146" spans="1:37">
      <c r="A4146" t="s">
        <v>39</v>
      </c>
      <c r="B4146" t="s">
        <v>54</v>
      </c>
      <c r="C4146" t="s">
        <v>54</v>
      </c>
      <c r="D4146" t="s">
        <v>54</v>
      </c>
      <c r="E4146" t="s">
        <v>54</v>
      </c>
      <c r="F4146" t="s">
        <v>54</v>
      </c>
      <c r="G4146" t="s">
        <v>54</v>
      </c>
      <c r="H4146" t="s">
        <v>54</v>
      </c>
      <c r="I4146" t="s">
        <v>54</v>
      </c>
      <c r="J4146" t="s">
        <v>54</v>
      </c>
      <c r="K4146" t="s">
        <v>54</v>
      </c>
      <c r="L4146" t="s">
        <v>54</v>
      </c>
      <c r="M4146" t="s">
        <v>54</v>
      </c>
      <c r="N4146" t="s">
        <v>54</v>
      </c>
      <c r="O4146" t="s">
        <v>54</v>
      </c>
      <c r="P4146" t="s">
        <v>54</v>
      </c>
      <c r="Q4146" t="s">
        <v>54</v>
      </c>
      <c r="R4146" t="s">
        <v>323</v>
      </c>
      <c r="S4146" t="s">
        <v>330</v>
      </c>
      <c r="AK4146" t="s">
        <v>361</v>
      </c>
    </row>
    <row r="4147" spans="1:37">
      <c r="B4147" t="s">
        <v>55</v>
      </c>
      <c r="C4147" t="s">
        <v>78</v>
      </c>
      <c r="D4147" t="s">
        <v>55</v>
      </c>
      <c r="E4147" t="s">
        <v>78</v>
      </c>
      <c r="F4147" t="s">
        <v>55</v>
      </c>
      <c r="G4147" t="s">
        <v>78</v>
      </c>
      <c r="H4147" t="s">
        <v>55</v>
      </c>
      <c r="I4147" t="s">
        <v>78</v>
      </c>
      <c r="J4147" t="s">
        <v>55</v>
      </c>
      <c r="K4147" t="s">
        <v>78</v>
      </c>
      <c r="L4147" t="s">
        <v>55</v>
      </c>
      <c r="M4147" t="s">
        <v>78</v>
      </c>
      <c r="N4147" t="s">
        <v>55</v>
      </c>
      <c r="O4147" t="s">
        <v>78</v>
      </c>
      <c r="P4147" t="s">
        <v>55</v>
      </c>
      <c r="Q4147" t="s">
        <v>78</v>
      </c>
      <c r="R4147" t="s">
        <v>55</v>
      </c>
      <c r="S4147" t="s">
        <v>78</v>
      </c>
      <c r="T4147" t="s">
        <v>55</v>
      </c>
      <c r="U4147" t="s">
        <v>78</v>
      </c>
      <c r="V4147" t="s">
        <v>55</v>
      </c>
      <c r="W4147" t="s">
        <v>78</v>
      </c>
      <c r="X4147" t="s">
        <v>55</v>
      </c>
      <c r="Y4147" t="s">
        <v>78</v>
      </c>
      <c r="Z4147" t="s">
        <v>55</v>
      </c>
      <c r="AA4147" t="s">
        <v>78</v>
      </c>
      <c r="AB4147" t="s">
        <v>55</v>
      </c>
      <c r="AC4147" t="s">
        <v>78</v>
      </c>
      <c r="AD4147" t="s">
        <v>55</v>
      </c>
      <c r="AE4147" t="s">
        <v>78</v>
      </c>
      <c r="AF4147" t="s">
        <v>55</v>
      </c>
      <c r="AG4147" t="s">
        <v>78</v>
      </c>
      <c r="AH4147" t="s">
        <v>55</v>
      </c>
      <c r="AI4147" t="s">
        <v>78</v>
      </c>
      <c r="AK4147" t="s">
        <v>361</v>
      </c>
    </row>
    <row r="4148" spans="1:37">
      <c r="B4148" t="s">
        <v>56</v>
      </c>
      <c r="C4148" t="s">
        <v>56</v>
      </c>
      <c r="D4148" t="s">
        <v>56</v>
      </c>
      <c r="E4148" t="s">
        <v>56</v>
      </c>
      <c r="F4148" t="s">
        <v>56</v>
      </c>
      <c r="G4148" t="s">
        <v>176</v>
      </c>
      <c r="H4148" t="s">
        <v>211</v>
      </c>
      <c r="I4148" t="s">
        <v>231</v>
      </c>
      <c r="J4148" t="s">
        <v>250</v>
      </c>
      <c r="K4148" t="s">
        <v>264</v>
      </c>
      <c r="L4148" t="s">
        <v>276</v>
      </c>
      <c r="M4148" t="s">
        <v>285</v>
      </c>
      <c r="N4148" t="s">
        <v>295</v>
      </c>
      <c r="O4148" t="s">
        <v>303</v>
      </c>
      <c r="P4148" t="s">
        <v>56</v>
      </c>
      <c r="Q4148" t="s">
        <v>317</v>
      </c>
      <c r="R4148" t="s">
        <v>324</v>
      </c>
      <c r="S4148" t="s">
        <v>331</v>
      </c>
      <c r="T4148" t="s">
        <v>334</v>
      </c>
      <c r="U4148" t="s">
        <v>338</v>
      </c>
      <c r="V4148" t="s">
        <v>342</v>
      </c>
      <c r="W4148" t="s">
        <v>346</v>
      </c>
      <c r="X4148" t="s">
        <v>351</v>
      </c>
      <c r="AK4148" t="s">
        <v>361</v>
      </c>
    </row>
    <row r="4149" spans="1:37">
      <c r="B4149" t="s">
        <v>57</v>
      </c>
      <c r="C4149" t="s">
        <v>79</v>
      </c>
      <c r="D4149" t="s">
        <v>98</v>
      </c>
      <c r="E4149" t="s">
        <v>117</v>
      </c>
      <c r="F4149" t="s">
        <v>151</v>
      </c>
      <c r="G4149" t="s">
        <v>177</v>
      </c>
      <c r="H4149" t="s">
        <v>212</v>
      </c>
      <c r="I4149" t="s">
        <v>232</v>
      </c>
      <c r="J4149" t="s">
        <v>251</v>
      </c>
      <c r="K4149" t="s">
        <v>265</v>
      </c>
      <c r="L4149" t="s">
        <v>277</v>
      </c>
      <c r="M4149" t="s">
        <v>286</v>
      </c>
      <c r="N4149" t="s">
        <v>296</v>
      </c>
      <c r="O4149" t="s">
        <v>304</v>
      </c>
      <c r="P4149" t="s">
        <v>311</v>
      </c>
      <c r="Q4149" t="s">
        <v>318</v>
      </c>
      <c r="R4149" t="s">
        <v>185</v>
      </c>
      <c r="S4149" t="s">
        <v>159</v>
      </c>
      <c r="T4149" t="s">
        <v>185</v>
      </c>
      <c r="U4149" t="s">
        <v>339</v>
      </c>
      <c r="V4149" t="s">
        <v>72</v>
      </c>
      <c r="W4149" t="s">
        <v>347</v>
      </c>
      <c r="X4149" t="s">
        <v>72</v>
      </c>
      <c r="Y4149" t="s">
        <v>96</v>
      </c>
      <c r="AK4149" t="s">
        <v>361</v>
      </c>
    </row>
    <row r="4150" spans="1:37">
      <c r="B4150" t="s">
        <v>58</v>
      </c>
      <c r="C4150" t="s">
        <v>80</v>
      </c>
      <c r="D4150" t="s">
        <v>99</v>
      </c>
      <c r="E4150" t="s">
        <v>118</v>
      </c>
      <c r="F4150" t="s">
        <v>152</v>
      </c>
      <c r="G4150" t="s">
        <v>178</v>
      </c>
      <c r="H4150" t="s">
        <v>213</v>
      </c>
      <c r="I4150" t="s">
        <v>233</v>
      </c>
      <c r="J4150" t="s">
        <v>252</v>
      </c>
      <c r="K4150" t="s">
        <v>266</v>
      </c>
      <c r="L4150" t="s">
        <v>278</v>
      </c>
      <c r="M4150" t="s">
        <v>287</v>
      </c>
      <c r="N4150" t="s">
        <v>297</v>
      </c>
      <c r="O4150" t="s">
        <v>305</v>
      </c>
      <c r="P4150" t="s">
        <v>312</v>
      </c>
      <c r="Q4150" t="s">
        <v>319</v>
      </c>
      <c r="R4150">
        <f>&gt;10       ветра      0.9     16   4</f>
        <v>0</v>
      </c>
      <c r="AK4150" t="s">
        <v>361</v>
      </c>
    </row>
    <row r="4151" spans="1:37">
      <c r="A4151" t="s">
        <v>40</v>
      </c>
      <c r="B4151" t="s">
        <v>59</v>
      </c>
      <c r="C4151" t="s">
        <v>81</v>
      </c>
      <c r="D4151" t="s">
        <v>100</v>
      </c>
      <c r="E4151" t="s">
        <v>119</v>
      </c>
      <c r="F4151" t="s">
        <v>153</v>
      </c>
      <c r="G4151" t="s">
        <v>179</v>
      </c>
      <c r="H4151" t="s">
        <v>214</v>
      </c>
      <c r="I4151" t="s">
        <v>234</v>
      </c>
      <c r="AK4151" t="s">
        <v>361</v>
      </c>
    </row>
    <row r="4152" spans="1:37">
      <c r="A4152" t="s">
        <v>40</v>
      </c>
      <c r="B4152" t="s">
        <v>60</v>
      </c>
      <c r="C4152" t="s">
        <v>82</v>
      </c>
      <c r="D4152" t="s">
        <v>101</v>
      </c>
      <c r="E4152" t="s">
        <v>120</v>
      </c>
      <c r="F4152" t="s">
        <v>154</v>
      </c>
      <c r="G4152" t="s">
        <v>180</v>
      </c>
      <c r="H4152" t="s">
        <v>215</v>
      </c>
      <c r="I4152" t="s">
        <v>235</v>
      </c>
      <c r="J4152" t="s">
        <v>253</v>
      </c>
      <c r="K4152" t="s">
        <v>267</v>
      </c>
      <c r="L4152" t="s">
        <v>279</v>
      </c>
      <c r="M4152" t="s">
        <v>288</v>
      </c>
      <c r="N4152" t="s">
        <v>100</v>
      </c>
      <c r="O4152" t="s">
        <v>306</v>
      </c>
      <c r="P4152" t="s">
        <v>313</v>
      </c>
      <c r="Q4152" t="s">
        <v>320</v>
      </c>
      <c r="R4152" t="s">
        <v>325</v>
      </c>
      <c r="S4152" t="s">
        <v>332</v>
      </c>
      <c r="T4152" t="s">
        <v>119</v>
      </c>
      <c r="U4152" t="s">
        <v>234</v>
      </c>
      <c r="V4152" t="s">
        <v>343</v>
      </c>
      <c r="W4152" t="s">
        <v>348</v>
      </c>
      <c r="X4152" t="s">
        <v>352</v>
      </c>
      <c r="Y4152" t="s">
        <v>354</v>
      </c>
      <c r="AK4152" t="s">
        <v>361</v>
      </c>
    </row>
    <row r="4153" spans="1:37">
      <c r="A4153" t="s">
        <v>41</v>
      </c>
      <c r="B4153" t="s">
        <v>61</v>
      </c>
      <c r="C4153" t="s">
        <v>83</v>
      </c>
      <c r="D4153" t="s">
        <v>102</v>
      </c>
      <c r="E4153" t="s">
        <v>121</v>
      </c>
      <c r="F4153" t="s">
        <v>155</v>
      </c>
      <c r="G4153" t="s">
        <v>181</v>
      </c>
      <c r="H4153" t="s">
        <v>216</v>
      </c>
      <c r="I4153" t="s">
        <v>236</v>
      </c>
      <c r="AK4153" t="s">
        <v>361</v>
      </c>
    </row>
    <row r="4154" spans="1:37">
      <c r="A4154" t="s">
        <v>42</v>
      </c>
      <c r="B4154" t="s">
        <v>62</v>
      </c>
      <c r="C4154" t="s">
        <v>84</v>
      </c>
      <c r="D4154" t="s">
        <v>103</v>
      </c>
      <c r="E4154" t="s">
        <v>122</v>
      </c>
      <c r="F4154" t="s">
        <v>156</v>
      </c>
      <c r="G4154" t="s">
        <v>182</v>
      </c>
      <c r="H4154" t="s">
        <v>83</v>
      </c>
      <c r="I4154" t="s">
        <v>237</v>
      </c>
      <c r="J4154" t="s">
        <v>254</v>
      </c>
      <c r="K4154" t="s">
        <v>268</v>
      </c>
      <c r="L4154" t="s">
        <v>280</v>
      </c>
      <c r="M4154" t="s">
        <v>289</v>
      </c>
      <c r="N4154" t="s">
        <v>298</v>
      </c>
      <c r="O4154" t="s">
        <v>307</v>
      </c>
      <c r="P4154" t="s">
        <v>314</v>
      </c>
      <c r="Q4154" t="s">
        <v>216</v>
      </c>
      <c r="R4154" t="s">
        <v>326</v>
      </c>
      <c r="S4154" t="s">
        <v>333</v>
      </c>
      <c r="T4154" t="s">
        <v>335</v>
      </c>
      <c r="U4154" t="s">
        <v>340</v>
      </c>
      <c r="V4154" t="s">
        <v>344</v>
      </c>
      <c r="W4154" t="s">
        <v>349</v>
      </c>
      <c r="AK4154" t="s">
        <v>361</v>
      </c>
    </row>
    <row r="4155" spans="1:37">
      <c r="A4155" t="s">
        <v>43</v>
      </c>
      <c r="B4155" t="s">
        <v>63</v>
      </c>
      <c r="C4155" t="s">
        <v>85</v>
      </c>
      <c r="D4155" t="s">
        <v>104</v>
      </c>
      <c r="E4155" t="s">
        <v>123</v>
      </c>
      <c r="F4155" t="s">
        <v>157</v>
      </c>
      <c r="G4155" t="s">
        <v>183</v>
      </c>
      <c r="AK4155" t="s">
        <v>361</v>
      </c>
    </row>
    <row r="4156" spans="1:37">
      <c r="A4156" t="s">
        <v>44</v>
      </c>
      <c r="B4156" t="s">
        <v>64</v>
      </c>
      <c r="C4156" t="s">
        <v>86</v>
      </c>
      <c r="D4156" t="s">
        <v>105</v>
      </c>
      <c r="E4156" t="s">
        <v>124</v>
      </c>
      <c r="F4156" t="s">
        <v>158</v>
      </c>
      <c r="G4156" t="s">
        <v>184</v>
      </c>
      <c r="AK4156" t="s">
        <v>361</v>
      </c>
    </row>
    <row r="4157" spans="1:37">
      <c r="A4157" t="s">
        <v>45</v>
      </c>
      <c r="B4157" t="s">
        <v>65</v>
      </c>
      <c r="C4157" t="s">
        <v>87</v>
      </c>
      <c r="D4157" t="s">
        <v>106</v>
      </c>
      <c r="E4157" t="s">
        <v>125</v>
      </c>
      <c r="F4157" t="s">
        <v>159</v>
      </c>
      <c r="G4157" t="s">
        <v>185</v>
      </c>
      <c r="H4157" t="s">
        <v>159</v>
      </c>
      <c r="I4157" t="s">
        <v>185</v>
      </c>
      <c r="J4157" t="s">
        <v>255</v>
      </c>
      <c r="AK4157" t="s">
        <v>361</v>
      </c>
    </row>
    <row r="4158" spans="1:37">
      <c r="A4158" t="s">
        <v>46</v>
      </c>
      <c r="B4158" t="s">
        <v>66</v>
      </c>
      <c r="C4158" t="s">
        <v>88</v>
      </c>
      <c r="D4158" t="s">
        <v>76</v>
      </c>
      <c r="E4158" t="s">
        <v>126</v>
      </c>
      <c r="F4158" t="s">
        <v>160</v>
      </c>
      <c r="G4158" t="s">
        <v>186</v>
      </c>
      <c r="H4158" t="s">
        <v>217</v>
      </c>
      <c r="I4158" t="s">
        <v>238</v>
      </c>
      <c r="J4158" t="s">
        <v>256</v>
      </c>
      <c r="K4158" t="s">
        <v>265</v>
      </c>
      <c r="L4158" t="s">
        <v>281</v>
      </c>
      <c r="M4158" t="s">
        <v>290</v>
      </c>
      <c r="N4158" t="s">
        <v>299</v>
      </c>
      <c r="O4158" t="s">
        <v>308</v>
      </c>
      <c r="P4158" t="s">
        <v>228</v>
      </c>
      <c r="Q4158" t="s">
        <v>72</v>
      </c>
      <c r="R4158" t="s">
        <v>327</v>
      </c>
      <c r="S4158" t="s">
        <v>327</v>
      </c>
      <c r="T4158" t="s">
        <v>336</v>
      </c>
      <c r="U4158" t="s">
        <v>336</v>
      </c>
      <c r="V4158" t="s">
        <v>336</v>
      </c>
      <c r="W4158" t="s">
        <v>336</v>
      </c>
      <c r="X4158" t="s">
        <v>353</v>
      </c>
      <c r="AK4158" t="s">
        <v>361</v>
      </c>
    </row>
    <row r="4159" spans="1:37">
      <c r="B4159" t="s">
        <v>67</v>
      </c>
      <c r="C4159" t="s">
        <v>89</v>
      </c>
      <c r="D4159" t="s">
        <v>107</v>
      </c>
      <c r="AK4159" t="s">
        <v>361</v>
      </c>
    </row>
    <row r="4160" spans="1:37">
      <c r="B4160" t="s">
        <v>68</v>
      </c>
      <c r="C4160" t="s">
        <v>90</v>
      </c>
      <c r="D4160" t="s">
        <v>108</v>
      </c>
      <c r="AK4160" t="s">
        <v>361</v>
      </c>
    </row>
    <row r="4161" spans="1:37">
      <c r="A4161" t="s">
        <v>47</v>
      </c>
      <c r="B4161" t="s">
        <v>69</v>
      </c>
      <c r="C4161" t="s">
        <v>91</v>
      </c>
      <c r="D4161" t="s">
        <v>109</v>
      </c>
      <c r="E4161" t="s">
        <v>109</v>
      </c>
      <c r="F4161" t="s">
        <v>109</v>
      </c>
      <c r="G4161" t="s">
        <v>109</v>
      </c>
      <c r="H4161" t="s">
        <v>109</v>
      </c>
      <c r="I4161" t="s">
        <v>239</v>
      </c>
      <c r="AK4161" t="s">
        <v>361</v>
      </c>
    </row>
    <row r="4162" spans="1:37">
      <c r="B4162" t="s">
        <v>70</v>
      </c>
      <c r="C4162" t="s">
        <v>92</v>
      </c>
      <c r="D4162" t="s">
        <v>110</v>
      </c>
      <c r="E4162" t="s">
        <v>127</v>
      </c>
      <c r="F4162" t="s">
        <v>161</v>
      </c>
      <c r="G4162" t="s">
        <v>187</v>
      </c>
      <c r="H4162" t="s">
        <v>218</v>
      </c>
      <c r="AK4162" t="s">
        <v>361</v>
      </c>
    </row>
    <row r="4163" spans="1:37">
      <c r="B4163" t="s">
        <v>71</v>
      </c>
      <c r="C4163" t="s">
        <v>93</v>
      </c>
      <c r="D4163" t="s">
        <v>111</v>
      </c>
      <c r="E4163" t="s">
        <v>128</v>
      </c>
      <c r="F4163" t="s">
        <v>162</v>
      </c>
      <c r="G4163" t="s">
        <v>188</v>
      </c>
      <c r="H4163" t="s">
        <v>219</v>
      </c>
      <c r="I4163" t="s">
        <v>240</v>
      </c>
      <c r="J4163" t="s">
        <v>257</v>
      </c>
      <c r="K4163" t="s">
        <v>269</v>
      </c>
      <c r="L4163" t="s">
        <v>109</v>
      </c>
      <c r="M4163" t="s">
        <v>109</v>
      </c>
      <c r="N4163" t="s">
        <v>109</v>
      </c>
      <c r="O4163" t="s">
        <v>109</v>
      </c>
      <c r="P4163" t="s">
        <v>109</v>
      </c>
      <c r="Q4163" t="s">
        <v>321</v>
      </c>
      <c r="AK4163" t="s">
        <v>361</v>
      </c>
    </row>
    <row r="4164" spans="1:37">
      <c r="A4164" t="s">
        <v>48</v>
      </c>
      <c r="B4164" t="s">
        <v>71</v>
      </c>
      <c r="C4164" t="s">
        <v>93</v>
      </c>
      <c r="D4164" t="s">
        <v>111</v>
      </c>
      <c r="E4164" t="s">
        <v>128</v>
      </c>
      <c r="F4164" t="s">
        <v>163</v>
      </c>
      <c r="G4164" t="s">
        <v>189</v>
      </c>
      <c r="H4164" t="s">
        <v>220</v>
      </c>
      <c r="I4164" t="s">
        <v>241</v>
      </c>
      <c r="J4164" t="s">
        <v>258</v>
      </c>
      <c r="K4164" t="s">
        <v>270</v>
      </c>
      <c r="AK4164" t="s">
        <v>361</v>
      </c>
    </row>
    <row r="4165" spans="1:37">
      <c r="B4165" t="s">
        <v>72</v>
      </c>
      <c r="C4165" t="s">
        <v>72</v>
      </c>
      <c r="D4165" t="s">
        <v>72</v>
      </c>
      <c r="E4165" t="s">
        <v>72</v>
      </c>
      <c r="F4165" t="s">
        <v>72</v>
      </c>
      <c r="G4165" t="s">
        <v>72</v>
      </c>
      <c r="H4165" t="s">
        <v>72</v>
      </c>
      <c r="I4165" t="s">
        <v>72</v>
      </c>
      <c r="J4165" t="s">
        <v>72</v>
      </c>
      <c r="K4165" t="s">
        <v>272</v>
      </c>
      <c r="AK4165" t="s">
        <v>361</v>
      </c>
    </row>
    <row r="4166" spans="1:37">
      <c r="A4166" t="s">
        <v>37</v>
      </c>
      <c r="B4166" t="s">
        <v>49</v>
      </c>
      <c r="C4166" t="s">
        <v>73</v>
      </c>
      <c r="D4166" t="s">
        <v>94</v>
      </c>
      <c r="E4166" t="s">
        <v>112</v>
      </c>
      <c r="F4166" t="s">
        <v>146</v>
      </c>
      <c r="G4166" t="s">
        <v>172</v>
      </c>
      <c r="H4166" t="s">
        <v>207</v>
      </c>
      <c r="I4166" t="s">
        <v>226</v>
      </c>
      <c r="J4166" t="s">
        <v>246</v>
      </c>
      <c r="K4166" t="s">
        <v>259</v>
      </c>
      <c r="AK4166" t="s">
        <v>361</v>
      </c>
    </row>
    <row r="4167" spans="1:37">
      <c r="A4167" t="s">
        <v>38</v>
      </c>
      <c r="B4167" t="s">
        <v>50</v>
      </c>
      <c r="C4167" t="s">
        <v>74</v>
      </c>
      <c r="D4167" t="s">
        <v>95</v>
      </c>
      <c r="E4167" t="s">
        <v>113</v>
      </c>
      <c r="F4167" t="s">
        <v>147</v>
      </c>
      <c r="G4167" t="s">
        <v>173</v>
      </c>
      <c r="H4167" t="s">
        <v>208</v>
      </c>
      <c r="I4167" t="s">
        <v>227</v>
      </c>
      <c r="J4167" t="s">
        <v>115</v>
      </c>
      <c r="K4167" t="s">
        <v>260</v>
      </c>
      <c r="L4167" t="s">
        <v>273</v>
      </c>
      <c r="M4167" t="s">
        <v>282</v>
      </c>
      <c r="N4167" t="s">
        <v>291</v>
      </c>
      <c r="AK4167" t="s">
        <v>361</v>
      </c>
    </row>
    <row r="4168" spans="1:37">
      <c r="B4168" t="s">
        <v>51</v>
      </c>
      <c r="C4168" t="s">
        <v>75</v>
      </c>
      <c r="D4168" t="s">
        <v>52</v>
      </c>
      <c r="E4168" t="s">
        <v>114</v>
      </c>
      <c r="F4168" t="s">
        <v>148</v>
      </c>
      <c r="G4168" t="s">
        <v>148</v>
      </c>
      <c r="H4168" t="s">
        <v>209</v>
      </c>
      <c r="I4168" t="s">
        <v>228</v>
      </c>
      <c r="J4168" t="s">
        <v>247</v>
      </c>
      <c r="K4168" t="s">
        <v>261</v>
      </c>
      <c r="L4168" t="s">
        <v>274</v>
      </c>
      <c r="M4168" t="s">
        <v>283</v>
      </c>
      <c r="N4168" t="s">
        <v>292</v>
      </c>
      <c r="O4168" t="s">
        <v>300</v>
      </c>
      <c r="AK4168" t="s">
        <v>361</v>
      </c>
    </row>
    <row r="4169" spans="1:37">
      <c r="B4169" t="s">
        <v>52</v>
      </c>
      <c r="C4169" t="s">
        <v>76</v>
      </c>
      <c r="D4169" t="s">
        <v>96</v>
      </c>
      <c r="E4169" t="s">
        <v>115</v>
      </c>
      <c r="F4169" t="s">
        <v>149</v>
      </c>
      <c r="G4169" t="s">
        <v>174</v>
      </c>
      <c r="H4169" t="s">
        <v>96</v>
      </c>
      <c r="I4169" t="s">
        <v>229</v>
      </c>
      <c r="J4169" t="s">
        <v>248</v>
      </c>
      <c r="K4169" t="s">
        <v>262</v>
      </c>
      <c r="L4169" t="s">
        <v>52</v>
      </c>
      <c r="M4169" t="s">
        <v>76</v>
      </c>
      <c r="N4169" t="s">
        <v>293</v>
      </c>
      <c r="O4169" t="s">
        <v>301</v>
      </c>
      <c r="P4169" t="s">
        <v>309</v>
      </c>
      <c r="Q4169" t="s">
        <v>315</v>
      </c>
      <c r="R4169" t="s">
        <v>228</v>
      </c>
      <c r="S4169" t="s">
        <v>328</v>
      </c>
      <c r="T4169" t="s">
        <v>149</v>
      </c>
      <c r="U4169" t="s">
        <v>337</v>
      </c>
      <c r="V4169" t="s">
        <v>341</v>
      </c>
      <c r="W4169" t="s">
        <v>345</v>
      </c>
      <c r="X4169" t="s">
        <v>350</v>
      </c>
      <c r="AK4169" t="s">
        <v>361</v>
      </c>
    </row>
    <row r="4170" spans="1:37">
      <c r="B4170" t="s">
        <v>53</v>
      </c>
      <c r="C4170" t="s">
        <v>77</v>
      </c>
      <c r="D4170" t="s">
        <v>97</v>
      </c>
      <c r="E4170" t="s">
        <v>116</v>
      </c>
      <c r="F4170" t="s">
        <v>150</v>
      </c>
      <c r="G4170" t="s">
        <v>175</v>
      </c>
      <c r="H4170" t="s">
        <v>210</v>
      </c>
      <c r="I4170" t="s">
        <v>230</v>
      </c>
      <c r="J4170" t="s">
        <v>249</v>
      </c>
      <c r="K4170" t="s">
        <v>263</v>
      </c>
      <c r="L4170" t="s">
        <v>275</v>
      </c>
      <c r="M4170" t="s">
        <v>284</v>
      </c>
      <c r="N4170" t="s">
        <v>294</v>
      </c>
      <c r="O4170" t="s">
        <v>302</v>
      </c>
      <c r="P4170" t="s">
        <v>310</v>
      </c>
      <c r="Q4170" t="s">
        <v>316</v>
      </c>
      <c r="R4170" t="s">
        <v>322</v>
      </c>
      <c r="S4170" t="s">
        <v>329</v>
      </c>
      <c r="AK4170" t="s">
        <v>361</v>
      </c>
    </row>
    <row r="4171" spans="1:37">
      <c r="A4171" t="s">
        <v>39</v>
      </c>
      <c r="B4171" t="s">
        <v>54</v>
      </c>
      <c r="C4171" t="s">
        <v>54</v>
      </c>
      <c r="D4171" t="s">
        <v>54</v>
      </c>
      <c r="E4171" t="s">
        <v>54</v>
      </c>
      <c r="F4171" t="s">
        <v>54</v>
      </c>
      <c r="G4171" t="s">
        <v>54</v>
      </c>
      <c r="H4171" t="s">
        <v>54</v>
      </c>
      <c r="I4171" t="s">
        <v>54</v>
      </c>
      <c r="J4171" t="s">
        <v>54</v>
      </c>
      <c r="K4171" t="s">
        <v>54</v>
      </c>
      <c r="L4171" t="s">
        <v>54</v>
      </c>
      <c r="M4171" t="s">
        <v>54</v>
      </c>
      <c r="N4171" t="s">
        <v>54</v>
      </c>
      <c r="O4171" t="s">
        <v>54</v>
      </c>
      <c r="P4171" t="s">
        <v>54</v>
      </c>
      <c r="Q4171" t="s">
        <v>54</v>
      </c>
      <c r="R4171" t="s">
        <v>323</v>
      </c>
      <c r="S4171" t="s">
        <v>330</v>
      </c>
      <c r="AK4171" t="s">
        <v>361</v>
      </c>
    </row>
    <row r="4172" spans="1:37">
      <c r="B4172" t="s">
        <v>55</v>
      </c>
      <c r="C4172" t="s">
        <v>78</v>
      </c>
      <c r="D4172" t="s">
        <v>55</v>
      </c>
      <c r="E4172" t="s">
        <v>78</v>
      </c>
      <c r="F4172" t="s">
        <v>55</v>
      </c>
      <c r="G4172" t="s">
        <v>78</v>
      </c>
      <c r="H4172" t="s">
        <v>55</v>
      </c>
      <c r="I4172" t="s">
        <v>78</v>
      </c>
      <c r="J4172" t="s">
        <v>55</v>
      </c>
      <c r="K4172" t="s">
        <v>78</v>
      </c>
      <c r="L4172" t="s">
        <v>55</v>
      </c>
      <c r="M4172" t="s">
        <v>78</v>
      </c>
      <c r="N4172" t="s">
        <v>55</v>
      </c>
      <c r="O4172" t="s">
        <v>78</v>
      </c>
      <c r="P4172" t="s">
        <v>55</v>
      </c>
      <c r="Q4172" t="s">
        <v>78</v>
      </c>
      <c r="R4172" t="s">
        <v>55</v>
      </c>
      <c r="S4172" t="s">
        <v>78</v>
      </c>
      <c r="T4172" t="s">
        <v>55</v>
      </c>
      <c r="U4172" t="s">
        <v>78</v>
      </c>
      <c r="V4172" t="s">
        <v>55</v>
      </c>
      <c r="W4172" t="s">
        <v>78</v>
      </c>
      <c r="X4172" t="s">
        <v>55</v>
      </c>
      <c r="Y4172" t="s">
        <v>78</v>
      </c>
      <c r="Z4172" t="s">
        <v>55</v>
      </c>
      <c r="AA4172" t="s">
        <v>78</v>
      </c>
      <c r="AB4172" t="s">
        <v>55</v>
      </c>
      <c r="AC4172" t="s">
        <v>78</v>
      </c>
      <c r="AD4172" t="s">
        <v>55</v>
      </c>
      <c r="AE4172" t="s">
        <v>78</v>
      </c>
      <c r="AF4172" t="s">
        <v>55</v>
      </c>
      <c r="AG4172" t="s">
        <v>78</v>
      </c>
      <c r="AH4172" t="s">
        <v>55</v>
      </c>
      <c r="AI4172" t="s">
        <v>78</v>
      </c>
      <c r="AK4172" t="s">
        <v>361</v>
      </c>
    </row>
    <row r="4173" spans="1:37">
      <c r="B4173" t="s">
        <v>56</v>
      </c>
      <c r="C4173" t="s">
        <v>56</v>
      </c>
      <c r="D4173" t="s">
        <v>56</v>
      </c>
      <c r="E4173" t="s">
        <v>56</v>
      </c>
      <c r="F4173" t="s">
        <v>56</v>
      </c>
      <c r="G4173" t="s">
        <v>176</v>
      </c>
      <c r="H4173" t="s">
        <v>211</v>
      </c>
      <c r="I4173" t="s">
        <v>231</v>
      </c>
      <c r="J4173" t="s">
        <v>250</v>
      </c>
      <c r="K4173" t="s">
        <v>264</v>
      </c>
      <c r="L4173" t="s">
        <v>276</v>
      </c>
      <c r="M4173" t="s">
        <v>285</v>
      </c>
      <c r="N4173" t="s">
        <v>295</v>
      </c>
      <c r="O4173" t="s">
        <v>303</v>
      </c>
      <c r="P4173" t="s">
        <v>56</v>
      </c>
      <c r="Q4173" t="s">
        <v>317</v>
      </c>
      <c r="R4173" t="s">
        <v>324</v>
      </c>
      <c r="S4173" t="s">
        <v>331</v>
      </c>
      <c r="T4173" t="s">
        <v>334</v>
      </c>
      <c r="U4173" t="s">
        <v>338</v>
      </c>
      <c r="V4173" t="s">
        <v>342</v>
      </c>
      <c r="W4173" t="s">
        <v>346</v>
      </c>
      <c r="X4173" t="s">
        <v>351</v>
      </c>
      <c r="AK4173" t="s">
        <v>361</v>
      </c>
    </row>
    <row r="4174" spans="1:37">
      <c r="B4174" t="s">
        <v>57</v>
      </c>
      <c r="C4174" t="s">
        <v>79</v>
      </c>
      <c r="D4174" t="s">
        <v>98</v>
      </c>
      <c r="E4174" t="s">
        <v>117</v>
      </c>
      <c r="F4174" t="s">
        <v>151</v>
      </c>
      <c r="G4174" t="s">
        <v>177</v>
      </c>
      <c r="H4174" t="s">
        <v>212</v>
      </c>
      <c r="I4174" t="s">
        <v>232</v>
      </c>
      <c r="J4174" t="s">
        <v>251</v>
      </c>
      <c r="K4174" t="s">
        <v>265</v>
      </c>
      <c r="L4174" t="s">
        <v>277</v>
      </c>
      <c r="M4174" t="s">
        <v>286</v>
      </c>
      <c r="N4174" t="s">
        <v>296</v>
      </c>
      <c r="O4174" t="s">
        <v>304</v>
      </c>
      <c r="P4174" t="s">
        <v>311</v>
      </c>
      <c r="Q4174" t="s">
        <v>318</v>
      </c>
      <c r="R4174" t="s">
        <v>185</v>
      </c>
      <c r="S4174" t="s">
        <v>159</v>
      </c>
      <c r="T4174" t="s">
        <v>185</v>
      </c>
      <c r="U4174" t="s">
        <v>339</v>
      </c>
      <c r="V4174" t="s">
        <v>72</v>
      </c>
      <c r="W4174" t="s">
        <v>347</v>
      </c>
      <c r="X4174" t="s">
        <v>72</v>
      </c>
      <c r="Y4174" t="s">
        <v>96</v>
      </c>
      <c r="AK4174" t="s">
        <v>361</v>
      </c>
    </row>
    <row r="4175" spans="1:37">
      <c r="B4175" t="s">
        <v>58</v>
      </c>
      <c r="C4175" t="s">
        <v>80</v>
      </c>
      <c r="D4175" t="s">
        <v>99</v>
      </c>
      <c r="E4175" t="s">
        <v>118</v>
      </c>
      <c r="F4175" t="s">
        <v>152</v>
      </c>
      <c r="G4175" t="s">
        <v>178</v>
      </c>
      <c r="H4175" t="s">
        <v>213</v>
      </c>
      <c r="I4175" t="s">
        <v>233</v>
      </c>
      <c r="J4175" t="s">
        <v>252</v>
      </c>
      <c r="K4175" t="s">
        <v>266</v>
      </c>
      <c r="L4175" t="s">
        <v>278</v>
      </c>
      <c r="M4175" t="s">
        <v>287</v>
      </c>
      <c r="N4175" t="s">
        <v>297</v>
      </c>
      <c r="O4175" t="s">
        <v>305</v>
      </c>
      <c r="P4175" t="s">
        <v>312</v>
      </c>
      <c r="Q4175" t="s">
        <v>319</v>
      </c>
      <c r="R4175">
        <f>&gt;10       ветра      2.0     17  31</f>
        <v>0</v>
      </c>
      <c r="AK4175" t="s">
        <v>361</v>
      </c>
    </row>
    <row r="4176" spans="1:37">
      <c r="A4176" t="s">
        <v>40</v>
      </c>
      <c r="B4176" t="s">
        <v>59</v>
      </c>
      <c r="C4176" t="s">
        <v>81</v>
      </c>
      <c r="D4176" t="s">
        <v>100</v>
      </c>
      <c r="E4176" t="s">
        <v>119</v>
      </c>
      <c r="F4176" t="s">
        <v>153</v>
      </c>
      <c r="G4176" t="s">
        <v>179</v>
      </c>
      <c r="H4176" t="s">
        <v>214</v>
      </c>
      <c r="I4176" t="s">
        <v>234</v>
      </c>
      <c r="AK4176" t="s">
        <v>361</v>
      </c>
    </row>
    <row r="4177" spans="1:37">
      <c r="A4177" t="s">
        <v>40</v>
      </c>
      <c r="B4177" t="s">
        <v>60</v>
      </c>
      <c r="C4177" t="s">
        <v>82</v>
      </c>
      <c r="D4177" t="s">
        <v>101</v>
      </c>
      <c r="E4177" t="s">
        <v>120</v>
      </c>
      <c r="F4177" t="s">
        <v>154</v>
      </c>
      <c r="G4177" t="s">
        <v>180</v>
      </c>
      <c r="H4177" t="s">
        <v>215</v>
      </c>
      <c r="I4177" t="s">
        <v>235</v>
      </c>
      <c r="J4177" t="s">
        <v>253</v>
      </c>
      <c r="K4177" t="s">
        <v>267</v>
      </c>
      <c r="L4177" t="s">
        <v>279</v>
      </c>
      <c r="M4177" t="s">
        <v>288</v>
      </c>
      <c r="N4177" t="s">
        <v>100</v>
      </c>
      <c r="O4177" t="s">
        <v>306</v>
      </c>
      <c r="P4177" t="s">
        <v>313</v>
      </c>
      <c r="Q4177" t="s">
        <v>320</v>
      </c>
      <c r="R4177" t="s">
        <v>325</v>
      </c>
      <c r="S4177" t="s">
        <v>332</v>
      </c>
      <c r="T4177" t="s">
        <v>119</v>
      </c>
      <c r="U4177" t="s">
        <v>234</v>
      </c>
      <c r="V4177" t="s">
        <v>343</v>
      </c>
      <c r="W4177" t="s">
        <v>348</v>
      </c>
      <c r="X4177" t="s">
        <v>352</v>
      </c>
      <c r="Y4177" t="s">
        <v>354</v>
      </c>
      <c r="AK4177" t="s">
        <v>361</v>
      </c>
    </row>
    <row r="4178" spans="1:37">
      <c r="A4178" t="s">
        <v>41</v>
      </c>
      <c r="B4178" t="s">
        <v>61</v>
      </c>
      <c r="C4178" t="s">
        <v>83</v>
      </c>
      <c r="D4178" t="s">
        <v>102</v>
      </c>
      <c r="E4178" t="s">
        <v>121</v>
      </c>
      <c r="F4178" t="s">
        <v>155</v>
      </c>
      <c r="G4178" t="s">
        <v>181</v>
      </c>
      <c r="H4178" t="s">
        <v>216</v>
      </c>
      <c r="I4178" t="s">
        <v>236</v>
      </c>
      <c r="AK4178" t="s">
        <v>361</v>
      </c>
    </row>
    <row r="4179" spans="1:37">
      <c r="A4179" t="s">
        <v>42</v>
      </c>
      <c r="B4179" t="s">
        <v>62</v>
      </c>
      <c r="C4179" t="s">
        <v>84</v>
      </c>
      <c r="D4179" t="s">
        <v>103</v>
      </c>
      <c r="E4179" t="s">
        <v>122</v>
      </c>
      <c r="F4179" t="s">
        <v>156</v>
      </c>
      <c r="G4179" t="s">
        <v>182</v>
      </c>
      <c r="H4179" t="s">
        <v>83</v>
      </c>
      <c r="I4179" t="s">
        <v>237</v>
      </c>
      <c r="J4179" t="s">
        <v>254</v>
      </c>
      <c r="K4179" t="s">
        <v>268</v>
      </c>
      <c r="L4179" t="s">
        <v>280</v>
      </c>
      <c r="M4179" t="s">
        <v>289</v>
      </c>
      <c r="N4179" t="s">
        <v>298</v>
      </c>
      <c r="O4179" t="s">
        <v>307</v>
      </c>
      <c r="P4179" t="s">
        <v>314</v>
      </c>
      <c r="Q4179" t="s">
        <v>216</v>
      </c>
      <c r="R4179" t="s">
        <v>326</v>
      </c>
      <c r="S4179" t="s">
        <v>333</v>
      </c>
      <c r="T4179" t="s">
        <v>335</v>
      </c>
      <c r="U4179" t="s">
        <v>340</v>
      </c>
      <c r="V4179" t="s">
        <v>344</v>
      </c>
      <c r="W4179" t="s">
        <v>349</v>
      </c>
      <c r="AK4179" t="s">
        <v>361</v>
      </c>
    </row>
    <row r="4180" spans="1:37">
      <c r="A4180" t="s">
        <v>43</v>
      </c>
      <c r="B4180" t="s">
        <v>63</v>
      </c>
      <c r="C4180" t="s">
        <v>85</v>
      </c>
      <c r="D4180" t="s">
        <v>104</v>
      </c>
      <c r="E4180" t="s">
        <v>123</v>
      </c>
      <c r="F4180" t="s">
        <v>157</v>
      </c>
      <c r="G4180" t="s">
        <v>183</v>
      </c>
      <c r="AK4180" t="s">
        <v>361</v>
      </c>
    </row>
    <row r="4181" spans="1:37">
      <c r="A4181" t="s">
        <v>44</v>
      </c>
      <c r="B4181" t="s">
        <v>64</v>
      </c>
      <c r="C4181" t="s">
        <v>86</v>
      </c>
      <c r="D4181" t="s">
        <v>105</v>
      </c>
      <c r="E4181" t="s">
        <v>124</v>
      </c>
      <c r="F4181" t="s">
        <v>158</v>
      </c>
      <c r="G4181" t="s">
        <v>184</v>
      </c>
      <c r="AK4181" t="s">
        <v>361</v>
      </c>
    </row>
    <row r="4182" spans="1:37">
      <c r="A4182" t="s">
        <v>45</v>
      </c>
      <c r="B4182" t="s">
        <v>65</v>
      </c>
      <c r="C4182" t="s">
        <v>87</v>
      </c>
      <c r="D4182" t="s">
        <v>106</v>
      </c>
      <c r="E4182" t="s">
        <v>125</v>
      </c>
      <c r="F4182" t="s">
        <v>159</v>
      </c>
      <c r="G4182" t="s">
        <v>185</v>
      </c>
      <c r="H4182" t="s">
        <v>159</v>
      </c>
      <c r="I4182" t="s">
        <v>185</v>
      </c>
      <c r="J4182" t="s">
        <v>255</v>
      </c>
      <c r="AK4182" t="s">
        <v>361</v>
      </c>
    </row>
    <row r="4183" spans="1:37">
      <c r="A4183" t="s">
        <v>46</v>
      </c>
      <c r="B4183" t="s">
        <v>66</v>
      </c>
      <c r="C4183" t="s">
        <v>88</v>
      </c>
      <c r="D4183" t="s">
        <v>76</v>
      </c>
      <c r="E4183" t="s">
        <v>126</v>
      </c>
      <c r="F4183" t="s">
        <v>160</v>
      </c>
      <c r="G4183" t="s">
        <v>186</v>
      </c>
      <c r="H4183" t="s">
        <v>217</v>
      </c>
      <c r="I4183" t="s">
        <v>238</v>
      </c>
      <c r="J4183" t="s">
        <v>256</v>
      </c>
      <c r="K4183" t="s">
        <v>265</v>
      </c>
      <c r="L4183" t="s">
        <v>281</v>
      </c>
      <c r="M4183" t="s">
        <v>290</v>
      </c>
      <c r="N4183" t="s">
        <v>299</v>
      </c>
      <c r="O4183" t="s">
        <v>308</v>
      </c>
      <c r="P4183" t="s">
        <v>228</v>
      </c>
      <c r="Q4183" t="s">
        <v>72</v>
      </c>
      <c r="R4183" t="s">
        <v>327</v>
      </c>
      <c r="S4183" t="s">
        <v>327</v>
      </c>
      <c r="T4183" t="s">
        <v>336</v>
      </c>
      <c r="U4183" t="s">
        <v>336</v>
      </c>
      <c r="V4183" t="s">
        <v>336</v>
      </c>
      <c r="W4183" t="s">
        <v>336</v>
      </c>
      <c r="X4183" t="s">
        <v>353</v>
      </c>
      <c r="AK4183" t="s">
        <v>361</v>
      </c>
    </row>
    <row r="4184" spans="1:37">
      <c r="B4184" t="s">
        <v>67</v>
      </c>
      <c r="C4184" t="s">
        <v>89</v>
      </c>
      <c r="D4184" t="s">
        <v>107</v>
      </c>
      <c r="AK4184" t="s">
        <v>361</v>
      </c>
    </row>
    <row r="4185" spans="1:37">
      <c r="B4185" t="s">
        <v>68</v>
      </c>
      <c r="C4185" t="s">
        <v>90</v>
      </c>
      <c r="D4185" t="s">
        <v>108</v>
      </c>
      <c r="AK4185" t="s">
        <v>361</v>
      </c>
    </row>
    <row r="4186" spans="1:37">
      <c r="A4186" t="s">
        <v>47</v>
      </c>
      <c r="B4186" t="s">
        <v>69</v>
      </c>
      <c r="C4186" t="s">
        <v>91</v>
      </c>
      <c r="D4186" t="s">
        <v>109</v>
      </c>
      <c r="E4186" t="s">
        <v>109</v>
      </c>
      <c r="F4186" t="s">
        <v>109</v>
      </c>
      <c r="G4186" t="s">
        <v>109</v>
      </c>
      <c r="H4186" t="s">
        <v>109</v>
      </c>
      <c r="I4186" t="s">
        <v>239</v>
      </c>
      <c r="AK4186" t="s">
        <v>361</v>
      </c>
    </row>
    <row r="4187" spans="1:37">
      <c r="B4187" t="s">
        <v>70</v>
      </c>
      <c r="C4187" t="s">
        <v>92</v>
      </c>
      <c r="D4187" t="s">
        <v>110</v>
      </c>
      <c r="E4187" t="s">
        <v>127</v>
      </c>
      <c r="F4187" t="s">
        <v>161</v>
      </c>
      <c r="G4187" t="s">
        <v>187</v>
      </c>
      <c r="H4187" t="s">
        <v>218</v>
      </c>
      <c r="AK4187" t="s">
        <v>361</v>
      </c>
    </row>
    <row r="4188" spans="1:37">
      <c r="B4188" t="s">
        <v>71</v>
      </c>
      <c r="C4188" t="s">
        <v>93</v>
      </c>
      <c r="D4188" t="s">
        <v>111</v>
      </c>
      <c r="E4188" t="s">
        <v>128</v>
      </c>
      <c r="F4188" t="s">
        <v>162</v>
      </c>
      <c r="G4188" t="s">
        <v>188</v>
      </c>
      <c r="H4188" t="s">
        <v>219</v>
      </c>
      <c r="I4188" t="s">
        <v>240</v>
      </c>
      <c r="J4188" t="s">
        <v>257</v>
      </c>
      <c r="K4188" t="s">
        <v>269</v>
      </c>
      <c r="L4188" t="s">
        <v>109</v>
      </c>
      <c r="M4188" t="s">
        <v>109</v>
      </c>
      <c r="N4188" t="s">
        <v>109</v>
      </c>
      <c r="O4188" t="s">
        <v>109</v>
      </c>
      <c r="P4188" t="s">
        <v>109</v>
      </c>
      <c r="Q4188" t="s">
        <v>321</v>
      </c>
      <c r="AK4188" t="s">
        <v>361</v>
      </c>
    </row>
    <row r="4189" spans="1:37">
      <c r="A4189" t="s">
        <v>48</v>
      </c>
      <c r="B4189" t="s">
        <v>71</v>
      </c>
      <c r="C4189" t="s">
        <v>93</v>
      </c>
      <c r="D4189" t="s">
        <v>111</v>
      </c>
      <c r="E4189" t="s">
        <v>128</v>
      </c>
      <c r="F4189" t="s">
        <v>163</v>
      </c>
      <c r="G4189" t="s">
        <v>189</v>
      </c>
      <c r="H4189" t="s">
        <v>220</v>
      </c>
      <c r="I4189" t="s">
        <v>241</v>
      </c>
      <c r="J4189" t="s">
        <v>258</v>
      </c>
      <c r="K4189" t="s">
        <v>270</v>
      </c>
      <c r="AK4189" t="s">
        <v>361</v>
      </c>
    </row>
    <row r="4190" spans="1:37">
      <c r="B4190" t="s">
        <v>72</v>
      </c>
      <c r="C4190" t="s">
        <v>72</v>
      </c>
      <c r="D4190" t="s">
        <v>72</v>
      </c>
      <c r="E4190" t="s">
        <v>139</v>
      </c>
      <c r="F4190" t="s">
        <v>139</v>
      </c>
      <c r="G4190" t="s">
        <v>192</v>
      </c>
      <c r="H4190" t="s">
        <v>192</v>
      </c>
      <c r="I4190" t="s">
        <v>192</v>
      </c>
      <c r="J4190" t="s">
        <v>192</v>
      </c>
      <c r="K4190" t="s">
        <v>271</v>
      </c>
      <c r="AK4190" t="s">
        <v>361</v>
      </c>
    </row>
    <row r="4191" spans="1:37">
      <c r="A4191" t="s">
        <v>37</v>
      </c>
      <c r="B4191" t="s">
        <v>49</v>
      </c>
      <c r="C4191" t="s">
        <v>73</v>
      </c>
      <c r="D4191" t="s">
        <v>94</v>
      </c>
      <c r="E4191" t="s">
        <v>112</v>
      </c>
      <c r="F4191" t="s">
        <v>146</v>
      </c>
      <c r="G4191" t="s">
        <v>172</v>
      </c>
      <c r="H4191" t="s">
        <v>207</v>
      </c>
      <c r="I4191" t="s">
        <v>226</v>
      </c>
      <c r="J4191" t="s">
        <v>246</v>
      </c>
      <c r="K4191" t="s">
        <v>259</v>
      </c>
      <c r="AK4191" t="s">
        <v>361</v>
      </c>
    </row>
    <row r="4192" spans="1:37">
      <c r="A4192" t="s">
        <v>38</v>
      </c>
      <c r="B4192" t="s">
        <v>50</v>
      </c>
      <c r="C4192" t="s">
        <v>74</v>
      </c>
      <c r="D4192" t="s">
        <v>95</v>
      </c>
      <c r="E4192" t="s">
        <v>113</v>
      </c>
      <c r="F4192" t="s">
        <v>147</v>
      </c>
      <c r="G4192" t="s">
        <v>173</v>
      </c>
      <c r="H4192" t="s">
        <v>208</v>
      </c>
      <c r="I4192" t="s">
        <v>227</v>
      </c>
      <c r="J4192" t="s">
        <v>115</v>
      </c>
      <c r="K4192" t="s">
        <v>260</v>
      </c>
      <c r="L4192" t="s">
        <v>273</v>
      </c>
      <c r="M4192" t="s">
        <v>282</v>
      </c>
      <c r="N4192" t="s">
        <v>291</v>
      </c>
      <c r="AK4192" t="s">
        <v>361</v>
      </c>
    </row>
    <row r="4193" spans="1:37">
      <c r="B4193" t="s">
        <v>51</v>
      </c>
      <c r="C4193" t="s">
        <v>75</v>
      </c>
      <c r="D4193" t="s">
        <v>52</v>
      </c>
      <c r="E4193" t="s">
        <v>114</v>
      </c>
      <c r="F4193" t="s">
        <v>148</v>
      </c>
      <c r="G4193" t="s">
        <v>148</v>
      </c>
      <c r="H4193" t="s">
        <v>209</v>
      </c>
      <c r="I4193" t="s">
        <v>228</v>
      </c>
      <c r="J4193" t="s">
        <v>247</v>
      </c>
      <c r="K4193" t="s">
        <v>261</v>
      </c>
      <c r="L4193" t="s">
        <v>274</v>
      </c>
      <c r="M4193" t="s">
        <v>283</v>
      </c>
      <c r="N4193" t="s">
        <v>292</v>
      </c>
      <c r="O4193" t="s">
        <v>300</v>
      </c>
      <c r="AK4193" t="s">
        <v>361</v>
      </c>
    </row>
    <row r="4194" spans="1:37">
      <c r="B4194" t="s">
        <v>52</v>
      </c>
      <c r="C4194" t="s">
        <v>76</v>
      </c>
      <c r="D4194" t="s">
        <v>96</v>
      </c>
      <c r="E4194" t="s">
        <v>115</v>
      </c>
      <c r="F4194" t="s">
        <v>149</v>
      </c>
      <c r="G4194" t="s">
        <v>174</v>
      </c>
      <c r="H4194" t="s">
        <v>96</v>
      </c>
      <c r="I4194" t="s">
        <v>229</v>
      </c>
      <c r="J4194" t="s">
        <v>248</v>
      </c>
      <c r="K4194" t="s">
        <v>262</v>
      </c>
      <c r="L4194" t="s">
        <v>52</v>
      </c>
      <c r="M4194" t="s">
        <v>76</v>
      </c>
      <c r="N4194" t="s">
        <v>293</v>
      </c>
      <c r="O4194" t="s">
        <v>301</v>
      </c>
      <c r="P4194" t="s">
        <v>309</v>
      </c>
      <c r="Q4194" t="s">
        <v>315</v>
      </c>
      <c r="R4194" t="s">
        <v>228</v>
      </c>
      <c r="S4194" t="s">
        <v>328</v>
      </c>
      <c r="T4194" t="s">
        <v>149</v>
      </c>
      <c r="U4194" t="s">
        <v>337</v>
      </c>
      <c r="V4194" t="s">
        <v>341</v>
      </c>
      <c r="W4194" t="s">
        <v>345</v>
      </c>
      <c r="X4194" t="s">
        <v>350</v>
      </c>
      <c r="AK4194" t="s">
        <v>361</v>
      </c>
    </row>
    <row r="4195" spans="1:37">
      <c r="B4195" t="s">
        <v>53</v>
      </c>
      <c r="C4195" t="s">
        <v>77</v>
      </c>
      <c r="D4195" t="s">
        <v>97</v>
      </c>
      <c r="E4195" t="s">
        <v>116</v>
      </c>
      <c r="F4195" t="s">
        <v>150</v>
      </c>
      <c r="G4195" t="s">
        <v>175</v>
      </c>
      <c r="H4195" t="s">
        <v>210</v>
      </c>
      <c r="I4195" t="s">
        <v>230</v>
      </c>
      <c r="J4195" t="s">
        <v>249</v>
      </c>
      <c r="K4195" t="s">
        <v>263</v>
      </c>
      <c r="L4195" t="s">
        <v>275</v>
      </c>
      <c r="M4195" t="s">
        <v>284</v>
      </c>
      <c r="N4195" t="s">
        <v>294</v>
      </c>
      <c r="O4195" t="s">
        <v>302</v>
      </c>
      <c r="P4195" t="s">
        <v>310</v>
      </c>
      <c r="Q4195" t="s">
        <v>316</v>
      </c>
      <c r="R4195" t="s">
        <v>322</v>
      </c>
      <c r="S4195" t="s">
        <v>329</v>
      </c>
      <c r="AK4195" t="s">
        <v>361</v>
      </c>
    </row>
    <row r="4196" spans="1:37">
      <c r="A4196" t="s">
        <v>39</v>
      </c>
      <c r="B4196" t="s">
        <v>54</v>
      </c>
      <c r="C4196" t="s">
        <v>54</v>
      </c>
      <c r="D4196" t="s">
        <v>54</v>
      </c>
      <c r="E4196" t="s">
        <v>54</v>
      </c>
      <c r="F4196" t="s">
        <v>54</v>
      </c>
      <c r="G4196" t="s">
        <v>54</v>
      </c>
      <c r="H4196" t="s">
        <v>54</v>
      </c>
      <c r="I4196" t="s">
        <v>54</v>
      </c>
      <c r="J4196" t="s">
        <v>54</v>
      </c>
      <c r="K4196" t="s">
        <v>54</v>
      </c>
      <c r="L4196" t="s">
        <v>54</v>
      </c>
      <c r="M4196" t="s">
        <v>54</v>
      </c>
      <c r="N4196" t="s">
        <v>54</v>
      </c>
      <c r="O4196" t="s">
        <v>54</v>
      </c>
      <c r="P4196" t="s">
        <v>54</v>
      </c>
      <c r="Q4196" t="s">
        <v>54</v>
      </c>
      <c r="R4196" t="s">
        <v>323</v>
      </c>
      <c r="S4196" t="s">
        <v>330</v>
      </c>
      <c r="AK4196" t="s">
        <v>361</v>
      </c>
    </row>
    <row r="4197" spans="1:37">
      <c r="B4197" t="s">
        <v>55</v>
      </c>
      <c r="C4197" t="s">
        <v>78</v>
      </c>
      <c r="D4197" t="s">
        <v>55</v>
      </c>
      <c r="E4197" t="s">
        <v>78</v>
      </c>
      <c r="F4197" t="s">
        <v>55</v>
      </c>
      <c r="G4197" t="s">
        <v>78</v>
      </c>
      <c r="H4197" t="s">
        <v>55</v>
      </c>
      <c r="I4197" t="s">
        <v>78</v>
      </c>
      <c r="J4197" t="s">
        <v>55</v>
      </c>
      <c r="K4197" t="s">
        <v>78</v>
      </c>
      <c r="L4197" t="s">
        <v>55</v>
      </c>
      <c r="M4197" t="s">
        <v>78</v>
      </c>
      <c r="N4197" t="s">
        <v>55</v>
      </c>
      <c r="O4197" t="s">
        <v>78</v>
      </c>
      <c r="P4197" t="s">
        <v>55</v>
      </c>
      <c r="Q4197" t="s">
        <v>78</v>
      </c>
      <c r="R4197" t="s">
        <v>55</v>
      </c>
      <c r="S4197" t="s">
        <v>78</v>
      </c>
      <c r="T4197" t="s">
        <v>55</v>
      </c>
      <c r="U4197" t="s">
        <v>78</v>
      </c>
      <c r="V4197" t="s">
        <v>55</v>
      </c>
      <c r="W4197" t="s">
        <v>78</v>
      </c>
      <c r="X4197" t="s">
        <v>55</v>
      </c>
      <c r="Y4197" t="s">
        <v>78</v>
      </c>
      <c r="Z4197" t="s">
        <v>55</v>
      </c>
      <c r="AA4197" t="s">
        <v>78</v>
      </c>
      <c r="AB4197" t="s">
        <v>55</v>
      </c>
      <c r="AC4197" t="s">
        <v>78</v>
      </c>
      <c r="AD4197" t="s">
        <v>55</v>
      </c>
      <c r="AE4197" t="s">
        <v>78</v>
      </c>
      <c r="AF4197" t="s">
        <v>55</v>
      </c>
      <c r="AG4197" t="s">
        <v>78</v>
      </c>
      <c r="AH4197" t="s">
        <v>55</v>
      </c>
      <c r="AI4197" t="s">
        <v>78</v>
      </c>
      <c r="AK4197" t="s">
        <v>361</v>
      </c>
    </row>
    <row r="4198" spans="1:37">
      <c r="B4198" t="s">
        <v>56</v>
      </c>
      <c r="C4198" t="s">
        <v>56</v>
      </c>
      <c r="D4198" t="s">
        <v>56</v>
      </c>
      <c r="E4198" t="s">
        <v>56</v>
      </c>
      <c r="F4198" t="s">
        <v>56</v>
      </c>
      <c r="G4198" t="s">
        <v>176</v>
      </c>
      <c r="H4198" t="s">
        <v>211</v>
      </c>
      <c r="I4198" t="s">
        <v>231</v>
      </c>
      <c r="J4198" t="s">
        <v>250</v>
      </c>
      <c r="K4198" t="s">
        <v>264</v>
      </c>
      <c r="L4198" t="s">
        <v>276</v>
      </c>
      <c r="M4198" t="s">
        <v>285</v>
      </c>
      <c r="N4198" t="s">
        <v>295</v>
      </c>
      <c r="O4198" t="s">
        <v>303</v>
      </c>
      <c r="P4198" t="s">
        <v>56</v>
      </c>
      <c r="Q4198" t="s">
        <v>317</v>
      </c>
      <c r="R4198" t="s">
        <v>324</v>
      </c>
      <c r="S4198" t="s">
        <v>331</v>
      </c>
      <c r="T4198" t="s">
        <v>334</v>
      </c>
      <c r="U4198" t="s">
        <v>338</v>
      </c>
      <c r="V4198" t="s">
        <v>342</v>
      </c>
      <c r="W4198" t="s">
        <v>346</v>
      </c>
      <c r="X4198" t="s">
        <v>351</v>
      </c>
      <c r="AK4198" t="s">
        <v>361</v>
      </c>
    </row>
    <row r="4199" spans="1:37">
      <c r="B4199" t="s">
        <v>57</v>
      </c>
      <c r="C4199" t="s">
        <v>79</v>
      </c>
      <c r="D4199" t="s">
        <v>98</v>
      </c>
      <c r="E4199" t="s">
        <v>117</v>
      </c>
      <c r="F4199" t="s">
        <v>151</v>
      </c>
      <c r="G4199" t="s">
        <v>177</v>
      </c>
      <c r="H4199" t="s">
        <v>212</v>
      </c>
      <c r="I4199" t="s">
        <v>232</v>
      </c>
      <c r="J4199" t="s">
        <v>251</v>
      </c>
      <c r="K4199" t="s">
        <v>265</v>
      </c>
      <c r="L4199" t="s">
        <v>277</v>
      </c>
      <c r="M4199" t="s">
        <v>286</v>
      </c>
      <c r="N4199" t="s">
        <v>296</v>
      </c>
      <c r="O4199" t="s">
        <v>304</v>
      </c>
      <c r="P4199" t="s">
        <v>311</v>
      </c>
      <c r="Q4199" t="s">
        <v>318</v>
      </c>
      <c r="R4199" t="s">
        <v>185</v>
      </c>
      <c r="S4199" t="s">
        <v>159</v>
      </c>
      <c r="T4199" t="s">
        <v>185</v>
      </c>
      <c r="U4199" t="s">
        <v>339</v>
      </c>
      <c r="V4199" t="s">
        <v>72</v>
      </c>
      <c r="W4199" t="s">
        <v>347</v>
      </c>
      <c r="X4199" t="s">
        <v>72</v>
      </c>
      <c r="Y4199" t="s">
        <v>96</v>
      </c>
      <c r="AK4199" t="s">
        <v>361</v>
      </c>
    </row>
    <row r="4200" spans="1:37">
      <c r="B4200" t="s">
        <v>58</v>
      </c>
      <c r="C4200" t="s">
        <v>80</v>
      </c>
      <c r="D4200" t="s">
        <v>99</v>
      </c>
      <c r="E4200" t="s">
        <v>118</v>
      </c>
      <c r="F4200" t="s">
        <v>152</v>
      </c>
      <c r="G4200" t="s">
        <v>178</v>
      </c>
      <c r="H4200" t="s">
        <v>213</v>
      </c>
      <c r="I4200" t="s">
        <v>233</v>
      </c>
      <c r="J4200" t="s">
        <v>252</v>
      </c>
      <c r="K4200" t="s">
        <v>266</v>
      </c>
      <c r="L4200" t="s">
        <v>278</v>
      </c>
      <c r="M4200" t="s">
        <v>287</v>
      </c>
      <c r="N4200" t="s">
        <v>297</v>
      </c>
      <c r="O4200" t="s">
        <v>305</v>
      </c>
      <c r="P4200" t="s">
        <v>312</v>
      </c>
      <c r="Q4200" t="s">
        <v>319</v>
      </c>
      <c r="R4200">
        <f>&gt;10       ветра      1.4     17   5</f>
        <v>0</v>
      </c>
      <c r="AK4200" t="s">
        <v>361</v>
      </c>
    </row>
    <row r="4201" spans="1:37">
      <c r="A4201" t="s">
        <v>40</v>
      </c>
      <c r="B4201" t="s">
        <v>59</v>
      </c>
      <c r="C4201" t="s">
        <v>81</v>
      </c>
      <c r="D4201" t="s">
        <v>100</v>
      </c>
      <c r="E4201" t="s">
        <v>119</v>
      </c>
      <c r="F4201" t="s">
        <v>153</v>
      </c>
      <c r="G4201" t="s">
        <v>179</v>
      </c>
      <c r="H4201" t="s">
        <v>214</v>
      </c>
      <c r="I4201" t="s">
        <v>234</v>
      </c>
      <c r="AK4201" t="s">
        <v>361</v>
      </c>
    </row>
    <row r="4202" spans="1:37">
      <c r="A4202" t="s">
        <v>40</v>
      </c>
      <c r="B4202" t="s">
        <v>60</v>
      </c>
      <c r="C4202" t="s">
        <v>82</v>
      </c>
      <c r="D4202" t="s">
        <v>101</v>
      </c>
      <c r="E4202" t="s">
        <v>120</v>
      </c>
      <c r="F4202" t="s">
        <v>154</v>
      </c>
      <c r="G4202" t="s">
        <v>180</v>
      </c>
      <c r="H4202" t="s">
        <v>215</v>
      </c>
      <c r="I4202" t="s">
        <v>235</v>
      </c>
      <c r="J4202" t="s">
        <v>253</v>
      </c>
      <c r="K4202" t="s">
        <v>267</v>
      </c>
      <c r="L4202" t="s">
        <v>279</v>
      </c>
      <c r="M4202" t="s">
        <v>288</v>
      </c>
      <c r="N4202" t="s">
        <v>100</v>
      </c>
      <c r="O4202" t="s">
        <v>306</v>
      </c>
      <c r="P4202" t="s">
        <v>313</v>
      </c>
      <c r="Q4202" t="s">
        <v>320</v>
      </c>
      <c r="R4202" t="s">
        <v>325</v>
      </c>
      <c r="S4202" t="s">
        <v>332</v>
      </c>
      <c r="T4202" t="s">
        <v>119</v>
      </c>
      <c r="U4202" t="s">
        <v>234</v>
      </c>
      <c r="V4202" t="s">
        <v>343</v>
      </c>
      <c r="W4202" t="s">
        <v>348</v>
      </c>
      <c r="X4202" t="s">
        <v>352</v>
      </c>
      <c r="Y4202" t="s">
        <v>354</v>
      </c>
      <c r="AK4202" t="s">
        <v>361</v>
      </c>
    </row>
    <row r="4203" spans="1:37">
      <c r="A4203" t="s">
        <v>41</v>
      </c>
      <c r="B4203" t="s">
        <v>61</v>
      </c>
      <c r="C4203" t="s">
        <v>83</v>
      </c>
      <c r="D4203" t="s">
        <v>102</v>
      </c>
      <c r="E4203" t="s">
        <v>121</v>
      </c>
      <c r="F4203" t="s">
        <v>155</v>
      </c>
      <c r="G4203" t="s">
        <v>181</v>
      </c>
      <c r="H4203" t="s">
        <v>216</v>
      </c>
      <c r="I4203" t="s">
        <v>236</v>
      </c>
      <c r="AK4203" t="s">
        <v>361</v>
      </c>
    </row>
    <row r="4204" spans="1:37">
      <c r="A4204" t="s">
        <v>42</v>
      </c>
      <c r="B4204" t="s">
        <v>62</v>
      </c>
      <c r="C4204" t="s">
        <v>84</v>
      </c>
      <c r="D4204" t="s">
        <v>103</v>
      </c>
      <c r="E4204" t="s">
        <v>122</v>
      </c>
      <c r="F4204" t="s">
        <v>156</v>
      </c>
      <c r="G4204" t="s">
        <v>182</v>
      </c>
      <c r="H4204" t="s">
        <v>83</v>
      </c>
      <c r="I4204" t="s">
        <v>237</v>
      </c>
      <c r="J4204" t="s">
        <v>254</v>
      </c>
      <c r="K4204" t="s">
        <v>268</v>
      </c>
      <c r="L4204" t="s">
        <v>280</v>
      </c>
      <c r="M4204" t="s">
        <v>289</v>
      </c>
      <c r="N4204" t="s">
        <v>298</v>
      </c>
      <c r="O4204" t="s">
        <v>307</v>
      </c>
      <c r="P4204" t="s">
        <v>314</v>
      </c>
      <c r="Q4204" t="s">
        <v>216</v>
      </c>
      <c r="R4204" t="s">
        <v>326</v>
      </c>
      <c r="S4204" t="s">
        <v>333</v>
      </c>
      <c r="T4204" t="s">
        <v>335</v>
      </c>
      <c r="U4204" t="s">
        <v>340</v>
      </c>
      <c r="V4204" t="s">
        <v>344</v>
      </c>
      <c r="W4204" t="s">
        <v>349</v>
      </c>
      <c r="AK4204" t="s">
        <v>361</v>
      </c>
    </row>
    <row r="4205" spans="1:37">
      <c r="A4205" t="s">
        <v>43</v>
      </c>
      <c r="B4205" t="s">
        <v>63</v>
      </c>
      <c r="C4205" t="s">
        <v>85</v>
      </c>
      <c r="D4205" t="s">
        <v>104</v>
      </c>
      <c r="E4205" t="s">
        <v>123</v>
      </c>
      <c r="F4205" t="s">
        <v>157</v>
      </c>
      <c r="G4205" t="s">
        <v>183</v>
      </c>
      <c r="AK4205" t="s">
        <v>361</v>
      </c>
    </row>
    <row r="4206" spans="1:37">
      <c r="A4206" t="s">
        <v>44</v>
      </c>
      <c r="B4206" t="s">
        <v>64</v>
      </c>
      <c r="C4206" t="s">
        <v>86</v>
      </c>
      <c r="D4206" t="s">
        <v>105</v>
      </c>
      <c r="E4206" t="s">
        <v>124</v>
      </c>
      <c r="F4206" t="s">
        <v>158</v>
      </c>
      <c r="G4206" t="s">
        <v>184</v>
      </c>
      <c r="AK4206" t="s">
        <v>361</v>
      </c>
    </row>
    <row r="4207" spans="1:37">
      <c r="A4207" t="s">
        <v>45</v>
      </c>
      <c r="B4207" t="s">
        <v>65</v>
      </c>
      <c r="C4207" t="s">
        <v>87</v>
      </c>
      <c r="D4207" t="s">
        <v>106</v>
      </c>
      <c r="E4207" t="s">
        <v>125</v>
      </c>
      <c r="F4207" t="s">
        <v>159</v>
      </c>
      <c r="G4207" t="s">
        <v>185</v>
      </c>
      <c r="H4207" t="s">
        <v>159</v>
      </c>
      <c r="I4207" t="s">
        <v>185</v>
      </c>
      <c r="J4207" t="s">
        <v>255</v>
      </c>
      <c r="AK4207" t="s">
        <v>361</v>
      </c>
    </row>
    <row r="4208" spans="1:37">
      <c r="A4208" t="s">
        <v>46</v>
      </c>
      <c r="B4208" t="s">
        <v>66</v>
      </c>
      <c r="C4208" t="s">
        <v>88</v>
      </c>
      <c r="D4208" t="s">
        <v>76</v>
      </c>
      <c r="E4208" t="s">
        <v>126</v>
      </c>
      <c r="F4208" t="s">
        <v>160</v>
      </c>
      <c r="G4208" t="s">
        <v>186</v>
      </c>
      <c r="H4208" t="s">
        <v>217</v>
      </c>
      <c r="I4208" t="s">
        <v>238</v>
      </c>
      <c r="J4208" t="s">
        <v>256</v>
      </c>
      <c r="K4208" t="s">
        <v>265</v>
      </c>
      <c r="L4208" t="s">
        <v>281</v>
      </c>
      <c r="M4208" t="s">
        <v>290</v>
      </c>
      <c r="N4208" t="s">
        <v>299</v>
      </c>
      <c r="O4208" t="s">
        <v>308</v>
      </c>
      <c r="P4208" t="s">
        <v>228</v>
      </c>
      <c r="Q4208" t="s">
        <v>72</v>
      </c>
      <c r="R4208" t="s">
        <v>327</v>
      </c>
      <c r="S4208" t="s">
        <v>327</v>
      </c>
      <c r="T4208" t="s">
        <v>336</v>
      </c>
      <c r="U4208" t="s">
        <v>336</v>
      </c>
      <c r="V4208" t="s">
        <v>336</v>
      </c>
      <c r="W4208" t="s">
        <v>336</v>
      </c>
      <c r="X4208" t="s">
        <v>353</v>
      </c>
      <c r="AK4208" t="s">
        <v>361</v>
      </c>
    </row>
    <row r="4209" spans="1:37">
      <c r="B4209" t="s">
        <v>67</v>
      </c>
      <c r="C4209" t="s">
        <v>89</v>
      </c>
      <c r="D4209" t="s">
        <v>107</v>
      </c>
      <c r="AK4209" t="s">
        <v>361</v>
      </c>
    </row>
    <row r="4210" spans="1:37">
      <c r="B4210" t="s">
        <v>68</v>
      </c>
      <c r="C4210" t="s">
        <v>90</v>
      </c>
      <c r="D4210" t="s">
        <v>108</v>
      </c>
      <c r="AK4210" t="s">
        <v>361</v>
      </c>
    </row>
    <row r="4211" spans="1:37">
      <c r="A4211" t="s">
        <v>47</v>
      </c>
      <c r="B4211" t="s">
        <v>69</v>
      </c>
      <c r="C4211" t="s">
        <v>91</v>
      </c>
      <c r="D4211" t="s">
        <v>109</v>
      </c>
      <c r="E4211" t="s">
        <v>109</v>
      </c>
      <c r="F4211" t="s">
        <v>109</v>
      </c>
      <c r="G4211" t="s">
        <v>109</v>
      </c>
      <c r="H4211" t="s">
        <v>109</v>
      </c>
      <c r="I4211" t="s">
        <v>239</v>
      </c>
      <c r="AK4211" t="s">
        <v>361</v>
      </c>
    </row>
    <row r="4212" spans="1:37">
      <c r="B4212" t="s">
        <v>70</v>
      </c>
      <c r="C4212" t="s">
        <v>92</v>
      </c>
      <c r="D4212" t="s">
        <v>110</v>
      </c>
      <c r="E4212" t="s">
        <v>127</v>
      </c>
      <c r="F4212" t="s">
        <v>161</v>
      </c>
      <c r="G4212" t="s">
        <v>187</v>
      </c>
      <c r="H4212" t="s">
        <v>218</v>
      </c>
      <c r="AK4212" t="s">
        <v>361</v>
      </c>
    </row>
    <row r="4213" spans="1:37">
      <c r="B4213" t="s">
        <v>71</v>
      </c>
      <c r="C4213" t="s">
        <v>93</v>
      </c>
      <c r="D4213" t="s">
        <v>111</v>
      </c>
      <c r="E4213" t="s">
        <v>128</v>
      </c>
      <c r="F4213" t="s">
        <v>162</v>
      </c>
      <c r="G4213" t="s">
        <v>188</v>
      </c>
      <c r="H4213" t="s">
        <v>219</v>
      </c>
      <c r="I4213" t="s">
        <v>240</v>
      </c>
      <c r="J4213" t="s">
        <v>257</v>
      </c>
      <c r="K4213" t="s">
        <v>269</v>
      </c>
      <c r="L4213" t="s">
        <v>109</v>
      </c>
      <c r="M4213" t="s">
        <v>109</v>
      </c>
      <c r="N4213" t="s">
        <v>109</v>
      </c>
      <c r="O4213" t="s">
        <v>109</v>
      </c>
      <c r="P4213" t="s">
        <v>109</v>
      </c>
      <c r="Q4213" t="s">
        <v>321</v>
      </c>
      <c r="AK4213" t="s">
        <v>361</v>
      </c>
    </row>
    <row r="4214" spans="1:37">
      <c r="A4214" t="s">
        <v>48</v>
      </c>
      <c r="B4214" t="s">
        <v>71</v>
      </c>
      <c r="C4214" t="s">
        <v>93</v>
      </c>
      <c r="D4214" t="s">
        <v>111</v>
      </c>
      <c r="E4214" t="s">
        <v>128</v>
      </c>
      <c r="F4214" t="s">
        <v>163</v>
      </c>
      <c r="G4214" t="s">
        <v>189</v>
      </c>
      <c r="H4214" t="s">
        <v>220</v>
      </c>
      <c r="I4214" t="s">
        <v>241</v>
      </c>
      <c r="J4214" t="s">
        <v>258</v>
      </c>
      <c r="K4214" t="s">
        <v>270</v>
      </c>
      <c r="AK4214" t="s">
        <v>361</v>
      </c>
    </row>
    <row r="4215" spans="1:37">
      <c r="B4215" t="s">
        <v>72</v>
      </c>
      <c r="C4215" t="s">
        <v>72</v>
      </c>
      <c r="D4215" t="s">
        <v>72</v>
      </c>
      <c r="E4215" t="s">
        <v>72</v>
      </c>
      <c r="F4215" t="s">
        <v>72</v>
      </c>
      <c r="G4215" t="s">
        <v>72</v>
      </c>
      <c r="H4215" t="s">
        <v>72</v>
      </c>
      <c r="I4215" t="s">
        <v>72</v>
      </c>
      <c r="J4215" t="s">
        <v>72</v>
      </c>
      <c r="K4215" t="s">
        <v>272</v>
      </c>
      <c r="AK4215" t="s">
        <v>361</v>
      </c>
    </row>
    <row r="4216" spans="1:37">
      <c r="A4216" t="s">
        <v>37</v>
      </c>
      <c r="B4216" t="s">
        <v>49</v>
      </c>
      <c r="C4216" t="s">
        <v>73</v>
      </c>
      <c r="D4216" t="s">
        <v>94</v>
      </c>
      <c r="E4216" t="s">
        <v>112</v>
      </c>
      <c r="F4216" t="s">
        <v>146</v>
      </c>
      <c r="G4216" t="s">
        <v>172</v>
      </c>
      <c r="H4216" t="s">
        <v>207</v>
      </c>
      <c r="I4216" t="s">
        <v>226</v>
      </c>
      <c r="J4216" t="s">
        <v>246</v>
      </c>
      <c r="K4216" t="s">
        <v>259</v>
      </c>
      <c r="AK4216" t="s">
        <v>361</v>
      </c>
    </row>
    <row r="4217" spans="1:37">
      <c r="A4217" t="s">
        <v>38</v>
      </c>
      <c r="B4217" t="s">
        <v>50</v>
      </c>
      <c r="C4217" t="s">
        <v>74</v>
      </c>
      <c r="D4217" t="s">
        <v>95</v>
      </c>
      <c r="E4217" t="s">
        <v>113</v>
      </c>
      <c r="F4217" t="s">
        <v>147</v>
      </c>
      <c r="G4217" t="s">
        <v>173</v>
      </c>
      <c r="H4217" t="s">
        <v>208</v>
      </c>
      <c r="I4217" t="s">
        <v>227</v>
      </c>
      <c r="J4217" t="s">
        <v>115</v>
      </c>
      <c r="K4217" t="s">
        <v>260</v>
      </c>
      <c r="L4217" t="s">
        <v>273</v>
      </c>
      <c r="M4217" t="s">
        <v>282</v>
      </c>
      <c r="N4217" t="s">
        <v>291</v>
      </c>
      <c r="AK4217" t="s">
        <v>361</v>
      </c>
    </row>
    <row r="4218" spans="1:37">
      <c r="B4218" t="s">
        <v>51</v>
      </c>
      <c r="C4218" t="s">
        <v>75</v>
      </c>
      <c r="D4218" t="s">
        <v>52</v>
      </c>
      <c r="E4218" t="s">
        <v>114</v>
      </c>
      <c r="F4218" t="s">
        <v>148</v>
      </c>
      <c r="G4218" t="s">
        <v>148</v>
      </c>
      <c r="H4218" t="s">
        <v>209</v>
      </c>
      <c r="I4218" t="s">
        <v>228</v>
      </c>
      <c r="J4218" t="s">
        <v>247</v>
      </c>
      <c r="K4218" t="s">
        <v>261</v>
      </c>
      <c r="L4218" t="s">
        <v>274</v>
      </c>
      <c r="M4218" t="s">
        <v>283</v>
      </c>
      <c r="N4218" t="s">
        <v>292</v>
      </c>
      <c r="O4218" t="s">
        <v>300</v>
      </c>
      <c r="AK4218" t="s">
        <v>361</v>
      </c>
    </row>
    <row r="4219" spans="1:37">
      <c r="B4219" t="s">
        <v>52</v>
      </c>
      <c r="C4219" t="s">
        <v>76</v>
      </c>
      <c r="D4219" t="s">
        <v>96</v>
      </c>
      <c r="E4219" t="s">
        <v>115</v>
      </c>
      <c r="F4219" t="s">
        <v>149</v>
      </c>
      <c r="G4219" t="s">
        <v>174</v>
      </c>
      <c r="H4219" t="s">
        <v>96</v>
      </c>
      <c r="I4219" t="s">
        <v>229</v>
      </c>
      <c r="J4219" t="s">
        <v>248</v>
      </c>
      <c r="K4219" t="s">
        <v>262</v>
      </c>
      <c r="L4219" t="s">
        <v>52</v>
      </c>
      <c r="M4219" t="s">
        <v>76</v>
      </c>
      <c r="N4219" t="s">
        <v>293</v>
      </c>
      <c r="O4219" t="s">
        <v>301</v>
      </c>
      <c r="P4219" t="s">
        <v>309</v>
      </c>
      <c r="Q4219" t="s">
        <v>315</v>
      </c>
      <c r="R4219" t="s">
        <v>228</v>
      </c>
      <c r="S4219" t="s">
        <v>328</v>
      </c>
      <c r="T4219" t="s">
        <v>149</v>
      </c>
      <c r="U4219" t="s">
        <v>337</v>
      </c>
      <c r="V4219" t="s">
        <v>341</v>
      </c>
      <c r="W4219" t="s">
        <v>345</v>
      </c>
      <c r="X4219" t="s">
        <v>350</v>
      </c>
      <c r="AK4219" t="s">
        <v>361</v>
      </c>
    </row>
    <row r="4220" spans="1:37">
      <c r="B4220" t="s">
        <v>53</v>
      </c>
      <c r="C4220" t="s">
        <v>77</v>
      </c>
      <c r="D4220" t="s">
        <v>97</v>
      </c>
      <c r="E4220" t="s">
        <v>116</v>
      </c>
      <c r="F4220" t="s">
        <v>150</v>
      </c>
      <c r="G4220" t="s">
        <v>175</v>
      </c>
      <c r="H4220" t="s">
        <v>210</v>
      </c>
      <c r="I4220" t="s">
        <v>230</v>
      </c>
      <c r="J4220" t="s">
        <v>249</v>
      </c>
      <c r="K4220" t="s">
        <v>263</v>
      </c>
      <c r="L4220" t="s">
        <v>275</v>
      </c>
      <c r="M4220" t="s">
        <v>284</v>
      </c>
      <c r="N4220" t="s">
        <v>294</v>
      </c>
      <c r="O4220" t="s">
        <v>302</v>
      </c>
      <c r="P4220" t="s">
        <v>310</v>
      </c>
      <c r="Q4220" t="s">
        <v>316</v>
      </c>
      <c r="R4220" t="s">
        <v>322</v>
      </c>
      <c r="S4220" t="s">
        <v>329</v>
      </c>
      <c r="AK4220" t="s">
        <v>361</v>
      </c>
    </row>
    <row r="4221" spans="1:37">
      <c r="A4221" t="s">
        <v>39</v>
      </c>
      <c r="B4221" t="s">
        <v>54</v>
      </c>
      <c r="C4221" t="s">
        <v>54</v>
      </c>
      <c r="D4221" t="s">
        <v>54</v>
      </c>
      <c r="E4221" t="s">
        <v>54</v>
      </c>
      <c r="F4221" t="s">
        <v>54</v>
      </c>
      <c r="G4221" t="s">
        <v>54</v>
      </c>
      <c r="H4221" t="s">
        <v>54</v>
      </c>
      <c r="I4221" t="s">
        <v>54</v>
      </c>
      <c r="J4221" t="s">
        <v>54</v>
      </c>
      <c r="K4221" t="s">
        <v>54</v>
      </c>
      <c r="L4221" t="s">
        <v>54</v>
      </c>
      <c r="M4221" t="s">
        <v>54</v>
      </c>
      <c r="N4221" t="s">
        <v>54</v>
      </c>
      <c r="O4221" t="s">
        <v>54</v>
      </c>
      <c r="P4221" t="s">
        <v>54</v>
      </c>
      <c r="Q4221" t="s">
        <v>54</v>
      </c>
      <c r="R4221" t="s">
        <v>323</v>
      </c>
      <c r="S4221" t="s">
        <v>330</v>
      </c>
      <c r="AK4221" t="s">
        <v>361</v>
      </c>
    </row>
    <row r="4222" spans="1:37">
      <c r="B4222" t="s">
        <v>55</v>
      </c>
      <c r="C4222" t="s">
        <v>78</v>
      </c>
      <c r="D4222" t="s">
        <v>55</v>
      </c>
      <c r="E4222" t="s">
        <v>78</v>
      </c>
      <c r="F4222" t="s">
        <v>55</v>
      </c>
      <c r="G4222" t="s">
        <v>78</v>
      </c>
      <c r="H4222" t="s">
        <v>55</v>
      </c>
      <c r="I4222" t="s">
        <v>78</v>
      </c>
      <c r="J4222" t="s">
        <v>55</v>
      </c>
      <c r="K4222" t="s">
        <v>78</v>
      </c>
      <c r="L4222" t="s">
        <v>55</v>
      </c>
      <c r="M4222" t="s">
        <v>78</v>
      </c>
      <c r="N4222" t="s">
        <v>55</v>
      </c>
      <c r="O4222" t="s">
        <v>78</v>
      </c>
      <c r="P4222" t="s">
        <v>55</v>
      </c>
      <c r="Q4222" t="s">
        <v>78</v>
      </c>
      <c r="R4222" t="s">
        <v>55</v>
      </c>
      <c r="S4222" t="s">
        <v>78</v>
      </c>
      <c r="T4222" t="s">
        <v>55</v>
      </c>
      <c r="U4222" t="s">
        <v>78</v>
      </c>
      <c r="V4222" t="s">
        <v>55</v>
      </c>
      <c r="W4222" t="s">
        <v>78</v>
      </c>
      <c r="X4222" t="s">
        <v>55</v>
      </c>
      <c r="Y4222" t="s">
        <v>78</v>
      </c>
      <c r="Z4222" t="s">
        <v>55</v>
      </c>
      <c r="AA4222" t="s">
        <v>78</v>
      </c>
      <c r="AB4222" t="s">
        <v>55</v>
      </c>
      <c r="AC4222" t="s">
        <v>78</v>
      </c>
      <c r="AD4222" t="s">
        <v>55</v>
      </c>
      <c r="AE4222" t="s">
        <v>78</v>
      </c>
      <c r="AF4222" t="s">
        <v>55</v>
      </c>
      <c r="AG4222" t="s">
        <v>78</v>
      </c>
      <c r="AH4222" t="s">
        <v>55</v>
      </c>
      <c r="AI4222" t="s">
        <v>78</v>
      </c>
      <c r="AK4222" t="s">
        <v>361</v>
      </c>
    </row>
    <row r="4223" spans="1:37">
      <c r="B4223" t="s">
        <v>56</v>
      </c>
      <c r="C4223" t="s">
        <v>56</v>
      </c>
      <c r="D4223" t="s">
        <v>56</v>
      </c>
      <c r="E4223" t="s">
        <v>56</v>
      </c>
      <c r="F4223" t="s">
        <v>56</v>
      </c>
      <c r="G4223" t="s">
        <v>176</v>
      </c>
      <c r="H4223" t="s">
        <v>211</v>
      </c>
      <c r="I4223" t="s">
        <v>231</v>
      </c>
      <c r="J4223" t="s">
        <v>250</v>
      </c>
      <c r="K4223" t="s">
        <v>264</v>
      </c>
      <c r="L4223" t="s">
        <v>276</v>
      </c>
      <c r="M4223" t="s">
        <v>285</v>
      </c>
      <c r="N4223" t="s">
        <v>295</v>
      </c>
      <c r="O4223" t="s">
        <v>303</v>
      </c>
      <c r="P4223" t="s">
        <v>56</v>
      </c>
      <c r="Q4223" t="s">
        <v>317</v>
      </c>
      <c r="R4223" t="s">
        <v>324</v>
      </c>
      <c r="S4223" t="s">
        <v>331</v>
      </c>
      <c r="T4223" t="s">
        <v>334</v>
      </c>
      <c r="U4223" t="s">
        <v>338</v>
      </c>
      <c r="V4223" t="s">
        <v>342</v>
      </c>
      <c r="W4223" t="s">
        <v>346</v>
      </c>
      <c r="X4223" t="s">
        <v>351</v>
      </c>
      <c r="AK4223" t="s">
        <v>361</v>
      </c>
    </row>
    <row r="4224" spans="1:37">
      <c r="B4224" t="s">
        <v>57</v>
      </c>
      <c r="C4224" t="s">
        <v>79</v>
      </c>
      <c r="D4224" t="s">
        <v>98</v>
      </c>
      <c r="E4224" t="s">
        <v>117</v>
      </c>
      <c r="F4224" t="s">
        <v>151</v>
      </c>
      <c r="G4224" t="s">
        <v>177</v>
      </c>
      <c r="H4224" t="s">
        <v>212</v>
      </c>
      <c r="I4224" t="s">
        <v>232</v>
      </c>
      <c r="J4224" t="s">
        <v>251</v>
      </c>
      <c r="K4224" t="s">
        <v>265</v>
      </c>
      <c r="L4224" t="s">
        <v>277</v>
      </c>
      <c r="M4224" t="s">
        <v>286</v>
      </c>
      <c r="N4224" t="s">
        <v>296</v>
      </c>
      <c r="O4224" t="s">
        <v>304</v>
      </c>
      <c r="P4224" t="s">
        <v>311</v>
      </c>
      <c r="Q4224" t="s">
        <v>318</v>
      </c>
      <c r="R4224" t="s">
        <v>185</v>
      </c>
      <c r="S4224" t="s">
        <v>159</v>
      </c>
      <c r="T4224" t="s">
        <v>185</v>
      </c>
      <c r="U4224" t="s">
        <v>339</v>
      </c>
      <c r="V4224" t="s">
        <v>72</v>
      </c>
      <c r="W4224" t="s">
        <v>347</v>
      </c>
      <c r="X4224" t="s">
        <v>72</v>
      </c>
      <c r="Y4224" t="s">
        <v>96</v>
      </c>
      <c r="AK4224" t="s">
        <v>361</v>
      </c>
    </row>
    <row r="4225" spans="1:37">
      <c r="B4225" t="s">
        <v>58</v>
      </c>
      <c r="C4225" t="s">
        <v>80</v>
      </c>
      <c r="D4225" t="s">
        <v>99</v>
      </c>
      <c r="E4225" t="s">
        <v>118</v>
      </c>
      <c r="F4225" t="s">
        <v>152</v>
      </c>
      <c r="G4225" t="s">
        <v>178</v>
      </c>
      <c r="H4225" t="s">
        <v>213</v>
      </c>
      <c r="I4225" t="s">
        <v>233</v>
      </c>
      <c r="J4225" t="s">
        <v>252</v>
      </c>
      <c r="K4225" t="s">
        <v>266</v>
      </c>
      <c r="L4225" t="s">
        <v>278</v>
      </c>
      <c r="M4225" t="s">
        <v>287</v>
      </c>
      <c r="N4225" t="s">
        <v>297</v>
      </c>
      <c r="O4225" t="s">
        <v>305</v>
      </c>
      <c r="P4225" t="s">
        <v>312</v>
      </c>
      <c r="Q4225" t="s">
        <v>319</v>
      </c>
      <c r="R4225">
        <f>&gt;10       ветра      2.0     14  11</f>
        <v>0</v>
      </c>
      <c r="AK4225" t="s">
        <v>361</v>
      </c>
    </row>
    <row r="4226" spans="1:37">
      <c r="A4226" t="s">
        <v>40</v>
      </c>
      <c r="B4226" t="s">
        <v>59</v>
      </c>
      <c r="C4226" t="s">
        <v>81</v>
      </c>
      <c r="D4226" t="s">
        <v>100</v>
      </c>
      <c r="E4226" t="s">
        <v>119</v>
      </c>
      <c r="F4226" t="s">
        <v>153</v>
      </c>
      <c r="G4226" t="s">
        <v>179</v>
      </c>
      <c r="H4226" t="s">
        <v>214</v>
      </c>
      <c r="I4226" t="s">
        <v>234</v>
      </c>
      <c r="AK4226" t="s">
        <v>361</v>
      </c>
    </row>
    <row r="4227" spans="1:37">
      <c r="A4227" t="s">
        <v>40</v>
      </c>
      <c r="B4227" t="s">
        <v>60</v>
      </c>
      <c r="C4227" t="s">
        <v>82</v>
      </c>
      <c r="D4227" t="s">
        <v>101</v>
      </c>
      <c r="E4227" t="s">
        <v>120</v>
      </c>
      <c r="F4227" t="s">
        <v>154</v>
      </c>
      <c r="G4227" t="s">
        <v>180</v>
      </c>
      <c r="H4227" t="s">
        <v>215</v>
      </c>
      <c r="I4227" t="s">
        <v>235</v>
      </c>
      <c r="J4227" t="s">
        <v>253</v>
      </c>
      <c r="K4227" t="s">
        <v>267</v>
      </c>
      <c r="L4227" t="s">
        <v>279</v>
      </c>
      <c r="M4227" t="s">
        <v>288</v>
      </c>
      <c r="N4227" t="s">
        <v>100</v>
      </c>
      <c r="O4227" t="s">
        <v>306</v>
      </c>
      <c r="P4227" t="s">
        <v>313</v>
      </c>
      <c r="Q4227" t="s">
        <v>320</v>
      </c>
      <c r="R4227" t="s">
        <v>325</v>
      </c>
      <c r="S4227" t="s">
        <v>332</v>
      </c>
      <c r="T4227" t="s">
        <v>119</v>
      </c>
      <c r="U4227" t="s">
        <v>234</v>
      </c>
      <c r="V4227" t="s">
        <v>343</v>
      </c>
      <c r="W4227" t="s">
        <v>348</v>
      </c>
      <c r="X4227" t="s">
        <v>352</v>
      </c>
      <c r="Y4227" t="s">
        <v>354</v>
      </c>
      <c r="AK4227" t="s">
        <v>361</v>
      </c>
    </row>
    <row r="4228" spans="1:37">
      <c r="A4228" t="s">
        <v>41</v>
      </c>
      <c r="B4228" t="s">
        <v>61</v>
      </c>
      <c r="C4228" t="s">
        <v>83</v>
      </c>
      <c r="D4228" t="s">
        <v>102</v>
      </c>
      <c r="E4228" t="s">
        <v>121</v>
      </c>
      <c r="F4228" t="s">
        <v>155</v>
      </c>
      <c r="G4228" t="s">
        <v>181</v>
      </c>
      <c r="H4228" t="s">
        <v>216</v>
      </c>
      <c r="I4228" t="s">
        <v>236</v>
      </c>
      <c r="AK4228" t="s">
        <v>361</v>
      </c>
    </row>
    <row r="4229" spans="1:37">
      <c r="A4229" t="s">
        <v>42</v>
      </c>
      <c r="B4229" t="s">
        <v>62</v>
      </c>
      <c r="C4229" t="s">
        <v>84</v>
      </c>
      <c r="D4229" t="s">
        <v>103</v>
      </c>
      <c r="E4229" t="s">
        <v>122</v>
      </c>
      <c r="F4229" t="s">
        <v>156</v>
      </c>
      <c r="G4229" t="s">
        <v>182</v>
      </c>
      <c r="H4229" t="s">
        <v>83</v>
      </c>
      <c r="I4229" t="s">
        <v>237</v>
      </c>
      <c r="J4229" t="s">
        <v>254</v>
      </c>
      <c r="K4229" t="s">
        <v>268</v>
      </c>
      <c r="L4229" t="s">
        <v>280</v>
      </c>
      <c r="M4229" t="s">
        <v>289</v>
      </c>
      <c r="N4229" t="s">
        <v>298</v>
      </c>
      <c r="O4229" t="s">
        <v>307</v>
      </c>
      <c r="P4229" t="s">
        <v>314</v>
      </c>
      <c r="Q4229" t="s">
        <v>216</v>
      </c>
      <c r="R4229" t="s">
        <v>326</v>
      </c>
      <c r="S4229" t="s">
        <v>333</v>
      </c>
      <c r="T4229" t="s">
        <v>335</v>
      </c>
      <c r="U4229" t="s">
        <v>340</v>
      </c>
      <c r="V4229" t="s">
        <v>344</v>
      </c>
      <c r="W4229" t="s">
        <v>349</v>
      </c>
      <c r="AK4229" t="s">
        <v>361</v>
      </c>
    </row>
    <row r="4230" spans="1:37">
      <c r="A4230" t="s">
        <v>43</v>
      </c>
      <c r="B4230" t="s">
        <v>63</v>
      </c>
      <c r="C4230" t="s">
        <v>85</v>
      </c>
      <c r="D4230" t="s">
        <v>104</v>
      </c>
      <c r="E4230" t="s">
        <v>123</v>
      </c>
      <c r="F4230" t="s">
        <v>157</v>
      </c>
      <c r="G4230" t="s">
        <v>183</v>
      </c>
      <c r="AK4230" t="s">
        <v>361</v>
      </c>
    </row>
    <row r="4231" spans="1:37">
      <c r="A4231" t="s">
        <v>44</v>
      </c>
      <c r="B4231" t="s">
        <v>64</v>
      </c>
      <c r="C4231" t="s">
        <v>86</v>
      </c>
      <c r="D4231" t="s">
        <v>105</v>
      </c>
      <c r="E4231" t="s">
        <v>124</v>
      </c>
      <c r="F4231" t="s">
        <v>158</v>
      </c>
      <c r="G4231" t="s">
        <v>184</v>
      </c>
      <c r="AK4231" t="s">
        <v>361</v>
      </c>
    </row>
    <row r="4232" spans="1:37">
      <c r="A4232" t="s">
        <v>45</v>
      </c>
      <c r="B4232" t="s">
        <v>65</v>
      </c>
      <c r="C4232" t="s">
        <v>87</v>
      </c>
      <c r="D4232" t="s">
        <v>106</v>
      </c>
      <c r="E4232" t="s">
        <v>125</v>
      </c>
      <c r="F4232" t="s">
        <v>159</v>
      </c>
      <c r="G4232" t="s">
        <v>185</v>
      </c>
      <c r="H4232" t="s">
        <v>159</v>
      </c>
      <c r="I4232" t="s">
        <v>185</v>
      </c>
      <c r="J4232" t="s">
        <v>255</v>
      </c>
      <c r="AK4232" t="s">
        <v>361</v>
      </c>
    </row>
    <row r="4233" spans="1:37">
      <c r="A4233" t="s">
        <v>46</v>
      </c>
      <c r="B4233" t="s">
        <v>66</v>
      </c>
      <c r="C4233" t="s">
        <v>88</v>
      </c>
      <c r="D4233" t="s">
        <v>76</v>
      </c>
      <c r="E4233" t="s">
        <v>126</v>
      </c>
      <c r="F4233" t="s">
        <v>160</v>
      </c>
      <c r="G4233" t="s">
        <v>186</v>
      </c>
      <c r="H4233" t="s">
        <v>217</v>
      </c>
      <c r="I4233" t="s">
        <v>238</v>
      </c>
      <c r="J4233" t="s">
        <v>256</v>
      </c>
      <c r="K4233" t="s">
        <v>265</v>
      </c>
      <c r="L4233" t="s">
        <v>281</v>
      </c>
      <c r="M4233" t="s">
        <v>290</v>
      </c>
      <c r="N4233" t="s">
        <v>299</v>
      </c>
      <c r="O4233" t="s">
        <v>308</v>
      </c>
      <c r="P4233" t="s">
        <v>228</v>
      </c>
      <c r="Q4233" t="s">
        <v>72</v>
      </c>
      <c r="R4233" t="s">
        <v>327</v>
      </c>
      <c r="S4233" t="s">
        <v>327</v>
      </c>
      <c r="T4233" t="s">
        <v>336</v>
      </c>
      <c r="U4233" t="s">
        <v>336</v>
      </c>
      <c r="V4233" t="s">
        <v>336</v>
      </c>
      <c r="W4233" t="s">
        <v>336</v>
      </c>
      <c r="X4233" t="s">
        <v>353</v>
      </c>
      <c r="AK4233" t="s">
        <v>361</v>
      </c>
    </row>
    <row r="4234" spans="1:37">
      <c r="B4234" t="s">
        <v>67</v>
      </c>
      <c r="C4234" t="s">
        <v>89</v>
      </c>
      <c r="D4234" t="s">
        <v>107</v>
      </c>
      <c r="AK4234" t="s">
        <v>361</v>
      </c>
    </row>
    <row r="4235" spans="1:37">
      <c r="B4235" t="s">
        <v>68</v>
      </c>
      <c r="C4235" t="s">
        <v>90</v>
      </c>
      <c r="D4235" t="s">
        <v>108</v>
      </c>
      <c r="AK4235" t="s">
        <v>361</v>
      </c>
    </row>
    <row r="4236" spans="1:37">
      <c r="A4236" t="s">
        <v>47</v>
      </c>
      <c r="B4236" t="s">
        <v>69</v>
      </c>
      <c r="C4236" t="s">
        <v>91</v>
      </c>
      <c r="D4236" t="s">
        <v>109</v>
      </c>
      <c r="E4236" t="s">
        <v>109</v>
      </c>
      <c r="F4236" t="s">
        <v>109</v>
      </c>
      <c r="G4236" t="s">
        <v>109</v>
      </c>
      <c r="H4236" t="s">
        <v>109</v>
      </c>
      <c r="I4236" t="s">
        <v>239</v>
      </c>
      <c r="AK4236" t="s">
        <v>361</v>
      </c>
    </row>
    <row r="4237" spans="1:37">
      <c r="B4237" t="s">
        <v>70</v>
      </c>
      <c r="C4237" t="s">
        <v>92</v>
      </c>
      <c r="D4237" t="s">
        <v>110</v>
      </c>
      <c r="E4237" t="s">
        <v>127</v>
      </c>
      <c r="F4237" t="s">
        <v>161</v>
      </c>
      <c r="G4237" t="s">
        <v>187</v>
      </c>
      <c r="H4237" t="s">
        <v>218</v>
      </c>
      <c r="AK4237" t="s">
        <v>361</v>
      </c>
    </row>
    <row r="4238" spans="1:37">
      <c r="B4238" t="s">
        <v>71</v>
      </c>
      <c r="C4238" t="s">
        <v>93</v>
      </c>
      <c r="D4238" t="s">
        <v>111</v>
      </c>
      <c r="E4238" t="s">
        <v>128</v>
      </c>
      <c r="F4238" t="s">
        <v>162</v>
      </c>
      <c r="G4238" t="s">
        <v>188</v>
      </c>
      <c r="H4238" t="s">
        <v>219</v>
      </c>
      <c r="I4238" t="s">
        <v>240</v>
      </c>
      <c r="J4238" t="s">
        <v>257</v>
      </c>
      <c r="K4238" t="s">
        <v>269</v>
      </c>
      <c r="L4238" t="s">
        <v>109</v>
      </c>
      <c r="M4238" t="s">
        <v>109</v>
      </c>
      <c r="N4238" t="s">
        <v>109</v>
      </c>
      <c r="O4238" t="s">
        <v>109</v>
      </c>
      <c r="P4238" t="s">
        <v>109</v>
      </c>
      <c r="Q4238" t="s">
        <v>321</v>
      </c>
      <c r="AK4238" t="s">
        <v>361</v>
      </c>
    </row>
    <row r="4239" spans="1:37">
      <c r="A4239" t="s">
        <v>48</v>
      </c>
      <c r="B4239" t="s">
        <v>71</v>
      </c>
      <c r="C4239" t="s">
        <v>93</v>
      </c>
      <c r="D4239" t="s">
        <v>111</v>
      </c>
      <c r="E4239" t="s">
        <v>128</v>
      </c>
      <c r="F4239" t="s">
        <v>163</v>
      </c>
      <c r="G4239" t="s">
        <v>189</v>
      </c>
      <c r="H4239" t="s">
        <v>220</v>
      </c>
      <c r="I4239" t="s">
        <v>241</v>
      </c>
      <c r="J4239" t="s">
        <v>258</v>
      </c>
      <c r="K4239" t="s">
        <v>270</v>
      </c>
      <c r="AK4239" t="s">
        <v>361</v>
      </c>
    </row>
    <row r="4240" spans="1:37">
      <c r="B4240" t="s">
        <v>72</v>
      </c>
      <c r="C4240" t="s">
        <v>72</v>
      </c>
      <c r="D4240" t="s">
        <v>72</v>
      </c>
      <c r="E4240" t="s">
        <v>139</v>
      </c>
      <c r="F4240" t="s">
        <v>139</v>
      </c>
      <c r="G4240" t="s">
        <v>192</v>
      </c>
      <c r="H4240" t="s">
        <v>192</v>
      </c>
      <c r="I4240" t="s">
        <v>192</v>
      </c>
      <c r="J4240" t="s">
        <v>192</v>
      </c>
      <c r="K4240" t="s">
        <v>271</v>
      </c>
      <c r="AK4240" t="s">
        <v>361</v>
      </c>
    </row>
    <row r="4241" spans="1:37">
      <c r="A4241" t="s">
        <v>37</v>
      </c>
      <c r="B4241" t="s">
        <v>49</v>
      </c>
      <c r="C4241" t="s">
        <v>73</v>
      </c>
      <c r="D4241" t="s">
        <v>94</v>
      </c>
      <c r="E4241" t="s">
        <v>112</v>
      </c>
      <c r="F4241" t="s">
        <v>146</v>
      </c>
      <c r="G4241" t="s">
        <v>172</v>
      </c>
      <c r="H4241" t="s">
        <v>207</v>
      </c>
      <c r="I4241" t="s">
        <v>226</v>
      </c>
      <c r="J4241" t="s">
        <v>246</v>
      </c>
      <c r="K4241" t="s">
        <v>259</v>
      </c>
      <c r="AK4241" t="s">
        <v>361</v>
      </c>
    </row>
    <row r="4242" spans="1:37">
      <c r="A4242" t="s">
        <v>38</v>
      </c>
      <c r="B4242" t="s">
        <v>50</v>
      </c>
      <c r="C4242" t="s">
        <v>74</v>
      </c>
      <c r="D4242" t="s">
        <v>95</v>
      </c>
      <c r="E4242" t="s">
        <v>113</v>
      </c>
      <c r="F4242" t="s">
        <v>147</v>
      </c>
      <c r="G4242" t="s">
        <v>173</v>
      </c>
      <c r="H4242" t="s">
        <v>208</v>
      </c>
      <c r="I4242" t="s">
        <v>227</v>
      </c>
      <c r="J4242" t="s">
        <v>115</v>
      </c>
      <c r="K4242" t="s">
        <v>260</v>
      </c>
      <c r="L4242" t="s">
        <v>273</v>
      </c>
      <c r="M4242" t="s">
        <v>282</v>
      </c>
      <c r="N4242" t="s">
        <v>291</v>
      </c>
      <c r="AK4242" t="s">
        <v>361</v>
      </c>
    </row>
    <row r="4243" spans="1:37">
      <c r="B4243" t="s">
        <v>51</v>
      </c>
      <c r="C4243" t="s">
        <v>75</v>
      </c>
      <c r="D4243" t="s">
        <v>52</v>
      </c>
      <c r="E4243" t="s">
        <v>114</v>
      </c>
      <c r="F4243" t="s">
        <v>148</v>
      </c>
      <c r="G4243" t="s">
        <v>148</v>
      </c>
      <c r="H4243" t="s">
        <v>209</v>
      </c>
      <c r="I4243" t="s">
        <v>228</v>
      </c>
      <c r="J4243" t="s">
        <v>247</v>
      </c>
      <c r="K4243" t="s">
        <v>261</v>
      </c>
      <c r="L4243" t="s">
        <v>274</v>
      </c>
      <c r="M4243" t="s">
        <v>283</v>
      </c>
      <c r="N4243" t="s">
        <v>292</v>
      </c>
      <c r="O4243" t="s">
        <v>300</v>
      </c>
      <c r="AK4243" t="s">
        <v>361</v>
      </c>
    </row>
    <row r="4244" spans="1:37">
      <c r="B4244" t="s">
        <v>52</v>
      </c>
      <c r="C4244" t="s">
        <v>76</v>
      </c>
      <c r="D4244" t="s">
        <v>96</v>
      </c>
      <c r="E4244" t="s">
        <v>115</v>
      </c>
      <c r="F4244" t="s">
        <v>149</v>
      </c>
      <c r="G4244" t="s">
        <v>174</v>
      </c>
      <c r="H4244" t="s">
        <v>96</v>
      </c>
      <c r="I4244" t="s">
        <v>229</v>
      </c>
      <c r="J4244" t="s">
        <v>248</v>
      </c>
      <c r="K4244" t="s">
        <v>262</v>
      </c>
      <c r="L4244" t="s">
        <v>52</v>
      </c>
      <c r="M4244" t="s">
        <v>76</v>
      </c>
      <c r="N4244" t="s">
        <v>293</v>
      </c>
      <c r="O4244" t="s">
        <v>301</v>
      </c>
      <c r="P4244" t="s">
        <v>309</v>
      </c>
      <c r="Q4244" t="s">
        <v>315</v>
      </c>
      <c r="R4244" t="s">
        <v>228</v>
      </c>
      <c r="S4244" t="s">
        <v>328</v>
      </c>
      <c r="T4244" t="s">
        <v>149</v>
      </c>
      <c r="U4244" t="s">
        <v>337</v>
      </c>
      <c r="V4244" t="s">
        <v>341</v>
      </c>
      <c r="W4244" t="s">
        <v>345</v>
      </c>
      <c r="X4244" t="s">
        <v>350</v>
      </c>
      <c r="AK4244" t="s">
        <v>361</v>
      </c>
    </row>
    <row r="4245" spans="1:37">
      <c r="B4245" t="s">
        <v>53</v>
      </c>
      <c r="C4245" t="s">
        <v>77</v>
      </c>
      <c r="D4245" t="s">
        <v>97</v>
      </c>
      <c r="E4245" t="s">
        <v>116</v>
      </c>
      <c r="F4245" t="s">
        <v>150</v>
      </c>
      <c r="G4245" t="s">
        <v>175</v>
      </c>
      <c r="H4245" t="s">
        <v>210</v>
      </c>
      <c r="I4245" t="s">
        <v>230</v>
      </c>
      <c r="J4245" t="s">
        <v>249</v>
      </c>
      <c r="K4245" t="s">
        <v>263</v>
      </c>
      <c r="L4245" t="s">
        <v>275</v>
      </c>
      <c r="M4245" t="s">
        <v>284</v>
      </c>
      <c r="N4245" t="s">
        <v>294</v>
      </c>
      <c r="O4245" t="s">
        <v>302</v>
      </c>
      <c r="P4245" t="s">
        <v>310</v>
      </c>
      <c r="Q4245" t="s">
        <v>316</v>
      </c>
      <c r="R4245" t="s">
        <v>322</v>
      </c>
      <c r="S4245" t="s">
        <v>329</v>
      </c>
      <c r="AK4245" t="s">
        <v>361</v>
      </c>
    </row>
    <row r="4246" spans="1:37">
      <c r="A4246" t="s">
        <v>39</v>
      </c>
      <c r="B4246" t="s">
        <v>54</v>
      </c>
      <c r="C4246" t="s">
        <v>54</v>
      </c>
      <c r="D4246" t="s">
        <v>54</v>
      </c>
      <c r="E4246" t="s">
        <v>54</v>
      </c>
      <c r="F4246" t="s">
        <v>54</v>
      </c>
      <c r="G4246" t="s">
        <v>54</v>
      </c>
      <c r="H4246" t="s">
        <v>54</v>
      </c>
      <c r="I4246" t="s">
        <v>54</v>
      </c>
      <c r="J4246" t="s">
        <v>54</v>
      </c>
      <c r="K4246" t="s">
        <v>54</v>
      </c>
      <c r="L4246" t="s">
        <v>54</v>
      </c>
      <c r="M4246" t="s">
        <v>54</v>
      </c>
      <c r="N4246" t="s">
        <v>54</v>
      </c>
      <c r="O4246" t="s">
        <v>54</v>
      </c>
      <c r="P4246" t="s">
        <v>54</v>
      </c>
      <c r="Q4246" t="s">
        <v>54</v>
      </c>
      <c r="R4246" t="s">
        <v>323</v>
      </c>
      <c r="S4246" t="s">
        <v>330</v>
      </c>
      <c r="AK4246" t="s">
        <v>361</v>
      </c>
    </row>
    <row r="4247" spans="1:37">
      <c r="B4247" t="s">
        <v>55</v>
      </c>
      <c r="C4247" t="s">
        <v>78</v>
      </c>
      <c r="D4247" t="s">
        <v>55</v>
      </c>
      <c r="E4247" t="s">
        <v>78</v>
      </c>
      <c r="F4247" t="s">
        <v>55</v>
      </c>
      <c r="G4247" t="s">
        <v>78</v>
      </c>
      <c r="H4247" t="s">
        <v>55</v>
      </c>
      <c r="I4247" t="s">
        <v>78</v>
      </c>
      <c r="J4247" t="s">
        <v>55</v>
      </c>
      <c r="K4247" t="s">
        <v>78</v>
      </c>
      <c r="L4247" t="s">
        <v>55</v>
      </c>
      <c r="M4247" t="s">
        <v>78</v>
      </c>
      <c r="N4247" t="s">
        <v>55</v>
      </c>
      <c r="O4247" t="s">
        <v>78</v>
      </c>
      <c r="P4247" t="s">
        <v>55</v>
      </c>
      <c r="Q4247" t="s">
        <v>78</v>
      </c>
      <c r="R4247" t="s">
        <v>55</v>
      </c>
      <c r="S4247" t="s">
        <v>78</v>
      </c>
      <c r="T4247" t="s">
        <v>55</v>
      </c>
      <c r="U4247" t="s">
        <v>78</v>
      </c>
      <c r="V4247" t="s">
        <v>55</v>
      </c>
      <c r="W4247" t="s">
        <v>78</v>
      </c>
      <c r="X4247" t="s">
        <v>55</v>
      </c>
      <c r="Y4247" t="s">
        <v>78</v>
      </c>
      <c r="Z4247" t="s">
        <v>55</v>
      </c>
      <c r="AA4247" t="s">
        <v>78</v>
      </c>
      <c r="AB4247" t="s">
        <v>55</v>
      </c>
      <c r="AC4247" t="s">
        <v>78</v>
      </c>
      <c r="AD4247" t="s">
        <v>55</v>
      </c>
      <c r="AE4247" t="s">
        <v>78</v>
      </c>
      <c r="AF4247" t="s">
        <v>55</v>
      </c>
      <c r="AG4247" t="s">
        <v>78</v>
      </c>
      <c r="AH4247" t="s">
        <v>55</v>
      </c>
      <c r="AI4247" t="s">
        <v>78</v>
      </c>
      <c r="AK4247" t="s">
        <v>361</v>
      </c>
    </row>
    <row r="4248" spans="1:37">
      <c r="B4248" t="s">
        <v>56</v>
      </c>
      <c r="C4248" t="s">
        <v>56</v>
      </c>
      <c r="D4248" t="s">
        <v>56</v>
      </c>
      <c r="E4248" t="s">
        <v>56</v>
      </c>
      <c r="F4248" t="s">
        <v>56</v>
      </c>
      <c r="G4248" t="s">
        <v>176</v>
      </c>
      <c r="H4248" t="s">
        <v>211</v>
      </c>
      <c r="I4248" t="s">
        <v>231</v>
      </c>
      <c r="J4248" t="s">
        <v>250</v>
      </c>
      <c r="K4248" t="s">
        <v>264</v>
      </c>
      <c r="L4248" t="s">
        <v>276</v>
      </c>
      <c r="M4248" t="s">
        <v>285</v>
      </c>
      <c r="N4248" t="s">
        <v>295</v>
      </c>
      <c r="O4248" t="s">
        <v>303</v>
      </c>
      <c r="P4248" t="s">
        <v>56</v>
      </c>
      <c r="Q4248" t="s">
        <v>317</v>
      </c>
      <c r="R4248" t="s">
        <v>324</v>
      </c>
      <c r="S4248" t="s">
        <v>331</v>
      </c>
      <c r="T4248" t="s">
        <v>334</v>
      </c>
      <c r="U4248" t="s">
        <v>338</v>
      </c>
      <c r="V4248" t="s">
        <v>342</v>
      </c>
      <c r="W4248" t="s">
        <v>346</v>
      </c>
      <c r="X4248" t="s">
        <v>351</v>
      </c>
      <c r="AK4248" t="s">
        <v>361</v>
      </c>
    </row>
    <row r="4249" spans="1:37">
      <c r="B4249" t="s">
        <v>57</v>
      </c>
      <c r="C4249" t="s">
        <v>79</v>
      </c>
      <c r="D4249" t="s">
        <v>98</v>
      </c>
      <c r="E4249" t="s">
        <v>117</v>
      </c>
      <c r="F4249" t="s">
        <v>151</v>
      </c>
      <c r="G4249" t="s">
        <v>177</v>
      </c>
      <c r="H4249" t="s">
        <v>212</v>
      </c>
      <c r="I4249" t="s">
        <v>232</v>
      </c>
      <c r="J4249" t="s">
        <v>251</v>
      </c>
      <c r="K4249" t="s">
        <v>265</v>
      </c>
      <c r="L4249" t="s">
        <v>277</v>
      </c>
      <c r="M4249" t="s">
        <v>286</v>
      </c>
      <c r="N4249" t="s">
        <v>296</v>
      </c>
      <c r="O4249" t="s">
        <v>304</v>
      </c>
      <c r="P4249" t="s">
        <v>311</v>
      </c>
      <c r="Q4249" t="s">
        <v>318</v>
      </c>
      <c r="R4249" t="s">
        <v>185</v>
      </c>
      <c r="S4249" t="s">
        <v>159</v>
      </c>
      <c r="T4249" t="s">
        <v>185</v>
      </c>
      <c r="U4249" t="s">
        <v>339</v>
      </c>
      <c r="V4249" t="s">
        <v>72</v>
      </c>
      <c r="W4249" t="s">
        <v>347</v>
      </c>
      <c r="X4249" t="s">
        <v>72</v>
      </c>
      <c r="Y4249" t="s">
        <v>96</v>
      </c>
      <c r="AK4249" t="s">
        <v>361</v>
      </c>
    </row>
    <row r="4250" spans="1:37">
      <c r="B4250" t="s">
        <v>58</v>
      </c>
      <c r="C4250" t="s">
        <v>80</v>
      </c>
      <c r="D4250" t="s">
        <v>99</v>
      </c>
      <c r="E4250" t="s">
        <v>118</v>
      </c>
      <c r="F4250" t="s">
        <v>152</v>
      </c>
      <c r="G4250" t="s">
        <v>178</v>
      </c>
      <c r="H4250" t="s">
        <v>213</v>
      </c>
      <c r="I4250" t="s">
        <v>233</v>
      </c>
      <c r="J4250" t="s">
        <v>252</v>
      </c>
      <c r="K4250" t="s">
        <v>266</v>
      </c>
      <c r="L4250" t="s">
        <v>278</v>
      </c>
      <c r="M4250" t="s">
        <v>287</v>
      </c>
      <c r="N4250" t="s">
        <v>297</v>
      </c>
      <c r="O4250" t="s">
        <v>305</v>
      </c>
      <c r="P4250" t="s">
        <v>312</v>
      </c>
      <c r="Q4250" t="s">
        <v>319</v>
      </c>
      <c r="R4250">
        <f>&gt;10       ветра      2.2     17   4</f>
        <v>0</v>
      </c>
      <c r="AK4250" t="s">
        <v>361</v>
      </c>
    </row>
    <row r="4251" spans="1:37">
      <c r="A4251" t="s">
        <v>40</v>
      </c>
      <c r="B4251" t="s">
        <v>59</v>
      </c>
      <c r="C4251" t="s">
        <v>81</v>
      </c>
      <c r="D4251" t="s">
        <v>100</v>
      </c>
      <c r="E4251" t="s">
        <v>119</v>
      </c>
      <c r="F4251" t="s">
        <v>153</v>
      </c>
      <c r="G4251" t="s">
        <v>179</v>
      </c>
      <c r="H4251" t="s">
        <v>214</v>
      </c>
      <c r="I4251" t="s">
        <v>234</v>
      </c>
      <c r="AK4251" t="s">
        <v>361</v>
      </c>
    </row>
    <row r="4252" spans="1:37">
      <c r="A4252" t="s">
        <v>40</v>
      </c>
      <c r="B4252" t="s">
        <v>60</v>
      </c>
      <c r="C4252" t="s">
        <v>82</v>
      </c>
      <c r="D4252" t="s">
        <v>101</v>
      </c>
      <c r="E4252" t="s">
        <v>120</v>
      </c>
      <c r="F4252" t="s">
        <v>154</v>
      </c>
      <c r="G4252" t="s">
        <v>180</v>
      </c>
      <c r="H4252" t="s">
        <v>215</v>
      </c>
      <c r="I4252" t="s">
        <v>235</v>
      </c>
      <c r="J4252" t="s">
        <v>253</v>
      </c>
      <c r="K4252" t="s">
        <v>267</v>
      </c>
      <c r="L4252" t="s">
        <v>279</v>
      </c>
      <c r="M4252" t="s">
        <v>288</v>
      </c>
      <c r="N4252" t="s">
        <v>100</v>
      </c>
      <c r="O4252" t="s">
        <v>306</v>
      </c>
      <c r="P4252" t="s">
        <v>313</v>
      </c>
      <c r="Q4252" t="s">
        <v>320</v>
      </c>
      <c r="R4252" t="s">
        <v>325</v>
      </c>
      <c r="S4252" t="s">
        <v>332</v>
      </c>
      <c r="T4252" t="s">
        <v>119</v>
      </c>
      <c r="U4252" t="s">
        <v>234</v>
      </c>
      <c r="V4252" t="s">
        <v>343</v>
      </c>
      <c r="W4252" t="s">
        <v>348</v>
      </c>
      <c r="X4252" t="s">
        <v>352</v>
      </c>
      <c r="Y4252" t="s">
        <v>354</v>
      </c>
      <c r="AK4252" t="s">
        <v>361</v>
      </c>
    </row>
    <row r="4253" spans="1:37">
      <c r="A4253" t="s">
        <v>41</v>
      </c>
      <c r="B4253" t="s">
        <v>61</v>
      </c>
      <c r="C4253" t="s">
        <v>83</v>
      </c>
      <c r="D4253" t="s">
        <v>102</v>
      </c>
      <c r="E4253" t="s">
        <v>121</v>
      </c>
      <c r="F4253" t="s">
        <v>155</v>
      </c>
      <c r="G4253" t="s">
        <v>181</v>
      </c>
      <c r="H4253" t="s">
        <v>216</v>
      </c>
      <c r="I4253" t="s">
        <v>236</v>
      </c>
      <c r="AK4253" t="s">
        <v>361</v>
      </c>
    </row>
    <row r="4254" spans="1:37">
      <c r="A4254" t="s">
        <v>42</v>
      </c>
      <c r="B4254" t="s">
        <v>62</v>
      </c>
      <c r="C4254" t="s">
        <v>84</v>
      </c>
      <c r="D4254" t="s">
        <v>103</v>
      </c>
      <c r="E4254" t="s">
        <v>122</v>
      </c>
      <c r="F4254" t="s">
        <v>156</v>
      </c>
      <c r="G4254" t="s">
        <v>182</v>
      </c>
      <c r="H4254" t="s">
        <v>83</v>
      </c>
      <c r="I4254" t="s">
        <v>237</v>
      </c>
      <c r="J4254" t="s">
        <v>254</v>
      </c>
      <c r="K4254" t="s">
        <v>268</v>
      </c>
      <c r="L4254" t="s">
        <v>280</v>
      </c>
      <c r="M4254" t="s">
        <v>289</v>
      </c>
      <c r="N4254" t="s">
        <v>298</v>
      </c>
      <c r="O4254" t="s">
        <v>307</v>
      </c>
      <c r="P4254" t="s">
        <v>314</v>
      </c>
      <c r="Q4254" t="s">
        <v>216</v>
      </c>
      <c r="R4254" t="s">
        <v>326</v>
      </c>
      <c r="S4254" t="s">
        <v>333</v>
      </c>
      <c r="T4254" t="s">
        <v>335</v>
      </c>
      <c r="U4254" t="s">
        <v>340</v>
      </c>
      <c r="V4254" t="s">
        <v>344</v>
      </c>
      <c r="W4254" t="s">
        <v>349</v>
      </c>
      <c r="AK4254" t="s">
        <v>361</v>
      </c>
    </row>
    <row r="4255" spans="1:37">
      <c r="A4255" t="s">
        <v>43</v>
      </c>
      <c r="B4255" t="s">
        <v>63</v>
      </c>
      <c r="C4255" t="s">
        <v>85</v>
      </c>
      <c r="D4255" t="s">
        <v>104</v>
      </c>
      <c r="E4255" t="s">
        <v>123</v>
      </c>
      <c r="F4255" t="s">
        <v>157</v>
      </c>
      <c r="G4255" t="s">
        <v>183</v>
      </c>
      <c r="AK4255" t="s">
        <v>361</v>
      </c>
    </row>
    <row r="4256" spans="1:37">
      <c r="A4256" t="s">
        <v>44</v>
      </c>
      <c r="B4256" t="s">
        <v>64</v>
      </c>
      <c r="C4256" t="s">
        <v>86</v>
      </c>
      <c r="D4256" t="s">
        <v>105</v>
      </c>
      <c r="E4256" t="s">
        <v>124</v>
      </c>
      <c r="F4256" t="s">
        <v>158</v>
      </c>
      <c r="G4256" t="s">
        <v>184</v>
      </c>
      <c r="AK4256" t="s">
        <v>361</v>
      </c>
    </row>
    <row r="4257" spans="1:37">
      <c r="A4257" t="s">
        <v>45</v>
      </c>
      <c r="B4257" t="s">
        <v>65</v>
      </c>
      <c r="C4257" t="s">
        <v>87</v>
      </c>
      <c r="D4257" t="s">
        <v>106</v>
      </c>
      <c r="E4257" t="s">
        <v>125</v>
      </c>
      <c r="F4257" t="s">
        <v>159</v>
      </c>
      <c r="G4257" t="s">
        <v>185</v>
      </c>
      <c r="H4257" t="s">
        <v>159</v>
      </c>
      <c r="I4257" t="s">
        <v>185</v>
      </c>
      <c r="J4257" t="s">
        <v>255</v>
      </c>
      <c r="AK4257" t="s">
        <v>361</v>
      </c>
    </row>
    <row r="4258" spans="1:37">
      <c r="A4258" t="s">
        <v>46</v>
      </c>
      <c r="B4258" t="s">
        <v>66</v>
      </c>
      <c r="C4258" t="s">
        <v>88</v>
      </c>
      <c r="D4258" t="s">
        <v>76</v>
      </c>
      <c r="E4258" t="s">
        <v>126</v>
      </c>
      <c r="F4258" t="s">
        <v>160</v>
      </c>
      <c r="G4258" t="s">
        <v>186</v>
      </c>
      <c r="H4258" t="s">
        <v>217</v>
      </c>
      <c r="I4258" t="s">
        <v>238</v>
      </c>
      <c r="J4258" t="s">
        <v>256</v>
      </c>
      <c r="K4258" t="s">
        <v>265</v>
      </c>
      <c r="L4258" t="s">
        <v>281</v>
      </c>
      <c r="M4258" t="s">
        <v>290</v>
      </c>
      <c r="N4258" t="s">
        <v>299</v>
      </c>
      <c r="O4258" t="s">
        <v>308</v>
      </c>
      <c r="P4258" t="s">
        <v>228</v>
      </c>
      <c r="Q4258" t="s">
        <v>72</v>
      </c>
      <c r="R4258" t="s">
        <v>327</v>
      </c>
      <c r="S4258" t="s">
        <v>327</v>
      </c>
      <c r="T4258" t="s">
        <v>336</v>
      </c>
      <c r="U4258" t="s">
        <v>336</v>
      </c>
      <c r="V4258" t="s">
        <v>336</v>
      </c>
      <c r="W4258" t="s">
        <v>336</v>
      </c>
      <c r="X4258" t="s">
        <v>353</v>
      </c>
      <c r="AK4258" t="s">
        <v>361</v>
      </c>
    </row>
    <row r="4259" spans="1:37">
      <c r="B4259" t="s">
        <v>67</v>
      </c>
      <c r="C4259" t="s">
        <v>89</v>
      </c>
      <c r="D4259" t="s">
        <v>107</v>
      </c>
      <c r="AK4259" t="s">
        <v>361</v>
      </c>
    </row>
    <row r="4260" spans="1:37">
      <c r="B4260" t="s">
        <v>68</v>
      </c>
      <c r="C4260" t="s">
        <v>90</v>
      </c>
      <c r="D4260" t="s">
        <v>108</v>
      </c>
      <c r="AK4260" t="s">
        <v>361</v>
      </c>
    </row>
    <row r="4261" spans="1:37">
      <c r="A4261" t="s">
        <v>47</v>
      </c>
      <c r="B4261" t="s">
        <v>69</v>
      </c>
      <c r="C4261" t="s">
        <v>91</v>
      </c>
      <c r="D4261" t="s">
        <v>109</v>
      </c>
      <c r="E4261" t="s">
        <v>109</v>
      </c>
      <c r="F4261" t="s">
        <v>109</v>
      </c>
      <c r="G4261" t="s">
        <v>109</v>
      </c>
      <c r="H4261" t="s">
        <v>109</v>
      </c>
      <c r="I4261" t="s">
        <v>239</v>
      </c>
      <c r="AK4261" t="s">
        <v>361</v>
      </c>
    </row>
    <row r="4262" spans="1:37">
      <c r="B4262" t="s">
        <v>70</v>
      </c>
      <c r="C4262" t="s">
        <v>92</v>
      </c>
      <c r="D4262" t="s">
        <v>110</v>
      </c>
      <c r="E4262" t="s">
        <v>127</v>
      </c>
      <c r="F4262" t="s">
        <v>161</v>
      </c>
      <c r="G4262" t="s">
        <v>187</v>
      </c>
      <c r="H4262" t="s">
        <v>218</v>
      </c>
      <c r="AK4262" t="s">
        <v>361</v>
      </c>
    </row>
    <row r="4263" spans="1:37">
      <c r="B4263" t="s">
        <v>71</v>
      </c>
      <c r="C4263" t="s">
        <v>93</v>
      </c>
      <c r="D4263" t="s">
        <v>111</v>
      </c>
      <c r="E4263" t="s">
        <v>128</v>
      </c>
      <c r="F4263" t="s">
        <v>162</v>
      </c>
      <c r="G4263" t="s">
        <v>188</v>
      </c>
      <c r="H4263" t="s">
        <v>219</v>
      </c>
      <c r="I4263" t="s">
        <v>240</v>
      </c>
      <c r="J4263" t="s">
        <v>257</v>
      </c>
      <c r="K4263" t="s">
        <v>269</v>
      </c>
      <c r="L4263" t="s">
        <v>109</v>
      </c>
      <c r="M4263" t="s">
        <v>109</v>
      </c>
      <c r="N4263" t="s">
        <v>109</v>
      </c>
      <c r="O4263" t="s">
        <v>109</v>
      </c>
      <c r="P4263" t="s">
        <v>109</v>
      </c>
      <c r="Q4263" t="s">
        <v>321</v>
      </c>
      <c r="AK4263" t="s">
        <v>361</v>
      </c>
    </row>
    <row r="4264" spans="1:37">
      <c r="A4264" t="s">
        <v>48</v>
      </c>
      <c r="B4264" t="s">
        <v>71</v>
      </c>
      <c r="C4264" t="s">
        <v>93</v>
      </c>
      <c r="D4264" t="s">
        <v>111</v>
      </c>
      <c r="E4264" t="s">
        <v>128</v>
      </c>
      <c r="F4264" t="s">
        <v>163</v>
      </c>
      <c r="G4264" t="s">
        <v>189</v>
      </c>
      <c r="H4264" t="s">
        <v>220</v>
      </c>
      <c r="I4264" t="s">
        <v>241</v>
      </c>
      <c r="J4264" t="s">
        <v>258</v>
      </c>
      <c r="K4264" t="s">
        <v>270</v>
      </c>
      <c r="AK4264" t="s">
        <v>361</v>
      </c>
    </row>
    <row r="4265" spans="1:37">
      <c r="B4265" t="s">
        <v>72</v>
      </c>
      <c r="C4265" t="s">
        <v>72</v>
      </c>
      <c r="D4265" t="s">
        <v>72</v>
      </c>
      <c r="E4265" t="s">
        <v>72</v>
      </c>
      <c r="F4265" t="s">
        <v>72</v>
      </c>
      <c r="G4265" t="s">
        <v>72</v>
      </c>
      <c r="H4265" t="s">
        <v>72</v>
      </c>
      <c r="I4265" t="s">
        <v>72</v>
      </c>
      <c r="J4265" t="s">
        <v>72</v>
      </c>
      <c r="K4265" t="s">
        <v>272</v>
      </c>
      <c r="AK4265" t="s">
        <v>361</v>
      </c>
    </row>
    <row r="4266" spans="1:37">
      <c r="A4266" t="s">
        <v>37</v>
      </c>
      <c r="B4266" t="s">
        <v>49</v>
      </c>
      <c r="C4266" t="s">
        <v>73</v>
      </c>
      <c r="D4266" t="s">
        <v>94</v>
      </c>
      <c r="E4266" t="s">
        <v>112</v>
      </c>
      <c r="F4266" t="s">
        <v>146</v>
      </c>
      <c r="G4266" t="s">
        <v>172</v>
      </c>
      <c r="H4266" t="s">
        <v>207</v>
      </c>
      <c r="I4266" t="s">
        <v>226</v>
      </c>
      <c r="J4266" t="s">
        <v>246</v>
      </c>
      <c r="K4266" t="s">
        <v>259</v>
      </c>
      <c r="AK4266" t="s">
        <v>361</v>
      </c>
    </row>
    <row r="4267" spans="1:37">
      <c r="A4267" t="s">
        <v>38</v>
      </c>
      <c r="B4267" t="s">
        <v>50</v>
      </c>
      <c r="C4267" t="s">
        <v>74</v>
      </c>
      <c r="D4267" t="s">
        <v>95</v>
      </c>
      <c r="E4267" t="s">
        <v>113</v>
      </c>
      <c r="F4267" t="s">
        <v>147</v>
      </c>
      <c r="G4267" t="s">
        <v>173</v>
      </c>
      <c r="H4267" t="s">
        <v>208</v>
      </c>
      <c r="I4267" t="s">
        <v>227</v>
      </c>
      <c r="J4267" t="s">
        <v>115</v>
      </c>
      <c r="K4267" t="s">
        <v>260</v>
      </c>
      <c r="L4267" t="s">
        <v>273</v>
      </c>
      <c r="M4267" t="s">
        <v>282</v>
      </c>
      <c r="N4267" t="s">
        <v>291</v>
      </c>
      <c r="AK4267" t="s">
        <v>361</v>
      </c>
    </row>
    <row r="4268" spans="1:37">
      <c r="B4268" t="s">
        <v>51</v>
      </c>
      <c r="C4268" t="s">
        <v>75</v>
      </c>
      <c r="D4268" t="s">
        <v>52</v>
      </c>
      <c r="E4268" t="s">
        <v>114</v>
      </c>
      <c r="F4268" t="s">
        <v>148</v>
      </c>
      <c r="G4268" t="s">
        <v>148</v>
      </c>
      <c r="H4268" t="s">
        <v>209</v>
      </c>
      <c r="I4268" t="s">
        <v>228</v>
      </c>
      <c r="J4268" t="s">
        <v>247</v>
      </c>
      <c r="K4268" t="s">
        <v>261</v>
      </c>
      <c r="L4268" t="s">
        <v>274</v>
      </c>
      <c r="M4268" t="s">
        <v>283</v>
      </c>
      <c r="N4268" t="s">
        <v>292</v>
      </c>
      <c r="O4268" t="s">
        <v>300</v>
      </c>
      <c r="AK4268" t="s">
        <v>361</v>
      </c>
    </row>
    <row r="4269" spans="1:37">
      <c r="B4269" t="s">
        <v>52</v>
      </c>
      <c r="C4269" t="s">
        <v>76</v>
      </c>
      <c r="D4269" t="s">
        <v>96</v>
      </c>
      <c r="E4269" t="s">
        <v>115</v>
      </c>
      <c r="F4269" t="s">
        <v>149</v>
      </c>
      <c r="G4269" t="s">
        <v>174</v>
      </c>
      <c r="H4269" t="s">
        <v>96</v>
      </c>
      <c r="I4269" t="s">
        <v>229</v>
      </c>
      <c r="J4269" t="s">
        <v>248</v>
      </c>
      <c r="K4269" t="s">
        <v>262</v>
      </c>
      <c r="L4269" t="s">
        <v>52</v>
      </c>
      <c r="M4269" t="s">
        <v>76</v>
      </c>
      <c r="N4269" t="s">
        <v>293</v>
      </c>
      <c r="O4269" t="s">
        <v>301</v>
      </c>
      <c r="P4269" t="s">
        <v>309</v>
      </c>
      <c r="Q4269" t="s">
        <v>315</v>
      </c>
      <c r="R4269" t="s">
        <v>228</v>
      </c>
      <c r="S4269" t="s">
        <v>328</v>
      </c>
      <c r="T4269" t="s">
        <v>149</v>
      </c>
      <c r="U4269" t="s">
        <v>337</v>
      </c>
      <c r="V4269" t="s">
        <v>341</v>
      </c>
      <c r="W4269" t="s">
        <v>345</v>
      </c>
      <c r="X4269" t="s">
        <v>350</v>
      </c>
      <c r="AK4269" t="s">
        <v>361</v>
      </c>
    </row>
    <row r="4270" spans="1:37">
      <c r="B4270" t="s">
        <v>53</v>
      </c>
      <c r="C4270" t="s">
        <v>77</v>
      </c>
      <c r="D4270" t="s">
        <v>97</v>
      </c>
      <c r="E4270" t="s">
        <v>116</v>
      </c>
      <c r="F4270" t="s">
        <v>150</v>
      </c>
      <c r="G4270" t="s">
        <v>175</v>
      </c>
      <c r="H4270" t="s">
        <v>210</v>
      </c>
      <c r="I4270" t="s">
        <v>230</v>
      </c>
      <c r="J4270" t="s">
        <v>249</v>
      </c>
      <c r="K4270" t="s">
        <v>263</v>
      </c>
      <c r="L4270" t="s">
        <v>275</v>
      </c>
      <c r="M4270" t="s">
        <v>284</v>
      </c>
      <c r="N4270" t="s">
        <v>294</v>
      </c>
      <c r="O4270" t="s">
        <v>302</v>
      </c>
      <c r="P4270" t="s">
        <v>310</v>
      </c>
      <c r="Q4270" t="s">
        <v>316</v>
      </c>
      <c r="R4270" t="s">
        <v>322</v>
      </c>
      <c r="S4270" t="s">
        <v>329</v>
      </c>
      <c r="AK4270" t="s">
        <v>361</v>
      </c>
    </row>
    <row r="4271" spans="1:37">
      <c r="A4271" t="s">
        <v>39</v>
      </c>
      <c r="B4271" t="s">
        <v>54</v>
      </c>
      <c r="C4271" t="s">
        <v>54</v>
      </c>
      <c r="D4271" t="s">
        <v>54</v>
      </c>
      <c r="E4271" t="s">
        <v>54</v>
      </c>
      <c r="F4271" t="s">
        <v>54</v>
      </c>
      <c r="G4271" t="s">
        <v>54</v>
      </c>
      <c r="H4271" t="s">
        <v>54</v>
      </c>
      <c r="I4271" t="s">
        <v>54</v>
      </c>
      <c r="J4271" t="s">
        <v>54</v>
      </c>
      <c r="K4271" t="s">
        <v>54</v>
      </c>
      <c r="L4271" t="s">
        <v>54</v>
      </c>
      <c r="M4271" t="s">
        <v>54</v>
      </c>
      <c r="N4271" t="s">
        <v>54</v>
      </c>
      <c r="O4271" t="s">
        <v>54</v>
      </c>
      <c r="P4271" t="s">
        <v>54</v>
      </c>
      <c r="Q4271" t="s">
        <v>54</v>
      </c>
      <c r="R4271" t="s">
        <v>323</v>
      </c>
      <c r="S4271" t="s">
        <v>330</v>
      </c>
      <c r="AK4271" t="s">
        <v>361</v>
      </c>
    </row>
    <row r="4272" spans="1:37">
      <c r="B4272" t="s">
        <v>55</v>
      </c>
      <c r="C4272" t="s">
        <v>78</v>
      </c>
      <c r="D4272" t="s">
        <v>55</v>
      </c>
      <c r="E4272" t="s">
        <v>78</v>
      </c>
      <c r="F4272" t="s">
        <v>55</v>
      </c>
      <c r="G4272" t="s">
        <v>78</v>
      </c>
      <c r="H4272" t="s">
        <v>55</v>
      </c>
      <c r="I4272" t="s">
        <v>78</v>
      </c>
      <c r="J4272" t="s">
        <v>55</v>
      </c>
      <c r="K4272" t="s">
        <v>78</v>
      </c>
      <c r="L4272" t="s">
        <v>55</v>
      </c>
      <c r="M4272" t="s">
        <v>78</v>
      </c>
      <c r="N4272" t="s">
        <v>55</v>
      </c>
      <c r="O4272" t="s">
        <v>78</v>
      </c>
      <c r="P4272" t="s">
        <v>55</v>
      </c>
      <c r="Q4272" t="s">
        <v>78</v>
      </c>
      <c r="R4272" t="s">
        <v>55</v>
      </c>
      <c r="S4272" t="s">
        <v>78</v>
      </c>
      <c r="T4272" t="s">
        <v>55</v>
      </c>
      <c r="U4272" t="s">
        <v>78</v>
      </c>
      <c r="V4272" t="s">
        <v>55</v>
      </c>
      <c r="W4272" t="s">
        <v>78</v>
      </c>
      <c r="X4272" t="s">
        <v>55</v>
      </c>
      <c r="Y4272" t="s">
        <v>78</v>
      </c>
      <c r="Z4272" t="s">
        <v>55</v>
      </c>
      <c r="AA4272" t="s">
        <v>78</v>
      </c>
      <c r="AB4272" t="s">
        <v>55</v>
      </c>
      <c r="AC4272" t="s">
        <v>78</v>
      </c>
      <c r="AD4272" t="s">
        <v>55</v>
      </c>
      <c r="AE4272" t="s">
        <v>78</v>
      </c>
      <c r="AF4272" t="s">
        <v>55</v>
      </c>
      <c r="AG4272" t="s">
        <v>78</v>
      </c>
      <c r="AH4272" t="s">
        <v>55</v>
      </c>
      <c r="AI4272" t="s">
        <v>78</v>
      </c>
      <c r="AK4272" t="s">
        <v>361</v>
      </c>
    </row>
    <row r="4273" spans="1:37">
      <c r="B4273" t="s">
        <v>56</v>
      </c>
      <c r="C4273" t="s">
        <v>56</v>
      </c>
      <c r="D4273" t="s">
        <v>56</v>
      </c>
      <c r="E4273" t="s">
        <v>56</v>
      </c>
      <c r="F4273" t="s">
        <v>56</v>
      </c>
      <c r="G4273" t="s">
        <v>176</v>
      </c>
      <c r="H4273" t="s">
        <v>211</v>
      </c>
      <c r="I4273" t="s">
        <v>231</v>
      </c>
      <c r="J4273" t="s">
        <v>250</v>
      </c>
      <c r="K4273" t="s">
        <v>264</v>
      </c>
      <c r="L4273" t="s">
        <v>276</v>
      </c>
      <c r="M4273" t="s">
        <v>285</v>
      </c>
      <c r="N4273" t="s">
        <v>295</v>
      </c>
      <c r="O4273" t="s">
        <v>303</v>
      </c>
      <c r="P4273" t="s">
        <v>56</v>
      </c>
      <c r="Q4273" t="s">
        <v>317</v>
      </c>
      <c r="R4273" t="s">
        <v>324</v>
      </c>
      <c r="S4273" t="s">
        <v>331</v>
      </c>
      <c r="T4273" t="s">
        <v>334</v>
      </c>
      <c r="U4273" t="s">
        <v>338</v>
      </c>
      <c r="V4273" t="s">
        <v>342</v>
      </c>
      <c r="W4273" t="s">
        <v>346</v>
      </c>
      <c r="X4273" t="s">
        <v>351</v>
      </c>
      <c r="AK4273" t="s">
        <v>361</v>
      </c>
    </row>
    <row r="4274" spans="1:37">
      <c r="B4274" t="s">
        <v>57</v>
      </c>
      <c r="C4274" t="s">
        <v>79</v>
      </c>
      <c r="D4274" t="s">
        <v>98</v>
      </c>
      <c r="E4274" t="s">
        <v>117</v>
      </c>
      <c r="F4274" t="s">
        <v>151</v>
      </c>
      <c r="G4274" t="s">
        <v>177</v>
      </c>
      <c r="H4274" t="s">
        <v>212</v>
      </c>
      <c r="I4274" t="s">
        <v>232</v>
      </c>
      <c r="J4274" t="s">
        <v>251</v>
      </c>
      <c r="K4274" t="s">
        <v>265</v>
      </c>
      <c r="L4274" t="s">
        <v>277</v>
      </c>
      <c r="M4274" t="s">
        <v>286</v>
      </c>
      <c r="N4274" t="s">
        <v>296</v>
      </c>
      <c r="O4274" t="s">
        <v>304</v>
      </c>
      <c r="P4274" t="s">
        <v>311</v>
      </c>
      <c r="Q4274" t="s">
        <v>318</v>
      </c>
      <c r="R4274" t="s">
        <v>185</v>
      </c>
      <c r="S4274" t="s">
        <v>159</v>
      </c>
      <c r="T4274" t="s">
        <v>185</v>
      </c>
      <c r="U4274" t="s">
        <v>339</v>
      </c>
      <c r="V4274" t="s">
        <v>72</v>
      </c>
      <c r="W4274" t="s">
        <v>347</v>
      </c>
      <c r="X4274" t="s">
        <v>72</v>
      </c>
      <c r="Y4274" t="s">
        <v>96</v>
      </c>
      <c r="AK4274" t="s">
        <v>361</v>
      </c>
    </row>
    <row r="4275" spans="1:37">
      <c r="B4275" t="s">
        <v>58</v>
      </c>
      <c r="C4275" t="s">
        <v>80</v>
      </c>
      <c r="D4275" t="s">
        <v>99</v>
      </c>
      <c r="E4275" t="s">
        <v>118</v>
      </c>
      <c r="F4275" t="s">
        <v>152</v>
      </c>
      <c r="G4275" t="s">
        <v>178</v>
      </c>
      <c r="H4275" t="s">
        <v>213</v>
      </c>
      <c r="I4275" t="s">
        <v>233</v>
      </c>
      <c r="J4275" t="s">
        <v>252</v>
      </c>
      <c r="K4275" t="s">
        <v>266</v>
      </c>
      <c r="L4275" t="s">
        <v>278</v>
      </c>
      <c r="M4275" t="s">
        <v>287</v>
      </c>
      <c r="N4275" t="s">
        <v>297</v>
      </c>
      <c r="O4275" t="s">
        <v>305</v>
      </c>
      <c r="P4275" t="s">
        <v>312</v>
      </c>
      <c r="Q4275" t="s">
        <v>319</v>
      </c>
      <c r="R4275">
        <f>&gt;10       ветра      1.5     15   4</f>
        <v>0</v>
      </c>
      <c r="AK4275" t="s">
        <v>361</v>
      </c>
    </row>
    <row r="4276" spans="1:37">
      <c r="A4276" t="s">
        <v>40</v>
      </c>
      <c r="B4276" t="s">
        <v>59</v>
      </c>
      <c r="C4276" t="s">
        <v>81</v>
      </c>
      <c r="D4276" t="s">
        <v>100</v>
      </c>
      <c r="E4276" t="s">
        <v>119</v>
      </c>
      <c r="F4276" t="s">
        <v>153</v>
      </c>
      <c r="G4276" t="s">
        <v>179</v>
      </c>
      <c r="H4276" t="s">
        <v>214</v>
      </c>
      <c r="I4276" t="s">
        <v>234</v>
      </c>
      <c r="AK4276" t="s">
        <v>361</v>
      </c>
    </row>
    <row r="4277" spans="1:37">
      <c r="A4277" t="s">
        <v>40</v>
      </c>
      <c r="B4277" t="s">
        <v>60</v>
      </c>
      <c r="C4277" t="s">
        <v>82</v>
      </c>
      <c r="D4277" t="s">
        <v>101</v>
      </c>
      <c r="E4277" t="s">
        <v>120</v>
      </c>
      <c r="F4277" t="s">
        <v>154</v>
      </c>
      <c r="G4277" t="s">
        <v>180</v>
      </c>
      <c r="H4277" t="s">
        <v>215</v>
      </c>
      <c r="I4277" t="s">
        <v>235</v>
      </c>
      <c r="J4277" t="s">
        <v>253</v>
      </c>
      <c r="K4277" t="s">
        <v>267</v>
      </c>
      <c r="L4277" t="s">
        <v>279</v>
      </c>
      <c r="M4277" t="s">
        <v>288</v>
      </c>
      <c r="N4277" t="s">
        <v>100</v>
      </c>
      <c r="O4277" t="s">
        <v>306</v>
      </c>
      <c r="P4277" t="s">
        <v>313</v>
      </c>
      <c r="Q4277" t="s">
        <v>320</v>
      </c>
      <c r="R4277" t="s">
        <v>325</v>
      </c>
      <c r="S4277" t="s">
        <v>332</v>
      </c>
      <c r="T4277" t="s">
        <v>119</v>
      </c>
      <c r="U4277" t="s">
        <v>234</v>
      </c>
      <c r="V4277" t="s">
        <v>343</v>
      </c>
      <c r="W4277" t="s">
        <v>348</v>
      </c>
      <c r="X4277" t="s">
        <v>352</v>
      </c>
      <c r="Y4277" t="s">
        <v>354</v>
      </c>
      <c r="AK4277" t="s">
        <v>361</v>
      </c>
    </row>
    <row r="4278" spans="1:37">
      <c r="A4278" t="s">
        <v>41</v>
      </c>
      <c r="B4278" t="s">
        <v>61</v>
      </c>
      <c r="C4278" t="s">
        <v>83</v>
      </c>
      <c r="D4278" t="s">
        <v>102</v>
      </c>
      <c r="E4278" t="s">
        <v>121</v>
      </c>
      <c r="F4278" t="s">
        <v>155</v>
      </c>
      <c r="G4278" t="s">
        <v>181</v>
      </c>
      <c r="H4278" t="s">
        <v>216</v>
      </c>
      <c r="I4278" t="s">
        <v>236</v>
      </c>
      <c r="AK4278" t="s">
        <v>361</v>
      </c>
    </row>
    <row r="4279" spans="1:37">
      <c r="A4279" t="s">
        <v>42</v>
      </c>
      <c r="B4279" t="s">
        <v>62</v>
      </c>
      <c r="C4279" t="s">
        <v>84</v>
      </c>
      <c r="D4279" t="s">
        <v>103</v>
      </c>
      <c r="E4279" t="s">
        <v>122</v>
      </c>
      <c r="F4279" t="s">
        <v>156</v>
      </c>
      <c r="G4279" t="s">
        <v>182</v>
      </c>
      <c r="H4279" t="s">
        <v>83</v>
      </c>
      <c r="I4279" t="s">
        <v>237</v>
      </c>
      <c r="J4279" t="s">
        <v>254</v>
      </c>
      <c r="K4279" t="s">
        <v>268</v>
      </c>
      <c r="L4279" t="s">
        <v>280</v>
      </c>
      <c r="M4279" t="s">
        <v>289</v>
      </c>
      <c r="N4279" t="s">
        <v>298</v>
      </c>
      <c r="O4279" t="s">
        <v>307</v>
      </c>
      <c r="P4279" t="s">
        <v>314</v>
      </c>
      <c r="Q4279" t="s">
        <v>216</v>
      </c>
      <c r="R4279" t="s">
        <v>326</v>
      </c>
      <c r="S4279" t="s">
        <v>333</v>
      </c>
      <c r="T4279" t="s">
        <v>335</v>
      </c>
      <c r="U4279" t="s">
        <v>340</v>
      </c>
      <c r="V4279" t="s">
        <v>344</v>
      </c>
      <c r="W4279" t="s">
        <v>349</v>
      </c>
      <c r="AK4279" t="s">
        <v>361</v>
      </c>
    </row>
    <row r="4280" spans="1:37">
      <c r="A4280" t="s">
        <v>43</v>
      </c>
      <c r="B4280" t="s">
        <v>63</v>
      </c>
      <c r="C4280" t="s">
        <v>85</v>
      </c>
      <c r="D4280" t="s">
        <v>104</v>
      </c>
      <c r="E4280" t="s">
        <v>123</v>
      </c>
      <c r="F4280" t="s">
        <v>157</v>
      </c>
      <c r="G4280" t="s">
        <v>183</v>
      </c>
      <c r="AK4280" t="s">
        <v>361</v>
      </c>
    </row>
    <row r="4281" spans="1:37">
      <c r="A4281" t="s">
        <v>44</v>
      </c>
      <c r="B4281" t="s">
        <v>64</v>
      </c>
      <c r="C4281" t="s">
        <v>86</v>
      </c>
      <c r="D4281" t="s">
        <v>105</v>
      </c>
      <c r="E4281" t="s">
        <v>124</v>
      </c>
      <c r="F4281" t="s">
        <v>158</v>
      </c>
      <c r="G4281" t="s">
        <v>184</v>
      </c>
      <c r="AK4281" t="s">
        <v>361</v>
      </c>
    </row>
    <row r="4282" spans="1:37">
      <c r="A4282" t="s">
        <v>45</v>
      </c>
      <c r="B4282" t="s">
        <v>65</v>
      </c>
      <c r="C4282" t="s">
        <v>87</v>
      </c>
      <c r="D4282" t="s">
        <v>106</v>
      </c>
      <c r="E4282" t="s">
        <v>125</v>
      </c>
      <c r="F4282" t="s">
        <v>159</v>
      </c>
      <c r="G4282" t="s">
        <v>185</v>
      </c>
      <c r="H4282" t="s">
        <v>159</v>
      </c>
      <c r="I4282" t="s">
        <v>185</v>
      </c>
      <c r="J4282" t="s">
        <v>255</v>
      </c>
      <c r="AK4282" t="s">
        <v>361</v>
      </c>
    </row>
    <row r="4283" spans="1:37">
      <c r="A4283" t="s">
        <v>46</v>
      </c>
      <c r="B4283" t="s">
        <v>66</v>
      </c>
      <c r="C4283" t="s">
        <v>88</v>
      </c>
      <c r="D4283" t="s">
        <v>76</v>
      </c>
      <c r="E4283" t="s">
        <v>126</v>
      </c>
      <c r="F4283" t="s">
        <v>160</v>
      </c>
      <c r="G4283" t="s">
        <v>186</v>
      </c>
      <c r="H4283" t="s">
        <v>217</v>
      </c>
      <c r="I4283" t="s">
        <v>238</v>
      </c>
      <c r="J4283" t="s">
        <v>256</v>
      </c>
      <c r="K4283" t="s">
        <v>265</v>
      </c>
      <c r="L4283" t="s">
        <v>281</v>
      </c>
      <c r="M4283" t="s">
        <v>290</v>
      </c>
      <c r="N4283" t="s">
        <v>299</v>
      </c>
      <c r="O4283" t="s">
        <v>308</v>
      </c>
      <c r="P4283" t="s">
        <v>228</v>
      </c>
      <c r="Q4283" t="s">
        <v>72</v>
      </c>
      <c r="R4283" t="s">
        <v>327</v>
      </c>
      <c r="S4283" t="s">
        <v>327</v>
      </c>
      <c r="T4283" t="s">
        <v>336</v>
      </c>
      <c r="U4283" t="s">
        <v>336</v>
      </c>
      <c r="V4283" t="s">
        <v>336</v>
      </c>
      <c r="W4283" t="s">
        <v>336</v>
      </c>
      <c r="X4283" t="s">
        <v>353</v>
      </c>
      <c r="AK4283" t="s">
        <v>361</v>
      </c>
    </row>
    <row r="4284" spans="1:37">
      <c r="B4284" t="s">
        <v>67</v>
      </c>
      <c r="C4284" t="s">
        <v>89</v>
      </c>
      <c r="D4284" t="s">
        <v>107</v>
      </c>
      <c r="AK4284" t="s">
        <v>361</v>
      </c>
    </row>
    <row r="4285" spans="1:37">
      <c r="B4285" t="s">
        <v>68</v>
      </c>
      <c r="C4285" t="s">
        <v>90</v>
      </c>
      <c r="D4285" t="s">
        <v>108</v>
      </c>
      <c r="AK4285" t="s">
        <v>361</v>
      </c>
    </row>
    <row r="4286" spans="1:37">
      <c r="A4286" t="s">
        <v>47</v>
      </c>
      <c r="B4286" t="s">
        <v>69</v>
      </c>
      <c r="C4286" t="s">
        <v>91</v>
      </c>
      <c r="D4286" t="s">
        <v>109</v>
      </c>
      <c r="E4286" t="s">
        <v>109</v>
      </c>
      <c r="F4286" t="s">
        <v>109</v>
      </c>
      <c r="G4286" t="s">
        <v>109</v>
      </c>
      <c r="H4286" t="s">
        <v>109</v>
      </c>
      <c r="I4286" t="s">
        <v>239</v>
      </c>
      <c r="AK4286" t="s">
        <v>361</v>
      </c>
    </row>
    <row r="4287" spans="1:37">
      <c r="B4287" t="s">
        <v>70</v>
      </c>
      <c r="C4287" t="s">
        <v>92</v>
      </c>
      <c r="D4287" t="s">
        <v>110</v>
      </c>
      <c r="E4287" t="s">
        <v>127</v>
      </c>
      <c r="F4287" t="s">
        <v>161</v>
      </c>
      <c r="G4287" t="s">
        <v>187</v>
      </c>
      <c r="H4287" t="s">
        <v>218</v>
      </c>
      <c r="AK4287" t="s">
        <v>361</v>
      </c>
    </row>
    <row r="4288" spans="1:37">
      <c r="B4288" t="s">
        <v>71</v>
      </c>
      <c r="C4288" t="s">
        <v>93</v>
      </c>
      <c r="D4288" t="s">
        <v>111</v>
      </c>
      <c r="E4288" t="s">
        <v>128</v>
      </c>
      <c r="F4288" t="s">
        <v>162</v>
      </c>
      <c r="G4288" t="s">
        <v>188</v>
      </c>
      <c r="H4288" t="s">
        <v>219</v>
      </c>
      <c r="I4288" t="s">
        <v>240</v>
      </c>
      <c r="J4288" t="s">
        <v>257</v>
      </c>
      <c r="K4288" t="s">
        <v>269</v>
      </c>
      <c r="L4288" t="s">
        <v>109</v>
      </c>
      <c r="M4288" t="s">
        <v>109</v>
      </c>
      <c r="N4288" t="s">
        <v>109</v>
      </c>
      <c r="O4288" t="s">
        <v>109</v>
      </c>
      <c r="P4288" t="s">
        <v>109</v>
      </c>
      <c r="Q4288" t="s">
        <v>321</v>
      </c>
      <c r="AK4288" t="s">
        <v>361</v>
      </c>
    </row>
    <row r="4289" spans="1:37">
      <c r="A4289" t="s">
        <v>48</v>
      </c>
      <c r="B4289" t="s">
        <v>71</v>
      </c>
      <c r="C4289" t="s">
        <v>93</v>
      </c>
      <c r="D4289" t="s">
        <v>111</v>
      </c>
      <c r="E4289" t="s">
        <v>128</v>
      </c>
      <c r="F4289" t="s">
        <v>163</v>
      </c>
      <c r="G4289" t="s">
        <v>189</v>
      </c>
      <c r="H4289" t="s">
        <v>220</v>
      </c>
      <c r="I4289" t="s">
        <v>241</v>
      </c>
      <c r="J4289" t="s">
        <v>258</v>
      </c>
      <c r="K4289" t="s">
        <v>270</v>
      </c>
      <c r="AK4289" t="s">
        <v>361</v>
      </c>
    </row>
    <row r="4290" spans="1:37">
      <c r="B4290" t="s">
        <v>72</v>
      </c>
      <c r="C4290" t="s">
        <v>72</v>
      </c>
      <c r="D4290" t="s">
        <v>72</v>
      </c>
      <c r="E4290" t="s">
        <v>72</v>
      </c>
      <c r="F4290" t="s">
        <v>72</v>
      </c>
      <c r="G4290" t="s">
        <v>72</v>
      </c>
      <c r="H4290" t="s">
        <v>72</v>
      </c>
      <c r="I4290" t="s">
        <v>72</v>
      </c>
      <c r="J4290" t="s">
        <v>72</v>
      </c>
      <c r="K4290" t="s">
        <v>272</v>
      </c>
      <c r="AK4290" t="s">
        <v>361</v>
      </c>
    </row>
    <row r="4291" spans="1:37">
      <c r="A4291" t="s">
        <v>37</v>
      </c>
      <c r="B4291" t="s">
        <v>49</v>
      </c>
      <c r="C4291" t="s">
        <v>73</v>
      </c>
      <c r="D4291" t="s">
        <v>94</v>
      </c>
      <c r="E4291" t="s">
        <v>112</v>
      </c>
      <c r="F4291" t="s">
        <v>146</v>
      </c>
      <c r="G4291" t="s">
        <v>172</v>
      </c>
      <c r="H4291" t="s">
        <v>207</v>
      </c>
      <c r="I4291" t="s">
        <v>226</v>
      </c>
      <c r="J4291" t="s">
        <v>246</v>
      </c>
      <c r="K4291" t="s">
        <v>259</v>
      </c>
      <c r="AK4291" t="s">
        <v>361</v>
      </c>
    </row>
    <row r="4292" spans="1:37">
      <c r="A4292" t="s">
        <v>38</v>
      </c>
      <c r="B4292" t="s">
        <v>50</v>
      </c>
      <c r="C4292" t="s">
        <v>74</v>
      </c>
      <c r="D4292" t="s">
        <v>95</v>
      </c>
      <c r="E4292" t="s">
        <v>113</v>
      </c>
      <c r="F4292" t="s">
        <v>147</v>
      </c>
      <c r="G4292" t="s">
        <v>173</v>
      </c>
      <c r="H4292" t="s">
        <v>208</v>
      </c>
      <c r="I4292" t="s">
        <v>227</v>
      </c>
      <c r="J4292" t="s">
        <v>115</v>
      </c>
      <c r="K4292" t="s">
        <v>260</v>
      </c>
      <c r="L4292" t="s">
        <v>273</v>
      </c>
      <c r="M4292" t="s">
        <v>282</v>
      </c>
      <c r="N4292" t="s">
        <v>291</v>
      </c>
      <c r="AK4292" t="s">
        <v>361</v>
      </c>
    </row>
    <row r="4293" spans="1:37">
      <c r="B4293" t="s">
        <v>51</v>
      </c>
      <c r="C4293" t="s">
        <v>75</v>
      </c>
      <c r="D4293" t="s">
        <v>52</v>
      </c>
      <c r="E4293" t="s">
        <v>114</v>
      </c>
      <c r="F4293" t="s">
        <v>148</v>
      </c>
      <c r="G4293" t="s">
        <v>148</v>
      </c>
      <c r="H4293" t="s">
        <v>209</v>
      </c>
      <c r="I4293" t="s">
        <v>228</v>
      </c>
      <c r="J4293" t="s">
        <v>247</v>
      </c>
      <c r="K4293" t="s">
        <v>261</v>
      </c>
      <c r="L4293" t="s">
        <v>274</v>
      </c>
      <c r="M4293" t="s">
        <v>283</v>
      </c>
      <c r="N4293" t="s">
        <v>292</v>
      </c>
      <c r="O4293" t="s">
        <v>300</v>
      </c>
      <c r="AK4293" t="s">
        <v>361</v>
      </c>
    </row>
    <row r="4294" spans="1:37">
      <c r="B4294" t="s">
        <v>52</v>
      </c>
      <c r="C4294" t="s">
        <v>76</v>
      </c>
      <c r="D4294" t="s">
        <v>96</v>
      </c>
      <c r="E4294" t="s">
        <v>115</v>
      </c>
      <c r="F4294" t="s">
        <v>149</v>
      </c>
      <c r="G4294" t="s">
        <v>174</v>
      </c>
      <c r="H4294" t="s">
        <v>96</v>
      </c>
      <c r="I4294" t="s">
        <v>229</v>
      </c>
      <c r="J4294" t="s">
        <v>248</v>
      </c>
      <c r="K4294" t="s">
        <v>262</v>
      </c>
      <c r="L4294" t="s">
        <v>52</v>
      </c>
      <c r="M4294" t="s">
        <v>76</v>
      </c>
      <c r="N4294" t="s">
        <v>293</v>
      </c>
      <c r="O4294" t="s">
        <v>301</v>
      </c>
      <c r="P4294" t="s">
        <v>309</v>
      </c>
      <c r="Q4294" t="s">
        <v>315</v>
      </c>
      <c r="R4294" t="s">
        <v>228</v>
      </c>
      <c r="S4294" t="s">
        <v>328</v>
      </c>
      <c r="T4294" t="s">
        <v>149</v>
      </c>
      <c r="U4294" t="s">
        <v>337</v>
      </c>
      <c r="V4294" t="s">
        <v>341</v>
      </c>
      <c r="W4294" t="s">
        <v>345</v>
      </c>
      <c r="X4294" t="s">
        <v>350</v>
      </c>
      <c r="AK4294" t="s">
        <v>361</v>
      </c>
    </row>
    <row r="4295" spans="1:37">
      <c r="B4295" t="s">
        <v>53</v>
      </c>
      <c r="C4295" t="s">
        <v>77</v>
      </c>
      <c r="D4295" t="s">
        <v>97</v>
      </c>
      <c r="E4295" t="s">
        <v>116</v>
      </c>
      <c r="F4295" t="s">
        <v>150</v>
      </c>
      <c r="G4295" t="s">
        <v>175</v>
      </c>
      <c r="H4295" t="s">
        <v>210</v>
      </c>
      <c r="I4295" t="s">
        <v>230</v>
      </c>
      <c r="J4295" t="s">
        <v>249</v>
      </c>
      <c r="K4295" t="s">
        <v>263</v>
      </c>
      <c r="L4295" t="s">
        <v>275</v>
      </c>
      <c r="M4295" t="s">
        <v>284</v>
      </c>
      <c r="N4295" t="s">
        <v>294</v>
      </c>
      <c r="O4295" t="s">
        <v>302</v>
      </c>
      <c r="P4295" t="s">
        <v>310</v>
      </c>
      <c r="Q4295" t="s">
        <v>316</v>
      </c>
      <c r="R4295" t="s">
        <v>322</v>
      </c>
      <c r="S4295" t="s">
        <v>329</v>
      </c>
      <c r="AK4295" t="s">
        <v>361</v>
      </c>
    </row>
    <row r="4296" spans="1:37">
      <c r="A4296" t="s">
        <v>39</v>
      </c>
      <c r="B4296" t="s">
        <v>54</v>
      </c>
      <c r="C4296" t="s">
        <v>54</v>
      </c>
      <c r="D4296" t="s">
        <v>54</v>
      </c>
      <c r="E4296" t="s">
        <v>54</v>
      </c>
      <c r="F4296" t="s">
        <v>54</v>
      </c>
      <c r="G4296" t="s">
        <v>54</v>
      </c>
      <c r="H4296" t="s">
        <v>54</v>
      </c>
      <c r="I4296" t="s">
        <v>54</v>
      </c>
      <c r="J4296" t="s">
        <v>54</v>
      </c>
      <c r="K4296" t="s">
        <v>54</v>
      </c>
      <c r="L4296" t="s">
        <v>54</v>
      </c>
      <c r="M4296" t="s">
        <v>54</v>
      </c>
      <c r="N4296" t="s">
        <v>54</v>
      </c>
      <c r="O4296" t="s">
        <v>54</v>
      </c>
      <c r="P4296" t="s">
        <v>54</v>
      </c>
      <c r="Q4296" t="s">
        <v>54</v>
      </c>
      <c r="R4296" t="s">
        <v>323</v>
      </c>
      <c r="S4296" t="s">
        <v>330</v>
      </c>
      <c r="AK4296" t="s">
        <v>361</v>
      </c>
    </row>
    <row r="4297" spans="1:37">
      <c r="B4297" t="s">
        <v>55</v>
      </c>
      <c r="C4297" t="s">
        <v>78</v>
      </c>
      <c r="D4297" t="s">
        <v>55</v>
      </c>
      <c r="E4297" t="s">
        <v>78</v>
      </c>
      <c r="F4297" t="s">
        <v>55</v>
      </c>
      <c r="G4297" t="s">
        <v>78</v>
      </c>
      <c r="H4297" t="s">
        <v>55</v>
      </c>
      <c r="I4297" t="s">
        <v>78</v>
      </c>
      <c r="J4297" t="s">
        <v>55</v>
      </c>
      <c r="K4297" t="s">
        <v>78</v>
      </c>
      <c r="L4297" t="s">
        <v>55</v>
      </c>
      <c r="M4297" t="s">
        <v>78</v>
      </c>
      <c r="N4297" t="s">
        <v>55</v>
      </c>
      <c r="O4297" t="s">
        <v>78</v>
      </c>
      <c r="P4297" t="s">
        <v>55</v>
      </c>
      <c r="Q4297" t="s">
        <v>78</v>
      </c>
      <c r="R4297" t="s">
        <v>55</v>
      </c>
      <c r="S4297" t="s">
        <v>78</v>
      </c>
      <c r="T4297" t="s">
        <v>55</v>
      </c>
      <c r="U4297" t="s">
        <v>78</v>
      </c>
      <c r="V4297" t="s">
        <v>55</v>
      </c>
      <c r="W4297" t="s">
        <v>78</v>
      </c>
      <c r="X4297" t="s">
        <v>55</v>
      </c>
      <c r="Y4297" t="s">
        <v>78</v>
      </c>
      <c r="Z4297" t="s">
        <v>55</v>
      </c>
      <c r="AA4297" t="s">
        <v>78</v>
      </c>
      <c r="AB4297" t="s">
        <v>55</v>
      </c>
      <c r="AC4297" t="s">
        <v>78</v>
      </c>
      <c r="AD4297" t="s">
        <v>55</v>
      </c>
      <c r="AE4297" t="s">
        <v>78</v>
      </c>
      <c r="AF4297" t="s">
        <v>55</v>
      </c>
      <c r="AG4297" t="s">
        <v>78</v>
      </c>
      <c r="AH4297" t="s">
        <v>55</v>
      </c>
      <c r="AI4297" t="s">
        <v>78</v>
      </c>
      <c r="AK4297" t="s">
        <v>361</v>
      </c>
    </row>
    <row r="4298" spans="1:37">
      <c r="B4298" t="s">
        <v>56</v>
      </c>
      <c r="C4298" t="s">
        <v>56</v>
      </c>
      <c r="D4298" t="s">
        <v>56</v>
      </c>
      <c r="E4298" t="s">
        <v>56</v>
      </c>
      <c r="F4298" t="s">
        <v>56</v>
      </c>
      <c r="G4298" t="s">
        <v>176</v>
      </c>
      <c r="H4298" t="s">
        <v>211</v>
      </c>
      <c r="I4298" t="s">
        <v>231</v>
      </c>
      <c r="J4298" t="s">
        <v>250</v>
      </c>
      <c r="K4298" t="s">
        <v>264</v>
      </c>
      <c r="L4298" t="s">
        <v>276</v>
      </c>
      <c r="M4298" t="s">
        <v>285</v>
      </c>
      <c r="N4298" t="s">
        <v>295</v>
      </c>
      <c r="O4298" t="s">
        <v>303</v>
      </c>
      <c r="P4298" t="s">
        <v>56</v>
      </c>
      <c r="Q4298" t="s">
        <v>317</v>
      </c>
      <c r="R4298" t="s">
        <v>324</v>
      </c>
      <c r="S4298" t="s">
        <v>331</v>
      </c>
      <c r="T4298" t="s">
        <v>334</v>
      </c>
      <c r="U4298" t="s">
        <v>338</v>
      </c>
      <c r="V4298" t="s">
        <v>342</v>
      </c>
      <c r="W4298" t="s">
        <v>346</v>
      </c>
      <c r="X4298" t="s">
        <v>351</v>
      </c>
      <c r="AK4298" t="s">
        <v>361</v>
      </c>
    </row>
    <row r="4299" spans="1:37">
      <c r="B4299" t="s">
        <v>57</v>
      </c>
      <c r="C4299" t="s">
        <v>79</v>
      </c>
      <c r="D4299" t="s">
        <v>98</v>
      </c>
      <c r="E4299" t="s">
        <v>117</v>
      </c>
      <c r="F4299" t="s">
        <v>151</v>
      </c>
      <c r="G4299" t="s">
        <v>177</v>
      </c>
      <c r="H4299" t="s">
        <v>212</v>
      </c>
      <c r="I4299" t="s">
        <v>232</v>
      </c>
      <c r="J4299" t="s">
        <v>251</v>
      </c>
      <c r="K4299" t="s">
        <v>265</v>
      </c>
      <c r="L4299" t="s">
        <v>277</v>
      </c>
      <c r="M4299" t="s">
        <v>286</v>
      </c>
      <c r="N4299" t="s">
        <v>296</v>
      </c>
      <c r="O4299" t="s">
        <v>304</v>
      </c>
      <c r="P4299" t="s">
        <v>311</v>
      </c>
      <c r="Q4299" t="s">
        <v>318</v>
      </c>
      <c r="R4299" t="s">
        <v>185</v>
      </c>
      <c r="S4299" t="s">
        <v>159</v>
      </c>
      <c r="T4299" t="s">
        <v>185</v>
      </c>
      <c r="U4299" t="s">
        <v>339</v>
      </c>
      <c r="V4299" t="s">
        <v>72</v>
      </c>
      <c r="W4299" t="s">
        <v>347</v>
      </c>
      <c r="X4299" t="s">
        <v>72</v>
      </c>
      <c r="Y4299" t="s">
        <v>96</v>
      </c>
      <c r="AK4299" t="s">
        <v>361</v>
      </c>
    </row>
    <row r="4300" spans="1:37">
      <c r="B4300" t="s">
        <v>58</v>
      </c>
      <c r="C4300" t="s">
        <v>80</v>
      </c>
      <c r="D4300" t="s">
        <v>99</v>
      </c>
      <c r="E4300" t="s">
        <v>118</v>
      </c>
      <c r="F4300" t="s">
        <v>152</v>
      </c>
      <c r="G4300" t="s">
        <v>178</v>
      </c>
      <c r="H4300" t="s">
        <v>213</v>
      </c>
      <c r="I4300" t="s">
        <v>233</v>
      </c>
      <c r="J4300" t="s">
        <v>252</v>
      </c>
      <c r="K4300" t="s">
        <v>266</v>
      </c>
      <c r="L4300" t="s">
        <v>278</v>
      </c>
      <c r="M4300" t="s">
        <v>287</v>
      </c>
      <c r="N4300" t="s">
        <v>297</v>
      </c>
      <c r="O4300" t="s">
        <v>305</v>
      </c>
      <c r="P4300" t="s">
        <v>312</v>
      </c>
      <c r="Q4300" t="s">
        <v>319</v>
      </c>
      <c r="R4300">
        <f>&gt;10       ветра      1.3     16   4</f>
        <v>0</v>
      </c>
      <c r="AK4300" t="s">
        <v>361</v>
      </c>
    </row>
    <row r="4301" spans="1:37">
      <c r="A4301" t="s">
        <v>40</v>
      </c>
      <c r="B4301" t="s">
        <v>59</v>
      </c>
      <c r="C4301" t="s">
        <v>81</v>
      </c>
      <c r="D4301" t="s">
        <v>100</v>
      </c>
      <c r="E4301" t="s">
        <v>119</v>
      </c>
      <c r="F4301" t="s">
        <v>153</v>
      </c>
      <c r="G4301" t="s">
        <v>179</v>
      </c>
      <c r="H4301" t="s">
        <v>214</v>
      </c>
      <c r="I4301" t="s">
        <v>234</v>
      </c>
      <c r="AK4301" t="s">
        <v>361</v>
      </c>
    </row>
    <row r="4302" spans="1:37">
      <c r="A4302" t="s">
        <v>40</v>
      </c>
      <c r="B4302" t="s">
        <v>60</v>
      </c>
      <c r="C4302" t="s">
        <v>82</v>
      </c>
      <c r="D4302" t="s">
        <v>101</v>
      </c>
      <c r="E4302" t="s">
        <v>120</v>
      </c>
      <c r="F4302" t="s">
        <v>154</v>
      </c>
      <c r="G4302" t="s">
        <v>180</v>
      </c>
      <c r="H4302" t="s">
        <v>215</v>
      </c>
      <c r="I4302" t="s">
        <v>235</v>
      </c>
      <c r="J4302" t="s">
        <v>253</v>
      </c>
      <c r="K4302" t="s">
        <v>267</v>
      </c>
      <c r="L4302" t="s">
        <v>279</v>
      </c>
      <c r="M4302" t="s">
        <v>288</v>
      </c>
      <c r="N4302" t="s">
        <v>100</v>
      </c>
      <c r="O4302" t="s">
        <v>306</v>
      </c>
      <c r="P4302" t="s">
        <v>313</v>
      </c>
      <c r="Q4302" t="s">
        <v>320</v>
      </c>
      <c r="R4302" t="s">
        <v>325</v>
      </c>
      <c r="S4302" t="s">
        <v>332</v>
      </c>
      <c r="T4302" t="s">
        <v>119</v>
      </c>
      <c r="U4302" t="s">
        <v>234</v>
      </c>
      <c r="V4302" t="s">
        <v>343</v>
      </c>
      <c r="W4302" t="s">
        <v>348</v>
      </c>
      <c r="X4302" t="s">
        <v>352</v>
      </c>
      <c r="Y4302" t="s">
        <v>354</v>
      </c>
      <c r="AK4302" t="s">
        <v>361</v>
      </c>
    </row>
    <row r="4303" spans="1:37">
      <c r="A4303" t="s">
        <v>41</v>
      </c>
      <c r="B4303" t="s">
        <v>61</v>
      </c>
      <c r="C4303" t="s">
        <v>83</v>
      </c>
      <c r="D4303" t="s">
        <v>102</v>
      </c>
      <c r="E4303" t="s">
        <v>121</v>
      </c>
      <c r="F4303" t="s">
        <v>155</v>
      </c>
      <c r="G4303" t="s">
        <v>181</v>
      </c>
      <c r="H4303" t="s">
        <v>216</v>
      </c>
      <c r="I4303" t="s">
        <v>236</v>
      </c>
      <c r="AK4303" t="s">
        <v>361</v>
      </c>
    </row>
    <row r="4304" spans="1:37">
      <c r="A4304" t="s">
        <v>42</v>
      </c>
      <c r="B4304" t="s">
        <v>62</v>
      </c>
      <c r="C4304" t="s">
        <v>84</v>
      </c>
      <c r="D4304" t="s">
        <v>103</v>
      </c>
      <c r="E4304" t="s">
        <v>122</v>
      </c>
      <c r="F4304" t="s">
        <v>156</v>
      </c>
      <c r="G4304" t="s">
        <v>182</v>
      </c>
      <c r="H4304" t="s">
        <v>83</v>
      </c>
      <c r="I4304" t="s">
        <v>237</v>
      </c>
      <c r="J4304" t="s">
        <v>254</v>
      </c>
      <c r="K4304" t="s">
        <v>268</v>
      </c>
      <c r="L4304" t="s">
        <v>280</v>
      </c>
      <c r="M4304" t="s">
        <v>289</v>
      </c>
      <c r="N4304" t="s">
        <v>298</v>
      </c>
      <c r="O4304" t="s">
        <v>307</v>
      </c>
      <c r="P4304" t="s">
        <v>314</v>
      </c>
      <c r="Q4304" t="s">
        <v>216</v>
      </c>
      <c r="R4304" t="s">
        <v>326</v>
      </c>
      <c r="S4304" t="s">
        <v>333</v>
      </c>
      <c r="T4304" t="s">
        <v>335</v>
      </c>
      <c r="U4304" t="s">
        <v>340</v>
      </c>
      <c r="V4304" t="s">
        <v>344</v>
      </c>
      <c r="W4304" t="s">
        <v>349</v>
      </c>
      <c r="AK4304" t="s">
        <v>361</v>
      </c>
    </row>
    <row r="4305" spans="1:37">
      <c r="A4305" t="s">
        <v>43</v>
      </c>
      <c r="B4305" t="s">
        <v>63</v>
      </c>
      <c r="C4305" t="s">
        <v>85</v>
      </c>
      <c r="D4305" t="s">
        <v>104</v>
      </c>
      <c r="E4305" t="s">
        <v>123</v>
      </c>
      <c r="F4305" t="s">
        <v>157</v>
      </c>
      <c r="G4305" t="s">
        <v>183</v>
      </c>
      <c r="AK4305" t="s">
        <v>361</v>
      </c>
    </row>
    <row r="4306" spans="1:37">
      <c r="A4306" t="s">
        <v>44</v>
      </c>
      <c r="B4306" t="s">
        <v>64</v>
      </c>
      <c r="C4306" t="s">
        <v>86</v>
      </c>
      <c r="D4306" t="s">
        <v>105</v>
      </c>
      <c r="E4306" t="s">
        <v>124</v>
      </c>
      <c r="F4306" t="s">
        <v>158</v>
      </c>
      <c r="G4306" t="s">
        <v>184</v>
      </c>
      <c r="AK4306" t="s">
        <v>361</v>
      </c>
    </row>
    <row r="4307" spans="1:37">
      <c r="A4307" t="s">
        <v>45</v>
      </c>
      <c r="B4307" t="s">
        <v>65</v>
      </c>
      <c r="C4307" t="s">
        <v>87</v>
      </c>
      <c r="D4307" t="s">
        <v>106</v>
      </c>
      <c r="E4307" t="s">
        <v>125</v>
      </c>
      <c r="F4307" t="s">
        <v>159</v>
      </c>
      <c r="G4307" t="s">
        <v>185</v>
      </c>
      <c r="H4307" t="s">
        <v>159</v>
      </c>
      <c r="I4307" t="s">
        <v>185</v>
      </c>
      <c r="J4307" t="s">
        <v>255</v>
      </c>
      <c r="AK4307" t="s">
        <v>361</v>
      </c>
    </row>
    <row r="4308" spans="1:37">
      <c r="A4308" t="s">
        <v>46</v>
      </c>
      <c r="B4308" t="s">
        <v>66</v>
      </c>
      <c r="C4308" t="s">
        <v>88</v>
      </c>
      <c r="D4308" t="s">
        <v>76</v>
      </c>
      <c r="E4308" t="s">
        <v>126</v>
      </c>
      <c r="F4308" t="s">
        <v>160</v>
      </c>
      <c r="G4308" t="s">
        <v>186</v>
      </c>
      <c r="H4308" t="s">
        <v>217</v>
      </c>
      <c r="I4308" t="s">
        <v>238</v>
      </c>
      <c r="J4308" t="s">
        <v>256</v>
      </c>
      <c r="K4308" t="s">
        <v>265</v>
      </c>
      <c r="L4308" t="s">
        <v>281</v>
      </c>
      <c r="M4308" t="s">
        <v>290</v>
      </c>
      <c r="N4308" t="s">
        <v>299</v>
      </c>
      <c r="O4308" t="s">
        <v>308</v>
      </c>
      <c r="P4308" t="s">
        <v>228</v>
      </c>
      <c r="Q4308" t="s">
        <v>72</v>
      </c>
      <c r="R4308" t="s">
        <v>327</v>
      </c>
      <c r="S4308" t="s">
        <v>327</v>
      </c>
      <c r="T4308" t="s">
        <v>336</v>
      </c>
      <c r="U4308" t="s">
        <v>336</v>
      </c>
      <c r="V4308" t="s">
        <v>336</v>
      </c>
      <c r="W4308" t="s">
        <v>336</v>
      </c>
      <c r="X4308" t="s">
        <v>353</v>
      </c>
      <c r="AK4308" t="s">
        <v>361</v>
      </c>
    </row>
    <row r="4309" spans="1:37">
      <c r="B4309" t="s">
        <v>67</v>
      </c>
      <c r="C4309" t="s">
        <v>89</v>
      </c>
      <c r="D4309" t="s">
        <v>107</v>
      </c>
      <c r="AK4309" t="s">
        <v>361</v>
      </c>
    </row>
    <row r="4310" spans="1:37">
      <c r="B4310" t="s">
        <v>68</v>
      </c>
      <c r="C4310" t="s">
        <v>90</v>
      </c>
      <c r="D4310" t="s">
        <v>108</v>
      </c>
      <c r="AK4310" t="s">
        <v>361</v>
      </c>
    </row>
    <row r="4311" spans="1:37">
      <c r="A4311" t="s">
        <v>47</v>
      </c>
      <c r="B4311" t="s">
        <v>69</v>
      </c>
      <c r="C4311" t="s">
        <v>91</v>
      </c>
      <c r="D4311" t="s">
        <v>109</v>
      </c>
      <c r="E4311" t="s">
        <v>109</v>
      </c>
      <c r="F4311" t="s">
        <v>109</v>
      </c>
      <c r="G4311" t="s">
        <v>109</v>
      </c>
      <c r="H4311" t="s">
        <v>109</v>
      </c>
      <c r="I4311" t="s">
        <v>239</v>
      </c>
      <c r="AK4311" t="s">
        <v>361</v>
      </c>
    </row>
    <row r="4312" spans="1:37">
      <c r="B4312" t="s">
        <v>70</v>
      </c>
      <c r="C4312" t="s">
        <v>92</v>
      </c>
      <c r="D4312" t="s">
        <v>110</v>
      </c>
      <c r="E4312" t="s">
        <v>127</v>
      </c>
      <c r="F4312" t="s">
        <v>161</v>
      </c>
      <c r="G4312" t="s">
        <v>187</v>
      </c>
      <c r="H4312" t="s">
        <v>218</v>
      </c>
      <c r="AK4312" t="s">
        <v>361</v>
      </c>
    </row>
    <row r="4313" spans="1:37">
      <c r="B4313" t="s">
        <v>71</v>
      </c>
      <c r="C4313" t="s">
        <v>93</v>
      </c>
      <c r="D4313" t="s">
        <v>111</v>
      </c>
      <c r="E4313" t="s">
        <v>128</v>
      </c>
      <c r="F4313" t="s">
        <v>162</v>
      </c>
      <c r="G4313" t="s">
        <v>188</v>
      </c>
      <c r="H4313" t="s">
        <v>219</v>
      </c>
      <c r="I4313" t="s">
        <v>240</v>
      </c>
      <c r="J4313" t="s">
        <v>257</v>
      </c>
      <c r="K4313" t="s">
        <v>269</v>
      </c>
      <c r="L4313" t="s">
        <v>109</v>
      </c>
      <c r="M4313" t="s">
        <v>109</v>
      </c>
      <c r="N4313" t="s">
        <v>109</v>
      </c>
      <c r="O4313" t="s">
        <v>109</v>
      </c>
      <c r="P4313" t="s">
        <v>109</v>
      </c>
      <c r="Q4313" t="s">
        <v>321</v>
      </c>
      <c r="AK4313" t="s">
        <v>361</v>
      </c>
    </row>
    <row r="4314" spans="1:37">
      <c r="A4314" t="s">
        <v>48</v>
      </c>
      <c r="B4314" t="s">
        <v>71</v>
      </c>
      <c r="C4314" t="s">
        <v>93</v>
      </c>
      <c r="D4314" t="s">
        <v>111</v>
      </c>
      <c r="E4314" t="s">
        <v>128</v>
      </c>
      <c r="F4314" t="s">
        <v>163</v>
      </c>
      <c r="G4314" t="s">
        <v>189</v>
      </c>
      <c r="H4314" t="s">
        <v>220</v>
      </c>
      <c r="I4314" t="s">
        <v>241</v>
      </c>
      <c r="J4314" t="s">
        <v>258</v>
      </c>
      <c r="K4314" t="s">
        <v>270</v>
      </c>
      <c r="AK4314" t="s">
        <v>361</v>
      </c>
    </row>
    <row r="4315" spans="1:37">
      <c r="B4315" t="s">
        <v>72</v>
      </c>
      <c r="C4315" t="s">
        <v>72</v>
      </c>
      <c r="D4315" t="s">
        <v>72</v>
      </c>
      <c r="E4315" t="s">
        <v>139</v>
      </c>
      <c r="F4315" t="s">
        <v>139</v>
      </c>
      <c r="G4315" t="s">
        <v>192</v>
      </c>
      <c r="H4315" t="s">
        <v>192</v>
      </c>
      <c r="I4315" t="s">
        <v>192</v>
      </c>
      <c r="J4315" t="s">
        <v>192</v>
      </c>
      <c r="K4315" t="s">
        <v>271</v>
      </c>
      <c r="AK4315" t="s">
        <v>361</v>
      </c>
    </row>
    <row r="4316" spans="1:37">
      <c r="A4316" t="s">
        <v>37</v>
      </c>
      <c r="B4316" t="s">
        <v>49</v>
      </c>
      <c r="C4316" t="s">
        <v>73</v>
      </c>
      <c r="D4316" t="s">
        <v>94</v>
      </c>
      <c r="E4316" t="s">
        <v>112</v>
      </c>
      <c r="F4316" t="s">
        <v>146</v>
      </c>
      <c r="G4316" t="s">
        <v>172</v>
      </c>
      <c r="H4316" t="s">
        <v>207</v>
      </c>
      <c r="I4316" t="s">
        <v>226</v>
      </c>
      <c r="J4316" t="s">
        <v>246</v>
      </c>
      <c r="K4316" t="s">
        <v>259</v>
      </c>
      <c r="AK4316" t="s">
        <v>361</v>
      </c>
    </row>
    <row r="4317" spans="1:37">
      <c r="A4317" t="s">
        <v>38</v>
      </c>
      <c r="B4317" t="s">
        <v>50</v>
      </c>
      <c r="C4317" t="s">
        <v>74</v>
      </c>
      <c r="D4317" t="s">
        <v>95</v>
      </c>
      <c r="E4317" t="s">
        <v>113</v>
      </c>
      <c r="F4317" t="s">
        <v>147</v>
      </c>
      <c r="G4317" t="s">
        <v>173</v>
      </c>
      <c r="H4317" t="s">
        <v>208</v>
      </c>
      <c r="I4317" t="s">
        <v>227</v>
      </c>
      <c r="J4317" t="s">
        <v>115</v>
      </c>
      <c r="K4317" t="s">
        <v>260</v>
      </c>
      <c r="L4317" t="s">
        <v>273</v>
      </c>
      <c r="M4317" t="s">
        <v>282</v>
      </c>
      <c r="N4317" t="s">
        <v>291</v>
      </c>
      <c r="AK4317" t="s">
        <v>361</v>
      </c>
    </row>
    <row r="4318" spans="1:37">
      <c r="B4318" t="s">
        <v>51</v>
      </c>
      <c r="C4318" t="s">
        <v>75</v>
      </c>
      <c r="D4318" t="s">
        <v>52</v>
      </c>
      <c r="E4318" t="s">
        <v>114</v>
      </c>
      <c r="F4318" t="s">
        <v>148</v>
      </c>
      <c r="G4318" t="s">
        <v>148</v>
      </c>
      <c r="H4318" t="s">
        <v>209</v>
      </c>
      <c r="I4318" t="s">
        <v>228</v>
      </c>
      <c r="J4318" t="s">
        <v>247</v>
      </c>
      <c r="K4318" t="s">
        <v>261</v>
      </c>
      <c r="L4318" t="s">
        <v>274</v>
      </c>
      <c r="M4318" t="s">
        <v>283</v>
      </c>
      <c r="N4318" t="s">
        <v>292</v>
      </c>
      <c r="O4318" t="s">
        <v>300</v>
      </c>
      <c r="AK4318" t="s">
        <v>361</v>
      </c>
    </row>
    <row r="4319" spans="1:37">
      <c r="B4319" t="s">
        <v>52</v>
      </c>
      <c r="C4319" t="s">
        <v>76</v>
      </c>
      <c r="D4319" t="s">
        <v>96</v>
      </c>
      <c r="E4319" t="s">
        <v>115</v>
      </c>
      <c r="F4319" t="s">
        <v>149</v>
      </c>
      <c r="G4319" t="s">
        <v>174</v>
      </c>
      <c r="H4319" t="s">
        <v>96</v>
      </c>
      <c r="I4319" t="s">
        <v>229</v>
      </c>
      <c r="J4319" t="s">
        <v>248</v>
      </c>
      <c r="K4319" t="s">
        <v>262</v>
      </c>
      <c r="L4319" t="s">
        <v>52</v>
      </c>
      <c r="M4319" t="s">
        <v>76</v>
      </c>
      <c r="N4319" t="s">
        <v>293</v>
      </c>
      <c r="O4319" t="s">
        <v>301</v>
      </c>
      <c r="P4319" t="s">
        <v>309</v>
      </c>
      <c r="Q4319" t="s">
        <v>315</v>
      </c>
      <c r="R4319" t="s">
        <v>228</v>
      </c>
      <c r="S4319" t="s">
        <v>328</v>
      </c>
      <c r="T4319" t="s">
        <v>149</v>
      </c>
      <c r="U4319" t="s">
        <v>337</v>
      </c>
      <c r="V4319" t="s">
        <v>341</v>
      </c>
      <c r="W4319" t="s">
        <v>345</v>
      </c>
      <c r="X4319" t="s">
        <v>350</v>
      </c>
      <c r="AK4319" t="s">
        <v>361</v>
      </c>
    </row>
    <row r="4320" spans="1:37">
      <c r="B4320" t="s">
        <v>53</v>
      </c>
      <c r="C4320" t="s">
        <v>77</v>
      </c>
      <c r="D4320" t="s">
        <v>97</v>
      </c>
      <c r="E4320" t="s">
        <v>116</v>
      </c>
      <c r="F4320" t="s">
        <v>150</v>
      </c>
      <c r="G4320" t="s">
        <v>175</v>
      </c>
      <c r="H4320" t="s">
        <v>210</v>
      </c>
      <c r="I4320" t="s">
        <v>230</v>
      </c>
      <c r="J4320" t="s">
        <v>249</v>
      </c>
      <c r="K4320" t="s">
        <v>263</v>
      </c>
      <c r="L4320" t="s">
        <v>275</v>
      </c>
      <c r="M4320" t="s">
        <v>284</v>
      </c>
      <c r="N4320" t="s">
        <v>294</v>
      </c>
      <c r="O4320" t="s">
        <v>302</v>
      </c>
      <c r="P4320" t="s">
        <v>310</v>
      </c>
      <c r="Q4320" t="s">
        <v>316</v>
      </c>
      <c r="R4320" t="s">
        <v>322</v>
      </c>
      <c r="S4320" t="s">
        <v>329</v>
      </c>
      <c r="AK4320" t="s">
        <v>361</v>
      </c>
    </row>
    <row r="4321" spans="1:37">
      <c r="A4321" t="s">
        <v>39</v>
      </c>
      <c r="B4321" t="s">
        <v>54</v>
      </c>
      <c r="C4321" t="s">
        <v>54</v>
      </c>
      <c r="D4321" t="s">
        <v>54</v>
      </c>
      <c r="E4321" t="s">
        <v>54</v>
      </c>
      <c r="F4321" t="s">
        <v>54</v>
      </c>
      <c r="G4321" t="s">
        <v>54</v>
      </c>
      <c r="H4321" t="s">
        <v>54</v>
      </c>
      <c r="I4321" t="s">
        <v>54</v>
      </c>
      <c r="J4321" t="s">
        <v>54</v>
      </c>
      <c r="K4321" t="s">
        <v>54</v>
      </c>
      <c r="L4321" t="s">
        <v>54</v>
      </c>
      <c r="M4321" t="s">
        <v>54</v>
      </c>
      <c r="N4321" t="s">
        <v>54</v>
      </c>
      <c r="O4321" t="s">
        <v>54</v>
      </c>
      <c r="P4321" t="s">
        <v>54</v>
      </c>
      <c r="Q4321" t="s">
        <v>54</v>
      </c>
      <c r="R4321" t="s">
        <v>323</v>
      </c>
      <c r="S4321" t="s">
        <v>330</v>
      </c>
      <c r="AK4321" t="s">
        <v>361</v>
      </c>
    </row>
    <row r="4322" spans="1:37">
      <c r="B4322" t="s">
        <v>55</v>
      </c>
      <c r="C4322" t="s">
        <v>78</v>
      </c>
      <c r="D4322" t="s">
        <v>55</v>
      </c>
      <c r="E4322" t="s">
        <v>78</v>
      </c>
      <c r="F4322" t="s">
        <v>55</v>
      </c>
      <c r="G4322" t="s">
        <v>78</v>
      </c>
      <c r="H4322" t="s">
        <v>55</v>
      </c>
      <c r="I4322" t="s">
        <v>78</v>
      </c>
      <c r="J4322" t="s">
        <v>55</v>
      </c>
      <c r="K4322" t="s">
        <v>78</v>
      </c>
      <c r="L4322" t="s">
        <v>55</v>
      </c>
      <c r="M4322" t="s">
        <v>78</v>
      </c>
      <c r="N4322" t="s">
        <v>55</v>
      </c>
      <c r="O4322" t="s">
        <v>78</v>
      </c>
      <c r="P4322" t="s">
        <v>55</v>
      </c>
      <c r="Q4322" t="s">
        <v>78</v>
      </c>
      <c r="R4322" t="s">
        <v>55</v>
      </c>
      <c r="S4322" t="s">
        <v>78</v>
      </c>
      <c r="T4322" t="s">
        <v>55</v>
      </c>
      <c r="U4322" t="s">
        <v>78</v>
      </c>
      <c r="V4322" t="s">
        <v>55</v>
      </c>
      <c r="W4322" t="s">
        <v>78</v>
      </c>
      <c r="X4322" t="s">
        <v>55</v>
      </c>
      <c r="Y4322" t="s">
        <v>78</v>
      </c>
      <c r="Z4322" t="s">
        <v>55</v>
      </c>
      <c r="AA4322" t="s">
        <v>78</v>
      </c>
      <c r="AB4322" t="s">
        <v>55</v>
      </c>
      <c r="AC4322" t="s">
        <v>78</v>
      </c>
      <c r="AD4322" t="s">
        <v>55</v>
      </c>
      <c r="AE4322" t="s">
        <v>78</v>
      </c>
      <c r="AF4322" t="s">
        <v>55</v>
      </c>
      <c r="AG4322" t="s">
        <v>78</v>
      </c>
      <c r="AH4322" t="s">
        <v>55</v>
      </c>
      <c r="AI4322" t="s">
        <v>78</v>
      </c>
      <c r="AK4322" t="s">
        <v>361</v>
      </c>
    </row>
    <row r="4323" spans="1:37">
      <c r="B4323" t="s">
        <v>56</v>
      </c>
      <c r="C4323" t="s">
        <v>56</v>
      </c>
      <c r="D4323" t="s">
        <v>56</v>
      </c>
      <c r="E4323" t="s">
        <v>56</v>
      </c>
      <c r="F4323" t="s">
        <v>56</v>
      </c>
      <c r="G4323" t="s">
        <v>176</v>
      </c>
      <c r="H4323" t="s">
        <v>211</v>
      </c>
      <c r="I4323" t="s">
        <v>231</v>
      </c>
      <c r="J4323" t="s">
        <v>250</v>
      </c>
      <c r="K4323" t="s">
        <v>264</v>
      </c>
      <c r="L4323" t="s">
        <v>276</v>
      </c>
      <c r="M4323" t="s">
        <v>285</v>
      </c>
      <c r="N4323" t="s">
        <v>295</v>
      </c>
      <c r="O4323" t="s">
        <v>303</v>
      </c>
      <c r="P4323" t="s">
        <v>56</v>
      </c>
      <c r="Q4323" t="s">
        <v>317</v>
      </c>
      <c r="R4323" t="s">
        <v>324</v>
      </c>
      <c r="S4323" t="s">
        <v>331</v>
      </c>
      <c r="T4323" t="s">
        <v>334</v>
      </c>
      <c r="U4323" t="s">
        <v>338</v>
      </c>
      <c r="V4323" t="s">
        <v>342</v>
      </c>
      <c r="W4323" t="s">
        <v>346</v>
      </c>
      <c r="X4323" t="s">
        <v>351</v>
      </c>
      <c r="AK4323" t="s">
        <v>361</v>
      </c>
    </row>
    <row r="4324" spans="1:37">
      <c r="B4324" t="s">
        <v>57</v>
      </c>
      <c r="C4324" t="s">
        <v>79</v>
      </c>
      <c r="D4324" t="s">
        <v>98</v>
      </c>
      <c r="E4324" t="s">
        <v>117</v>
      </c>
      <c r="F4324" t="s">
        <v>151</v>
      </c>
      <c r="G4324" t="s">
        <v>177</v>
      </c>
      <c r="H4324" t="s">
        <v>212</v>
      </c>
      <c r="I4324" t="s">
        <v>232</v>
      </c>
      <c r="J4324" t="s">
        <v>251</v>
      </c>
      <c r="K4324" t="s">
        <v>265</v>
      </c>
      <c r="L4324" t="s">
        <v>277</v>
      </c>
      <c r="M4324" t="s">
        <v>286</v>
      </c>
      <c r="N4324" t="s">
        <v>296</v>
      </c>
      <c r="O4324" t="s">
        <v>304</v>
      </c>
      <c r="P4324" t="s">
        <v>311</v>
      </c>
      <c r="Q4324" t="s">
        <v>318</v>
      </c>
      <c r="R4324" t="s">
        <v>185</v>
      </c>
      <c r="S4324" t="s">
        <v>159</v>
      </c>
      <c r="T4324" t="s">
        <v>185</v>
      </c>
      <c r="U4324" t="s">
        <v>339</v>
      </c>
      <c r="V4324" t="s">
        <v>72</v>
      </c>
      <c r="W4324" t="s">
        <v>347</v>
      </c>
      <c r="X4324" t="s">
        <v>72</v>
      </c>
      <c r="Y4324" t="s">
        <v>96</v>
      </c>
      <c r="AK4324" t="s">
        <v>361</v>
      </c>
    </row>
    <row r="4325" spans="1:37">
      <c r="B4325" t="s">
        <v>58</v>
      </c>
      <c r="C4325" t="s">
        <v>80</v>
      </c>
      <c r="D4325" t="s">
        <v>99</v>
      </c>
      <c r="E4325" t="s">
        <v>118</v>
      </c>
      <c r="F4325" t="s">
        <v>152</v>
      </c>
      <c r="G4325" t="s">
        <v>178</v>
      </c>
      <c r="H4325" t="s">
        <v>213</v>
      </c>
      <c r="I4325" t="s">
        <v>233</v>
      </c>
      <c r="J4325" t="s">
        <v>252</v>
      </c>
      <c r="K4325" t="s">
        <v>266</v>
      </c>
      <c r="L4325" t="s">
        <v>278</v>
      </c>
      <c r="M4325" t="s">
        <v>287</v>
      </c>
      <c r="N4325" t="s">
        <v>297</v>
      </c>
      <c r="O4325" t="s">
        <v>305</v>
      </c>
      <c r="P4325" t="s">
        <v>312</v>
      </c>
      <c r="Q4325" t="s">
        <v>319</v>
      </c>
      <c r="R4325">
        <f>&gt;10       ветра      2.3     20   4</f>
        <v>0</v>
      </c>
      <c r="AK4325" t="s">
        <v>361</v>
      </c>
    </row>
    <row r="4326" spans="1:37">
      <c r="A4326" t="s">
        <v>40</v>
      </c>
      <c r="B4326" t="s">
        <v>59</v>
      </c>
      <c r="C4326" t="s">
        <v>81</v>
      </c>
      <c r="D4326" t="s">
        <v>100</v>
      </c>
      <c r="E4326" t="s">
        <v>119</v>
      </c>
      <c r="F4326" t="s">
        <v>153</v>
      </c>
      <c r="G4326" t="s">
        <v>179</v>
      </c>
      <c r="H4326" t="s">
        <v>214</v>
      </c>
      <c r="I4326" t="s">
        <v>234</v>
      </c>
      <c r="AK4326" t="s">
        <v>361</v>
      </c>
    </row>
    <row r="4327" spans="1:37">
      <c r="A4327" t="s">
        <v>40</v>
      </c>
      <c r="B4327" t="s">
        <v>60</v>
      </c>
      <c r="C4327" t="s">
        <v>82</v>
      </c>
      <c r="D4327" t="s">
        <v>101</v>
      </c>
      <c r="E4327" t="s">
        <v>120</v>
      </c>
      <c r="F4327" t="s">
        <v>154</v>
      </c>
      <c r="G4327" t="s">
        <v>180</v>
      </c>
      <c r="H4327" t="s">
        <v>215</v>
      </c>
      <c r="I4327" t="s">
        <v>235</v>
      </c>
      <c r="J4327" t="s">
        <v>253</v>
      </c>
      <c r="K4327" t="s">
        <v>267</v>
      </c>
      <c r="L4327" t="s">
        <v>279</v>
      </c>
      <c r="M4327" t="s">
        <v>288</v>
      </c>
      <c r="N4327" t="s">
        <v>100</v>
      </c>
      <c r="O4327" t="s">
        <v>306</v>
      </c>
      <c r="P4327" t="s">
        <v>313</v>
      </c>
      <c r="Q4327" t="s">
        <v>320</v>
      </c>
      <c r="R4327" t="s">
        <v>325</v>
      </c>
      <c r="S4327" t="s">
        <v>332</v>
      </c>
      <c r="T4327" t="s">
        <v>119</v>
      </c>
      <c r="U4327" t="s">
        <v>234</v>
      </c>
      <c r="V4327" t="s">
        <v>343</v>
      </c>
      <c r="W4327" t="s">
        <v>348</v>
      </c>
      <c r="X4327" t="s">
        <v>352</v>
      </c>
      <c r="Y4327" t="s">
        <v>354</v>
      </c>
      <c r="AK4327" t="s">
        <v>361</v>
      </c>
    </row>
    <row r="4328" spans="1:37">
      <c r="A4328" t="s">
        <v>41</v>
      </c>
      <c r="B4328" t="s">
        <v>61</v>
      </c>
      <c r="C4328" t="s">
        <v>83</v>
      </c>
      <c r="D4328" t="s">
        <v>102</v>
      </c>
      <c r="E4328" t="s">
        <v>121</v>
      </c>
      <c r="F4328" t="s">
        <v>155</v>
      </c>
      <c r="G4328" t="s">
        <v>181</v>
      </c>
      <c r="H4328" t="s">
        <v>216</v>
      </c>
      <c r="I4328" t="s">
        <v>236</v>
      </c>
      <c r="AK4328" t="s">
        <v>361</v>
      </c>
    </row>
    <row r="4329" spans="1:37">
      <c r="A4329" t="s">
        <v>42</v>
      </c>
      <c r="B4329" t="s">
        <v>62</v>
      </c>
      <c r="C4329" t="s">
        <v>84</v>
      </c>
      <c r="D4329" t="s">
        <v>103</v>
      </c>
      <c r="E4329" t="s">
        <v>122</v>
      </c>
      <c r="F4329" t="s">
        <v>156</v>
      </c>
      <c r="G4329" t="s">
        <v>182</v>
      </c>
      <c r="H4329" t="s">
        <v>83</v>
      </c>
      <c r="I4329" t="s">
        <v>237</v>
      </c>
      <c r="J4329" t="s">
        <v>254</v>
      </c>
      <c r="K4329" t="s">
        <v>268</v>
      </c>
      <c r="L4329" t="s">
        <v>280</v>
      </c>
      <c r="M4329" t="s">
        <v>289</v>
      </c>
      <c r="N4329" t="s">
        <v>298</v>
      </c>
      <c r="O4329" t="s">
        <v>307</v>
      </c>
      <c r="P4329" t="s">
        <v>314</v>
      </c>
      <c r="Q4329" t="s">
        <v>216</v>
      </c>
      <c r="R4329" t="s">
        <v>326</v>
      </c>
      <c r="S4329" t="s">
        <v>333</v>
      </c>
      <c r="T4329" t="s">
        <v>335</v>
      </c>
      <c r="U4329" t="s">
        <v>340</v>
      </c>
      <c r="V4329" t="s">
        <v>344</v>
      </c>
      <c r="W4329" t="s">
        <v>349</v>
      </c>
      <c r="AK4329" t="s">
        <v>361</v>
      </c>
    </row>
    <row r="4330" spans="1:37">
      <c r="A4330" t="s">
        <v>43</v>
      </c>
      <c r="B4330" t="s">
        <v>63</v>
      </c>
      <c r="C4330" t="s">
        <v>85</v>
      </c>
      <c r="D4330" t="s">
        <v>104</v>
      </c>
      <c r="E4330" t="s">
        <v>123</v>
      </c>
      <c r="F4330" t="s">
        <v>157</v>
      </c>
      <c r="G4330" t="s">
        <v>183</v>
      </c>
      <c r="AK4330" t="s">
        <v>361</v>
      </c>
    </row>
    <row r="4331" spans="1:37">
      <c r="A4331" t="s">
        <v>44</v>
      </c>
      <c r="B4331" t="s">
        <v>64</v>
      </c>
      <c r="C4331" t="s">
        <v>86</v>
      </c>
      <c r="D4331" t="s">
        <v>105</v>
      </c>
      <c r="E4331" t="s">
        <v>124</v>
      </c>
      <c r="F4331" t="s">
        <v>158</v>
      </c>
      <c r="G4331" t="s">
        <v>184</v>
      </c>
      <c r="AK4331" t="s">
        <v>361</v>
      </c>
    </row>
    <row r="4332" spans="1:37">
      <c r="A4332" t="s">
        <v>45</v>
      </c>
      <c r="B4332" t="s">
        <v>65</v>
      </c>
      <c r="C4332" t="s">
        <v>87</v>
      </c>
      <c r="D4332" t="s">
        <v>106</v>
      </c>
      <c r="E4332" t="s">
        <v>125</v>
      </c>
      <c r="F4332" t="s">
        <v>159</v>
      </c>
      <c r="G4332" t="s">
        <v>185</v>
      </c>
      <c r="H4332" t="s">
        <v>159</v>
      </c>
      <c r="I4332" t="s">
        <v>185</v>
      </c>
      <c r="J4332" t="s">
        <v>255</v>
      </c>
      <c r="AK4332" t="s">
        <v>361</v>
      </c>
    </row>
    <row r="4333" spans="1:37">
      <c r="A4333" t="s">
        <v>46</v>
      </c>
      <c r="B4333" t="s">
        <v>66</v>
      </c>
      <c r="C4333" t="s">
        <v>88</v>
      </c>
      <c r="D4333" t="s">
        <v>76</v>
      </c>
      <c r="E4333" t="s">
        <v>126</v>
      </c>
      <c r="F4333" t="s">
        <v>160</v>
      </c>
      <c r="G4333" t="s">
        <v>186</v>
      </c>
      <c r="H4333" t="s">
        <v>217</v>
      </c>
      <c r="I4333" t="s">
        <v>238</v>
      </c>
      <c r="J4333" t="s">
        <v>256</v>
      </c>
      <c r="K4333" t="s">
        <v>265</v>
      </c>
      <c r="L4333" t="s">
        <v>281</v>
      </c>
      <c r="M4333" t="s">
        <v>290</v>
      </c>
      <c r="N4333" t="s">
        <v>299</v>
      </c>
      <c r="O4333" t="s">
        <v>308</v>
      </c>
      <c r="P4333" t="s">
        <v>228</v>
      </c>
      <c r="Q4333" t="s">
        <v>72</v>
      </c>
      <c r="R4333" t="s">
        <v>327</v>
      </c>
      <c r="S4333" t="s">
        <v>327</v>
      </c>
      <c r="T4333" t="s">
        <v>336</v>
      </c>
      <c r="U4333" t="s">
        <v>336</v>
      </c>
      <c r="V4333" t="s">
        <v>336</v>
      </c>
      <c r="W4333" t="s">
        <v>336</v>
      </c>
      <c r="X4333" t="s">
        <v>353</v>
      </c>
      <c r="AK4333" t="s">
        <v>361</v>
      </c>
    </row>
    <row r="4334" spans="1:37">
      <c r="B4334" t="s">
        <v>67</v>
      </c>
      <c r="C4334" t="s">
        <v>89</v>
      </c>
      <c r="D4334" t="s">
        <v>107</v>
      </c>
      <c r="AK4334" t="s">
        <v>361</v>
      </c>
    </row>
    <row r="4335" spans="1:37">
      <c r="B4335" t="s">
        <v>68</v>
      </c>
      <c r="C4335" t="s">
        <v>90</v>
      </c>
      <c r="D4335" t="s">
        <v>108</v>
      </c>
      <c r="AK4335" t="s">
        <v>361</v>
      </c>
    </row>
    <row r="4336" spans="1:37">
      <c r="A4336" t="s">
        <v>47</v>
      </c>
      <c r="B4336" t="s">
        <v>69</v>
      </c>
      <c r="C4336" t="s">
        <v>91</v>
      </c>
      <c r="D4336" t="s">
        <v>109</v>
      </c>
      <c r="E4336" t="s">
        <v>109</v>
      </c>
      <c r="F4336" t="s">
        <v>109</v>
      </c>
      <c r="G4336" t="s">
        <v>109</v>
      </c>
      <c r="H4336" t="s">
        <v>109</v>
      </c>
      <c r="I4336" t="s">
        <v>239</v>
      </c>
      <c r="AK4336" t="s">
        <v>361</v>
      </c>
    </row>
    <row r="4337" spans="1:37">
      <c r="B4337" t="s">
        <v>70</v>
      </c>
      <c r="C4337" t="s">
        <v>92</v>
      </c>
      <c r="D4337" t="s">
        <v>110</v>
      </c>
      <c r="E4337" t="s">
        <v>127</v>
      </c>
      <c r="F4337" t="s">
        <v>161</v>
      </c>
      <c r="G4337" t="s">
        <v>187</v>
      </c>
      <c r="H4337" t="s">
        <v>218</v>
      </c>
      <c r="AK4337" t="s">
        <v>361</v>
      </c>
    </row>
    <row r="4338" spans="1:37">
      <c r="B4338" t="s">
        <v>71</v>
      </c>
      <c r="C4338" t="s">
        <v>93</v>
      </c>
      <c r="D4338" t="s">
        <v>111</v>
      </c>
      <c r="E4338" t="s">
        <v>128</v>
      </c>
      <c r="F4338" t="s">
        <v>162</v>
      </c>
      <c r="G4338" t="s">
        <v>188</v>
      </c>
      <c r="H4338" t="s">
        <v>219</v>
      </c>
      <c r="I4338" t="s">
        <v>240</v>
      </c>
      <c r="J4338" t="s">
        <v>257</v>
      </c>
      <c r="K4338" t="s">
        <v>269</v>
      </c>
      <c r="L4338" t="s">
        <v>109</v>
      </c>
      <c r="M4338" t="s">
        <v>109</v>
      </c>
      <c r="N4338" t="s">
        <v>109</v>
      </c>
      <c r="O4338" t="s">
        <v>109</v>
      </c>
      <c r="P4338" t="s">
        <v>109</v>
      </c>
      <c r="Q4338" t="s">
        <v>321</v>
      </c>
      <c r="AK4338" t="s">
        <v>361</v>
      </c>
    </row>
    <row r="4339" spans="1:37">
      <c r="A4339" t="s">
        <v>48</v>
      </c>
      <c r="B4339" t="s">
        <v>71</v>
      </c>
      <c r="C4339" t="s">
        <v>93</v>
      </c>
      <c r="D4339" t="s">
        <v>111</v>
      </c>
      <c r="E4339" t="s">
        <v>128</v>
      </c>
      <c r="F4339" t="s">
        <v>163</v>
      </c>
      <c r="G4339" t="s">
        <v>189</v>
      </c>
      <c r="H4339" t="s">
        <v>220</v>
      </c>
      <c r="I4339" t="s">
        <v>241</v>
      </c>
      <c r="J4339" t="s">
        <v>258</v>
      </c>
      <c r="K4339" t="s">
        <v>270</v>
      </c>
      <c r="AK4339" t="s">
        <v>361</v>
      </c>
    </row>
    <row r="4340" spans="1:37">
      <c r="B4340" t="s">
        <v>72</v>
      </c>
      <c r="C4340" t="s">
        <v>72</v>
      </c>
      <c r="D4340" t="s">
        <v>72</v>
      </c>
      <c r="E4340" t="s">
        <v>72</v>
      </c>
      <c r="F4340" t="s">
        <v>72</v>
      </c>
      <c r="G4340" t="s">
        <v>72</v>
      </c>
      <c r="H4340" t="s">
        <v>72</v>
      </c>
      <c r="I4340" t="s">
        <v>72</v>
      </c>
      <c r="J4340" t="s">
        <v>72</v>
      </c>
      <c r="K4340" t="s">
        <v>272</v>
      </c>
      <c r="AK4340" t="s">
        <v>361</v>
      </c>
    </row>
    <row r="4341" spans="1:37">
      <c r="A4341" t="s">
        <v>37</v>
      </c>
      <c r="B4341" t="s">
        <v>49</v>
      </c>
      <c r="C4341" t="s">
        <v>73</v>
      </c>
      <c r="D4341" t="s">
        <v>94</v>
      </c>
      <c r="E4341" t="s">
        <v>112</v>
      </c>
      <c r="F4341" t="s">
        <v>146</v>
      </c>
      <c r="G4341" t="s">
        <v>172</v>
      </c>
      <c r="H4341" t="s">
        <v>207</v>
      </c>
      <c r="I4341" t="s">
        <v>226</v>
      </c>
      <c r="J4341" t="s">
        <v>246</v>
      </c>
      <c r="K4341" t="s">
        <v>259</v>
      </c>
      <c r="AK4341" t="s">
        <v>361</v>
      </c>
    </row>
    <row r="4342" spans="1:37">
      <c r="A4342" t="s">
        <v>38</v>
      </c>
      <c r="B4342" t="s">
        <v>50</v>
      </c>
      <c r="C4342" t="s">
        <v>74</v>
      </c>
      <c r="D4342" t="s">
        <v>95</v>
      </c>
      <c r="E4342" t="s">
        <v>113</v>
      </c>
      <c r="F4342" t="s">
        <v>147</v>
      </c>
      <c r="G4342" t="s">
        <v>173</v>
      </c>
      <c r="H4342" t="s">
        <v>208</v>
      </c>
      <c r="I4342" t="s">
        <v>227</v>
      </c>
      <c r="J4342" t="s">
        <v>115</v>
      </c>
      <c r="K4342" t="s">
        <v>260</v>
      </c>
      <c r="L4342" t="s">
        <v>273</v>
      </c>
      <c r="M4342" t="s">
        <v>282</v>
      </c>
      <c r="N4342" t="s">
        <v>291</v>
      </c>
      <c r="AK4342" t="s">
        <v>361</v>
      </c>
    </row>
    <row r="4343" spans="1:37">
      <c r="B4343" t="s">
        <v>51</v>
      </c>
      <c r="C4343" t="s">
        <v>75</v>
      </c>
      <c r="D4343" t="s">
        <v>52</v>
      </c>
      <c r="E4343" t="s">
        <v>114</v>
      </c>
      <c r="F4343" t="s">
        <v>148</v>
      </c>
      <c r="G4343" t="s">
        <v>148</v>
      </c>
      <c r="H4343" t="s">
        <v>209</v>
      </c>
      <c r="I4343" t="s">
        <v>228</v>
      </c>
      <c r="J4343" t="s">
        <v>247</v>
      </c>
      <c r="K4343" t="s">
        <v>261</v>
      </c>
      <c r="L4343" t="s">
        <v>274</v>
      </c>
      <c r="M4343" t="s">
        <v>283</v>
      </c>
      <c r="N4343" t="s">
        <v>292</v>
      </c>
      <c r="O4343" t="s">
        <v>300</v>
      </c>
      <c r="AK4343" t="s">
        <v>361</v>
      </c>
    </row>
    <row r="4344" spans="1:37">
      <c r="B4344" t="s">
        <v>52</v>
      </c>
      <c r="C4344" t="s">
        <v>76</v>
      </c>
      <c r="D4344" t="s">
        <v>96</v>
      </c>
      <c r="E4344" t="s">
        <v>115</v>
      </c>
      <c r="F4344" t="s">
        <v>149</v>
      </c>
      <c r="G4344" t="s">
        <v>174</v>
      </c>
      <c r="H4344" t="s">
        <v>96</v>
      </c>
      <c r="I4344" t="s">
        <v>229</v>
      </c>
      <c r="J4344" t="s">
        <v>248</v>
      </c>
      <c r="K4344" t="s">
        <v>262</v>
      </c>
      <c r="L4344" t="s">
        <v>52</v>
      </c>
      <c r="M4344" t="s">
        <v>76</v>
      </c>
      <c r="N4344" t="s">
        <v>293</v>
      </c>
      <c r="O4344" t="s">
        <v>301</v>
      </c>
      <c r="P4344" t="s">
        <v>309</v>
      </c>
      <c r="Q4344" t="s">
        <v>315</v>
      </c>
      <c r="R4344" t="s">
        <v>228</v>
      </c>
      <c r="S4344" t="s">
        <v>328</v>
      </c>
      <c r="T4344" t="s">
        <v>149</v>
      </c>
      <c r="U4344" t="s">
        <v>337</v>
      </c>
      <c r="V4344" t="s">
        <v>341</v>
      </c>
      <c r="W4344" t="s">
        <v>345</v>
      </c>
      <c r="X4344" t="s">
        <v>350</v>
      </c>
      <c r="AK4344" t="s">
        <v>361</v>
      </c>
    </row>
    <row r="4345" spans="1:37">
      <c r="B4345" t="s">
        <v>53</v>
      </c>
      <c r="C4345" t="s">
        <v>77</v>
      </c>
      <c r="D4345" t="s">
        <v>97</v>
      </c>
      <c r="E4345" t="s">
        <v>116</v>
      </c>
      <c r="F4345" t="s">
        <v>150</v>
      </c>
      <c r="G4345" t="s">
        <v>175</v>
      </c>
      <c r="H4345" t="s">
        <v>210</v>
      </c>
      <c r="I4345" t="s">
        <v>230</v>
      </c>
      <c r="J4345" t="s">
        <v>249</v>
      </c>
      <c r="K4345" t="s">
        <v>263</v>
      </c>
      <c r="L4345" t="s">
        <v>275</v>
      </c>
      <c r="M4345" t="s">
        <v>284</v>
      </c>
      <c r="N4345" t="s">
        <v>294</v>
      </c>
      <c r="O4345" t="s">
        <v>302</v>
      </c>
      <c r="P4345" t="s">
        <v>310</v>
      </c>
      <c r="Q4345" t="s">
        <v>316</v>
      </c>
      <c r="R4345" t="s">
        <v>322</v>
      </c>
      <c r="S4345" t="s">
        <v>329</v>
      </c>
      <c r="AK4345" t="s">
        <v>361</v>
      </c>
    </row>
    <row r="4346" spans="1:37">
      <c r="A4346" t="s">
        <v>39</v>
      </c>
      <c r="B4346" t="s">
        <v>54</v>
      </c>
      <c r="C4346" t="s">
        <v>54</v>
      </c>
      <c r="D4346" t="s">
        <v>54</v>
      </c>
      <c r="E4346" t="s">
        <v>54</v>
      </c>
      <c r="F4346" t="s">
        <v>54</v>
      </c>
      <c r="G4346" t="s">
        <v>54</v>
      </c>
      <c r="H4346" t="s">
        <v>54</v>
      </c>
      <c r="I4346" t="s">
        <v>54</v>
      </c>
      <c r="J4346" t="s">
        <v>54</v>
      </c>
      <c r="K4346" t="s">
        <v>54</v>
      </c>
      <c r="L4346" t="s">
        <v>54</v>
      </c>
      <c r="M4346" t="s">
        <v>54</v>
      </c>
      <c r="N4346" t="s">
        <v>54</v>
      </c>
      <c r="O4346" t="s">
        <v>54</v>
      </c>
      <c r="P4346" t="s">
        <v>54</v>
      </c>
      <c r="Q4346" t="s">
        <v>54</v>
      </c>
      <c r="R4346" t="s">
        <v>323</v>
      </c>
      <c r="S4346" t="s">
        <v>330</v>
      </c>
      <c r="AK4346" t="s">
        <v>361</v>
      </c>
    </row>
    <row r="4347" spans="1:37">
      <c r="B4347" t="s">
        <v>55</v>
      </c>
      <c r="C4347" t="s">
        <v>78</v>
      </c>
      <c r="D4347" t="s">
        <v>55</v>
      </c>
      <c r="E4347" t="s">
        <v>78</v>
      </c>
      <c r="F4347" t="s">
        <v>55</v>
      </c>
      <c r="G4347" t="s">
        <v>78</v>
      </c>
      <c r="H4347" t="s">
        <v>55</v>
      </c>
      <c r="I4347" t="s">
        <v>78</v>
      </c>
      <c r="J4347" t="s">
        <v>55</v>
      </c>
      <c r="K4347" t="s">
        <v>78</v>
      </c>
      <c r="L4347" t="s">
        <v>55</v>
      </c>
      <c r="M4347" t="s">
        <v>78</v>
      </c>
      <c r="N4347" t="s">
        <v>55</v>
      </c>
      <c r="O4347" t="s">
        <v>78</v>
      </c>
      <c r="P4347" t="s">
        <v>55</v>
      </c>
      <c r="Q4347" t="s">
        <v>78</v>
      </c>
      <c r="R4347" t="s">
        <v>55</v>
      </c>
      <c r="S4347" t="s">
        <v>78</v>
      </c>
      <c r="T4347" t="s">
        <v>55</v>
      </c>
      <c r="U4347" t="s">
        <v>78</v>
      </c>
      <c r="V4347" t="s">
        <v>55</v>
      </c>
      <c r="W4347" t="s">
        <v>78</v>
      </c>
      <c r="X4347" t="s">
        <v>55</v>
      </c>
      <c r="Y4347" t="s">
        <v>78</v>
      </c>
      <c r="Z4347" t="s">
        <v>55</v>
      </c>
      <c r="AA4347" t="s">
        <v>78</v>
      </c>
      <c r="AB4347" t="s">
        <v>55</v>
      </c>
      <c r="AC4347" t="s">
        <v>78</v>
      </c>
      <c r="AD4347" t="s">
        <v>55</v>
      </c>
      <c r="AE4347" t="s">
        <v>78</v>
      </c>
      <c r="AF4347" t="s">
        <v>55</v>
      </c>
      <c r="AG4347" t="s">
        <v>78</v>
      </c>
      <c r="AH4347" t="s">
        <v>55</v>
      </c>
      <c r="AI4347" t="s">
        <v>78</v>
      </c>
      <c r="AK4347" t="s">
        <v>361</v>
      </c>
    </row>
    <row r="4348" spans="1:37">
      <c r="B4348" t="s">
        <v>56</v>
      </c>
      <c r="C4348" t="s">
        <v>56</v>
      </c>
      <c r="D4348" t="s">
        <v>56</v>
      </c>
      <c r="E4348" t="s">
        <v>56</v>
      </c>
      <c r="F4348" t="s">
        <v>56</v>
      </c>
      <c r="G4348" t="s">
        <v>176</v>
      </c>
      <c r="H4348" t="s">
        <v>211</v>
      </c>
      <c r="I4348" t="s">
        <v>231</v>
      </c>
      <c r="J4348" t="s">
        <v>250</v>
      </c>
      <c r="K4348" t="s">
        <v>264</v>
      </c>
      <c r="L4348" t="s">
        <v>276</v>
      </c>
      <c r="M4348" t="s">
        <v>285</v>
      </c>
      <c r="N4348" t="s">
        <v>295</v>
      </c>
      <c r="O4348" t="s">
        <v>303</v>
      </c>
      <c r="P4348" t="s">
        <v>56</v>
      </c>
      <c r="Q4348" t="s">
        <v>317</v>
      </c>
      <c r="R4348" t="s">
        <v>324</v>
      </c>
      <c r="S4348" t="s">
        <v>331</v>
      </c>
      <c r="T4348" t="s">
        <v>334</v>
      </c>
      <c r="U4348" t="s">
        <v>338</v>
      </c>
      <c r="V4348" t="s">
        <v>342</v>
      </c>
      <c r="W4348" t="s">
        <v>346</v>
      </c>
      <c r="X4348" t="s">
        <v>351</v>
      </c>
      <c r="AK4348" t="s">
        <v>361</v>
      </c>
    </row>
    <row r="4349" spans="1:37">
      <c r="B4349" t="s">
        <v>57</v>
      </c>
      <c r="C4349" t="s">
        <v>79</v>
      </c>
      <c r="D4349" t="s">
        <v>98</v>
      </c>
      <c r="E4349" t="s">
        <v>117</v>
      </c>
      <c r="F4349" t="s">
        <v>151</v>
      </c>
      <c r="G4349" t="s">
        <v>177</v>
      </c>
      <c r="H4349" t="s">
        <v>212</v>
      </c>
      <c r="I4349" t="s">
        <v>232</v>
      </c>
      <c r="J4349" t="s">
        <v>251</v>
      </c>
      <c r="K4349" t="s">
        <v>265</v>
      </c>
      <c r="L4349" t="s">
        <v>277</v>
      </c>
      <c r="M4349" t="s">
        <v>286</v>
      </c>
      <c r="N4349" t="s">
        <v>296</v>
      </c>
      <c r="O4349" t="s">
        <v>304</v>
      </c>
      <c r="P4349" t="s">
        <v>311</v>
      </c>
      <c r="Q4349" t="s">
        <v>318</v>
      </c>
      <c r="R4349" t="s">
        <v>185</v>
      </c>
      <c r="S4349" t="s">
        <v>159</v>
      </c>
      <c r="T4349" t="s">
        <v>185</v>
      </c>
      <c r="U4349" t="s">
        <v>339</v>
      </c>
      <c r="V4349" t="s">
        <v>72</v>
      </c>
      <c r="W4349" t="s">
        <v>347</v>
      </c>
      <c r="X4349" t="s">
        <v>72</v>
      </c>
      <c r="Y4349" t="s">
        <v>96</v>
      </c>
      <c r="AK4349" t="s">
        <v>361</v>
      </c>
    </row>
    <row r="4350" spans="1:37">
      <c r="B4350" t="s">
        <v>58</v>
      </c>
      <c r="C4350" t="s">
        <v>80</v>
      </c>
      <c r="D4350" t="s">
        <v>99</v>
      </c>
      <c r="E4350" t="s">
        <v>118</v>
      </c>
      <c r="F4350" t="s">
        <v>152</v>
      </c>
      <c r="G4350" t="s">
        <v>178</v>
      </c>
      <c r="H4350" t="s">
        <v>213</v>
      </c>
      <c r="I4350" t="s">
        <v>233</v>
      </c>
      <c r="J4350" t="s">
        <v>252</v>
      </c>
      <c r="K4350" t="s">
        <v>266</v>
      </c>
      <c r="L4350" t="s">
        <v>278</v>
      </c>
      <c r="M4350" t="s">
        <v>287</v>
      </c>
      <c r="N4350" t="s">
        <v>297</v>
      </c>
      <c r="O4350" t="s">
        <v>305</v>
      </c>
      <c r="P4350" t="s">
        <v>312</v>
      </c>
      <c r="Q4350" t="s">
        <v>319</v>
      </c>
      <c r="R4350">
        <f>&gt;10       ветра      2.3     20   4</f>
        <v>0</v>
      </c>
      <c r="AK4350" t="s">
        <v>361</v>
      </c>
    </row>
    <row r="4351" spans="1:37">
      <c r="A4351" t="s">
        <v>40</v>
      </c>
      <c r="B4351" t="s">
        <v>59</v>
      </c>
      <c r="C4351" t="s">
        <v>81</v>
      </c>
      <c r="D4351" t="s">
        <v>100</v>
      </c>
      <c r="E4351" t="s">
        <v>119</v>
      </c>
      <c r="F4351" t="s">
        <v>153</v>
      </c>
      <c r="G4351" t="s">
        <v>179</v>
      </c>
      <c r="H4351" t="s">
        <v>214</v>
      </c>
      <c r="I4351" t="s">
        <v>234</v>
      </c>
      <c r="AK4351" t="s">
        <v>361</v>
      </c>
    </row>
    <row r="4352" spans="1:37">
      <c r="A4352" t="s">
        <v>40</v>
      </c>
      <c r="B4352" t="s">
        <v>60</v>
      </c>
      <c r="C4352" t="s">
        <v>82</v>
      </c>
      <c r="D4352" t="s">
        <v>101</v>
      </c>
      <c r="E4352" t="s">
        <v>120</v>
      </c>
      <c r="F4352" t="s">
        <v>154</v>
      </c>
      <c r="G4352" t="s">
        <v>180</v>
      </c>
      <c r="H4352" t="s">
        <v>215</v>
      </c>
      <c r="I4352" t="s">
        <v>235</v>
      </c>
      <c r="J4352" t="s">
        <v>253</v>
      </c>
      <c r="K4352" t="s">
        <v>267</v>
      </c>
      <c r="L4352" t="s">
        <v>279</v>
      </c>
      <c r="M4352" t="s">
        <v>288</v>
      </c>
      <c r="N4352" t="s">
        <v>100</v>
      </c>
      <c r="O4352" t="s">
        <v>306</v>
      </c>
      <c r="P4352" t="s">
        <v>313</v>
      </c>
      <c r="Q4352" t="s">
        <v>320</v>
      </c>
      <c r="R4352" t="s">
        <v>325</v>
      </c>
      <c r="S4352" t="s">
        <v>332</v>
      </c>
      <c r="T4352" t="s">
        <v>119</v>
      </c>
      <c r="U4352" t="s">
        <v>234</v>
      </c>
      <c r="V4352" t="s">
        <v>343</v>
      </c>
      <c r="W4352" t="s">
        <v>348</v>
      </c>
      <c r="X4352" t="s">
        <v>352</v>
      </c>
      <c r="Y4352" t="s">
        <v>354</v>
      </c>
      <c r="AK4352" t="s">
        <v>361</v>
      </c>
    </row>
    <row r="4353" spans="1:37">
      <c r="A4353" t="s">
        <v>41</v>
      </c>
      <c r="B4353" t="s">
        <v>61</v>
      </c>
      <c r="C4353" t="s">
        <v>83</v>
      </c>
      <c r="D4353" t="s">
        <v>102</v>
      </c>
      <c r="E4353" t="s">
        <v>121</v>
      </c>
      <c r="F4353" t="s">
        <v>155</v>
      </c>
      <c r="G4353" t="s">
        <v>181</v>
      </c>
      <c r="H4353" t="s">
        <v>216</v>
      </c>
      <c r="I4353" t="s">
        <v>236</v>
      </c>
      <c r="AK4353" t="s">
        <v>361</v>
      </c>
    </row>
    <row r="4354" spans="1:37">
      <c r="A4354" t="s">
        <v>42</v>
      </c>
      <c r="B4354" t="s">
        <v>62</v>
      </c>
      <c r="C4354" t="s">
        <v>84</v>
      </c>
      <c r="D4354" t="s">
        <v>103</v>
      </c>
      <c r="E4354" t="s">
        <v>122</v>
      </c>
      <c r="F4354" t="s">
        <v>156</v>
      </c>
      <c r="G4354" t="s">
        <v>182</v>
      </c>
      <c r="H4354" t="s">
        <v>83</v>
      </c>
      <c r="I4354" t="s">
        <v>237</v>
      </c>
      <c r="J4354" t="s">
        <v>254</v>
      </c>
      <c r="K4354" t="s">
        <v>268</v>
      </c>
      <c r="L4354" t="s">
        <v>280</v>
      </c>
      <c r="M4354" t="s">
        <v>289</v>
      </c>
      <c r="N4354" t="s">
        <v>298</v>
      </c>
      <c r="O4354" t="s">
        <v>307</v>
      </c>
      <c r="P4354" t="s">
        <v>314</v>
      </c>
      <c r="Q4354" t="s">
        <v>216</v>
      </c>
      <c r="R4354" t="s">
        <v>326</v>
      </c>
      <c r="S4354" t="s">
        <v>333</v>
      </c>
      <c r="T4354" t="s">
        <v>335</v>
      </c>
      <c r="U4354" t="s">
        <v>340</v>
      </c>
      <c r="V4354" t="s">
        <v>344</v>
      </c>
      <c r="W4354" t="s">
        <v>349</v>
      </c>
      <c r="AK4354" t="s">
        <v>361</v>
      </c>
    </row>
    <row r="4355" spans="1:37">
      <c r="A4355" t="s">
        <v>43</v>
      </c>
      <c r="B4355" t="s">
        <v>63</v>
      </c>
      <c r="C4355" t="s">
        <v>85</v>
      </c>
      <c r="D4355" t="s">
        <v>104</v>
      </c>
      <c r="E4355" t="s">
        <v>123</v>
      </c>
      <c r="F4355" t="s">
        <v>157</v>
      </c>
      <c r="G4355" t="s">
        <v>183</v>
      </c>
      <c r="AK4355" t="s">
        <v>361</v>
      </c>
    </row>
    <row r="4356" spans="1:37">
      <c r="A4356" t="s">
        <v>44</v>
      </c>
      <c r="B4356" t="s">
        <v>64</v>
      </c>
      <c r="C4356" t="s">
        <v>86</v>
      </c>
      <c r="D4356" t="s">
        <v>105</v>
      </c>
      <c r="E4356" t="s">
        <v>124</v>
      </c>
      <c r="F4356" t="s">
        <v>158</v>
      </c>
      <c r="G4356" t="s">
        <v>184</v>
      </c>
      <c r="AK4356" t="s">
        <v>361</v>
      </c>
    </row>
    <row r="4357" spans="1:37">
      <c r="A4357" t="s">
        <v>45</v>
      </c>
      <c r="B4357" t="s">
        <v>65</v>
      </c>
      <c r="C4357" t="s">
        <v>87</v>
      </c>
      <c r="D4357" t="s">
        <v>106</v>
      </c>
      <c r="E4357" t="s">
        <v>125</v>
      </c>
      <c r="F4357" t="s">
        <v>159</v>
      </c>
      <c r="G4357" t="s">
        <v>185</v>
      </c>
      <c r="H4357" t="s">
        <v>159</v>
      </c>
      <c r="I4357" t="s">
        <v>185</v>
      </c>
      <c r="J4357" t="s">
        <v>255</v>
      </c>
      <c r="AK4357" t="s">
        <v>361</v>
      </c>
    </row>
    <row r="4358" spans="1:37">
      <c r="A4358" t="s">
        <v>46</v>
      </c>
      <c r="B4358" t="s">
        <v>66</v>
      </c>
      <c r="C4358" t="s">
        <v>88</v>
      </c>
      <c r="D4358" t="s">
        <v>76</v>
      </c>
      <c r="E4358" t="s">
        <v>126</v>
      </c>
      <c r="F4358" t="s">
        <v>160</v>
      </c>
      <c r="G4358" t="s">
        <v>186</v>
      </c>
      <c r="H4358" t="s">
        <v>217</v>
      </c>
      <c r="I4358" t="s">
        <v>238</v>
      </c>
      <c r="J4358" t="s">
        <v>256</v>
      </c>
      <c r="K4358" t="s">
        <v>265</v>
      </c>
      <c r="L4358" t="s">
        <v>281</v>
      </c>
      <c r="M4358" t="s">
        <v>290</v>
      </c>
      <c r="N4358" t="s">
        <v>299</v>
      </c>
      <c r="O4358" t="s">
        <v>308</v>
      </c>
      <c r="P4358" t="s">
        <v>228</v>
      </c>
      <c r="Q4358" t="s">
        <v>72</v>
      </c>
      <c r="R4358" t="s">
        <v>327</v>
      </c>
      <c r="S4358" t="s">
        <v>327</v>
      </c>
      <c r="T4358" t="s">
        <v>336</v>
      </c>
      <c r="U4358" t="s">
        <v>336</v>
      </c>
      <c r="V4358" t="s">
        <v>336</v>
      </c>
      <c r="W4358" t="s">
        <v>336</v>
      </c>
      <c r="X4358" t="s">
        <v>353</v>
      </c>
      <c r="AK4358" t="s">
        <v>361</v>
      </c>
    </row>
    <row r="4359" spans="1:37">
      <c r="B4359" t="s">
        <v>67</v>
      </c>
      <c r="C4359" t="s">
        <v>89</v>
      </c>
      <c r="D4359" t="s">
        <v>107</v>
      </c>
      <c r="AK4359" t="s">
        <v>361</v>
      </c>
    </row>
    <row r="4360" spans="1:37">
      <c r="B4360" t="s">
        <v>68</v>
      </c>
      <c r="C4360" t="s">
        <v>90</v>
      </c>
      <c r="D4360" t="s">
        <v>108</v>
      </c>
      <c r="AK4360" t="s">
        <v>361</v>
      </c>
    </row>
    <row r="4361" spans="1:37">
      <c r="A4361" t="s">
        <v>47</v>
      </c>
      <c r="B4361" t="s">
        <v>69</v>
      </c>
      <c r="C4361" t="s">
        <v>91</v>
      </c>
      <c r="D4361" t="s">
        <v>109</v>
      </c>
      <c r="E4361" t="s">
        <v>109</v>
      </c>
      <c r="F4361" t="s">
        <v>109</v>
      </c>
      <c r="G4361" t="s">
        <v>109</v>
      </c>
      <c r="H4361" t="s">
        <v>109</v>
      </c>
      <c r="I4361" t="s">
        <v>239</v>
      </c>
      <c r="AK4361" t="s">
        <v>361</v>
      </c>
    </row>
    <row r="4362" spans="1:37">
      <c r="B4362" t="s">
        <v>70</v>
      </c>
      <c r="C4362" t="s">
        <v>92</v>
      </c>
      <c r="D4362" t="s">
        <v>110</v>
      </c>
      <c r="E4362" t="s">
        <v>127</v>
      </c>
      <c r="F4362" t="s">
        <v>161</v>
      </c>
      <c r="G4362" t="s">
        <v>187</v>
      </c>
      <c r="H4362" t="s">
        <v>218</v>
      </c>
      <c r="AK4362" t="s">
        <v>361</v>
      </c>
    </row>
    <row r="4363" spans="1:37">
      <c r="B4363" t="s">
        <v>71</v>
      </c>
      <c r="C4363" t="s">
        <v>93</v>
      </c>
      <c r="D4363" t="s">
        <v>111</v>
      </c>
      <c r="E4363" t="s">
        <v>128</v>
      </c>
      <c r="F4363" t="s">
        <v>162</v>
      </c>
      <c r="G4363" t="s">
        <v>188</v>
      </c>
      <c r="H4363" t="s">
        <v>219</v>
      </c>
      <c r="I4363" t="s">
        <v>240</v>
      </c>
      <c r="J4363" t="s">
        <v>257</v>
      </c>
      <c r="K4363" t="s">
        <v>269</v>
      </c>
      <c r="L4363" t="s">
        <v>109</v>
      </c>
      <c r="M4363" t="s">
        <v>109</v>
      </c>
      <c r="N4363" t="s">
        <v>109</v>
      </c>
      <c r="O4363" t="s">
        <v>109</v>
      </c>
      <c r="P4363" t="s">
        <v>109</v>
      </c>
      <c r="Q4363" t="s">
        <v>321</v>
      </c>
      <c r="AK4363" t="s">
        <v>361</v>
      </c>
    </row>
    <row r="4364" spans="1:37">
      <c r="A4364" t="s">
        <v>48</v>
      </c>
      <c r="B4364" t="s">
        <v>71</v>
      </c>
      <c r="C4364" t="s">
        <v>93</v>
      </c>
      <c r="D4364" t="s">
        <v>111</v>
      </c>
      <c r="E4364" t="s">
        <v>128</v>
      </c>
      <c r="F4364" t="s">
        <v>163</v>
      </c>
      <c r="G4364" t="s">
        <v>189</v>
      </c>
      <c r="H4364" t="s">
        <v>220</v>
      </c>
      <c r="I4364" t="s">
        <v>241</v>
      </c>
      <c r="J4364" t="s">
        <v>258</v>
      </c>
      <c r="K4364" t="s">
        <v>270</v>
      </c>
      <c r="AK4364" t="s">
        <v>361</v>
      </c>
    </row>
    <row r="4365" spans="1:37">
      <c r="B4365" t="s">
        <v>72</v>
      </c>
      <c r="C4365" t="s">
        <v>72</v>
      </c>
      <c r="D4365" t="s">
        <v>72</v>
      </c>
      <c r="E4365" t="s">
        <v>72</v>
      </c>
      <c r="F4365" t="s">
        <v>72</v>
      </c>
      <c r="G4365" t="s">
        <v>72</v>
      </c>
      <c r="H4365" t="s">
        <v>72</v>
      </c>
      <c r="I4365" t="s">
        <v>72</v>
      </c>
      <c r="J4365" t="s">
        <v>72</v>
      </c>
      <c r="K4365" t="s">
        <v>272</v>
      </c>
      <c r="AK4365" t="s">
        <v>361</v>
      </c>
    </row>
    <row r="4366" spans="1:37">
      <c r="A4366" t="s">
        <v>37</v>
      </c>
      <c r="B4366" t="s">
        <v>49</v>
      </c>
      <c r="C4366" t="s">
        <v>73</v>
      </c>
      <c r="D4366" t="s">
        <v>94</v>
      </c>
      <c r="E4366" t="s">
        <v>112</v>
      </c>
      <c r="F4366" t="s">
        <v>146</v>
      </c>
      <c r="G4366" t="s">
        <v>172</v>
      </c>
      <c r="H4366" t="s">
        <v>207</v>
      </c>
      <c r="I4366" t="s">
        <v>226</v>
      </c>
      <c r="J4366" t="s">
        <v>246</v>
      </c>
      <c r="K4366" t="s">
        <v>259</v>
      </c>
      <c r="AK4366" t="s">
        <v>361</v>
      </c>
    </row>
    <row r="4367" spans="1:37">
      <c r="A4367" t="s">
        <v>38</v>
      </c>
      <c r="B4367" t="s">
        <v>50</v>
      </c>
      <c r="C4367" t="s">
        <v>74</v>
      </c>
      <c r="D4367" t="s">
        <v>95</v>
      </c>
      <c r="E4367" t="s">
        <v>113</v>
      </c>
      <c r="F4367" t="s">
        <v>147</v>
      </c>
      <c r="G4367" t="s">
        <v>173</v>
      </c>
      <c r="H4367" t="s">
        <v>208</v>
      </c>
      <c r="I4367" t="s">
        <v>227</v>
      </c>
      <c r="J4367" t="s">
        <v>115</v>
      </c>
      <c r="K4367" t="s">
        <v>260</v>
      </c>
      <c r="L4367" t="s">
        <v>273</v>
      </c>
      <c r="M4367" t="s">
        <v>282</v>
      </c>
      <c r="N4367" t="s">
        <v>291</v>
      </c>
      <c r="AK4367" t="s">
        <v>361</v>
      </c>
    </row>
    <row r="4368" spans="1:37">
      <c r="B4368" t="s">
        <v>51</v>
      </c>
      <c r="C4368" t="s">
        <v>75</v>
      </c>
      <c r="D4368" t="s">
        <v>52</v>
      </c>
      <c r="E4368" t="s">
        <v>114</v>
      </c>
      <c r="F4368" t="s">
        <v>148</v>
      </c>
      <c r="G4368" t="s">
        <v>148</v>
      </c>
      <c r="H4368" t="s">
        <v>209</v>
      </c>
      <c r="I4368" t="s">
        <v>228</v>
      </c>
      <c r="J4368" t="s">
        <v>247</v>
      </c>
      <c r="K4368" t="s">
        <v>261</v>
      </c>
      <c r="L4368" t="s">
        <v>274</v>
      </c>
      <c r="M4368" t="s">
        <v>283</v>
      </c>
      <c r="N4368" t="s">
        <v>292</v>
      </c>
      <c r="O4368" t="s">
        <v>300</v>
      </c>
      <c r="AK4368" t="s">
        <v>361</v>
      </c>
    </row>
    <row r="4369" spans="1:37">
      <c r="B4369" t="s">
        <v>52</v>
      </c>
      <c r="C4369" t="s">
        <v>76</v>
      </c>
      <c r="D4369" t="s">
        <v>96</v>
      </c>
      <c r="E4369" t="s">
        <v>115</v>
      </c>
      <c r="F4369" t="s">
        <v>149</v>
      </c>
      <c r="G4369" t="s">
        <v>174</v>
      </c>
      <c r="H4369" t="s">
        <v>96</v>
      </c>
      <c r="I4369" t="s">
        <v>229</v>
      </c>
      <c r="J4369" t="s">
        <v>248</v>
      </c>
      <c r="K4369" t="s">
        <v>262</v>
      </c>
      <c r="L4369" t="s">
        <v>52</v>
      </c>
      <c r="M4369" t="s">
        <v>76</v>
      </c>
      <c r="N4369" t="s">
        <v>293</v>
      </c>
      <c r="O4369" t="s">
        <v>301</v>
      </c>
      <c r="P4369" t="s">
        <v>309</v>
      </c>
      <c r="Q4369" t="s">
        <v>315</v>
      </c>
      <c r="R4369" t="s">
        <v>228</v>
      </c>
      <c r="S4369" t="s">
        <v>328</v>
      </c>
      <c r="T4369" t="s">
        <v>149</v>
      </c>
      <c r="U4369" t="s">
        <v>337</v>
      </c>
      <c r="V4369" t="s">
        <v>341</v>
      </c>
      <c r="W4369" t="s">
        <v>345</v>
      </c>
      <c r="X4369" t="s">
        <v>350</v>
      </c>
      <c r="AK4369" t="s">
        <v>361</v>
      </c>
    </row>
    <row r="4370" spans="1:37">
      <c r="B4370" t="s">
        <v>53</v>
      </c>
      <c r="C4370" t="s">
        <v>77</v>
      </c>
      <c r="D4370" t="s">
        <v>97</v>
      </c>
      <c r="E4370" t="s">
        <v>116</v>
      </c>
      <c r="F4370" t="s">
        <v>150</v>
      </c>
      <c r="G4370" t="s">
        <v>175</v>
      </c>
      <c r="H4370" t="s">
        <v>210</v>
      </c>
      <c r="I4370" t="s">
        <v>230</v>
      </c>
      <c r="J4370" t="s">
        <v>249</v>
      </c>
      <c r="K4370" t="s">
        <v>263</v>
      </c>
      <c r="L4370" t="s">
        <v>275</v>
      </c>
      <c r="M4370" t="s">
        <v>284</v>
      </c>
      <c r="N4370" t="s">
        <v>294</v>
      </c>
      <c r="O4370" t="s">
        <v>302</v>
      </c>
      <c r="P4370" t="s">
        <v>310</v>
      </c>
      <c r="Q4370" t="s">
        <v>316</v>
      </c>
      <c r="R4370" t="s">
        <v>322</v>
      </c>
      <c r="S4370" t="s">
        <v>329</v>
      </c>
      <c r="AK4370" t="s">
        <v>361</v>
      </c>
    </row>
    <row r="4371" spans="1:37">
      <c r="A4371" t="s">
        <v>39</v>
      </c>
      <c r="B4371" t="s">
        <v>54</v>
      </c>
      <c r="C4371" t="s">
        <v>54</v>
      </c>
      <c r="D4371" t="s">
        <v>54</v>
      </c>
      <c r="E4371" t="s">
        <v>54</v>
      </c>
      <c r="F4371" t="s">
        <v>54</v>
      </c>
      <c r="G4371" t="s">
        <v>54</v>
      </c>
      <c r="H4371" t="s">
        <v>54</v>
      </c>
      <c r="I4371" t="s">
        <v>54</v>
      </c>
      <c r="J4371" t="s">
        <v>54</v>
      </c>
      <c r="K4371" t="s">
        <v>54</v>
      </c>
      <c r="L4371" t="s">
        <v>54</v>
      </c>
      <c r="M4371" t="s">
        <v>54</v>
      </c>
      <c r="N4371" t="s">
        <v>54</v>
      </c>
      <c r="O4371" t="s">
        <v>54</v>
      </c>
      <c r="P4371" t="s">
        <v>54</v>
      </c>
      <c r="Q4371" t="s">
        <v>54</v>
      </c>
      <c r="R4371" t="s">
        <v>323</v>
      </c>
      <c r="S4371" t="s">
        <v>330</v>
      </c>
      <c r="AK4371" t="s">
        <v>361</v>
      </c>
    </row>
    <row r="4372" spans="1:37">
      <c r="B4372" t="s">
        <v>55</v>
      </c>
      <c r="C4372" t="s">
        <v>78</v>
      </c>
      <c r="D4372" t="s">
        <v>55</v>
      </c>
      <c r="E4372" t="s">
        <v>78</v>
      </c>
      <c r="F4372" t="s">
        <v>55</v>
      </c>
      <c r="G4372" t="s">
        <v>78</v>
      </c>
      <c r="H4372" t="s">
        <v>55</v>
      </c>
      <c r="I4372" t="s">
        <v>78</v>
      </c>
      <c r="J4372" t="s">
        <v>55</v>
      </c>
      <c r="K4372" t="s">
        <v>78</v>
      </c>
      <c r="L4372" t="s">
        <v>55</v>
      </c>
      <c r="M4372" t="s">
        <v>78</v>
      </c>
      <c r="N4372" t="s">
        <v>55</v>
      </c>
      <c r="O4372" t="s">
        <v>78</v>
      </c>
      <c r="P4372" t="s">
        <v>55</v>
      </c>
      <c r="Q4372" t="s">
        <v>78</v>
      </c>
      <c r="R4372" t="s">
        <v>55</v>
      </c>
      <c r="S4372" t="s">
        <v>78</v>
      </c>
      <c r="T4372" t="s">
        <v>55</v>
      </c>
      <c r="U4372" t="s">
        <v>78</v>
      </c>
      <c r="V4372" t="s">
        <v>55</v>
      </c>
      <c r="W4372" t="s">
        <v>78</v>
      </c>
      <c r="X4372" t="s">
        <v>55</v>
      </c>
      <c r="Y4372" t="s">
        <v>78</v>
      </c>
      <c r="Z4372" t="s">
        <v>55</v>
      </c>
      <c r="AA4372" t="s">
        <v>78</v>
      </c>
      <c r="AB4372" t="s">
        <v>55</v>
      </c>
      <c r="AC4372" t="s">
        <v>78</v>
      </c>
      <c r="AD4372" t="s">
        <v>55</v>
      </c>
      <c r="AE4372" t="s">
        <v>78</v>
      </c>
      <c r="AF4372" t="s">
        <v>55</v>
      </c>
      <c r="AG4372" t="s">
        <v>78</v>
      </c>
      <c r="AH4372" t="s">
        <v>55</v>
      </c>
      <c r="AI4372" t="s">
        <v>78</v>
      </c>
      <c r="AK4372" t="s">
        <v>361</v>
      </c>
    </row>
    <row r="4373" spans="1:37">
      <c r="B4373" t="s">
        <v>56</v>
      </c>
      <c r="C4373" t="s">
        <v>56</v>
      </c>
      <c r="D4373" t="s">
        <v>56</v>
      </c>
      <c r="E4373" t="s">
        <v>56</v>
      </c>
      <c r="F4373" t="s">
        <v>56</v>
      </c>
      <c r="G4373" t="s">
        <v>176</v>
      </c>
      <c r="H4373" t="s">
        <v>211</v>
      </c>
      <c r="I4373" t="s">
        <v>231</v>
      </c>
      <c r="J4373" t="s">
        <v>250</v>
      </c>
      <c r="K4373" t="s">
        <v>264</v>
      </c>
      <c r="L4373" t="s">
        <v>276</v>
      </c>
      <c r="M4373" t="s">
        <v>285</v>
      </c>
      <c r="N4373" t="s">
        <v>295</v>
      </c>
      <c r="O4373" t="s">
        <v>303</v>
      </c>
      <c r="P4373" t="s">
        <v>56</v>
      </c>
      <c r="Q4373" t="s">
        <v>317</v>
      </c>
      <c r="R4373" t="s">
        <v>324</v>
      </c>
      <c r="S4373" t="s">
        <v>331</v>
      </c>
      <c r="T4373" t="s">
        <v>334</v>
      </c>
      <c r="U4373" t="s">
        <v>338</v>
      </c>
      <c r="V4373" t="s">
        <v>342</v>
      </c>
      <c r="W4373" t="s">
        <v>346</v>
      </c>
      <c r="X4373" t="s">
        <v>351</v>
      </c>
      <c r="AK4373" t="s">
        <v>361</v>
      </c>
    </row>
    <row r="4374" spans="1:37">
      <c r="B4374" t="s">
        <v>57</v>
      </c>
      <c r="C4374" t="s">
        <v>79</v>
      </c>
      <c r="D4374" t="s">
        <v>98</v>
      </c>
      <c r="E4374" t="s">
        <v>117</v>
      </c>
      <c r="F4374" t="s">
        <v>151</v>
      </c>
      <c r="G4374" t="s">
        <v>177</v>
      </c>
      <c r="H4374" t="s">
        <v>212</v>
      </c>
      <c r="I4374" t="s">
        <v>232</v>
      </c>
      <c r="J4374" t="s">
        <v>251</v>
      </c>
      <c r="K4374" t="s">
        <v>265</v>
      </c>
      <c r="L4374" t="s">
        <v>277</v>
      </c>
      <c r="M4374" t="s">
        <v>286</v>
      </c>
      <c r="N4374" t="s">
        <v>296</v>
      </c>
      <c r="O4374" t="s">
        <v>304</v>
      </c>
      <c r="P4374" t="s">
        <v>311</v>
      </c>
      <c r="Q4374" t="s">
        <v>318</v>
      </c>
      <c r="R4374" t="s">
        <v>185</v>
      </c>
      <c r="S4374" t="s">
        <v>159</v>
      </c>
      <c r="T4374" t="s">
        <v>185</v>
      </c>
      <c r="U4374" t="s">
        <v>339</v>
      </c>
      <c r="V4374" t="s">
        <v>72</v>
      </c>
      <c r="W4374" t="s">
        <v>347</v>
      </c>
      <c r="X4374" t="s">
        <v>72</v>
      </c>
      <c r="Y4374" t="s">
        <v>96</v>
      </c>
      <c r="AK4374" t="s">
        <v>361</v>
      </c>
    </row>
    <row r="4375" spans="1:37">
      <c r="B4375" t="s">
        <v>58</v>
      </c>
      <c r="C4375" t="s">
        <v>80</v>
      </c>
      <c r="D4375" t="s">
        <v>99</v>
      </c>
      <c r="E4375" t="s">
        <v>118</v>
      </c>
      <c r="F4375" t="s">
        <v>152</v>
      </c>
      <c r="G4375" t="s">
        <v>178</v>
      </c>
      <c r="H4375" t="s">
        <v>213</v>
      </c>
      <c r="I4375" t="s">
        <v>233</v>
      </c>
      <c r="J4375" t="s">
        <v>252</v>
      </c>
      <c r="K4375" t="s">
        <v>266</v>
      </c>
      <c r="L4375" t="s">
        <v>278</v>
      </c>
      <c r="M4375" t="s">
        <v>287</v>
      </c>
      <c r="N4375" t="s">
        <v>297</v>
      </c>
      <c r="O4375" t="s">
        <v>305</v>
      </c>
      <c r="P4375" t="s">
        <v>312</v>
      </c>
      <c r="Q4375" t="s">
        <v>319</v>
      </c>
      <c r="R4375">
        <f>&gt;10       ветра      2.4     20   4</f>
        <v>0</v>
      </c>
      <c r="AK4375" t="s">
        <v>361</v>
      </c>
    </row>
    <row r="4376" spans="1:37">
      <c r="A4376" t="s">
        <v>40</v>
      </c>
      <c r="B4376" t="s">
        <v>59</v>
      </c>
      <c r="C4376" t="s">
        <v>81</v>
      </c>
      <c r="D4376" t="s">
        <v>100</v>
      </c>
      <c r="E4376" t="s">
        <v>119</v>
      </c>
      <c r="F4376" t="s">
        <v>153</v>
      </c>
      <c r="G4376" t="s">
        <v>179</v>
      </c>
      <c r="H4376" t="s">
        <v>214</v>
      </c>
      <c r="I4376" t="s">
        <v>234</v>
      </c>
      <c r="AK4376" t="s">
        <v>361</v>
      </c>
    </row>
    <row r="4377" spans="1:37">
      <c r="A4377" t="s">
        <v>40</v>
      </c>
      <c r="B4377" t="s">
        <v>60</v>
      </c>
      <c r="C4377" t="s">
        <v>82</v>
      </c>
      <c r="D4377" t="s">
        <v>101</v>
      </c>
      <c r="E4377" t="s">
        <v>120</v>
      </c>
      <c r="F4377" t="s">
        <v>154</v>
      </c>
      <c r="G4377" t="s">
        <v>180</v>
      </c>
      <c r="H4377" t="s">
        <v>215</v>
      </c>
      <c r="I4377" t="s">
        <v>235</v>
      </c>
      <c r="J4377" t="s">
        <v>253</v>
      </c>
      <c r="K4377" t="s">
        <v>267</v>
      </c>
      <c r="L4377" t="s">
        <v>279</v>
      </c>
      <c r="M4377" t="s">
        <v>288</v>
      </c>
      <c r="N4377" t="s">
        <v>100</v>
      </c>
      <c r="O4377" t="s">
        <v>306</v>
      </c>
      <c r="P4377" t="s">
        <v>313</v>
      </c>
      <c r="Q4377" t="s">
        <v>320</v>
      </c>
      <c r="R4377" t="s">
        <v>325</v>
      </c>
      <c r="S4377" t="s">
        <v>332</v>
      </c>
      <c r="T4377" t="s">
        <v>119</v>
      </c>
      <c r="U4377" t="s">
        <v>234</v>
      </c>
      <c r="V4377" t="s">
        <v>343</v>
      </c>
      <c r="W4377" t="s">
        <v>348</v>
      </c>
      <c r="X4377" t="s">
        <v>352</v>
      </c>
      <c r="Y4377" t="s">
        <v>354</v>
      </c>
      <c r="AK4377" t="s">
        <v>361</v>
      </c>
    </row>
    <row r="4378" spans="1:37">
      <c r="A4378" t="s">
        <v>41</v>
      </c>
      <c r="B4378" t="s">
        <v>61</v>
      </c>
      <c r="C4378" t="s">
        <v>83</v>
      </c>
      <c r="D4378" t="s">
        <v>102</v>
      </c>
      <c r="E4378" t="s">
        <v>121</v>
      </c>
      <c r="F4378" t="s">
        <v>155</v>
      </c>
      <c r="G4378" t="s">
        <v>181</v>
      </c>
      <c r="H4378" t="s">
        <v>216</v>
      </c>
      <c r="I4378" t="s">
        <v>236</v>
      </c>
      <c r="AK4378" t="s">
        <v>361</v>
      </c>
    </row>
    <row r="4379" spans="1:37">
      <c r="A4379" t="s">
        <v>42</v>
      </c>
      <c r="B4379" t="s">
        <v>62</v>
      </c>
      <c r="C4379" t="s">
        <v>84</v>
      </c>
      <c r="D4379" t="s">
        <v>103</v>
      </c>
      <c r="E4379" t="s">
        <v>122</v>
      </c>
      <c r="F4379" t="s">
        <v>156</v>
      </c>
      <c r="G4379" t="s">
        <v>182</v>
      </c>
      <c r="H4379" t="s">
        <v>83</v>
      </c>
      <c r="I4379" t="s">
        <v>237</v>
      </c>
      <c r="J4379" t="s">
        <v>254</v>
      </c>
      <c r="K4379" t="s">
        <v>268</v>
      </c>
      <c r="L4379" t="s">
        <v>280</v>
      </c>
      <c r="M4379" t="s">
        <v>289</v>
      </c>
      <c r="N4379" t="s">
        <v>298</v>
      </c>
      <c r="O4379" t="s">
        <v>307</v>
      </c>
      <c r="P4379" t="s">
        <v>314</v>
      </c>
      <c r="Q4379" t="s">
        <v>216</v>
      </c>
      <c r="R4379" t="s">
        <v>326</v>
      </c>
      <c r="S4379" t="s">
        <v>333</v>
      </c>
      <c r="T4379" t="s">
        <v>335</v>
      </c>
      <c r="U4379" t="s">
        <v>340</v>
      </c>
      <c r="V4379" t="s">
        <v>344</v>
      </c>
      <c r="W4379" t="s">
        <v>349</v>
      </c>
      <c r="AK4379" t="s">
        <v>361</v>
      </c>
    </row>
    <row r="4380" spans="1:37">
      <c r="A4380" t="s">
        <v>43</v>
      </c>
      <c r="B4380" t="s">
        <v>63</v>
      </c>
      <c r="C4380" t="s">
        <v>85</v>
      </c>
      <c r="D4380" t="s">
        <v>104</v>
      </c>
      <c r="E4380" t="s">
        <v>123</v>
      </c>
      <c r="F4380" t="s">
        <v>157</v>
      </c>
      <c r="G4380" t="s">
        <v>183</v>
      </c>
      <c r="AK4380" t="s">
        <v>361</v>
      </c>
    </row>
    <row r="4381" spans="1:37">
      <c r="A4381" t="s">
        <v>44</v>
      </c>
      <c r="B4381" t="s">
        <v>64</v>
      </c>
      <c r="C4381" t="s">
        <v>86</v>
      </c>
      <c r="D4381" t="s">
        <v>105</v>
      </c>
      <c r="E4381" t="s">
        <v>124</v>
      </c>
      <c r="F4381" t="s">
        <v>158</v>
      </c>
      <c r="G4381" t="s">
        <v>184</v>
      </c>
      <c r="AK4381" t="s">
        <v>361</v>
      </c>
    </row>
    <row r="4382" spans="1:37">
      <c r="A4382" t="s">
        <v>45</v>
      </c>
      <c r="B4382" t="s">
        <v>65</v>
      </c>
      <c r="C4382" t="s">
        <v>87</v>
      </c>
      <c r="D4382" t="s">
        <v>106</v>
      </c>
      <c r="E4382" t="s">
        <v>125</v>
      </c>
      <c r="F4382" t="s">
        <v>159</v>
      </c>
      <c r="G4382" t="s">
        <v>185</v>
      </c>
      <c r="H4382" t="s">
        <v>159</v>
      </c>
      <c r="I4382" t="s">
        <v>185</v>
      </c>
      <c r="J4382" t="s">
        <v>255</v>
      </c>
      <c r="AK4382" t="s">
        <v>361</v>
      </c>
    </row>
    <row r="4383" spans="1:37">
      <c r="A4383" t="s">
        <v>46</v>
      </c>
      <c r="B4383" t="s">
        <v>66</v>
      </c>
      <c r="C4383" t="s">
        <v>88</v>
      </c>
      <c r="D4383" t="s">
        <v>76</v>
      </c>
      <c r="E4383" t="s">
        <v>126</v>
      </c>
      <c r="F4383" t="s">
        <v>160</v>
      </c>
      <c r="G4383" t="s">
        <v>186</v>
      </c>
      <c r="H4383" t="s">
        <v>217</v>
      </c>
      <c r="I4383" t="s">
        <v>238</v>
      </c>
      <c r="J4383" t="s">
        <v>256</v>
      </c>
      <c r="K4383" t="s">
        <v>265</v>
      </c>
      <c r="L4383" t="s">
        <v>281</v>
      </c>
      <c r="M4383" t="s">
        <v>290</v>
      </c>
      <c r="N4383" t="s">
        <v>299</v>
      </c>
      <c r="O4383" t="s">
        <v>308</v>
      </c>
      <c r="P4383" t="s">
        <v>228</v>
      </c>
      <c r="Q4383" t="s">
        <v>72</v>
      </c>
      <c r="R4383" t="s">
        <v>327</v>
      </c>
      <c r="S4383" t="s">
        <v>327</v>
      </c>
      <c r="T4383" t="s">
        <v>336</v>
      </c>
      <c r="U4383" t="s">
        <v>336</v>
      </c>
      <c r="V4383" t="s">
        <v>336</v>
      </c>
      <c r="W4383" t="s">
        <v>336</v>
      </c>
      <c r="X4383" t="s">
        <v>353</v>
      </c>
      <c r="AK4383" t="s">
        <v>361</v>
      </c>
    </row>
    <row r="4384" spans="1:37">
      <c r="B4384" t="s">
        <v>67</v>
      </c>
      <c r="C4384" t="s">
        <v>89</v>
      </c>
      <c r="D4384" t="s">
        <v>107</v>
      </c>
      <c r="AK4384" t="s">
        <v>361</v>
      </c>
    </row>
    <row r="4385" spans="1:37">
      <c r="B4385" t="s">
        <v>68</v>
      </c>
      <c r="C4385" t="s">
        <v>90</v>
      </c>
      <c r="D4385" t="s">
        <v>108</v>
      </c>
      <c r="AK4385" t="s">
        <v>361</v>
      </c>
    </row>
    <row r="4386" spans="1:37">
      <c r="A4386" t="s">
        <v>47</v>
      </c>
      <c r="B4386" t="s">
        <v>69</v>
      </c>
      <c r="C4386" t="s">
        <v>91</v>
      </c>
      <c r="D4386" t="s">
        <v>109</v>
      </c>
      <c r="E4386" t="s">
        <v>109</v>
      </c>
      <c r="F4386" t="s">
        <v>109</v>
      </c>
      <c r="G4386" t="s">
        <v>109</v>
      </c>
      <c r="H4386" t="s">
        <v>109</v>
      </c>
      <c r="I4386" t="s">
        <v>239</v>
      </c>
      <c r="AK4386" t="s">
        <v>361</v>
      </c>
    </row>
    <row r="4387" spans="1:37">
      <c r="B4387" t="s">
        <v>70</v>
      </c>
      <c r="C4387" t="s">
        <v>92</v>
      </c>
      <c r="D4387" t="s">
        <v>110</v>
      </c>
      <c r="E4387" t="s">
        <v>127</v>
      </c>
      <c r="F4387" t="s">
        <v>161</v>
      </c>
      <c r="G4387" t="s">
        <v>187</v>
      </c>
      <c r="H4387" t="s">
        <v>218</v>
      </c>
      <c r="AK4387" t="s">
        <v>361</v>
      </c>
    </row>
    <row r="4388" spans="1:37">
      <c r="B4388" t="s">
        <v>71</v>
      </c>
      <c r="C4388" t="s">
        <v>93</v>
      </c>
      <c r="D4388" t="s">
        <v>111</v>
      </c>
      <c r="E4388" t="s">
        <v>128</v>
      </c>
      <c r="F4388" t="s">
        <v>162</v>
      </c>
      <c r="G4388" t="s">
        <v>188</v>
      </c>
      <c r="H4388" t="s">
        <v>219</v>
      </c>
      <c r="I4388" t="s">
        <v>240</v>
      </c>
      <c r="J4388" t="s">
        <v>257</v>
      </c>
      <c r="K4388" t="s">
        <v>269</v>
      </c>
      <c r="L4388" t="s">
        <v>109</v>
      </c>
      <c r="M4388" t="s">
        <v>109</v>
      </c>
      <c r="N4388" t="s">
        <v>109</v>
      </c>
      <c r="O4388" t="s">
        <v>109</v>
      </c>
      <c r="P4388" t="s">
        <v>109</v>
      </c>
      <c r="Q4388" t="s">
        <v>321</v>
      </c>
      <c r="AK4388" t="s">
        <v>361</v>
      </c>
    </row>
    <row r="4389" spans="1:37">
      <c r="A4389" t="s">
        <v>48</v>
      </c>
      <c r="B4389" t="s">
        <v>71</v>
      </c>
      <c r="C4389" t="s">
        <v>93</v>
      </c>
      <c r="D4389" t="s">
        <v>111</v>
      </c>
      <c r="E4389" t="s">
        <v>128</v>
      </c>
      <c r="F4389" t="s">
        <v>163</v>
      </c>
      <c r="G4389" t="s">
        <v>189</v>
      </c>
      <c r="H4389" t="s">
        <v>220</v>
      </c>
      <c r="I4389" t="s">
        <v>241</v>
      </c>
      <c r="J4389" t="s">
        <v>258</v>
      </c>
      <c r="K4389" t="s">
        <v>270</v>
      </c>
      <c r="AK4389" t="s">
        <v>361</v>
      </c>
    </row>
    <row r="4390" spans="1:37">
      <c r="B4390" t="s">
        <v>72</v>
      </c>
      <c r="C4390" t="s">
        <v>72</v>
      </c>
      <c r="D4390" t="s">
        <v>72</v>
      </c>
      <c r="E4390" t="s">
        <v>139</v>
      </c>
      <c r="F4390" t="s">
        <v>139</v>
      </c>
      <c r="G4390" t="s">
        <v>192</v>
      </c>
      <c r="H4390" t="s">
        <v>72</v>
      </c>
      <c r="I4390" t="s">
        <v>192</v>
      </c>
      <c r="J4390" t="s">
        <v>72</v>
      </c>
      <c r="K4390" t="s">
        <v>271</v>
      </c>
      <c r="AK4390" t="s">
        <v>361</v>
      </c>
    </row>
    <row r="4391" spans="1:37">
      <c r="A4391" t="s">
        <v>37</v>
      </c>
      <c r="B4391" t="s">
        <v>49</v>
      </c>
      <c r="C4391" t="s">
        <v>73</v>
      </c>
      <c r="D4391" t="s">
        <v>94</v>
      </c>
      <c r="E4391" t="s">
        <v>112</v>
      </c>
      <c r="F4391" t="s">
        <v>146</v>
      </c>
      <c r="G4391" t="s">
        <v>172</v>
      </c>
      <c r="H4391" t="s">
        <v>207</v>
      </c>
      <c r="I4391" t="s">
        <v>226</v>
      </c>
      <c r="J4391" t="s">
        <v>246</v>
      </c>
      <c r="K4391" t="s">
        <v>259</v>
      </c>
      <c r="AK4391" t="s">
        <v>361</v>
      </c>
    </row>
    <row r="4392" spans="1:37">
      <c r="A4392" t="s">
        <v>38</v>
      </c>
      <c r="B4392" t="s">
        <v>50</v>
      </c>
      <c r="C4392" t="s">
        <v>74</v>
      </c>
      <c r="D4392" t="s">
        <v>95</v>
      </c>
      <c r="E4392" t="s">
        <v>113</v>
      </c>
      <c r="F4392" t="s">
        <v>147</v>
      </c>
      <c r="G4392" t="s">
        <v>173</v>
      </c>
      <c r="H4392" t="s">
        <v>208</v>
      </c>
      <c r="I4392" t="s">
        <v>227</v>
      </c>
      <c r="J4392" t="s">
        <v>115</v>
      </c>
      <c r="K4392" t="s">
        <v>260</v>
      </c>
      <c r="L4392" t="s">
        <v>273</v>
      </c>
      <c r="M4392" t="s">
        <v>282</v>
      </c>
      <c r="N4392" t="s">
        <v>291</v>
      </c>
      <c r="AK4392" t="s">
        <v>361</v>
      </c>
    </row>
    <row r="4393" spans="1:37">
      <c r="B4393" t="s">
        <v>51</v>
      </c>
      <c r="C4393" t="s">
        <v>75</v>
      </c>
      <c r="D4393" t="s">
        <v>52</v>
      </c>
      <c r="E4393" t="s">
        <v>114</v>
      </c>
      <c r="F4393" t="s">
        <v>148</v>
      </c>
      <c r="G4393" t="s">
        <v>148</v>
      </c>
      <c r="H4393" t="s">
        <v>209</v>
      </c>
      <c r="I4393" t="s">
        <v>228</v>
      </c>
      <c r="J4393" t="s">
        <v>247</v>
      </c>
      <c r="K4393" t="s">
        <v>261</v>
      </c>
      <c r="L4393" t="s">
        <v>274</v>
      </c>
      <c r="M4393" t="s">
        <v>283</v>
      </c>
      <c r="N4393" t="s">
        <v>292</v>
      </c>
      <c r="O4393" t="s">
        <v>300</v>
      </c>
      <c r="AK4393" t="s">
        <v>361</v>
      </c>
    </row>
    <row r="4394" spans="1:37">
      <c r="B4394" t="s">
        <v>52</v>
      </c>
      <c r="C4394" t="s">
        <v>76</v>
      </c>
      <c r="D4394" t="s">
        <v>96</v>
      </c>
      <c r="E4394" t="s">
        <v>115</v>
      </c>
      <c r="F4394" t="s">
        <v>149</v>
      </c>
      <c r="G4394" t="s">
        <v>174</v>
      </c>
      <c r="H4394" t="s">
        <v>96</v>
      </c>
      <c r="I4394" t="s">
        <v>229</v>
      </c>
      <c r="J4394" t="s">
        <v>248</v>
      </c>
      <c r="K4394" t="s">
        <v>262</v>
      </c>
      <c r="L4394" t="s">
        <v>52</v>
      </c>
      <c r="M4394" t="s">
        <v>76</v>
      </c>
      <c r="N4394" t="s">
        <v>293</v>
      </c>
      <c r="O4394" t="s">
        <v>301</v>
      </c>
      <c r="P4394" t="s">
        <v>309</v>
      </c>
      <c r="Q4394" t="s">
        <v>315</v>
      </c>
      <c r="R4394" t="s">
        <v>228</v>
      </c>
      <c r="S4394" t="s">
        <v>328</v>
      </c>
      <c r="T4394" t="s">
        <v>149</v>
      </c>
      <c r="U4394" t="s">
        <v>337</v>
      </c>
      <c r="V4394" t="s">
        <v>341</v>
      </c>
      <c r="W4394" t="s">
        <v>345</v>
      </c>
      <c r="X4394" t="s">
        <v>350</v>
      </c>
      <c r="AK4394" t="s">
        <v>361</v>
      </c>
    </row>
    <row r="4395" spans="1:37">
      <c r="B4395" t="s">
        <v>53</v>
      </c>
      <c r="C4395" t="s">
        <v>77</v>
      </c>
      <c r="D4395" t="s">
        <v>97</v>
      </c>
      <c r="E4395" t="s">
        <v>116</v>
      </c>
      <c r="F4395" t="s">
        <v>150</v>
      </c>
      <c r="G4395" t="s">
        <v>175</v>
      </c>
      <c r="H4395" t="s">
        <v>210</v>
      </c>
      <c r="I4395" t="s">
        <v>230</v>
      </c>
      <c r="J4395" t="s">
        <v>249</v>
      </c>
      <c r="K4395" t="s">
        <v>263</v>
      </c>
      <c r="L4395" t="s">
        <v>275</v>
      </c>
      <c r="M4395" t="s">
        <v>284</v>
      </c>
      <c r="N4395" t="s">
        <v>294</v>
      </c>
      <c r="O4395" t="s">
        <v>302</v>
      </c>
      <c r="P4395" t="s">
        <v>310</v>
      </c>
      <c r="Q4395" t="s">
        <v>316</v>
      </c>
      <c r="R4395" t="s">
        <v>322</v>
      </c>
      <c r="S4395" t="s">
        <v>329</v>
      </c>
      <c r="AK4395" t="s">
        <v>361</v>
      </c>
    </row>
    <row r="4396" spans="1:37">
      <c r="A4396" t="s">
        <v>39</v>
      </c>
      <c r="B4396" t="s">
        <v>54</v>
      </c>
      <c r="C4396" t="s">
        <v>54</v>
      </c>
      <c r="D4396" t="s">
        <v>54</v>
      </c>
      <c r="E4396" t="s">
        <v>54</v>
      </c>
      <c r="F4396" t="s">
        <v>54</v>
      </c>
      <c r="G4396" t="s">
        <v>54</v>
      </c>
      <c r="H4396" t="s">
        <v>54</v>
      </c>
      <c r="I4396" t="s">
        <v>54</v>
      </c>
      <c r="J4396" t="s">
        <v>54</v>
      </c>
      <c r="K4396" t="s">
        <v>54</v>
      </c>
      <c r="L4396" t="s">
        <v>54</v>
      </c>
      <c r="M4396" t="s">
        <v>54</v>
      </c>
      <c r="N4396" t="s">
        <v>54</v>
      </c>
      <c r="O4396" t="s">
        <v>54</v>
      </c>
      <c r="P4396" t="s">
        <v>54</v>
      </c>
      <c r="Q4396" t="s">
        <v>54</v>
      </c>
      <c r="R4396" t="s">
        <v>323</v>
      </c>
      <c r="S4396" t="s">
        <v>330</v>
      </c>
      <c r="AK4396" t="s">
        <v>361</v>
      </c>
    </row>
    <row r="4397" spans="1:37">
      <c r="B4397" t="s">
        <v>55</v>
      </c>
      <c r="C4397" t="s">
        <v>78</v>
      </c>
      <c r="D4397" t="s">
        <v>55</v>
      </c>
      <c r="E4397" t="s">
        <v>78</v>
      </c>
      <c r="F4397" t="s">
        <v>55</v>
      </c>
      <c r="G4397" t="s">
        <v>78</v>
      </c>
      <c r="H4397" t="s">
        <v>55</v>
      </c>
      <c r="I4397" t="s">
        <v>78</v>
      </c>
      <c r="J4397" t="s">
        <v>55</v>
      </c>
      <c r="K4397" t="s">
        <v>78</v>
      </c>
      <c r="L4397" t="s">
        <v>55</v>
      </c>
      <c r="M4397" t="s">
        <v>78</v>
      </c>
      <c r="N4397" t="s">
        <v>55</v>
      </c>
      <c r="O4397" t="s">
        <v>78</v>
      </c>
      <c r="P4397" t="s">
        <v>55</v>
      </c>
      <c r="Q4397" t="s">
        <v>78</v>
      </c>
      <c r="R4397" t="s">
        <v>55</v>
      </c>
      <c r="S4397" t="s">
        <v>78</v>
      </c>
      <c r="T4397" t="s">
        <v>55</v>
      </c>
      <c r="U4397" t="s">
        <v>78</v>
      </c>
      <c r="V4397" t="s">
        <v>55</v>
      </c>
      <c r="W4397" t="s">
        <v>78</v>
      </c>
      <c r="X4397" t="s">
        <v>55</v>
      </c>
      <c r="Y4397" t="s">
        <v>78</v>
      </c>
      <c r="Z4397" t="s">
        <v>55</v>
      </c>
      <c r="AA4397" t="s">
        <v>78</v>
      </c>
      <c r="AB4397" t="s">
        <v>55</v>
      </c>
      <c r="AC4397" t="s">
        <v>78</v>
      </c>
      <c r="AD4397" t="s">
        <v>55</v>
      </c>
      <c r="AE4397" t="s">
        <v>78</v>
      </c>
      <c r="AF4397" t="s">
        <v>55</v>
      </c>
      <c r="AG4397" t="s">
        <v>78</v>
      </c>
      <c r="AH4397" t="s">
        <v>55</v>
      </c>
      <c r="AI4397" t="s">
        <v>78</v>
      </c>
      <c r="AK4397" t="s">
        <v>361</v>
      </c>
    </row>
    <row r="4398" spans="1:37">
      <c r="B4398" t="s">
        <v>56</v>
      </c>
      <c r="C4398" t="s">
        <v>56</v>
      </c>
      <c r="D4398" t="s">
        <v>56</v>
      </c>
      <c r="E4398" t="s">
        <v>56</v>
      </c>
      <c r="F4398" t="s">
        <v>56</v>
      </c>
      <c r="G4398" t="s">
        <v>176</v>
      </c>
      <c r="H4398" t="s">
        <v>211</v>
      </c>
      <c r="I4398" t="s">
        <v>231</v>
      </c>
      <c r="J4398" t="s">
        <v>250</v>
      </c>
      <c r="K4398" t="s">
        <v>264</v>
      </c>
      <c r="L4398" t="s">
        <v>276</v>
      </c>
      <c r="M4398" t="s">
        <v>285</v>
      </c>
      <c r="N4398" t="s">
        <v>295</v>
      </c>
      <c r="O4398" t="s">
        <v>303</v>
      </c>
      <c r="P4398" t="s">
        <v>56</v>
      </c>
      <c r="Q4398" t="s">
        <v>317</v>
      </c>
      <c r="R4398" t="s">
        <v>324</v>
      </c>
      <c r="S4398" t="s">
        <v>331</v>
      </c>
      <c r="T4398" t="s">
        <v>334</v>
      </c>
      <c r="U4398" t="s">
        <v>338</v>
      </c>
      <c r="V4398" t="s">
        <v>342</v>
      </c>
      <c r="W4398" t="s">
        <v>346</v>
      </c>
      <c r="X4398" t="s">
        <v>351</v>
      </c>
      <c r="AK4398" t="s">
        <v>361</v>
      </c>
    </row>
    <row r="4399" spans="1:37">
      <c r="B4399" t="s">
        <v>57</v>
      </c>
      <c r="C4399" t="s">
        <v>79</v>
      </c>
      <c r="D4399" t="s">
        <v>98</v>
      </c>
      <c r="E4399" t="s">
        <v>117</v>
      </c>
      <c r="F4399" t="s">
        <v>151</v>
      </c>
      <c r="G4399" t="s">
        <v>177</v>
      </c>
      <c r="H4399" t="s">
        <v>212</v>
      </c>
      <c r="I4399" t="s">
        <v>232</v>
      </c>
      <c r="J4399" t="s">
        <v>251</v>
      </c>
      <c r="K4399" t="s">
        <v>265</v>
      </c>
      <c r="L4399" t="s">
        <v>277</v>
      </c>
      <c r="M4399" t="s">
        <v>286</v>
      </c>
      <c r="N4399" t="s">
        <v>296</v>
      </c>
      <c r="O4399" t="s">
        <v>304</v>
      </c>
      <c r="P4399" t="s">
        <v>311</v>
      </c>
      <c r="Q4399" t="s">
        <v>318</v>
      </c>
      <c r="R4399" t="s">
        <v>185</v>
      </c>
      <c r="S4399" t="s">
        <v>159</v>
      </c>
      <c r="T4399" t="s">
        <v>185</v>
      </c>
      <c r="U4399" t="s">
        <v>339</v>
      </c>
      <c r="V4399" t="s">
        <v>72</v>
      </c>
      <c r="W4399" t="s">
        <v>347</v>
      </c>
      <c r="X4399" t="s">
        <v>72</v>
      </c>
      <c r="Y4399" t="s">
        <v>96</v>
      </c>
      <c r="AK4399" t="s">
        <v>361</v>
      </c>
    </row>
    <row r="4400" spans="1:37">
      <c r="B4400" t="s">
        <v>58</v>
      </c>
      <c r="C4400" t="s">
        <v>80</v>
      </c>
      <c r="D4400" t="s">
        <v>99</v>
      </c>
      <c r="E4400" t="s">
        <v>118</v>
      </c>
      <c r="F4400" t="s">
        <v>152</v>
      </c>
      <c r="G4400" t="s">
        <v>178</v>
      </c>
      <c r="H4400" t="s">
        <v>213</v>
      </c>
      <c r="I4400" t="s">
        <v>233</v>
      </c>
      <c r="J4400" t="s">
        <v>252</v>
      </c>
      <c r="K4400" t="s">
        <v>266</v>
      </c>
      <c r="L4400" t="s">
        <v>278</v>
      </c>
      <c r="M4400" t="s">
        <v>287</v>
      </c>
      <c r="N4400" t="s">
        <v>297</v>
      </c>
      <c r="O4400" t="s">
        <v>305</v>
      </c>
      <c r="P4400" t="s">
        <v>312</v>
      </c>
      <c r="Q4400" t="s">
        <v>319</v>
      </c>
      <c r="R4400">
        <f>&gt;10       ветра      3.0     17  16</f>
        <v>0</v>
      </c>
      <c r="AK4400" t="s">
        <v>361</v>
      </c>
    </row>
    <row r="4401" spans="1:37">
      <c r="A4401" t="s">
        <v>40</v>
      </c>
      <c r="B4401" t="s">
        <v>59</v>
      </c>
      <c r="C4401" t="s">
        <v>81</v>
      </c>
      <c r="D4401" t="s">
        <v>100</v>
      </c>
      <c r="E4401" t="s">
        <v>119</v>
      </c>
      <c r="F4401" t="s">
        <v>153</v>
      </c>
      <c r="G4401" t="s">
        <v>179</v>
      </c>
      <c r="H4401" t="s">
        <v>214</v>
      </c>
      <c r="I4401" t="s">
        <v>234</v>
      </c>
      <c r="AK4401" t="s">
        <v>361</v>
      </c>
    </row>
    <row r="4402" spans="1:37">
      <c r="A4402" t="s">
        <v>40</v>
      </c>
      <c r="B4402" t="s">
        <v>60</v>
      </c>
      <c r="C4402" t="s">
        <v>82</v>
      </c>
      <c r="D4402" t="s">
        <v>101</v>
      </c>
      <c r="E4402" t="s">
        <v>120</v>
      </c>
      <c r="F4402" t="s">
        <v>154</v>
      </c>
      <c r="G4402" t="s">
        <v>180</v>
      </c>
      <c r="H4402" t="s">
        <v>215</v>
      </c>
      <c r="I4402" t="s">
        <v>235</v>
      </c>
      <c r="J4402" t="s">
        <v>253</v>
      </c>
      <c r="K4402" t="s">
        <v>267</v>
      </c>
      <c r="L4402" t="s">
        <v>279</v>
      </c>
      <c r="M4402" t="s">
        <v>288</v>
      </c>
      <c r="N4402" t="s">
        <v>100</v>
      </c>
      <c r="O4402" t="s">
        <v>306</v>
      </c>
      <c r="P4402" t="s">
        <v>313</v>
      </c>
      <c r="Q4402" t="s">
        <v>320</v>
      </c>
      <c r="R4402" t="s">
        <v>325</v>
      </c>
      <c r="S4402" t="s">
        <v>332</v>
      </c>
      <c r="T4402" t="s">
        <v>119</v>
      </c>
      <c r="U4402" t="s">
        <v>234</v>
      </c>
      <c r="V4402" t="s">
        <v>343</v>
      </c>
      <c r="W4402" t="s">
        <v>348</v>
      </c>
      <c r="X4402" t="s">
        <v>352</v>
      </c>
      <c r="Y4402" t="s">
        <v>354</v>
      </c>
      <c r="AK4402" t="s">
        <v>361</v>
      </c>
    </row>
    <row r="4403" spans="1:37">
      <c r="A4403" t="s">
        <v>41</v>
      </c>
      <c r="B4403" t="s">
        <v>61</v>
      </c>
      <c r="C4403" t="s">
        <v>83</v>
      </c>
      <c r="D4403" t="s">
        <v>102</v>
      </c>
      <c r="E4403" t="s">
        <v>121</v>
      </c>
      <c r="F4403" t="s">
        <v>155</v>
      </c>
      <c r="G4403" t="s">
        <v>181</v>
      </c>
      <c r="H4403" t="s">
        <v>216</v>
      </c>
      <c r="I4403" t="s">
        <v>236</v>
      </c>
      <c r="AK4403" t="s">
        <v>361</v>
      </c>
    </row>
    <row r="4404" spans="1:37">
      <c r="A4404" t="s">
        <v>42</v>
      </c>
      <c r="B4404" t="s">
        <v>62</v>
      </c>
      <c r="C4404" t="s">
        <v>84</v>
      </c>
      <c r="D4404" t="s">
        <v>103</v>
      </c>
      <c r="E4404" t="s">
        <v>122</v>
      </c>
      <c r="F4404" t="s">
        <v>156</v>
      </c>
      <c r="G4404" t="s">
        <v>182</v>
      </c>
      <c r="H4404" t="s">
        <v>83</v>
      </c>
      <c r="I4404" t="s">
        <v>237</v>
      </c>
      <c r="J4404" t="s">
        <v>254</v>
      </c>
      <c r="K4404" t="s">
        <v>268</v>
      </c>
      <c r="L4404" t="s">
        <v>280</v>
      </c>
      <c r="M4404" t="s">
        <v>289</v>
      </c>
      <c r="N4404" t="s">
        <v>298</v>
      </c>
      <c r="O4404" t="s">
        <v>307</v>
      </c>
      <c r="P4404" t="s">
        <v>314</v>
      </c>
      <c r="Q4404" t="s">
        <v>216</v>
      </c>
      <c r="R4404" t="s">
        <v>326</v>
      </c>
      <c r="S4404" t="s">
        <v>333</v>
      </c>
      <c r="T4404" t="s">
        <v>335</v>
      </c>
      <c r="U4404" t="s">
        <v>340</v>
      </c>
      <c r="V4404" t="s">
        <v>344</v>
      </c>
      <c r="W4404" t="s">
        <v>349</v>
      </c>
      <c r="AK4404" t="s">
        <v>361</v>
      </c>
    </row>
    <row r="4405" spans="1:37">
      <c r="A4405" t="s">
        <v>43</v>
      </c>
      <c r="B4405" t="s">
        <v>63</v>
      </c>
      <c r="C4405" t="s">
        <v>85</v>
      </c>
      <c r="D4405" t="s">
        <v>104</v>
      </c>
      <c r="E4405" t="s">
        <v>123</v>
      </c>
      <c r="F4405" t="s">
        <v>157</v>
      </c>
      <c r="G4405" t="s">
        <v>183</v>
      </c>
      <c r="AK4405" t="s">
        <v>361</v>
      </c>
    </row>
    <row r="4406" spans="1:37">
      <c r="A4406" t="s">
        <v>44</v>
      </c>
      <c r="B4406" t="s">
        <v>64</v>
      </c>
      <c r="C4406" t="s">
        <v>86</v>
      </c>
      <c r="D4406" t="s">
        <v>105</v>
      </c>
      <c r="E4406" t="s">
        <v>124</v>
      </c>
      <c r="F4406" t="s">
        <v>158</v>
      </c>
      <c r="G4406" t="s">
        <v>184</v>
      </c>
      <c r="AK4406" t="s">
        <v>361</v>
      </c>
    </row>
    <row r="4407" spans="1:37">
      <c r="A4407" t="s">
        <v>45</v>
      </c>
      <c r="B4407" t="s">
        <v>65</v>
      </c>
      <c r="C4407" t="s">
        <v>87</v>
      </c>
      <c r="D4407" t="s">
        <v>106</v>
      </c>
      <c r="E4407" t="s">
        <v>125</v>
      </c>
      <c r="F4407" t="s">
        <v>159</v>
      </c>
      <c r="G4407" t="s">
        <v>185</v>
      </c>
      <c r="H4407" t="s">
        <v>159</v>
      </c>
      <c r="I4407" t="s">
        <v>185</v>
      </c>
      <c r="J4407" t="s">
        <v>255</v>
      </c>
      <c r="AK4407" t="s">
        <v>361</v>
      </c>
    </row>
    <row r="4408" spans="1:37">
      <c r="A4408" t="s">
        <v>46</v>
      </c>
      <c r="B4408" t="s">
        <v>66</v>
      </c>
      <c r="C4408" t="s">
        <v>88</v>
      </c>
      <c r="D4408" t="s">
        <v>76</v>
      </c>
      <c r="E4408" t="s">
        <v>126</v>
      </c>
      <c r="F4408" t="s">
        <v>160</v>
      </c>
      <c r="G4408" t="s">
        <v>186</v>
      </c>
      <c r="H4408" t="s">
        <v>217</v>
      </c>
      <c r="I4408" t="s">
        <v>238</v>
      </c>
      <c r="J4408" t="s">
        <v>256</v>
      </c>
      <c r="K4408" t="s">
        <v>265</v>
      </c>
      <c r="L4408" t="s">
        <v>281</v>
      </c>
      <c r="M4408" t="s">
        <v>290</v>
      </c>
      <c r="N4408" t="s">
        <v>299</v>
      </c>
      <c r="O4408" t="s">
        <v>308</v>
      </c>
      <c r="P4408" t="s">
        <v>228</v>
      </c>
      <c r="Q4408" t="s">
        <v>72</v>
      </c>
      <c r="R4408" t="s">
        <v>327</v>
      </c>
      <c r="S4408" t="s">
        <v>327</v>
      </c>
      <c r="T4408" t="s">
        <v>336</v>
      </c>
      <c r="U4408" t="s">
        <v>336</v>
      </c>
      <c r="V4408" t="s">
        <v>336</v>
      </c>
      <c r="W4408" t="s">
        <v>336</v>
      </c>
      <c r="X4408" t="s">
        <v>353</v>
      </c>
      <c r="AK4408" t="s">
        <v>361</v>
      </c>
    </row>
    <row r="4409" spans="1:37">
      <c r="B4409" t="s">
        <v>67</v>
      </c>
      <c r="C4409" t="s">
        <v>89</v>
      </c>
      <c r="D4409" t="s">
        <v>107</v>
      </c>
      <c r="AK4409" t="s">
        <v>361</v>
      </c>
    </row>
    <row r="4410" spans="1:37">
      <c r="B4410" t="s">
        <v>68</v>
      </c>
      <c r="C4410" t="s">
        <v>90</v>
      </c>
      <c r="D4410" t="s">
        <v>108</v>
      </c>
      <c r="AK4410" t="s">
        <v>361</v>
      </c>
    </row>
    <row r="4411" spans="1:37">
      <c r="A4411" t="s">
        <v>47</v>
      </c>
      <c r="B4411" t="s">
        <v>69</v>
      </c>
      <c r="C4411" t="s">
        <v>91</v>
      </c>
      <c r="D4411" t="s">
        <v>109</v>
      </c>
      <c r="E4411" t="s">
        <v>109</v>
      </c>
      <c r="F4411" t="s">
        <v>109</v>
      </c>
      <c r="G4411" t="s">
        <v>109</v>
      </c>
      <c r="H4411" t="s">
        <v>109</v>
      </c>
      <c r="I4411" t="s">
        <v>239</v>
      </c>
      <c r="AK4411" t="s">
        <v>361</v>
      </c>
    </row>
    <row r="4412" spans="1:37">
      <c r="B4412" t="s">
        <v>70</v>
      </c>
      <c r="C4412" t="s">
        <v>92</v>
      </c>
      <c r="D4412" t="s">
        <v>110</v>
      </c>
      <c r="E4412" t="s">
        <v>127</v>
      </c>
      <c r="F4412" t="s">
        <v>161</v>
      </c>
      <c r="G4412" t="s">
        <v>187</v>
      </c>
      <c r="H4412" t="s">
        <v>218</v>
      </c>
      <c r="AK4412" t="s">
        <v>361</v>
      </c>
    </row>
    <row r="4413" spans="1:37">
      <c r="B4413" t="s">
        <v>71</v>
      </c>
      <c r="C4413" t="s">
        <v>93</v>
      </c>
      <c r="D4413" t="s">
        <v>111</v>
      </c>
      <c r="E4413" t="s">
        <v>128</v>
      </c>
      <c r="F4413" t="s">
        <v>162</v>
      </c>
      <c r="G4413" t="s">
        <v>188</v>
      </c>
      <c r="H4413" t="s">
        <v>219</v>
      </c>
      <c r="I4413" t="s">
        <v>240</v>
      </c>
      <c r="J4413" t="s">
        <v>257</v>
      </c>
      <c r="K4413" t="s">
        <v>269</v>
      </c>
      <c r="L4413" t="s">
        <v>109</v>
      </c>
      <c r="M4413" t="s">
        <v>109</v>
      </c>
      <c r="N4413" t="s">
        <v>109</v>
      </c>
      <c r="O4413" t="s">
        <v>109</v>
      </c>
      <c r="P4413" t="s">
        <v>109</v>
      </c>
      <c r="Q4413" t="s">
        <v>321</v>
      </c>
      <c r="AK4413" t="s">
        <v>361</v>
      </c>
    </row>
    <row r="4414" spans="1:37">
      <c r="A4414" t="s">
        <v>48</v>
      </c>
      <c r="B4414" t="s">
        <v>71</v>
      </c>
      <c r="C4414" t="s">
        <v>93</v>
      </c>
      <c r="D4414" t="s">
        <v>111</v>
      </c>
      <c r="E4414" t="s">
        <v>128</v>
      </c>
      <c r="F4414" t="s">
        <v>163</v>
      </c>
      <c r="G4414" t="s">
        <v>189</v>
      </c>
      <c r="H4414" t="s">
        <v>220</v>
      </c>
      <c r="I4414" t="s">
        <v>241</v>
      </c>
      <c r="J4414" t="s">
        <v>258</v>
      </c>
      <c r="K4414" t="s">
        <v>270</v>
      </c>
      <c r="AK4414" t="s">
        <v>361</v>
      </c>
    </row>
    <row r="4415" spans="1:37">
      <c r="B4415" t="s">
        <v>72</v>
      </c>
      <c r="C4415" t="s">
        <v>72</v>
      </c>
      <c r="D4415" t="s">
        <v>72</v>
      </c>
      <c r="E4415" t="s">
        <v>139</v>
      </c>
      <c r="F4415" t="s">
        <v>139</v>
      </c>
      <c r="G4415" t="s">
        <v>192</v>
      </c>
      <c r="H4415" t="s">
        <v>192</v>
      </c>
      <c r="I4415" t="s">
        <v>192</v>
      </c>
      <c r="J4415" t="s">
        <v>192</v>
      </c>
      <c r="K4415" t="s">
        <v>271</v>
      </c>
      <c r="AK4415" t="s">
        <v>361</v>
      </c>
    </row>
    <row r="4416" spans="1:37">
      <c r="A4416" t="s">
        <v>37</v>
      </c>
      <c r="B4416" t="s">
        <v>49</v>
      </c>
      <c r="C4416" t="s">
        <v>73</v>
      </c>
      <c r="D4416" t="s">
        <v>94</v>
      </c>
      <c r="E4416" t="s">
        <v>112</v>
      </c>
      <c r="F4416" t="s">
        <v>146</v>
      </c>
      <c r="G4416" t="s">
        <v>172</v>
      </c>
      <c r="H4416" t="s">
        <v>207</v>
      </c>
      <c r="I4416" t="s">
        <v>226</v>
      </c>
      <c r="J4416" t="s">
        <v>246</v>
      </c>
      <c r="K4416" t="s">
        <v>259</v>
      </c>
      <c r="AK4416" t="s">
        <v>361</v>
      </c>
    </row>
    <row r="4417" spans="1:37">
      <c r="A4417" t="s">
        <v>38</v>
      </c>
      <c r="B4417" t="s">
        <v>50</v>
      </c>
      <c r="C4417" t="s">
        <v>74</v>
      </c>
      <c r="D4417" t="s">
        <v>95</v>
      </c>
      <c r="E4417" t="s">
        <v>113</v>
      </c>
      <c r="F4417" t="s">
        <v>147</v>
      </c>
      <c r="G4417" t="s">
        <v>173</v>
      </c>
      <c r="H4417" t="s">
        <v>208</v>
      </c>
      <c r="I4417" t="s">
        <v>227</v>
      </c>
      <c r="J4417" t="s">
        <v>115</v>
      </c>
      <c r="K4417" t="s">
        <v>260</v>
      </c>
      <c r="L4417" t="s">
        <v>273</v>
      </c>
      <c r="M4417" t="s">
        <v>282</v>
      </c>
      <c r="N4417" t="s">
        <v>291</v>
      </c>
      <c r="AK4417" t="s">
        <v>361</v>
      </c>
    </row>
    <row r="4418" spans="1:37">
      <c r="B4418" t="s">
        <v>51</v>
      </c>
      <c r="C4418" t="s">
        <v>75</v>
      </c>
      <c r="D4418" t="s">
        <v>52</v>
      </c>
      <c r="E4418" t="s">
        <v>114</v>
      </c>
      <c r="F4418" t="s">
        <v>148</v>
      </c>
      <c r="G4418" t="s">
        <v>148</v>
      </c>
      <c r="H4418" t="s">
        <v>209</v>
      </c>
      <c r="I4418" t="s">
        <v>228</v>
      </c>
      <c r="J4418" t="s">
        <v>247</v>
      </c>
      <c r="K4418" t="s">
        <v>261</v>
      </c>
      <c r="L4418" t="s">
        <v>274</v>
      </c>
      <c r="M4418" t="s">
        <v>283</v>
      </c>
      <c r="N4418" t="s">
        <v>292</v>
      </c>
      <c r="O4418" t="s">
        <v>300</v>
      </c>
      <c r="AK4418" t="s">
        <v>361</v>
      </c>
    </row>
    <row r="4419" spans="1:37">
      <c r="B4419" t="s">
        <v>52</v>
      </c>
      <c r="C4419" t="s">
        <v>76</v>
      </c>
      <c r="D4419" t="s">
        <v>96</v>
      </c>
      <c r="E4419" t="s">
        <v>115</v>
      </c>
      <c r="F4419" t="s">
        <v>149</v>
      </c>
      <c r="G4419" t="s">
        <v>174</v>
      </c>
      <c r="H4419" t="s">
        <v>96</v>
      </c>
      <c r="I4419" t="s">
        <v>229</v>
      </c>
      <c r="J4419" t="s">
        <v>248</v>
      </c>
      <c r="K4419" t="s">
        <v>262</v>
      </c>
      <c r="L4419" t="s">
        <v>52</v>
      </c>
      <c r="M4419" t="s">
        <v>76</v>
      </c>
      <c r="N4419" t="s">
        <v>293</v>
      </c>
      <c r="O4419" t="s">
        <v>301</v>
      </c>
      <c r="P4419" t="s">
        <v>309</v>
      </c>
      <c r="Q4419" t="s">
        <v>315</v>
      </c>
      <c r="R4419" t="s">
        <v>228</v>
      </c>
      <c r="S4419" t="s">
        <v>328</v>
      </c>
      <c r="T4419" t="s">
        <v>149</v>
      </c>
      <c r="U4419" t="s">
        <v>337</v>
      </c>
      <c r="V4419" t="s">
        <v>341</v>
      </c>
      <c r="W4419" t="s">
        <v>345</v>
      </c>
      <c r="X4419" t="s">
        <v>350</v>
      </c>
      <c r="AK4419" t="s">
        <v>361</v>
      </c>
    </row>
    <row r="4420" spans="1:37">
      <c r="B4420" t="s">
        <v>53</v>
      </c>
      <c r="C4420" t="s">
        <v>77</v>
      </c>
      <c r="D4420" t="s">
        <v>97</v>
      </c>
      <c r="E4420" t="s">
        <v>116</v>
      </c>
      <c r="F4420" t="s">
        <v>150</v>
      </c>
      <c r="G4420" t="s">
        <v>175</v>
      </c>
      <c r="H4420" t="s">
        <v>210</v>
      </c>
      <c r="I4420" t="s">
        <v>230</v>
      </c>
      <c r="J4420" t="s">
        <v>249</v>
      </c>
      <c r="K4420" t="s">
        <v>263</v>
      </c>
      <c r="L4420" t="s">
        <v>275</v>
      </c>
      <c r="M4420" t="s">
        <v>284</v>
      </c>
      <c r="N4420" t="s">
        <v>294</v>
      </c>
      <c r="O4420" t="s">
        <v>302</v>
      </c>
      <c r="P4420" t="s">
        <v>310</v>
      </c>
      <c r="Q4420" t="s">
        <v>316</v>
      </c>
      <c r="R4420" t="s">
        <v>322</v>
      </c>
      <c r="S4420" t="s">
        <v>329</v>
      </c>
      <c r="AK4420" t="s">
        <v>361</v>
      </c>
    </row>
    <row r="4421" spans="1:37">
      <c r="A4421" t="s">
        <v>39</v>
      </c>
      <c r="B4421" t="s">
        <v>54</v>
      </c>
      <c r="C4421" t="s">
        <v>54</v>
      </c>
      <c r="D4421" t="s">
        <v>54</v>
      </c>
      <c r="E4421" t="s">
        <v>54</v>
      </c>
      <c r="F4421" t="s">
        <v>54</v>
      </c>
      <c r="G4421" t="s">
        <v>54</v>
      </c>
      <c r="H4421" t="s">
        <v>54</v>
      </c>
      <c r="I4421" t="s">
        <v>54</v>
      </c>
      <c r="J4421" t="s">
        <v>54</v>
      </c>
      <c r="K4421" t="s">
        <v>54</v>
      </c>
      <c r="L4421" t="s">
        <v>54</v>
      </c>
      <c r="M4421" t="s">
        <v>54</v>
      </c>
      <c r="N4421" t="s">
        <v>54</v>
      </c>
      <c r="O4421" t="s">
        <v>54</v>
      </c>
      <c r="P4421" t="s">
        <v>54</v>
      </c>
      <c r="Q4421" t="s">
        <v>54</v>
      </c>
      <c r="R4421" t="s">
        <v>323</v>
      </c>
      <c r="S4421" t="s">
        <v>330</v>
      </c>
      <c r="AK4421" t="s">
        <v>361</v>
      </c>
    </row>
    <row r="4422" spans="1:37">
      <c r="B4422" t="s">
        <v>55</v>
      </c>
      <c r="C4422" t="s">
        <v>78</v>
      </c>
      <c r="D4422" t="s">
        <v>55</v>
      </c>
      <c r="E4422" t="s">
        <v>78</v>
      </c>
      <c r="F4422" t="s">
        <v>55</v>
      </c>
      <c r="G4422" t="s">
        <v>78</v>
      </c>
      <c r="H4422" t="s">
        <v>55</v>
      </c>
      <c r="I4422" t="s">
        <v>78</v>
      </c>
      <c r="J4422" t="s">
        <v>55</v>
      </c>
      <c r="K4422" t="s">
        <v>78</v>
      </c>
      <c r="L4422" t="s">
        <v>55</v>
      </c>
      <c r="M4422" t="s">
        <v>78</v>
      </c>
      <c r="N4422" t="s">
        <v>55</v>
      </c>
      <c r="O4422" t="s">
        <v>78</v>
      </c>
      <c r="P4422" t="s">
        <v>55</v>
      </c>
      <c r="Q4422" t="s">
        <v>78</v>
      </c>
      <c r="R4422" t="s">
        <v>55</v>
      </c>
      <c r="S4422" t="s">
        <v>78</v>
      </c>
      <c r="T4422" t="s">
        <v>55</v>
      </c>
      <c r="U4422" t="s">
        <v>78</v>
      </c>
      <c r="V4422" t="s">
        <v>55</v>
      </c>
      <c r="W4422" t="s">
        <v>78</v>
      </c>
      <c r="X4422" t="s">
        <v>55</v>
      </c>
      <c r="Y4422" t="s">
        <v>78</v>
      </c>
      <c r="Z4422" t="s">
        <v>55</v>
      </c>
      <c r="AA4422" t="s">
        <v>78</v>
      </c>
      <c r="AB4422" t="s">
        <v>55</v>
      </c>
      <c r="AC4422" t="s">
        <v>78</v>
      </c>
      <c r="AD4422" t="s">
        <v>55</v>
      </c>
      <c r="AE4422" t="s">
        <v>78</v>
      </c>
      <c r="AF4422" t="s">
        <v>55</v>
      </c>
      <c r="AG4422" t="s">
        <v>78</v>
      </c>
      <c r="AH4422" t="s">
        <v>55</v>
      </c>
      <c r="AI4422" t="s">
        <v>78</v>
      </c>
      <c r="AK4422" t="s">
        <v>361</v>
      </c>
    </row>
    <row r="4423" spans="1:37">
      <c r="B4423" t="s">
        <v>56</v>
      </c>
      <c r="C4423" t="s">
        <v>56</v>
      </c>
      <c r="D4423" t="s">
        <v>56</v>
      </c>
      <c r="E4423" t="s">
        <v>56</v>
      </c>
      <c r="F4423" t="s">
        <v>56</v>
      </c>
      <c r="G4423" t="s">
        <v>176</v>
      </c>
      <c r="H4423" t="s">
        <v>211</v>
      </c>
      <c r="I4423" t="s">
        <v>231</v>
      </c>
      <c r="J4423" t="s">
        <v>250</v>
      </c>
      <c r="K4423" t="s">
        <v>264</v>
      </c>
      <c r="L4423" t="s">
        <v>276</v>
      </c>
      <c r="M4423" t="s">
        <v>285</v>
      </c>
      <c r="N4423" t="s">
        <v>295</v>
      </c>
      <c r="O4423" t="s">
        <v>303</v>
      </c>
      <c r="P4423" t="s">
        <v>56</v>
      </c>
      <c r="Q4423" t="s">
        <v>317</v>
      </c>
      <c r="R4423" t="s">
        <v>324</v>
      </c>
      <c r="S4423" t="s">
        <v>331</v>
      </c>
      <c r="T4423" t="s">
        <v>334</v>
      </c>
      <c r="U4423" t="s">
        <v>338</v>
      </c>
      <c r="V4423" t="s">
        <v>342</v>
      </c>
      <c r="W4423" t="s">
        <v>346</v>
      </c>
      <c r="X4423" t="s">
        <v>351</v>
      </c>
      <c r="AK4423" t="s">
        <v>361</v>
      </c>
    </row>
    <row r="4424" spans="1:37">
      <c r="B4424" t="s">
        <v>57</v>
      </c>
      <c r="C4424" t="s">
        <v>79</v>
      </c>
      <c r="D4424" t="s">
        <v>98</v>
      </c>
      <c r="E4424" t="s">
        <v>117</v>
      </c>
      <c r="F4424" t="s">
        <v>151</v>
      </c>
      <c r="G4424" t="s">
        <v>177</v>
      </c>
      <c r="H4424" t="s">
        <v>212</v>
      </c>
      <c r="I4424" t="s">
        <v>232</v>
      </c>
      <c r="J4424" t="s">
        <v>251</v>
      </c>
      <c r="K4424" t="s">
        <v>265</v>
      </c>
      <c r="L4424" t="s">
        <v>277</v>
      </c>
      <c r="M4424" t="s">
        <v>286</v>
      </c>
      <c r="N4424" t="s">
        <v>296</v>
      </c>
      <c r="O4424" t="s">
        <v>304</v>
      </c>
      <c r="P4424" t="s">
        <v>311</v>
      </c>
      <c r="Q4424" t="s">
        <v>318</v>
      </c>
      <c r="R4424" t="s">
        <v>185</v>
      </c>
      <c r="S4424" t="s">
        <v>159</v>
      </c>
      <c r="T4424" t="s">
        <v>185</v>
      </c>
      <c r="U4424" t="s">
        <v>339</v>
      </c>
      <c r="V4424" t="s">
        <v>72</v>
      </c>
      <c r="W4424" t="s">
        <v>347</v>
      </c>
      <c r="X4424" t="s">
        <v>72</v>
      </c>
      <c r="Y4424" t="s">
        <v>96</v>
      </c>
      <c r="AK4424" t="s">
        <v>361</v>
      </c>
    </row>
    <row r="4425" spans="1:37">
      <c r="B4425" t="s">
        <v>58</v>
      </c>
      <c r="C4425" t="s">
        <v>80</v>
      </c>
      <c r="D4425" t="s">
        <v>99</v>
      </c>
      <c r="E4425" t="s">
        <v>118</v>
      </c>
      <c r="F4425" t="s">
        <v>152</v>
      </c>
      <c r="G4425" t="s">
        <v>178</v>
      </c>
      <c r="H4425" t="s">
        <v>213</v>
      </c>
      <c r="I4425" t="s">
        <v>233</v>
      </c>
      <c r="J4425" t="s">
        <v>252</v>
      </c>
      <c r="K4425" t="s">
        <v>266</v>
      </c>
      <c r="L4425" t="s">
        <v>278</v>
      </c>
      <c r="M4425" t="s">
        <v>287</v>
      </c>
      <c r="N4425" t="s">
        <v>297</v>
      </c>
      <c r="O4425" t="s">
        <v>305</v>
      </c>
      <c r="P4425" t="s">
        <v>312</v>
      </c>
      <c r="Q4425" t="s">
        <v>319</v>
      </c>
      <c r="R4425">
        <f>&gt;10       ветра      1.4     13   4</f>
        <v>0</v>
      </c>
      <c r="AK4425" t="s">
        <v>361</v>
      </c>
    </row>
    <row r="4426" spans="1:37">
      <c r="A4426" t="s">
        <v>40</v>
      </c>
      <c r="B4426" t="s">
        <v>59</v>
      </c>
      <c r="C4426" t="s">
        <v>81</v>
      </c>
      <c r="D4426" t="s">
        <v>100</v>
      </c>
      <c r="E4426" t="s">
        <v>119</v>
      </c>
      <c r="F4426" t="s">
        <v>153</v>
      </c>
      <c r="G4426" t="s">
        <v>179</v>
      </c>
      <c r="H4426" t="s">
        <v>214</v>
      </c>
      <c r="I4426" t="s">
        <v>234</v>
      </c>
      <c r="AK4426" t="s">
        <v>361</v>
      </c>
    </row>
    <row r="4427" spans="1:37">
      <c r="A4427" t="s">
        <v>40</v>
      </c>
      <c r="B4427" t="s">
        <v>60</v>
      </c>
      <c r="C4427" t="s">
        <v>82</v>
      </c>
      <c r="D4427" t="s">
        <v>101</v>
      </c>
      <c r="E4427" t="s">
        <v>120</v>
      </c>
      <c r="F4427" t="s">
        <v>154</v>
      </c>
      <c r="G4427" t="s">
        <v>180</v>
      </c>
      <c r="H4427" t="s">
        <v>215</v>
      </c>
      <c r="I4427" t="s">
        <v>235</v>
      </c>
      <c r="J4427" t="s">
        <v>253</v>
      </c>
      <c r="K4427" t="s">
        <v>267</v>
      </c>
      <c r="L4427" t="s">
        <v>279</v>
      </c>
      <c r="M4427" t="s">
        <v>288</v>
      </c>
      <c r="N4427" t="s">
        <v>100</v>
      </c>
      <c r="O4427" t="s">
        <v>306</v>
      </c>
      <c r="P4427" t="s">
        <v>313</v>
      </c>
      <c r="Q4427" t="s">
        <v>320</v>
      </c>
      <c r="R4427" t="s">
        <v>325</v>
      </c>
      <c r="S4427" t="s">
        <v>332</v>
      </c>
      <c r="T4427" t="s">
        <v>119</v>
      </c>
      <c r="U4427" t="s">
        <v>234</v>
      </c>
      <c r="V4427" t="s">
        <v>343</v>
      </c>
      <c r="W4427" t="s">
        <v>348</v>
      </c>
      <c r="X4427" t="s">
        <v>352</v>
      </c>
      <c r="Y4427" t="s">
        <v>354</v>
      </c>
      <c r="AK4427" t="s">
        <v>361</v>
      </c>
    </row>
    <row r="4428" spans="1:37">
      <c r="A4428" t="s">
        <v>41</v>
      </c>
      <c r="B4428" t="s">
        <v>61</v>
      </c>
      <c r="C4428" t="s">
        <v>83</v>
      </c>
      <c r="D4428" t="s">
        <v>102</v>
      </c>
      <c r="E4428" t="s">
        <v>121</v>
      </c>
      <c r="F4428" t="s">
        <v>155</v>
      </c>
      <c r="G4428" t="s">
        <v>181</v>
      </c>
      <c r="H4428" t="s">
        <v>216</v>
      </c>
      <c r="I4428" t="s">
        <v>236</v>
      </c>
      <c r="AK4428" t="s">
        <v>361</v>
      </c>
    </row>
    <row r="4429" spans="1:37">
      <c r="A4429" t="s">
        <v>42</v>
      </c>
      <c r="B4429" t="s">
        <v>62</v>
      </c>
      <c r="C4429" t="s">
        <v>84</v>
      </c>
      <c r="D4429" t="s">
        <v>103</v>
      </c>
      <c r="E4429" t="s">
        <v>122</v>
      </c>
      <c r="F4429" t="s">
        <v>156</v>
      </c>
      <c r="G4429" t="s">
        <v>182</v>
      </c>
      <c r="H4429" t="s">
        <v>83</v>
      </c>
      <c r="I4429" t="s">
        <v>237</v>
      </c>
      <c r="J4429" t="s">
        <v>254</v>
      </c>
      <c r="K4429" t="s">
        <v>268</v>
      </c>
      <c r="L4429" t="s">
        <v>280</v>
      </c>
      <c r="M4429" t="s">
        <v>289</v>
      </c>
      <c r="N4429" t="s">
        <v>298</v>
      </c>
      <c r="O4429" t="s">
        <v>307</v>
      </c>
      <c r="P4429" t="s">
        <v>314</v>
      </c>
      <c r="Q4429" t="s">
        <v>216</v>
      </c>
      <c r="R4429" t="s">
        <v>326</v>
      </c>
      <c r="S4429" t="s">
        <v>333</v>
      </c>
      <c r="T4429" t="s">
        <v>335</v>
      </c>
      <c r="U4429" t="s">
        <v>340</v>
      </c>
      <c r="V4429" t="s">
        <v>344</v>
      </c>
      <c r="W4429" t="s">
        <v>349</v>
      </c>
      <c r="AK4429" t="s">
        <v>361</v>
      </c>
    </row>
    <row r="4430" spans="1:37">
      <c r="A4430" t="s">
        <v>43</v>
      </c>
      <c r="B4430" t="s">
        <v>63</v>
      </c>
      <c r="C4430" t="s">
        <v>85</v>
      </c>
      <c r="D4430" t="s">
        <v>104</v>
      </c>
      <c r="E4430" t="s">
        <v>123</v>
      </c>
      <c r="F4430" t="s">
        <v>157</v>
      </c>
      <c r="G4430" t="s">
        <v>183</v>
      </c>
      <c r="AK4430" t="s">
        <v>361</v>
      </c>
    </row>
    <row r="4431" spans="1:37">
      <c r="A4431" t="s">
        <v>44</v>
      </c>
      <c r="B4431" t="s">
        <v>64</v>
      </c>
      <c r="C4431" t="s">
        <v>86</v>
      </c>
      <c r="D4431" t="s">
        <v>105</v>
      </c>
      <c r="E4431" t="s">
        <v>124</v>
      </c>
      <c r="F4431" t="s">
        <v>158</v>
      </c>
      <c r="G4431" t="s">
        <v>184</v>
      </c>
      <c r="AK4431" t="s">
        <v>361</v>
      </c>
    </row>
    <row r="4432" spans="1:37">
      <c r="A4432" t="s">
        <v>45</v>
      </c>
      <c r="B4432" t="s">
        <v>65</v>
      </c>
      <c r="C4432" t="s">
        <v>87</v>
      </c>
      <c r="D4432" t="s">
        <v>106</v>
      </c>
      <c r="E4432" t="s">
        <v>125</v>
      </c>
      <c r="F4432" t="s">
        <v>159</v>
      </c>
      <c r="G4432" t="s">
        <v>185</v>
      </c>
      <c r="H4432" t="s">
        <v>159</v>
      </c>
      <c r="I4432" t="s">
        <v>185</v>
      </c>
      <c r="J4432" t="s">
        <v>255</v>
      </c>
      <c r="AK4432" t="s">
        <v>361</v>
      </c>
    </row>
    <row r="4433" spans="1:37">
      <c r="A4433" t="s">
        <v>46</v>
      </c>
      <c r="B4433" t="s">
        <v>66</v>
      </c>
      <c r="C4433" t="s">
        <v>88</v>
      </c>
      <c r="D4433" t="s">
        <v>76</v>
      </c>
      <c r="E4433" t="s">
        <v>126</v>
      </c>
      <c r="F4433" t="s">
        <v>160</v>
      </c>
      <c r="G4433" t="s">
        <v>186</v>
      </c>
      <c r="H4433" t="s">
        <v>217</v>
      </c>
      <c r="I4433" t="s">
        <v>238</v>
      </c>
      <c r="J4433" t="s">
        <v>256</v>
      </c>
      <c r="K4433" t="s">
        <v>265</v>
      </c>
      <c r="L4433" t="s">
        <v>281</v>
      </c>
      <c r="M4433" t="s">
        <v>290</v>
      </c>
      <c r="N4433" t="s">
        <v>299</v>
      </c>
      <c r="O4433" t="s">
        <v>308</v>
      </c>
      <c r="P4433" t="s">
        <v>228</v>
      </c>
      <c r="Q4433" t="s">
        <v>72</v>
      </c>
      <c r="R4433" t="s">
        <v>327</v>
      </c>
      <c r="S4433" t="s">
        <v>327</v>
      </c>
      <c r="T4433" t="s">
        <v>336</v>
      </c>
      <c r="U4433" t="s">
        <v>336</v>
      </c>
      <c r="V4433" t="s">
        <v>336</v>
      </c>
      <c r="W4433" t="s">
        <v>336</v>
      </c>
      <c r="X4433" t="s">
        <v>353</v>
      </c>
      <c r="AK4433" t="s">
        <v>361</v>
      </c>
    </row>
    <row r="4434" spans="1:37">
      <c r="B4434" t="s">
        <v>67</v>
      </c>
      <c r="C4434" t="s">
        <v>89</v>
      </c>
      <c r="D4434" t="s">
        <v>107</v>
      </c>
      <c r="AK4434" t="s">
        <v>361</v>
      </c>
    </row>
    <row r="4435" spans="1:37">
      <c r="B4435" t="s">
        <v>68</v>
      </c>
      <c r="C4435" t="s">
        <v>90</v>
      </c>
      <c r="D4435" t="s">
        <v>108</v>
      </c>
      <c r="AK4435" t="s">
        <v>361</v>
      </c>
    </row>
    <row r="4436" spans="1:37">
      <c r="A4436" t="s">
        <v>47</v>
      </c>
      <c r="B4436" t="s">
        <v>69</v>
      </c>
      <c r="C4436" t="s">
        <v>91</v>
      </c>
      <c r="D4436" t="s">
        <v>109</v>
      </c>
      <c r="E4436" t="s">
        <v>109</v>
      </c>
      <c r="F4436" t="s">
        <v>109</v>
      </c>
      <c r="G4436" t="s">
        <v>109</v>
      </c>
      <c r="H4436" t="s">
        <v>109</v>
      </c>
      <c r="I4436" t="s">
        <v>239</v>
      </c>
      <c r="AK4436" t="s">
        <v>361</v>
      </c>
    </row>
    <row r="4437" spans="1:37">
      <c r="B4437" t="s">
        <v>70</v>
      </c>
      <c r="C4437" t="s">
        <v>92</v>
      </c>
      <c r="D4437" t="s">
        <v>110</v>
      </c>
      <c r="E4437" t="s">
        <v>127</v>
      </c>
      <c r="F4437" t="s">
        <v>161</v>
      </c>
      <c r="G4437" t="s">
        <v>187</v>
      </c>
      <c r="H4437" t="s">
        <v>218</v>
      </c>
      <c r="AK4437" t="s">
        <v>361</v>
      </c>
    </row>
    <row r="4438" spans="1:37">
      <c r="B4438" t="s">
        <v>71</v>
      </c>
      <c r="C4438" t="s">
        <v>93</v>
      </c>
      <c r="D4438" t="s">
        <v>111</v>
      </c>
      <c r="E4438" t="s">
        <v>128</v>
      </c>
      <c r="F4438" t="s">
        <v>162</v>
      </c>
      <c r="G4438" t="s">
        <v>188</v>
      </c>
      <c r="H4438" t="s">
        <v>219</v>
      </c>
      <c r="I4438" t="s">
        <v>240</v>
      </c>
      <c r="J4438" t="s">
        <v>257</v>
      </c>
      <c r="K4438" t="s">
        <v>269</v>
      </c>
      <c r="L4438" t="s">
        <v>109</v>
      </c>
      <c r="M4438" t="s">
        <v>109</v>
      </c>
      <c r="N4438" t="s">
        <v>109</v>
      </c>
      <c r="O4438" t="s">
        <v>109</v>
      </c>
      <c r="P4438" t="s">
        <v>109</v>
      </c>
      <c r="Q4438" t="s">
        <v>321</v>
      </c>
      <c r="AK4438" t="s">
        <v>361</v>
      </c>
    </row>
    <row r="4439" spans="1:37">
      <c r="A4439" t="s">
        <v>48</v>
      </c>
      <c r="B4439" t="s">
        <v>71</v>
      </c>
      <c r="C4439" t="s">
        <v>93</v>
      </c>
      <c r="D4439" t="s">
        <v>111</v>
      </c>
      <c r="E4439" t="s">
        <v>128</v>
      </c>
      <c r="F4439" t="s">
        <v>163</v>
      </c>
      <c r="G4439" t="s">
        <v>189</v>
      </c>
      <c r="H4439" t="s">
        <v>220</v>
      </c>
      <c r="I4439" t="s">
        <v>241</v>
      </c>
      <c r="J4439" t="s">
        <v>258</v>
      </c>
      <c r="K4439" t="s">
        <v>270</v>
      </c>
      <c r="AK4439" t="s">
        <v>361</v>
      </c>
    </row>
    <row r="4440" spans="1:37">
      <c r="B4440" t="s">
        <v>72</v>
      </c>
      <c r="C4440" t="s">
        <v>72</v>
      </c>
      <c r="D4440" t="s">
        <v>72</v>
      </c>
      <c r="E4440" t="s">
        <v>72</v>
      </c>
      <c r="F4440" t="s">
        <v>72</v>
      </c>
      <c r="G4440" t="s">
        <v>72</v>
      </c>
      <c r="H4440" t="s">
        <v>72</v>
      </c>
      <c r="I4440" t="s">
        <v>72</v>
      </c>
      <c r="J4440" t="s">
        <v>72</v>
      </c>
      <c r="K4440" t="s">
        <v>272</v>
      </c>
      <c r="AK4440" t="s">
        <v>361</v>
      </c>
    </row>
    <row r="4441" spans="1:37">
      <c r="A4441" t="s">
        <v>37</v>
      </c>
      <c r="B4441" t="s">
        <v>49</v>
      </c>
      <c r="C4441" t="s">
        <v>73</v>
      </c>
      <c r="D4441" t="s">
        <v>94</v>
      </c>
      <c r="E4441" t="s">
        <v>112</v>
      </c>
      <c r="F4441" t="s">
        <v>146</v>
      </c>
      <c r="G4441" t="s">
        <v>172</v>
      </c>
      <c r="H4441" t="s">
        <v>207</v>
      </c>
      <c r="I4441" t="s">
        <v>226</v>
      </c>
      <c r="J4441" t="s">
        <v>246</v>
      </c>
      <c r="K4441" t="s">
        <v>259</v>
      </c>
      <c r="AK4441" t="s">
        <v>361</v>
      </c>
    </row>
    <row r="4442" spans="1:37">
      <c r="A4442" t="s">
        <v>38</v>
      </c>
      <c r="B4442" t="s">
        <v>50</v>
      </c>
      <c r="C4442" t="s">
        <v>74</v>
      </c>
      <c r="D4442" t="s">
        <v>95</v>
      </c>
      <c r="E4442" t="s">
        <v>113</v>
      </c>
      <c r="F4442" t="s">
        <v>147</v>
      </c>
      <c r="G4442" t="s">
        <v>173</v>
      </c>
      <c r="H4442" t="s">
        <v>208</v>
      </c>
      <c r="I4442" t="s">
        <v>227</v>
      </c>
      <c r="J4442" t="s">
        <v>115</v>
      </c>
      <c r="K4442" t="s">
        <v>260</v>
      </c>
      <c r="L4442" t="s">
        <v>273</v>
      </c>
      <c r="M4442" t="s">
        <v>282</v>
      </c>
      <c r="N4442" t="s">
        <v>291</v>
      </c>
      <c r="AK4442" t="s">
        <v>361</v>
      </c>
    </row>
    <row r="4443" spans="1:37">
      <c r="B4443" t="s">
        <v>51</v>
      </c>
      <c r="C4443" t="s">
        <v>75</v>
      </c>
      <c r="D4443" t="s">
        <v>52</v>
      </c>
      <c r="E4443" t="s">
        <v>114</v>
      </c>
      <c r="F4443" t="s">
        <v>148</v>
      </c>
      <c r="G4443" t="s">
        <v>148</v>
      </c>
      <c r="H4443" t="s">
        <v>209</v>
      </c>
      <c r="I4443" t="s">
        <v>228</v>
      </c>
      <c r="J4443" t="s">
        <v>247</v>
      </c>
      <c r="K4443" t="s">
        <v>261</v>
      </c>
      <c r="L4443" t="s">
        <v>274</v>
      </c>
      <c r="M4443" t="s">
        <v>283</v>
      </c>
      <c r="N4443" t="s">
        <v>292</v>
      </c>
      <c r="O4443" t="s">
        <v>300</v>
      </c>
      <c r="AK4443" t="s">
        <v>361</v>
      </c>
    </row>
    <row r="4444" spans="1:37">
      <c r="B4444" t="s">
        <v>52</v>
      </c>
      <c r="C4444" t="s">
        <v>76</v>
      </c>
      <c r="D4444" t="s">
        <v>96</v>
      </c>
      <c r="E4444" t="s">
        <v>115</v>
      </c>
      <c r="F4444" t="s">
        <v>149</v>
      </c>
      <c r="G4444" t="s">
        <v>174</v>
      </c>
      <c r="H4444" t="s">
        <v>96</v>
      </c>
      <c r="I4444" t="s">
        <v>229</v>
      </c>
      <c r="J4444" t="s">
        <v>248</v>
      </c>
      <c r="K4444" t="s">
        <v>262</v>
      </c>
      <c r="L4444" t="s">
        <v>52</v>
      </c>
      <c r="M4444" t="s">
        <v>76</v>
      </c>
      <c r="N4444" t="s">
        <v>293</v>
      </c>
      <c r="O4444" t="s">
        <v>301</v>
      </c>
      <c r="P4444" t="s">
        <v>309</v>
      </c>
      <c r="Q4444" t="s">
        <v>315</v>
      </c>
      <c r="R4444" t="s">
        <v>228</v>
      </c>
      <c r="S4444" t="s">
        <v>328</v>
      </c>
      <c r="T4444" t="s">
        <v>149</v>
      </c>
      <c r="U4444" t="s">
        <v>337</v>
      </c>
      <c r="V4444" t="s">
        <v>341</v>
      </c>
      <c r="W4444" t="s">
        <v>345</v>
      </c>
      <c r="X4444" t="s">
        <v>350</v>
      </c>
      <c r="AK4444" t="s">
        <v>361</v>
      </c>
    </row>
    <row r="4445" spans="1:37">
      <c r="B4445" t="s">
        <v>53</v>
      </c>
      <c r="C4445" t="s">
        <v>77</v>
      </c>
      <c r="D4445" t="s">
        <v>97</v>
      </c>
      <c r="E4445" t="s">
        <v>116</v>
      </c>
      <c r="F4445" t="s">
        <v>150</v>
      </c>
      <c r="G4445" t="s">
        <v>175</v>
      </c>
      <c r="H4445" t="s">
        <v>210</v>
      </c>
      <c r="I4445" t="s">
        <v>230</v>
      </c>
      <c r="J4445" t="s">
        <v>249</v>
      </c>
      <c r="K4445" t="s">
        <v>263</v>
      </c>
      <c r="L4445" t="s">
        <v>275</v>
      </c>
      <c r="M4445" t="s">
        <v>284</v>
      </c>
      <c r="N4445" t="s">
        <v>294</v>
      </c>
      <c r="O4445" t="s">
        <v>302</v>
      </c>
      <c r="P4445" t="s">
        <v>310</v>
      </c>
      <c r="Q4445" t="s">
        <v>316</v>
      </c>
      <c r="R4445" t="s">
        <v>322</v>
      </c>
      <c r="S4445" t="s">
        <v>329</v>
      </c>
      <c r="AK4445" t="s">
        <v>361</v>
      </c>
    </row>
    <row r="4446" spans="1:37">
      <c r="A4446" t="s">
        <v>39</v>
      </c>
      <c r="B4446" t="s">
        <v>54</v>
      </c>
      <c r="C4446" t="s">
        <v>54</v>
      </c>
      <c r="D4446" t="s">
        <v>54</v>
      </c>
      <c r="E4446" t="s">
        <v>54</v>
      </c>
      <c r="F4446" t="s">
        <v>54</v>
      </c>
      <c r="G4446" t="s">
        <v>54</v>
      </c>
      <c r="H4446" t="s">
        <v>54</v>
      </c>
      <c r="I4446" t="s">
        <v>54</v>
      </c>
      <c r="J4446" t="s">
        <v>54</v>
      </c>
      <c r="K4446" t="s">
        <v>54</v>
      </c>
      <c r="L4446" t="s">
        <v>54</v>
      </c>
      <c r="M4446" t="s">
        <v>54</v>
      </c>
      <c r="N4446" t="s">
        <v>54</v>
      </c>
      <c r="O4446" t="s">
        <v>54</v>
      </c>
      <c r="P4446" t="s">
        <v>54</v>
      </c>
      <c r="Q4446" t="s">
        <v>54</v>
      </c>
      <c r="R4446" t="s">
        <v>323</v>
      </c>
      <c r="S4446" t="s">
        <v>330</v>
      </c>
      <c r="AK4446" t="s">
        <v>361</v>
      </c>
    </row>
    <row r="4447" spans="1:37">
      <c r="B4447" t="s">
        <v>55</v>
      </c>
      <c r="C4447" t="s">
        <v>78</v>
      </c>
      <c r="D4447" t="s">
        <v>55</v>
      </c>
      <c r="E4447" t="s">
        <v>78</v>
      </c>
      <c r="F4447" t="s">
        <v>55</v>
      </c>
      <c r="G4447" t="s">
        <v>78</v>
      </c>
      <c r="H4447" t="s">
        <v>55</v>
      </c>
      <c r="I4447" t="s">
        <v>78</v>
      </c>
      <c r="J4447" t="s">
        <v>55</v>
      </c>
      <c r="K4447" t="s">
        <v>78</v>
      </c>
      <c r="L4447" t="s">
        <v>55</v>
      </c>
      <c r="M4447" t="s">
        <v>78</v>
      </c>
      <c r="N4447" t="s">
        <v>55</v>
      </c>
      <c r="O4447" t="s">
        <v>78</v>
      </c>
      <c r="P4447" t="s">
        <v>55</v>
      </c>
      <c r="Q4447" t="s">
        <v>78</v>
      </c>
      <c r="R4447" t="s">
        <v>55</v>
      </c>
      <c r="S4447" t="s">
        <v>78</v>
      </c>
      <c r="T4447" t="s">
        <v>55</v>
      </c>
      <c r="U4447" t="s">
        <v>78</v>
      </c>
      <c r="V4447" t="s">
        <v>55</v>
      </c>
      <c r="W4447" t="s">
        <v>78</v>
      </c>
      <c r="X4447" t="s">
        <v>55</v>
      </c>
      <c r="Y4447" t="s">
        <v>78</v>
      </c>
      <c r="Z4447" t="s">
        <v>55</v>
      </c>
      <c r="AA4447" t="s">
        <v>78</v>
      </c>
      <c r="AB4447" t="s">
        <v>55</v>
      </c>
      <c r="AC4447" t="s">
        <v>78</v>
      </c>
      <c r="AD4447" t="s">
        <v>55</v>
      </c>
      <c r="AE4447" t="s">
        <v>78</v>
      </c>
      <c r="AF4447" t="s">
        <v>55</v>
      </c>
      <c r="AG4447" t="s">
        <v>78</v>
      </c>
      <c r="AH4447" t="s">
        <v>55</v>
      </c>
      <c r="AI4447" t="s">
        <v>78</v>
      </c>
      <c r="AK4447" t="s">
        <v>361</v>
      </c>
    </row>
    <row r="4448" spans="1:37">
      <c r="B4448" t="s">
        <v>56</v>
      </c>
      <c r="C4448" t="s">
        <v>56</v>
      </c>
      <c r="D4448" t="s">
        <v>56</v>
      </c>
      <c r="E4448" t="s">
        <v>56</v>
      </c>
      <c r="F4448" t="s">
        <v>56</v>
      </c>
      <c r="G4448" t="s">
        <v>176</v>
      </c>
      <c r="H4448" t="s">
        <v>211</v>
      </c>
      <c r="I4448" t="s">
        <v>231</v>
      </c>
      <c r="J4448" t="s">
        <v>250</v>
      </c>
      <c r="K4448" t="s">
        <v>264</v>
      </c>
      <c r="L4448" t="s">
        <v>276</v>
      </c>
      <c r="M4448" t="s">
        <v>285</v>
      </c>
      <c r="N4448" t="s">
        <v>295</v>
      </c>
      <c r="O4448" t="s">
        <v>303</v>
      </c>
      <c r="P4448" t="s">
        <v>56</v>
      </c>
      <c r="Q4448" t="s">
        <v>317</v>
      </c>
      <c r="R4448" t="s">
        <v>324</v>
      </c>
      <c r="S4448" t="s">
        <v>331</v>
      </c>
      <c r="T4448" t="s">
        <v>334</v>
      </c>
      <c r="U4448" t="s">
        <v>338</v>
      </c>
      <c r="V4448" t="s">
        <v>342</v>
      </c>
      <c r="W4448" t="s">
        <v>346</v>
      </c>
      <c r="X4448" t="s">
        <v>351</v>
      </c>
      <c r="AK4448" t="s">
        <v>361</v>
      </c>
    </row>
    <row r="4449" spans="1:37">
      <c r="B4449" t="s">
        <v>57</v>
      </c>
      <c r="C4449" t="s">
        <v>79</v>
      </c>
      <c r="D4449" t="s">
        <v>98</v>
      </c>
      <c r="E4449" t="s">
        <v>117</v>
      </c>
      <c r="F4449" t="s">
        <v>151</v>
      </c>
      <c r="G4449" t="s">
        <v>177</v>
      </c>
      <c r="H4449" t="s">
        <v>212</v>
      </c>
      <c r="I4449" t="s">
        <v>232</v>
      </c>
      <c r="J4449" t="s">
        <v>251</v>
      </c>
      <c r="K4449" t="s">
        <v>265</v>
      </c>
      <c r="L4449" t="s">
        <v>277</v>
      </c>
      <c r="M4449" t="s">
        <v>286</v>
      </c>
      <c r="N4449" t="s">
        <v>296</v>
      </c>
      <c r="O4449" t="s">
        <v>304</v>
      </c>
      <c r="P4449" t="s">
        <v>311</v>
      </c>
      <c r="Q4449" t="s">
        <v>318</v>
      </c>
      <c r="R4449" t="s">
        <v>185</v>
      </c>
      <c r="S4449" t="s">
        <v>159</v>
      </c>
      <c r="T4449" t="s">
        <v>185</v>
      </c>
      <c r="U4449" t="s">
        <v>339</v>
      </c>
      <c r="V4449" t="s">
        <v>72</v>
      </c>
      <c r="W4449" t="s">
        <v>347</v>
      </c>
      <c r="X4449" t="s">
        <v>72</v>
      </c>
      <c r="Y4449" t="s">
        <v>96</v>
      </c>
      <c r="AK4449" t="s">
        <v>361</v>
      </c>
    </row>
    <row r="4450" spans="1:37">
      <c r="B4450" t="s">
        <v>58</v>
      </c>
      <c r="C4450" t="s">
        <v>80</v>
      </c>
      <c r="D4450" t="s">
        <v>99</v>
      </c>
      <c r="E4450" t="s">
        <v>118</v>
      </c>
      <c r="F4450" t="s">
        <v>152</v>
      </c>
      <c r="G4450" t="s">
        <v>178</v>
      </c>
      <c r="H4450" t="s">
        <v>213</v>
      </c>
      <c r="I4450" t="s">
        <v>233</v>
      </c>
      <c r="J4450" t="s">
        <v>252</v>
      </c>
      <c r="K4450" t="s">
        <v>266</v>
      </c>
      <c r="L4450" t="s">
        <v>278</v>
      </c>
      <c r="M4450" t="s">
        <v>287</v>
      </c>
      <c r="N4450" t="s">
        <v>297</v>
      </c>
      <c r="O4450" t="s">
        <v>305</v>
      </c>
      <c r="P4450" t="s">
        <v>312</v>
      </c>
      <c r="Q4450" t="s">
        <v>319</v>
      </c>
      <c r="R4450">
        <f>&gt;10       ветра      2.9     27   4</f>
        <v>0</v>
      </c>
      <c r="AK4450" t="s">
        <v>361</v>
      </c>
    </row>
    <row r="4451" spans="1:37">
      <c r="A4451" t="s">
        <v>40</v>
      </c>
      <c r="B4451" t="s">
        <v>59</v>
      </c>
      <c r="C4451" t="s">
        <v>81</v>
      </c>
      <c r="D4451" t="s">
        <v>100</v>
      </c>
      <c r="E4451" t="s">
        <v>119</v>
      </c>
      <c r="F4451" t="s">
        <v>153</v>
      </c>
      <c r="G4451" t="s">
        <v>179</v>
      </c>
      <c r="H4451" t="s">
        <v>214</v>
      </c>
      <c r="I4451" t="s">
        <v>234</v>
      </c>
      <c r="AK4451" t="s">
        <v>361</v>
      </c>
    </row>
    <row r="4452" spans="1:37">
      <c r="A4452" t="s">
        <v>40</v>
      </c>
      <c r="B4452" t="s">
        <v>60</v>
      </c>
      <c r="C4452" t="s">
        <v>82</v>
      </c>
      <c r="D4452" t="s">
        <v>101</v>
      </c>
      <c r="E4452" t="s">
        <v>120</v>
      </c>
      <c r="F4452" t="s">
        <v>154</v>
      </c>
      <c r="G4452" t="s">
        <v>180</v>
      </c>
      <c r="H4452" t="s">
        <v>215</v>
      </c>
      <c r="I4452" t="s">
        <v>235</v>
      </c>
      <c r="J4452" t="s">
        <v>253</v>
      </c>
      <c r="K4452" t="s">
        <v>267</v>
      </c>
      <c r="L4452" t="s">
        <v>279</v>
      </c>
      <c r="M4452" t="s">
        <v>288</v>
      </c>
      <c r="N4452" t="s">
        <v>100</v>
      </c>
      <c r="O4452" t="s">
        <v>306</v>
      </c>
      <c r="P4452" t="s">
        <v>313</v>
      </c>
      <c r="Q4452" t="s">
        <v>320</v>
      </c>
      <c r="R4452" t="s">
        <v>325</v>
      </c>
      <c r="S4452" t="s">
        <v>332</v>
      </c>
      <c r="T4452" t="s">
        <v>119</v>
      </c>
      <c r="U4452" t="s">
        <v>234</v>
      </c>
      <c r="V4452" t="s">
        <v>343</v>
      </c>
      <c r="W4452" t="s">
        <v>348</v>
      </c>
      <c r="X4452" t="s">
        <v>352</v>
      </c>
      <c r="Y4452" t="s">
        <v>354</v>
      </c>
      <c r="AK4452" t="s">
        <v>361</v>
      </c>
    </row>
    <row r="4453" spans="1:37">
      <c r="A4453" t="s">
        <v>41</v>
      </c>
      <c r="B4453" t="s">
        <v>61</v>
      </c>
      <c r="C4453" t="s">
        <v>83</v>
      </c>
      <c r="D4453" t="s">
        <v>102</v>
      </c>
      <c r="E4453" t="s">
        <v>121</v>
      </c>
      <c r="F4453" t="s">
        <v>155</v>
      </c>
      <c r="G4453" t="s">
        <v>181</v>
      </c>
      <c r="H4453" t="s">
        <v>216</v>
      </c>
      <c r="I4453" t="s">
        <v>236</v>
      </c>
      <c r="AK4453" t="s">
        <v>361</v>
      </c>
    </row>
    <row r="4454" spans="1:37">
      <c r="A4454" t="s">
        <v>42</v>
      </c>
      <c r="B4454" t="s">
        <v>62</v>
      </c>
      <c r="C4454" t="s">
        <v>84</v>
      </c>
      <c r="D4454" t="s">
        <v>103</v>
      </c>
      <c r="E4454" t="s">
        <v>122</v>
      </c>
      <c r="F4454" t="s">
        <v>156</v>
      </c>
      <c r="G4454" t="s">
        <v>182</v>
      </c>
      <c r="H4454" t="s">
        <v>83</v>
      </c>
      <c r="I4454" t="s">
        <v>237</v>
      </c>
      <c r="J4454" t="s">
        <v>254</v>
      </c>
      <c r="K4454" t="s">
        <v>268</v>
      </c>
      <c r="L4454" t="s">
        <v>280</v>
      </c>
      <c r="M4454" t="s">
        <v>289</v>
      </c>
      <c r="N4454" t="s">
        <v>298</v>
      </c>
      <c r="O4454" t="s">
        <v>307</v>
      </c>
      <c r="P4454" t="s">
        <v>314</v>
      </c>
      <c r="Q4454" t="s">
        <v>216</v>
      </c>
      <c r="R4454" t="s">
        <v>326</v>
      </c>
      <c r="S4454" t="s">
        <v>333</v>
      </c>
      <c r="T4454" t="s">
        <v>335</v>
      </c>
      <c r="U4454" t="s">
        <v>340</v>
      </c>
      <c r="V4454" t="s">
        <v>344</v>
      </c>
      <c r="W4454" t="s">
        <v>349</v>
      </c>
      <c r="AK4454" t="s">
        <v>361</v>
      </c>
    </row>
    <row r="4455" spans="1:37">
      <c r="A4455" t="s">
        <v>43</v>
      </c>
      <c r="B4455" t="s">
        <v>63</v>
      </c>
      <c r="C4455" t="s">
        <v>85</v>
      </c>
      <c r="D4455" t="s">
        <v>104</v>
      </c>
      <c r="E4455" t="s">
        <v>123</v>
      </c>
      <c r="F4455" t="s">
        <v>157</v>
      </c>
      <c r="G4455" t="s">
        <v>183</v>
      </c>
      <c r="AK4455" t="s">
        <v>361</v>
      </c>
    </row>
    <row r="4456" spans="1:37">
      <c r="A4456" t="s">
        <v>44</v>
      </c>
      <c r="B4456" t="s">
        <v>64</v>
      </c>
      <c r="C4456" t="s">
        <v>86</v>
      </c>
      <c r="D4456" t="s">
        <v>105</v>
      </c>
      <c r="E4456" t="s">
        <v>124</v>
      </c>
      <c r="F4456" t="s">
        <v>158</v>
      </c>
      <c r="G4456" t="s">
        <v>184</v>
      </c>
      <c r="AK4456" t="s">
        <v>361</v>
      </c>
    </row>
    <row r="4457" spans="1:37">
      <c r="A4457" t="s">
        <v>45</v>
      </c>
      <c r="B4457" t="s">
        <v>65</v>
      </c>
      <c r="C4457" t="s">
        <v>87</v>
      </c>
      <c r="D4457" t="s">
        <v>106</v>
      </c>
      <c r="E4457" t="s">
        <v>125</v>
      </c>
      <c r="F4457" t="s">
        <v>159</v>
      </c>
      <c r="G4457" t="s">
        <v>185</v>
      </c>
      <c r="H4457" t="s">
        <v>159</v>
      </c>
      <c r="I4457" t="s">
        <v>185</v>
      </c>
      <c r="J4457" t="s">
        <v>255</v>
      </c>
      <c r="AK4457" t="s">
        <v>361</v>
      </c>
    </row>
    <row r="4458" spans="1:37">
      <c r="A4458" t="s">
        <v>46</v>
      </c>
      <c r="B4458" t="s">
        <v>66</v>
      </c>
      <c r="C4458" t="s">
        <v>88</v>
      </c>
      <c r="D4458" t="s">
        <v>76</v>
      </c>
      <c r="E4458" t="s">
        <v>126</v>
      </c>
      <c r="F4458" t="s">
        <v>160</v>
      </c>
      <c r="G4458" t="s">
        <v>186</v>
      </c>
      <c r="H4458" t="s">
        <v>217</v>
      </c>
      <c r="I4458" t="s">
        <v>238</v>
      </c>
      <c r="J4458" t="s">
        <v>256</v>
      </c>
      <c r="K4458" t="s">
        <v>265</v>
      </c>
      <c r="L4458" t="s">
        <v>281</v>
      </c>
      <c r="M4458" t="s">
        <v>290</v>
      </c>
      <c r="N4458" t="s">
        <v>299</v>
      </c>
      <c r="O4458" t="s">
        <v>308</v>
      </c>
      <c r="P4458" t="s">
        <v>228</v>
      </c>
      <c r="Q4458" t="s">
        <v>72</v>
      </c>
      <c r="R4458" t="s">
        <v>327</v>
      </c>
      <c r="S4458" t="s">
        <v>327</v>
      </c>
      <c r="T4458" t="s">
        <v>336</v>
      </c>
      <c r="U4458" t="s">
        <v>336</v>
      </c>
      <c r="V4458" t="s">
        <v>336</v>
      </c>
      <c r="W4458" t="s">
        <v>336</v>
      </c>
      <c r="X4458" t="s">
        <v>353</v>
      </c>
      <c r="AK4458" t="s">
        <v>361</v>
      </c>
    </row>
    <row r="4459" spans="1:37">
      <c r="B4459" t="s">
        <v>67</v>
      </c>
      <c r="C4459" t="s">
        <v>89</v>
      </c>
      <c r="D4459" t="s">
        <v>107</v>
      </c>
      <c r="AK4459" t="s">
        <v>361</v>
      </c>
    </row>
    <row r="4460" spans="1:37">
      <c r="B4460" t="s">
        <v>68</v>
      </c>
      <c r="C4460" t="s">
        <v>90</v>
      </c>
      <c r="D4460" t="s">
        <v>108</v>
      </c>
      <c r="AK4460" t="s">
        <v>361</v>
      </c>
    </row>
    <row r="4461" spans="1:37">
      <c r="A4461" t="s">
        <v>47</v>
      </c>
      <c r="B4461" t="s">
        <v>69</v>
      </c>
      <c r="C4461" t="s">
        <v>91</v>
      </c>
      <c r="D4461" t="s">
        <v>109</v>
      </c>
      <c r="E4461" t="s">
        <v>109</v>
      </c>
      <c r="F4461" t="s">
        <v>109</v>
      </c>
      <c r="G4461" t="s">
        <v>109</v>
      </c>
      <c r="H4461" t="s">
        <v>109</v>
      </c>
      <c r="I4461" t="s">
        <v>239</v>
      </c>
      <c r="AK4461" t="s">
        <v>361</v>
      </c>
    </row>
    <row r="4462" spans="1:37">
      <c r="B4462" t="s">
        <v>70</v>
      </c>
      <c r="C4462" t="s">
        <v>92</v>
      </c>
      <c r="D4462" t="s">
        <v>110</v>
      </c>
      <c r="E4462" t="s">
        <v>127</v>
      </c>
      <c r="F4462" t="s">
        <v>161</v>
      </c>
      <c r="G4462" t="s">
        <v>187</v>
      </c>
      <c r="H4462" t="s">
        <v>218</v>
      </c>
      <c r="AK4462" t="s">
        <v>361</v>
      </c>
    </row>
    <row r="4463" spans="1:37">
      <c r="B4463" t="s">
        <v>71</v>
      </c>
      <c r="C4463" t="s">
        <v>93</v>
      </c>
      <c r="D4463" t="s">
        <v>111</v>
      </c>
      <c r="E4463" t="s">
        <v>128</v>
      </c>
      <c r="F4463" t="s">
        <v>162</v>
      </c>
      <c r="G4463" t="s">
        <v>188</v>
      </c>
      <c r="H4463" t="s">
        <v>219</v>
      </c>
      <c r="I4463" t="s">
        <v>240</v>
      </c>
      <c r="J4463" t="s">
        <v>257</v>
      </c>
      <c r="K4463" t="s">
        <v>269</v>
      </c>
      <c r="L4463" t="s">
        <v>109</v>
      </c>
      <c r="M4463" t="s">
        <v>109</v>
      </c>
      <c r="N4463" t="s">
        <v>109</v>
      </c>
      <c r="O4463" t="s">
        <v>109</v>
      </c>
      <c r="P4463" t="s">
        <v>109</v>
      </c>
      <c r="Q4463" t="s">
        <v>321</v>
      </c>
      <c r="AK4463" t="s">
        <v>361</v>
      </c>
    </row>
    <row r="4464" spans="1:37">
      <c r="A4464" t="s">
        <v>48</v>
      </c>
      <c r="B4464" t="s">
        <v>71</v>
      </c>
      <c r="C4464" t="s">
        <v>93</v>
      </c>
      <c r="D4464" t="s">
        <v>111</v>
      </c>
      <c r="E4464" t="s">
        <v>128</v>
      </c>
      <c r="F4464" t="s">
        <v>163</v>
      </c>
      <c r="G4464" t="s">
        <v>189</v>
      </c>
      <c r="H4464" t="s">
        <v>220</v>
      </c>
      <c r="I4464" t="s">
        <v>241</v>
      </c>
      <c r="J4464" t="s">
        <v>258</v>
      </c>
      <c r="K4464" t="s">
        <v>270</v>
      </c>
      <c r="AK4464" t="s">
        <v>361</v>
      </c>
    </row>
    <row r="4465" spans="1:37">
      <c r="B4465" t="s">
        <v>72</v>
      </c>
      <c r="C4465" t="s">
        <v>72</v>
      </c>
      <c r="D4465" t="s">
        <v>72</v>
      </c>
      <c r="E4465" t="s">
        <v>72</v>
      </c>
      <c r="F4465" t="s">
        <v>72</v>
      </c>
      <c r="G4465" t="s">
        <v>72</v>
      </c>
      <c r="H4465" t="s">
        <v>72</v>
      </c>
      <c r="I4465" t="s">
        <v>72</v>
      </c>
      <c r="J4465" t="s">
        <v>72</v>
      </c>
      <c r="K4465" t="s">
        <v>272</v>
      </c>
      <c r="AK4465" t="s">
        <v>361</v>
      </c>
    </row>
    <row r="4466" spans="1:37">
      <c r="A4466" t="s">
        <v>37</v>
      </c>
      <c r="B4466" t="s">
        <v>49</v>
      </c>
      <c r="C4466" t="s">
        <v>73</v>
      </c>
      <c r="D4466" t="s">
        <v>94</v>
      </c>
      <c r="E4466" t="s">
        <v>112</v>
      </c>
      <c r="F4466" t="s">
        <v>146</v>
      </c>
      <c r="G4466" t="s">
        <v>172</v>
      </c>
      <c r="H4466" t="s">
        <v>207</v>
      </c>
      <c r="I4466" t="s">
        <v>226</v>
      </c>
      <c r="J4466" t="s">
        <v>246</v>
      </c>
      <c r="K4466" t="s">
        <v>259</v>
      </c>
      <c r="AK4466" t="s">
        <v>361</v>
      </c>
    </row>
    <row r="4467" spans="1:37">
      <c r="A4467" t="s">
        <v>38</v>
      </c>
      <c r="B4467" t="s">
        <v>50</v>
      </c>
      <c r="C4467" t="s">
        <v>74</v>
      </c>
      <c r="D4467" t="s">
        <v>95</v>
      </c>
      <c r="E4467" t="s">
        <v>113</v>
      </c>
      <c r="F4467" t="s">
        <v>147</v>
      </c>
      <c r="G4467" t="s">
        <v>173</v>
      </c>
      <c r="H4467" t="s">
        <v>208</v>
      </c>
      <c r="I4467" t="s">
        <v>227</v>
      </c>
      <c r="J4467" t="s">
        <v>115</v>
      </c>
      <c r="K4467" t="s">
        <v>260</v>
      </c>
      <c r="L4467" t="s">
        <v>273</v>
      </c>
      <c r="M4467" t="s">
        <v>282</v>
      </c>
      <c r="N4467" t="s">
        <v>291</v>
      </c>
      <c r="AK4467" t="s">
        <v>361</v>
      </c>
    </row>
    <row r="4468" spans="1:37">
      <c r="B4468" t="s">
        <v>51</v>
      </c>
      <c r="C4468" t="s">
        <v>75</v>
      </c>
      <c r="D4468" t="s">
        <v>52</v>
      </c>
      <c r="E4468" t="s">
        <v>114</v>
      </c>
      <c r="F4468" t="s">
        <v>148</v>
      </c>
      <c r="G4468" t="s">
        <v>148</v>
      </c>
      <c r="H4468" t="s">
        <v>209</v>
      </c>
      <c r="I4468" t="s">
        <v>228</v>
      </c>
      <c r="J4468" t="s">
        <v>247</v>
      </c>
      <c r="K4468" t="s">
        <v>261</v>
      </c>
      <c r="L4468" t="s">
        <v>274</v>
      </c>
      <c r="M4468" t="s">
        <v>283</v>
      </c>
      <c r="N4468" t="s">
        <v>292</v>
      </c>
      <c r="O4468" t="s">
        <v>300</v>
      </c>
      <c r="AK4468" t="s">
        <v>361</v>
      </c>
    </row>
    <row r="4469" spans="1:37">
      <c r="B4469" t="s">
        <v>52</v>
      </c>
      <c r="C4469" t="s">
        <v>76</v>
      </c>
      <c r="D4469" t="s">
        <v>96</v>
      </c>
      <c r="E4469" t="s">
        <v>115</v>
      </c>
      <c r="F4469" t="s">
        <v>149</v>
      </c>
      <c r="G4469" t="s">
        <v>174</v>
      </c>
      <c r="H4469" t="s">
        <v>96</v>
      </c>
      <c r="I4469" t="s">
        <v>229</v>
      </c>
      <c r="J4469" t="s">
        <v>248</v>
      </c>
      <c r="K4469" t="s">
        <v>262</v>
      </c>
      <c r="L4469" t="s">
        <v>52</v>
      </c>
      <c r="M4469" t="s">
        <v>76</v>
      </c>
      <c r="N4469" t="s">
        <v>293</v>
      </c>
      <c r="O4469" t="s">
        <v>301</v>
      </c>
      <c r="P4469" t="s">
        <v>309</v>
      </c>
      <c r="Q4469" t="s">
        <v>315</v>
      </c>
      <c r="R4469" t="s">
        <v>228</v>
      </c>
      <c r="S4469" t="s">
        <v>328</v>
      </c>
      <c r="T4469" t="s">
        <v>149</v>
      </c>
      <c r="U4469" t="s">
        <v>337</v>
      </c>
      <c r="V4469" t="s">
        <v>341</v>
      </c>
      <c r="W4469" t="s">
        <v>345</v>
      </c>
      <c r="X4469" t="s">
        <v>350</v>
      </c>
      <c r="AK4469" t="s">
        <v>361</v>
      </c>
    </row>
    <row r="4470" spans="1:37">
      <c r="B4470" t="s">
        <v>53</v>
      </c>
      <c r="C4470" t="s">
        <v>77</v>
      </c>
      <c r="D4470" t="s">
        <v>97</v>
      </c>
      <c r="E4470" t="s">
        <v>116</v>
      </c>
      <c r="F4470" t="s">
        <v>150</v>
      </c>
      <c r="G4470" t="s">
        <v>175</v>
      </c>
      <c r="H4470" t="s">
        <v>210</v>
      </c>
      <c r="I4470" t="s">
        <v>230</v>
      </c>
      <c r="J4470" t="s">
        <v>249</v>
      </c>
      <c r="K4470" t="s">
        <v>263</v>
      </c>
      <c r="L4470" t="s">
        <v>275</v>
      </c>
      <c r="M4470" t="s">
        <v>284</v>
      </c>
      <c r="N4470" t="s">
        <v>294</v>
      </c>
      <c r="O4470" t="s">
        <v>302</v>
      </c>
      <c r="P4470" t="s">
        <v>310</v>
      </c>
      <c r="Q4470" t="s">
        <v>316</v>
      </c>
      <c r="R4470" t="s">
        <v>322</v>
      </c>
      <c r="S4470" t="s">
        <v>329</v>
      </c>
      <c r="AK4470" t="s">
        <v>361</v>
      </c>
    </row>
    <row r="4471" spans="1:37">
      <c r="A4471" t="s">
        <v>39</v>
      </c>
      <c r="B4471" t="s">
        <v>54</v>
      </c>
      <c r="C4471" t="s">
        <v>54</v>
      </c>
      <c r="D4471" t="s">
        <v>54</v>
      </c>
      <c r="E4471" t="s">
        <v>54</v>
      </c>
      <c r="F4471" t="s">
        <v>54</v>
      </c>
      <c r="G4471" t="s">
        <v>54</v>
      </c>
      <c r="H4471" t="s">
        <v>54</v>
      </c>
      <c r="I4471" t="s">
        <v>54</v>
      </c>
      <c r="J4471" t="s">
        <v>54</v>
      </c>
      <c r="K4471" t="s">
        <v>54</v>
      </c>
      <c r="L4471" t="s">
        <v>54</v>
      </c>
      <c r="M4471" t="s">
        <v>54</v>
      </c>
      <c r="N4471" t="s">
        <v>54</v>
      </c>
      <c r="O4471" t="s">
        <v>54</v>
      </c>
      <c r="P4471" t="s">
        <v>54</v>
      </c>
      <c r="Q4471" t="s">
        <v>54</v>
      </c>
      <c r="R4471" t="s">
        <v>323</v>
      </c>
      <c r="S4471" t="s">
        <v>330</v>
      </c>
      <c r="AK4471" t="s">
        <v>361</v>
      </c>
    </row>
    <row r="4472" spans="1:37">
      <c r="B4472" t="s">
        <v>55</v>
      </c>
      <c r="C4472" t="s">
        <v>78</v>
      </c>
      <c r="D4472" t="s">
        <v>55</v>
      </c>
      <c r="E4472" t="s">
        <v>78</v>
      </c>
      <c r="F4472" t="s">
        <v>55</v>
      </c>
      <c r="G4472" t="s">
        <v>78</v>
      </c>
      <c r="H4472" t="s">
        <v>55</v>
      </c>
      <c r="I4472" t="s">
        <v>78</v>
      </c>
      <c r="J4472" t="s">
        <v>55</v>
      </c>
      <c r="K4472" t="s">
        <v>78</v>
      </c>
      <c r="L4472" t="s">
        <v>55</v>
      </c>
      <c r="M4472" t="s">
        <v>78</v>
      </c>
      <c r="N4472" t="s">
        <v>55</v>
      </c>
      <c r="O4472" t="s">
        <v>78</v>
      </c>
      <c r="P4472" t="s">
        <v>55</v>
      </c>
      <c r="Q4472" t="s">
        <v>78</v>
      </c>
      <c r="R4472" t="s">
        <v>55</v>
      </c>
      <c r="S4472" t="s">
        <v>78</v>
      </c>
      <c r="T4472" t="s">
        <v>55</v>
      </c>
      <c r="U4472" t="s">
        <v>78</v>
      </c>
      <c r="V4472" t="s">
        <v>55</v>
      </c>
      <c r="W4472" t="s">
        <v>78</v>
      </c>
      <c r="X4472" t="s">
        <v>55</v>
      </c>
      <c r="Y4472" t="s">
        <v>78</v>
      </c>
      <c r="Z4472" t="s">
        <v>55</v>
      </c>
      <c r="AA4472" t="s">
        <v>78</v>
      </c>
      <c r="AB4472" t="s">
        <v>55</v>
      </c>
      <c r="AC4472" t="s">
        <v>78</v>
      </c>
      <c r="AD4472" t="s">
        <v>55</v>
      </c>
      <c r="AE4472" t="s">
        <v>78</v>
      </c>
      <c r="AF4472" t="s">
        <v>55</v>
      </c>
      <c r="AG4472" t="s">
        <v>78</v>
      </c>
      <c r="AH4472" t="s">
        <v>55</v>
      </c>
      <c r="AI4472" t="s">
        <v>78</v>
      </c>
      <c r="AK4472" t="s">
        <v>361</v>
      </c>
    </row>
    <row r="4473" spans="1:37">
      <c r="B4473" t="s">
        <v>56</v>
      </c>
      <c r="C4473" t="s">
        <v>56</v>
      </c>
      <c r="D4473" t="s">
        <v>56</v>
      </c>
      <c r="E4473" t="s">
        <v>56</v>
      </c>
      <c r="F4473" t="s">
        <v>56</v>
      </c>
      <c r="G4473" t="s">
        <v>176</v>
      </c>
      <c r="H4473" t="s">
        <v>211</v>
      </c>
      <c r="I4473" t="s">
        <v>231</v>
      </c>
      <c r="J4473" t="s">
        <v>250</v>
      </c>
      <c r="K4473" t="s">
        <v>264</v>
      </c>
      <c r="L4473" t="s">
        <v>276</v>
      </c>
      <c r="M4473" t="s">
        <v>285</v>
      </c>
      <c r="N4473" t="s">
        <v>295</v>
      </c>
      <c r="O4473" t="s">
        <v>303</v>
      </c>
      <c r="P4473" t="s">
        <v>56</v>
      </c>
      <c r="Q4473" t="s">
        <v>317</v>
      </c>
      <c r="R4473" t="s">
        <v>324</v>
      </c>
      <c r="S4473" t="s">
        <v>331</v>
      </c>
      <c r="T4473" t="s">
        <v>334</v>
      </c>
      <c r="U4473" t="s">
        <v>338</v>
      </c>
      <c r="V4473" t="s">
        <v>342</v>
      </c>
      <c r="W4473" t="s">
        <v>346</v>
      </c>
      <c r="X4473" t="s">
        <v>351</v>
      </c>
      <c r="AK4473" t="s">
        <v>361</v>
      </c>
    </row>
    <row r="4474" spans="1:37">
      <c r="B4474" t="s">
        <v>57</v>
      </c>
      <c r="C4474" t="s">
        <v>79</v>
      </c>
      <c r="D4474" t="s">
        <v>98</v>
      </c>
      <c r="E4474" t="s">
        <v>117</v>
      </c>
      <c r="F4474" t="s">
        <v>151</v>
      </c>
      <c r="G4474" t="s">
        <v>177</v>
      </c>
      <c r="H4474" t="s">
        <v>212</v>
      </c>
      <c r="I4474" t="s">
        <v>232</v>
      </c>
      <c r="J4474" t="s">
        <v>251</v>
      </c>
      <c r="K4474" t="s">
        <v>265</v>
      </c>
      <c r="L4474" t="s">
        <v>277</v>
      </c>
      <c r="M4474" t="s">
        <v>286</v>
      </c>
      <c r="N4474" t="s">
        <v>296</v>
      </c>
      <c r="O4474" t="s">
        <v>304</v>
      </c>
      <c r="P4474" t="s">
        <v>311</v>
      </c>
      <c r="Q4474" t="s">
        <v>318</v>
      </c>
      <c r="R4474" t="s">
        <v>185</v>
      </c>
      <c r="S4474" t="s">
        <v>159</v>
      </c>
      <c r="T4474" t="s">
        <v>185</v>
      </c>
      <c r="U4474" t="s">
        <v>339</v>
      </c>
      <c r="V4474" t="s">
        <v>72</v>
      </c>
      <c r="W4474" t="s">
        <v>347</v>
      </c>
      <c r="X4474" t="s">
        <v>72</v>
      </c>
      <c r="Y4474" t="s">
        <v>96</v>
      </c>
      <c r="AK4474" t="s">
        <v>361</v>
      </c>
    </row>
    <row r="4475" spans="1:37">
      <c r="B4475" t="s">
        <v>58</v>
      </c>
      <c r="C4475" t="s">
        <v>80</v>
      </c>
      <c r="D4475" t="s">
        <v>99</v>
      </c>
      <c r="E4475" t="s">
        <v>118</v>
      </c>
      <c r="F4475" t="s">
        <v>152</v>
      </c>
      <c r="G4475" t="s">
        <v>178</v>
      </c>
      <c r="H4475" t="s">
        <v>213</v>
      </c>
      <c r="I4475" t="s">
        <v>233</v>
      </c>
      <c r="J4475" t="s">
        <v>252</v>
      </c>
      <c r="K4475" t="s">
        <v>266</v>
      </c>
      <c r="L4475" t="s">
        <v>278</v>
      </c>
      <c r="M4475" t="s">
        <v>287</v>
      </c>
      <c r="N4475" t="s">
        <v>297</v>
      </c>
      <c r="O4475" t="s">
        <v>305</v>
      </c>
      <c r="P4475" t="s">
        <v>312</v>
      </c>
      <c r="Q4475" t="s">
        <v>319</v>
      </c>
      <c r="R4475">
        <f>&gt;10       ветра      1.5     20   4</f>
        <v>0</v>
      </c>
      <c r="AK4475" t="s">
        <v>361</v>
      </c>
    </row>
    <row r="4476" spans="1:37">
      <c r="A4476" t="s">
        <v>40</v>
      </c>
      <c r="B4476" t="s">
        <v>59</v>
      </c>
      <c r="C4476" t="s">
        <v>81</v>
      </c>
      <c r="D4476" t="s">
        <v>100</v>
      </c>
      <c r="E4476" t="s">
        <v>119</v>
      </c>
      <c r="F4476" t="s">
        <v>153</v>
      </c>
      <c r="G4476" t="s">
        <v>179</v>
      </c>
      <c r="H4476" t="s">
        <v>214</v>
      </c>
      <c r="I4476" t="s">
        <v>234</v>
      </c>
      <c r="AK4476" t="s">
        <v>361</v>
      </c>
    </row>
    <row r="4477" spans="1:37">
      <c r="A4477" t="s">
        <v>40</v>
      </c>
      <c r="B4477" t="s">
        <v>60</v>
      </c>
      <c r="C4477" t="s">
        <v>82</v>
      </c>
      <c r="D4477" t="s">
        <v>101</v>
      </c>
      <c r="E4477" t="s">
        <v>120</v>
      </c>
      <c r="F4477" t="s">
        <v>154</v>
      </c>
      <c r="G4477" t="s">
        <v>180</v>
      </c>
      <c r="H4477" t="s">
        <v>215</v>
      </c>
      <c r="I4477" t="s">
        <v>235</v>
      </c>
      <c r="J4477" t="s">
        <v>253</v>
      </c>
      <c r="K4477" t="s">
        <v>267</v>
      </c>
      <c r="L4477" t="s">
        <v>279</v>
      </c>
      <c r="M4477" t="s">
        <v>288</v>
      </c>
      <c r="N4477" t="s">
        <v>100</v>
      </c>
      <c r="O4477" t="s">
        <v>306</v>
      </c>
      <c r="P4477" t="s">
        <v>313</v>
      </c>
      <c r="Q4477" t="s">
        <v>320</v>
      </c>
      <c r="R4477" t="s">
        <v>325</v>
      </c>
      <c r="S4477" t="s">
        <v>332</v>
      </c>
      <c r="T4477" t="s">
        <v>119</v>
      </c>
      <c r="U4477" t="s">
        <v>234</v>
      </c>
      <c r="V4477" t="s">
        <v>343</v>
      </c>
      <c r="W4477" t="s">
        <v>348</v>
      </c>
      <c r="X4477" t="s">
        <v>352</v>
      </c>
      <c r="Y4477" t="s">
        <v>354</v>
      </c>
      <c r="AK4477" t="s">
        <v>361</v>
      </c>
    </row>
    <row r="4478" spans="1:37">
      <c r="A4478" t="s">
        <v>41</v>
      </c>
      <c r="B4478" t="s">
        <v>61</v>
      </c>
      <c r="C4478" t="s">
        <v>83</v>
      </c>
      <c r="D4478" t="s">
        <v>102</v>
      </c>
      <c r="E4478" t="s">
        <v>121</v>
      </c>
      <c r="F4478" t="s">
        <v>155</v>
      </c>
      <c r="G4478" t="s">
        <v>181</v>
      </c>
      <c r="H4478" t="s">
        <v>216</v>
      </c>
      <c r="I4478" t="s">
        <v>236</v>
      </c>
      <c r="AK4478" t="s">
        <v>361</v>
      </c>
    </row>
    <row r="4479" spans="1:37">
      <c r="A4479" t="s">
        <v>42</v>
      </c>
      <c r="B4479" t="s">
        <v>62</v>
      </c>
      <c r="C4479" t="s">
        <v>84</v>
      </c>
      <c r="D4479" t="s">
        <v>103</v>
      </c>
      <c r="E4479" t="s">
        <v>122</v>
      </c>
      <c r="F4479" t="s">
        <v>156</v>
      </c>
      <c r="G4479" t="s">
        <v>182</v>
      </c>
      <c r="H4479" t="s">
        <v>83</v>
      </c>
      <c r="I4479" t="s">
        <v>237</v>
      </c>
      <c r="J4479" t="s">
        <v>254</v>
      </c>
      <c r="K4479" t="s">
        <v>268</v>
      </c>
      <c r="L4479" t="s">
        <v>280</v>
      </c>
      <c r="M4479" t="s">
        <v>289</v>
      </c>
      <c r="N4479" t="s">
        <v>298</v>
      </c>
      <c r="O4479" t="s">
        <v>307</v>
      </c>
      <c r="P4479" t="s">
        <v>314</v>
      </c>
      <c r="Q4479" t="s">
        <v>216</v>
      </c>
      <c r="R4479" t="s">
        <v>326</v>
      </c>
      <c r="S4479" t="s">
        <v>333</v>
      </c>
      <c r="T4479" t="s">
        <v>335</v>
      </c>
      <c r="U4479" t="s">
        <v>340</v>
      </c>
      <c r="V4479" t="s">
        <v>344</v>
      </c>
      <c r="W4479" t="s">
        <v>349</v>
      </c>
      <c r="AK4479" t="s">
        <v>361</v>
      </c>
    </row>
    <row r="4480" spans="1:37">
      <c r="A4480" t="s">
        <v>43</v>
      </c>
      <c r="B4480" t="s">
        <v>63</v>
      </c>
      <c r="C4480" t="s">
        <v>85</v>
      </c>
      <c r="D4480" t="s">
        <v>104</v>
      </c>
      <c r="E4480" t="s">
        <v>123</v>
      </c>
      <c r="F4480" t="s">
        <v>157</v>
      </c>
      <c r="G4480" t="s">
        <v>183</v>
      </c>
      <c r="AK4480" t="s">
        <v>361</v>
      </c>
    </row>
    <row r="4481" spans="1:37">
      <c r="A4481" t="s">
        <v>44</v>
      </c>
      <c r="B4481" t="s">
        <v>64</v>
      </c>
      <c r="C4481" t="s">
        <v>86</v>
      </c>
      <c r="D4481" t="s">
        <v>105</v>
      </c>
      <c r="E4481" t="s">
        <v>124</v>
      </c>
      <c r="F4481" t="s">
        <v>158</v>
      </c>
      <c r="G4481" t="s">
        <v>184</v>
      </c>
      <c r="AK4481" t="s">
        <v>361</v>
      </c>
    </row>
    <row r="4482" spans="1:37">
      <c r="A4482" t="s">
        <v>45</v>
      </c>
      <c r="B4482" t="s">
        <v>65</v>
      </c>
      <c r="C4482" t="s">
        <v>87</v>
      </c>
      <c r="D4482" t="s">
        <v>106</v>
      </c>
      <c r="E4482" t="s">
        <v>125</v>
      </c>
      <c r="F4482" t="s">
        <v>159</v>
      </c>
      <c r="G4482" t="s">
        <v>185</v>
      </c>
      <c r="H4482" t="s">
        <v>159</v>
      </c>
      <c r="I4482" t="s">
        <v>185</v>
      </c>
      <c r="J4482" t="s">
        <v>255</v>
      </c>
      <c r="AK4482" t="s">
        <v>361</v>
      </c>
    </row>
    <row r="4483" spans="1:37">
      <c r="A4483" t="s">
        <v>46</v>
      </c>
      <c r="B4483" t="s">
        <v>66</v>
      </c>
      <c r="C4483" t="s">
        <v>88</v>
      </c>
      <c r="D4483" t="s">
        <v>76</v>
      </c>
      <c r="E4483" t="s">
        <v>126</v>
      </c>
      <c r="F4483" t="s">
        <v>160</v>
      </c>
      <c r="G4483" t="s">
        <v>186</v>
      </c>
      <c r="H4483" t="s">
        <v>217</v>
      </c>
      <c r="I4483" t="s">
        <v>238</v>
      </c>
      <c r="J4483" t="s">
        <v>256</v>
      </c>
      <c r="K4483" t="s">
        <v>265</v>
      </c>
      <c r="L4483" t="s">
        <v>281</v>
      </c>
      <c r="M4483" t="s">
        <v>290</v>
      </c>
      <c r="N4483" t="s">
        <v>299</v>
      </c>
      <c r="O4483" t="s">
        <v>308</v>
      </c>
      <c r="P4483" t="s">
        <v>228</v>
      </c>
      <c r="Q4483" t="s">
        <v>72</v>
      </c>
      <c r="R4483" t="s">
        <v>327</v>
      </c>
      <c r="S4483" t="s">
        <v>327</v>
      </c>
      <c r="T4483" t="s">
        <v>336</v>
      </c>
      <c r="U4483" t="s">
        <v>336</v>
      </c>
      <c r="V4483" t="s">
        <v>336</v>
      </c>
      <c r="W4483" t="s">
        <v>336</v>
      </c>
      <c r="X4483" t="s">
        <v>353</v>
      </c>
      <c r="AK4483" t="s">
        <v>361</v>
      </c>
    </row>
    <row r="4484" spans="1:37">
      <c r="B4484" t="s">
        <v>67</v>
      </c>
      <c r="C4484" t="s">
        <v>89</v>
      </c>
      <c r="D4484" t="s">
        <v>107</v>
      </c>
      <c r="AK4484" t="s">
        <v>361</v>
      </c>
    </row>
    <row r="4485" spans="1:37">
      <c r="B4485" t="s">
        <v>68</v>
      </c>
      <c r="C4485" t="s">
        <v>90</v>
      </c>
      <c r="D4485" t="s">
        <v>108</v>
      </c>
      <c r="AK4485" t="s">
        <v>361</v>
      </c>
    </row>
    <row r="4486" spans="1:37">
      <c r="A4486" t="s">
        <v>47</v>
      </c>
      <c r="B4486" t="s">
        <v>69</v>
      </c>
      <c r="C4486" t="s">
        <v>91</v>
      </c>
      <c r="D4486" t="s">
        <v>109</v>
      </c>
      <c r="E4486" t="s">
        <v>109</v>
      </c>
      <c r="F4486" t="s">
        <v>109</v>
      </c>
      <c r="G4486" t="s">
        <v>109</v>
      </c>
      <c r="H4486" t="s">
        <v>109</v>
      </c>
      <c r="I4486" t="s">
        <v>239</v>
      </c>
      <c r="AK4486" t="s">
        <v>361</v>
      </c>
    </row>
    <row r="4487" spans="1:37">
      <c r="B4487" t="s">
        <v>70</v>
      </c>
      <c r="C4487" t="s">
        <v>92</v>
      </c>
      <c r="D4487" t="s">
        <v>110</v>
      </c>
      <c r="E4487" t="s">
        <v>127</v>
      </c>
      <c r="F4487" t="s">
        <v>161</v>
      </c>
      <c r="G4487" t="s">
        <v>187</v>
      </c>
      <c r="H4487" t="s">
        <v>218</v>
      </c>
      <c r="AK4487" t="s">
        <v>361</v>
      </c>
    </row>
    <row r="4488" spans="1:37">
      <c r="B4488" t="s">
        <v>71</v>
      </c>
      <c r="C4488" t="s">
        <v>93</v>
      </c>
      <c r="D4488" t="s">
        <v>111</v>
      </c>
      <c r="E4488" t="s">
        <v>128</v>
      </c>
      <c r="F4488" t="s">
        <v>162</v>
      </c>
      <c r="G4488" t="s">
        <v>188</v>
      </c>
      <c r="H4488" t="s">
        <v>219</v>
      </c>
      <c r="I4488" t="s">
        <v>240</v>
      </c>
      <c r="J4488" t="s">
        <v>257</v>
      </c>
      <c r="K4488" t="s">
        <v>269</v>
      </c>
      <c r="L4488" t="s">
        <v>109</v>
      </c>
      <c r="M4488" t="s">
        <v>109</v>
      </c>
      <c r="N4488" t="s">
        <v>109</v>
      </c>
      <c r="O4488" t="s">
        <v>109</v>
      </c>
      <c r="P4488" t="s">
        <v>109</v>
      </c>
      <c r="Q4488" t="s">
        <v>321</v>
      </c>
      <c r="AK4488" t="s">
        <v>361</v>
      </c>
    </row>
    <row r="4489" spans="1:37">
      <c r="A4489" t="s">
        <v>48</v>
      </c>
      <c r="B4489" t="s">
        <v>71</v>
      </c>
      <c r="C4489" t="s">
        <v>93</v>
      </c>
      <c r="D4489" t="s">
        <v>111</v>
      </c>
      <c r="E4489" t="s">
        <v>128</v>
      </c>
      <c r="F4489" t="s">
        <v>163</v>
      </c>
      <c r="G4489" t="s">
        <v>189</v>
      </c>
      <c r="H4489" t="s">
        <v>220</v>
      </c>
      <c r="I4489" t="s">
        <v>241</v>
      </c>
      <c r="J4489" t="s">
        <v>258</v>
      </c>
      <c r="K4489" t="s">
        <v>270</v>
      </c>
      <c r="AK4489" t="s">
        <v>361</v>
      </c>
    </row>
    <row r="4490" spans="1:37">
      <c r="B4490" t="s">
        <v>72</v>
      </c>
      <c r="C4490" t="s">
        <v>72</v>
      </c>
      <c r="D4490" t="s">
        <v>72</v>
      </c>
      <c r="E4490" t="s">
        <v>72</v>
      </c>
      <c r="F4490" t="s">
        <v>72</v>
      </c>
      <c r="G4490" t="s">
        <v>72</v>
      </c>
      <c r="H4490" t="s">
        <v>72</v>
      </c>
      <c r="I4490" t="s">
        <v>72</v>
      </c>
      <c r="J4490" t="s">
        <v>72</v>
      </c>
      <c r="K4490" t="s">
        <v>272</v>
      </c>
      <c r="AK4490" t="s">
        <v>361</v>
      </c>
    </row>
    <row r="4491" spans="1:37">
      <c r="A4491" t="s">
        <v>37</v>
      </c>
      <c r="B4491" t="s">
        <v>49</v>
      </c>
      <c r="C4491" t="s">
        <v>73</v>
      </c>
      <c r="D4491" t="s">
        <v>94</v>
      </c>
      <c r="E4491" t="s">
        <v>112</v>
      </c>
      <c r="F4491" t="s">
        <v>146</v>
      </c>
      <c r="G4491" t="s">
        <v>172</v>
      </c>
      <c r="H4491" t="s">
        <v>207</v>
      </c>
      <c r="I4491" t="s">
        <v>226</v>
      </c>
      <c r="J4491" t="s">
        <v>246</v>
      </c>
      <c r="K4491" t="s">
        <v>259</v>
      </c>
      <c r="AK4491" t="s">
        <v>361</v>
      </c>
    </row>
    <row r="4492" spans="1:37">
      <c r="A4492" t="s">
        <v>38</v>
      </c>
      <c r="B4492" t="s">
        <v>50</v>
      </c>
      <c r="C4492" t="s">
        <v>74</v>
      </c>
      <c r="D4492" t="s">
        <v>95</v>
      </c>
      <c r="E4492" t="s">
        <v>113</v>
      </c>
      <c r="F4492" t="s">
        <v>147</v>
      </c>
      <c r="G4492" t="s">
        <v>173</v>
      </c>
      <c r="H4492" t="s">
        <v>208</v>
      </c>
      <c r="I4492" t="s">
        <v>227</v>
      </c>
      <c r="J4492" t="s">
        <v>115</v>
      </c>
      <c r="K4492" t="s">
        <v>260</v>
      </c>
      <c r="L4492" t="s">
        <v>273</v>
      </c>
      <c r="M4492" t="s">
        <v>282</v>
      </c>
      <c r="N4492" t="s">
        <v>291</v>
      </c>
      <c r="AK4492" t="s">
        <v>361</v>
      </c>
    </row>
    <row r="4493" spans="1:37">
      <c r="B4493" t="s">
        <v>51</v>
      </c>
      <c r="C4493" t="s">
        <v>75</v>
      </c>
      <c r="D4493" t="s">
        <v>52</v>
      </c>
      <c r="E4493" t="s">
        <v>114</v>
      </c>
      <c r="F4493" t="s">
        <v>148</v>
      </c>
      <c r="G4493" t="s">
        <v>148</v>
      </c>
      <c r="H4493" t="s">
        <v>209</v>
      </c>
      <c r="I4493" t="s">
        <v>228</v>
      </c>
      <c r="J4493" t="s">
        <v>247</v>
      </c>
      <c r="K4493" t="s">
        <v>261</v>
      </c>
      <c r="L4493" t="s">
        <v>274</v>
      </c>
      <c r="M4493" t="s">
        <v>283</v>
      </c>
      <c r="N4493" t="s">
        <v>292</v>
      </c>
      <c r="O4493" t="s">
        <v>300</v>
      </c>
      <c r="AK4493" t="s">
        <v>361</v>
      </c>
    </row>
    <row r="4494" spans="1:37">
      <c r="B4494" t="s">
        <v>52</v>
      </c>
      <c r="C4494" t="s">
        <v>76</v>
      </c>
      <c r="D4494" t="s">
        <v>96</v>
      </c>
      <c r="E4494" t="s">
        <v>115</v>
      </c>
      <c r="F4494" t="s">
        <v>149</v>
      </c>
      <c r="G4494" t="s">
        <v>174</v>
      </c>
      <c r="H4494" t="s">
        <v>96</v>
      </c>
      <c r="I4494" t="s">
        <v>229</v>
      </c>
      <c r="J4494" t="s">
        <v>248</v>
      </c>
      <c r="K4494" t="s">
        <v>262</v>
      </c>
      <c r="L4494" t="s">
        <v>52</v>
      </c>
      <c r="M4494" t="s">
        <v>76</v>
      </c>
      <c r="N4494" t="s">
        <v>293</v>
      </c>
      <c r="O4494" t="s">
        <v>301</v>
      </c>
      <c r="P4494" t="s">
        <v>309</v>
      </c>
      <c r="Q4494" t="s">
        <v>315</v>
      </c>
      <c r="R4494" t="s">
        <v>228</v>
      </c>
      <c r="S4494" t="s">
        <v>328</v>
      </c>
      <c r="T4494" t="s">
        <v>149</v>
      </c>
      <c r="U4494" t="s">
        <v>337</v>
      </c>
      <c r="V4494" t="s">
        <v>341</v>
      </c>
      <c r="W4494" t="s">
        <v>345</v>
      </c>
      <c r="X4494" t="s">
        <v>350</v>
      </c>
      <c r="AK4494" t="s">
        <v>361</v>
      </c>
    </row>
    <row r="4495" spans="1:37">
      <c r="B4495" t="s">
        <v>53</v>
      </c>
      <c r="C4495" t="s">
        <v>77</v>
      </c>
      <c r="D4495" t="s">
        <v>97</v>
      </c>
      <c r="E4495" t="s">
        <v>116</v>
      </c>
      <c r="F4495" t="s">
        <v>150</v>
      </c>
      <c r="G4495" t="s">
        <v>175</v>
      </c>
      <c r="H4495" t="s">
        <v>210</v>
      </c>
      <c r="I4495" t="s">
        <v>230</v>
      </c>
      <c r="J4495" t="s">
        <v>249</v>
      </c>
      <c r="K4495" t="s">
        <v>263</v>
      </c>
      <c r="L4495" t="s">
        <v>275</v>
      </c>
      <c r="M4495" t="s">
        <v>284</v>
      </c>
      <c r="N4495" t="s">
        <v>294</v>
      </c>
      <c r="O4495" t="s">
        <v>302</v>
      </c>
      <c r="P4495" t="s">
        <v>310</v>
      </c>
      <c r="Q4495" t="s">
        <v>316</v>
      </c>
      <c r="R4495" t="s">
        <v>322</v>
      </c>
      <c r="S4495" t="s">
        <v>329</v>
      </c>
      <c r="AK4495" t="s">
        <v>361</v>
      </c>
    </row>
    <row r="4496" spans="1:37">
      <c r="A4496" t="s">
        <v>39</v>
      </c>
      <c r="B4496" t="s">
        <v>54</v>
      </c>
      <c r="C4496" t="s">
        <v>54</v>
      </c>
      <c r="D4496" t="s">
        <v>54</v>
      </c>
      <c r="E4496" t="s">
        <v>54</v>
      </c>
      <c r="F4496" t="s">
        <v>54</v>
      </c>
      <c r="G4496" t="s">
        <v>54</v>
      </c>
      <c r="H4496" t="s">
        <v>54</v>
      </c>
      <c r="I4496" t="s">
        <v>54</v>
      </c>
      <c r="J4496" t="s">
        <v>54</v>
      </c>
      <c r="K4496" t="s">
        <v>54</v>
      </c>
      <c r="L4496" t="s">
        <v>54</v>
      </c>
      <c r="M4496" t="s">
        <v>54</v>
      </c>
      <c r="N4496" t="s">
        <v>54</v>
      </c>
      <c r="O4496" t="s">
        <v>54</v>
      </c>
      <c r="P4496" t="s">
        <v>54</v>
      </c>
      <c r="Q4496" t="s">
        <v>54</v>
      </c>
      <c r="R4496" t="s">
        <v>323</v>
      </c>
      <c r="S4496" t="s">
        <v>330</v>
      </c>
      <c r="AK4496" t="s">
        <v>361</v>
      </c>
    </row>
    <row r="4497" spans="1:37">
      <c r="B4497" t="s">
        <v>55</v>
      </c>
      <c r="C4497" t="s">
        <v>78</v>
      </c>
      <c r="D4497" t="s">
        <v>55</v>
      </c>
      <c r="E4497" t="s">
        <v>78</v>
      </c>
      <c r="F4497" t="s">
        <v>55</v>
      </c>
      <c r="G4497" t="s">
        <v>78</v>
      </c>
      <c r="H4497" t="s">
        <v>55</v>
      </c>
      <c r="I4497" t="s">
        <v>78</v>
      </c>
      <c r="J4497" t="s">
        <v>55</v>
      </c>
      <c r="K4497" t="s">
        <v>78</v>
      </c>
      <c r="L4497" t="s">
        <v>55</v>
      </c>
      <c r="M4497" t="s">
        <v>78</v>
      </c>
      <c r="N4497" t="s">
        <v>55</v>
      </c>
      <c r="O4497" t="s">
        <v>78</v>
      </c>
      <c r="P4497" t="s">
        <v>55</v>
      </c>
      <c r="Q4497" t="s">
        <v>78</v>
      </c>
      <c r="R4497" t="s">
        <v>55</v>
      </c>
      <c r="S4497" t="s">
        <v>78</v>
      </c>
      <c r="T4497" t="s">
        <v>55</v>
      </c>
      <c r="U4497" t="s">
        <v>78</v>
      </c>
      <c r="V4497" t="s">
        <v>55</v>
      </c>
      <c r="W4497" t="s">
        <v>78</v>
      </c>
      <c r="X4497" t="s">
        <v>55</v>
      </c>
      <c r="Y4497" t="s">
        <v>78</v>
      </c>
      <c r="Z4497" t="s">
        <v>55</v>
      </c>
      <c r="AA4497" t="s">
        <v>78</v>
      </c>
      <c r="AB4497" t="s">
        <v>55</v>
      </c>
      <c r="AC4497" t="s">
        <v>78</v>
      </c>
      <c r="AD4497" t="s">
        <v>55</v>
      </c>
      <c r="AE4497" t="s">
        <v>78</v>
      </c>
      <c r="AF4497" t="s">
        <v>55</v>
      </c>
      <c r="AG4497" t="s">
        <v>78</v>
      </c>
      <c r="AH4497" t="s">
        <v>55</v>
      </c>
      <c r="AI4497" t="s">
        <v>78</v>
      </c>
      <c r="AK4497" t="s">
        <v>361</v>
      </c>
    </row>
    <row r="4498" spans="1:37">
      <c r="B4498" t="s">
        <v>56</v>
      </c>
      <c r="C4498" t="s">
        <v>56</v>
      </c>
      <c r="D4498" t="s">
        <v>56</v>
      </c>
      <c r="E4498" t="s">
        <v>56</v>
      </c>
      <c r="F4498" t="s">
        <v>56</v>
      </c>
      <c r="G4498" t="s">
        <v>176</v>
      </c>
      <c r="H4498" t="s">
        <v>211</v>
      </c>
      <c r="I4498" t="s">
        <v>231</v>
      </c>
      <c r="J4498" t="s">
        <v>250</v>
      </c>
      <c r="K4498" t="s">
        <v>264</v>
      </c>
      <c r="L4498" t="s">
        <v>276</v>
      </c>
      <c r="M4498" t="s">
        <v>285</v>
      </c>
      <c r="N4498" t="s">
        <v>295</v>
      </c>
      <c r="O4498" t="s">
        <v>303</v>
      </c>
      <c r="P4498" t="s">
        <v>56</v>
      </c>
      <c r="Q4498" t="s">
        <v>317</v>
      </c>
      <c r="R4498" t="s">
        <v>324</v>
      </c>
      <c r="S4498" t="s">
        <v>331</v>
      </c>
      <c r="T4498" t="s">
        <v>334</v>
      </c>
      <c r="U4498" t="s">
        <v>338</v>
      </c>
      <c r="V4498" t="s">
        <v>342</v>
      </c>
      <c r="W4498" t="s">
        <v>346</v>
      </c>
      <c r="X4498" t="s">
        <v>351</v>
      </c>
      <c r="AK4498" t="s">
        <v>361</v>
      </c>
    </row>
    <row r="4499" spans="1:37">
      <c r="B4499" t="s">
        <v>57</v>
      </c>
      <c r="C4499" t="s">
        <v>79</v>
      </c>
      <c r="D4499" t="s">
        <v>98</v>
      </c>
      <c r="E4499" t="s">
        <v>117</v>
      </c>
      <c r="F4499" t="s">
        <v>151</v>
      </c>
      <c r="G4499" t="s">
        <v>177</v>
      </c>
      <c r="H4499" t="s">
        <v>212</v>
      </c>
      <c r="I4499" t="s">
        <v>232</v>
      </c>
      <c r="J4499" t="s">
        <v>251</v>
      </c>
      <c r="K4499" t="s">
        <v>265</v>
      </c>
      <c r="L4499" t="s">
        <v>277</v>
      </c>
      <c r="M4499" t="s">
        <v>286</v>
      </c>
      <c r="N4499" t="s">
        <v>296</v>
      </c>
      <c r="O4499" t="s">
        <v>304</v>
      </c>
      <c r="P4499" t="s">
        <v>311</v>
      </c>
      <c r="Q4499" t="s">
        <v>318</v>
      </c>
      <c r="R4499" t="s">
        <v>185</v>
      </c>
      <c r="S4499" t="s">
        <v>159</v>
      </c>
      <c r="T4499" t="s">
        <v>185</v>
      </c>
      <c r="U4499" t="s">
        <v>339</v>
      </c>
      <c r="V4499" t="s">
        <v>72</v>
      </c>
      <c r="W4499" t="s">
        <v>347</v>
      </c>
      <c r="X4499" t="s">
        <v>72</v>
      </c>
      <c r="Y4499" t="s">
        <v>96</v>
      </c>
      <c r="AK4499" t="s">
        <v>361</v>
      </c>
    </row>
    <row r="4500" spans="1:37">
      <c r="B4500" t="s">
        <v>58</v>
      </c>
      <c r="C4500" t="s">
        <v>80</v>
      </c>
      <c r="D4500" t="s">
        <v>99</v>
      </c>
      <c r="E4500" t="s">
        <v>118</v>
      </c>
      <c r="F4500" t="s">
        <v>152</v>
      </c>
      <c r="G4500" t="s">
        <v>178</v>
      </c>
      <c r="H4500" t="s">
        <v>213</v>
      </c>
      <c r="I4500" t="s">
        <v>233</v>
      </c>
      <c r="J4500" t="s">
        <v>252</v>
      </c>
      <c r="K4500" t="s">
        <v>266</v>
      </c>
      <c r="L4500" t="s">
        <v>278</v>
      </c>
      <c r="M4500" t="s">
        <v>287</v>
      </c>
      <c r="N4500" t="s">
        <v>297</v>
      </c>
      <c r="O4500" t="s">
        <v>305</v>
      </c>
      <c r="P4500" t="s">
        <v>312</v>
      </c>
      <c r="Q4500" t="s">
        <v>319</v>
      </c>
      <c r="R4500">
        <f>&gt;10       ветра      1.5     17   4</f>
        <v>0</v>
      </c>
      <c r="AK4500" t="s">
        <v>361</v>
      </c>
    </row>
    <row r="4501" spans="1:37">
      <c r="A4501" t="s">
        <v>40</v>
      </c>
      <c r="B4501" t="s">
        <v>59</v>
      </c>
      <c r="C4501" t="s">
        <v>81</v>
      </c>
      <c r="D4501" t="s">
        <v>100</v>
      </c>
      <c r="E4501" t="s">
        <v>119</v>
      </c>
      <c r="F4501" t="s">
        <v>153</v>
      </c>
      <c r="G4501" t="s">
        <v>179</v>
      </c>
      <c r="H4501" t="s">
        <v>214</v>
      </c>
      <c r="I4501" t="s">
        <v>234</v>
      </c>
      <c r="AK4501" t="s">
        <v>361</v>
      </c>
    </row>
    <row r="4502" spans="1:37">
      <c r="A4502" t="s">
        <v>40</v>
      </c>
      <c r="B4502" t="s">
        <v>60</v>
      </c>
      <c r="C4502" t="s">
        <v>82</v>
      </c>
      <c r="D4502" t="s">
        <v>101</v>
      </c>
      <c r="E4502" t="s">
        <v>120</v>
      </c>
      <c r="F4502" t="s">
        <v>154</v>
      </c>
      <c r="G4502" t="s">
        <v>180</v>
      </c>
      <c r="H4502" t="s">
        <v>215</v>
      </c>
      <c r="I4502" t="s">
        <v>235</v>
      </c>
      <c r="J4502" t="s">
        <v>253</v>
      </c>
      <c r="K4502" t="s">
        <v>267</v>
      </c>
      <c r="L4502" t="s">
        <v>279</v>
      </c>
      <c r="M4502" t="s">
        <v>288</v>
      </c>
      <c r="N4502" t="s">
        <v>100</v>
      </c>
      <c r="O4502" t="s">
        <v>306</v>
      </c>
      <c r="P4502" t="s">
        <v>313</v>
      </c>
      <c r="Q4502" t="s">
        <v>320</v>
      </c>
      <c r="R4502" t="s">
        <v>325</v>
      </c>
      <c r="S4502" t="s">
        <v>332</v>
      </c>
      <c r="T4502" t="s">
        <v>119</v>
      </c>
      <c r="U4502" t="s">
        <v>234</v>
      </c>
      <c r="V4502" t="s">
        <v>343</v>
      </c>
      <c r="W4502" t="s">
        <v>348</v>
      </c>
      <c r="X4502" t="s">
        <v>352</v>
      </c>
      <c r="Y4502" t="s">
        <v>354</v>
      </c>
      <c r="AK4502" t="s">
        <v>361</v>
      </c>
    </row>
    <row r="4503" spans="1:37">
      <c r="A4503" t="s">
        <v>41</v>
      </c>
      <c r="B4503" t="s">
        <v>61</v>
      </c>
      <c r="C4503" t="s">
        <v>83</v>
      </c>
      <c r="D4503" t="s">
        <v>102</v>
      </c>
      <c r="E4503" t="s">
        <v>121</v>
      </c>
      <c r="F4503" t="s">
        <v>155</v>
      </c>
      <c r="G4503" t="s">
        <v>181</v>
      </c>
      <c r="H4503" t="s">
        <v>216</v>
      </c>
      <c r="I4503" t="s">
        <v>236</v>
      </c>
      <c r="AK4503" t="s">
        <v>361</v>
      </c>
    </row>
    <row r="4504" spans="1:37">
      <c r="A4504" t="s">
        <v>42</v>
      </c>
      <c r="B4504" t="s">
        <v>62</v>
      </c>
      <c r="C4504" t="s">
        <v>84</v>
      </c>
      <c r="D4504" t="s">
        <v>103</v>
      </c>
      <c r="E4504" t="s">
        <v>122</v>
      </c>
      <c r="F4504" t="s">
        <v>156</v>
      </c>
      <c r="G4504" t="s">
        <v>182</v>
      </c>
      <c r="H4504" t="s">
        <v>83</v>
      </c>
      <c r="I4504" t="s">
        <v>237</v>
      </c>
      <c r="J4504" t="s">
        <v>254</v>
      </c>
      <c r="K4504" t="s">
        <v>268</v>
      </c>
      <c r="L4504" t="s">
        <v>280</v>
      </c>
      <c r="M4504" t="s">
        <v>289</v>
      </c>
      <c r="N4504" t="s">
        <v>298</v>
      </c>
      <c r="O4504" t="s">
        <v>307</v>
      </c>
      <c r="P4504" t="s">
        <v>314</v>
      </c>
      <c r="Q4504" t="s">
        <v>216</v>
      </c>
      <c r="R4504" t="s">
        <v>326</v>
      </c>
      <c r="S4504" t="s">
        <v>333</v>
      </c>
      <c r="T4504" t="s">
        <v>335</v>
      </c>
      <c r="U4504" t="s">
        <v>340</v>
      </c>
      <c r="V4504" t="s">
        <v>344</v>
      </c>
      <c r="W4504" t="s">
        <v>349</v>
      </c>
      <c r="AK4504" t="s">
        <v>361</v>
      </c>
    </row>
    <row r="4505" spans="1:37">
      <c r="A4505" t="s">
        <v>43</v>
      </c>
      <c r="B4505" t="s">
        <v>63</v>
      </c>
      <c r="C4505" t="s">
        <v>85</v>
      </c>
      <c r="D4505" t="s">
        <v>104</v>
      </c>
      <c r="E4505" t="s">
        <v>123</v>
      </c>
      <c r="F4505" t="s">
        <v>157</v>
      </c>
      <c r="G4505" t="s">
        <v>183</v>
      </c>
      <c r="AK4505" t="s">
        <v>361</v>
      </c>
    </row>
    <row r="4506" spans="1:37">
      <c r="A4506" t="s">
        <v>44</v>
      </c>
      <c r="B4506" t="s">
        <v>64</v>
      </c>
      <c r="C4506" t="s">
        <v>86</v>
      </c>
      <c r="D4506" t="s">
        <v>105</v>
      </c>
      <c r="E4506" t="s">
        <v>124</v>
      </c>
      <c r="F4506" t="s">
        <v>158</v>
      </c>
      <c r="G4506" t="s">
        <v>184</v>
      </c>
      <c r="AK4506" t="s">
        <v>361</v>
      </c>
    </row>
    <row r="4507" spans="1:37">
      <c r="A4507" t="s">
        <v>45</v>
      </c>
      <c r="B4507" t="s">
        <v>65</v>
      </c>
      <c r="C4507" t="s">
        <v>87</v>
      </c>
      <c r="D4507" t="s">
        <v>106</v>
      </c>
      <c r="E4507" t="s">
        <v>125</v>
      </c>
      <c r="F4507" t="s">
        <v>159</v>
      </c>
      <c r="G4507" t="s">
        <v>185</v>
      </c>
      <c r="H4507" t="s">
        <v>159</v>
      </c>
      <c r="I4507" t="s">
        <v>185</v>
      </c>
      <c r="J4507" t="s">
        <v>255</v>
      </c>
      <c r="AK4507" t="s">
        <v>361</v>
      </c>
    </row>
    <row r="4508" spans="1:37">
      <c r="A4508" t="s">
        <v>46</v>
      </c>
      <c r="B4508" t="s">
        <v>66</v>
      </c>
      <c r="C4508" t="s">
        <v>88</v>
      </c>
      <c r="D4508" t="s">
        <v>76</v>
      </c>
      <c r="E4508" t="s">
        <v>126</v>
      </c>
      <c r="F4508" t="s">
        <v>160</v>
      </c>
      <c r="G4508" t="s">
        <v>186</v>
      </c>
      <c r="H4508" t="s">
        <v>217</v>
      </c>
      <c r="I4508" t="s">
        <v>238</v>
      </c>
      <c r="J4508" t="s">
        <v>256</v>
      </c>
      <c r="K4508" t="s">
        <v>265</v>
      </c>
      <c r="L4508" t="s">
        <v>281</v>
      </c>
      <c r="M4508" t="s">
        <v>290</v>
      </c>
      <c r="N4508" t="s">
        <v>299</v>
      </c>
      <c r="O4508" t="s">
        <v>308</v>
      </c>
      <c r="P4508" t="s">
        <v>228</v>
      </c>
      <c r="Q4508" t="s">
        <v>72</v>
      </c>
      <c r="R4508" t="s">
        <v>327</v>
      </c>
      <c r="S4508" t="s">
        <v>327</v>
      </c>
      <c r="T4508" t="s">
        <v>336</v>
      </c>
      <c r="U4508" t="s">
        <v>336</v>
      </c>
      <c r="V4508" t="s">
        <v>336</v>
      </c>
      <c r="W4508" t="s">
        <v>336</v>
      </c>
      <c r="X4508" t="s">
        <v>353</v>
      </c>
      <c r="AK4508" t="s">
        <v>361</v>
      </c>
    </row>
    <row r="4509" spans="1:37">
      <c r="B4509" t="s">
        <v>67</v>
      </c>
      <c r="C4509" t="s">
        <v>89</v>
      </c>
      <c r="D4509" t="s">
        <v>107</v>
      </c>
      <c r="AK4509" t="s">
        <v>361</v>
      </c>
    </row>
    <row r="4510" spans="1:37">
      <c r="B4510" t="s">
        <v>68</v>
      </c>
      <c r="C4510" t="s">
        <v>90</v>
      </c>
      <c r="D4510" t="s">
        <v>108</v>
      </c>
      <c r="AK4510" t="s">
        <v>361</v>
      </c>
    </row>
    <row r="4511" spans="1:37">
      <c r="A4511" t="s">
        <v>47</v>
      </c>
      <c r="B4511" t="s">
        <v>69</v>
      </c>
      <c r="C4511" t="s">
        <v>91</v>
      </c>
      <c r="D4511" t="s">
        <v>109</v>
      </c>
      <c r="E4511" t="s">
        <v>109</v>
      </c>
      <c r="F4511" t="s">
        <v>109</v>
      </c>
      <c r="G4511" t="s">
        <v>109</v>
      </c>
      <c r="H4511" t="s">
        <v>109</v>
      </c>
      <c r="I4511" t="s">
        <v>239</v>
      </c>
      <c r="AK4511" t="s">
        <v>361</v>
      </c>
    </row>
    <row r="4512" spans="1:37">
      <c r="B4512" t="s">
        <v>70</v>
      </c>
      <c r="C4512" t="s">
        <v>92</v>
      </c>
      <c r="D4512" t="s">
        <v>110</v>
      </c>
      <c r="E4512" t="s">
        <v>127</v>
      </c>
      <c r="F4512" t="s">
        <v>161</v>
      </c>
      <c r="G4512" t="s">
        <v>187</v>
      </c>
      <c r="H4512" t="s">
        <v>218</v>
      </c>
      <c r="AK4512" t="s">
        <v>361</v>
      </c>
    </row>
    <row r="4513" spans="1:37">
      <c r="B4513" t="s">
        <v>71</v>
      </c>
      <c r="C4513" t="s">
        <v>93</v>
      </c>
      <c r="D4513" t="s">
        <v>111</v>
      </c>
      <c r="E4513" t="s">
        <v>128</v>
      </c>
      <c r="F4513" t="s">
        <v>162</v>
      </c>
      <c r="G4513" t="s">
        <v>188</v>
      </c>
      <c r="H4513" t="s">
        <v>219</v>
      </c>
      <c r="I4513" t="s">
        <v>240</v>
      </c>
      <c r="J4513" t="s">
        <v>257</v>
      </c>
      <c r="K4513" t="s">
        <v>269</v>
      </c>
      <c r="L4513" t="s">
        <v>109</v>
      </c>
      <c r="M4513" t="s">
        <v>109</v>
      </c>
      <c r="N4513" t="s">
        <v>109</v>
      </c>
      <c r="O4513" t="s">
        <v>109</v>
      </c>
      <c r="P4513" t="s">
        <v>109</v>
      </c>
      <c r="Q4513" t="s">
        <v>321</v>
      </c>
      <c r="AK4513" t="s">
        <v>361</v>
      </c>
    </row>
    <row r="4514" spans="1:37">
      <c r="A4514" t="s">
        <v>48</v>
      </c>
      <c r="B4514" t="s">
        <v>71</v>
      </c>
      <c r="C4514" t="s">
        <v>93</v>
      </c>
      <c r="D4514" t="s">
        <v>111</v>
      </c>
      <c r="E4514" t="s">
        <v>128</v>
      </c>
      <c r="F4514" t="s">
        <v>163</v>
      </c>
      <c r="G4514" t="s">
        <v>189</v>
      </c>
      <c r="H4514" t="s">
        <v>220</v>
      </c>
      <c r="I4514" t="s">
        <v>241</v>
      </c>
      <c r="J4514" t="s">
        <v>258</v>
      </c>
      <c r="K4514" t="s">
        <v>270</v>
      </c>
      <c r="AK4514" t="s">
        <v>361</v>
      </c>
    </row>
    <row r="4515" spans="1:37">
      <c r="B4515" t="s">
        <v>72</v>
      </c>
      <c r="C4515" t="s">
        <v>72</v>
      </c>
      <c r="D4515" t="s">
        <v>72</v>
      </c>
      <c r="E4515" t="s">
        <v>139</v>
      </c>
      <c r="F4515" t="s">
        <v>169</v>
      </c>
      <c r="G4515" t="s">
        <v>192</v>
      </c>
      <c r="H4515" t="s">
        <v>192</v>
      </c>
      <c r="I4515" t="s">
        <v>192</v>
      </c>
      <c r="J4515" t="s">
        <v>192</v>
      </c>
      <c r="K4515" t="s">
        <v>271</v>
      </c>
      <c r="AK4515" t="s">
        <v>361</v>
      </c>
    </row>
    <row r="4516" spans="1:37">
      <c r="A4516" t="s">
        <v>37</v>
      </c>
      <c r="B4516" t="s">
        <v>49</v>
      </c>
      <c r="C4516" t="s">
        <v>73</v>
      </c>
      <c r="D4516" t="s">
        <v>94</v>
      </c>
      <c r="E4516" t="s">
        <v>112</v>
      </c>
      <c r="F4516" t="s">
        <v>146</v>
      </c>
      <c r="G4516" t="s">
        <v>172</v>
      </c>
      <c r="H4516" t="s">
        <v>207</v>
      </c>
      <c r="I4516" t="s">
        <v>226</v>
      </c>
      <c r="J4516" t="s">
        <v>246</v>
      </c>
      <c r="K4516" t="s">
        <v>259</v>
      </c>
      <c r="AK4516" t="s">
        <v>361</v>
      </c>
    </row>
    <row r="4517" spans="1:37">
      <c r="A4517" t="s">
        <v>38</v>
      </c>
      <c r="B4517" t="s">
        <v>50</v>
      </c>
      <c r="C4517" t="s">
        <v>74</v>
      </c>
      <c r="D4517" t="s">
        <v>95</v>
      </c>
      <c r="E4517" t="s">
        <v>113</v>
      </c>
      <c r="F4517" t="s">
        <v>147</v>
      </c>
      <c r="G4517" t="s">
        <v>173</v>
      </c>
      <c r="H4517" t="s">
        <v>208</v>
      </c>
      <c r="I4517" t="s">
        <v>227</v>
      </c>
      <c r="J4517" t="s">
        <v>115</v>
      </c>
      <c r="K4517" t="s">
        <v>260</v>
      </c>
      <c r="L4517" t="s">
        <v>273</v>
      </c>
      <c r="M4517" t="s">
        <v>282</v>
      </c>
      <c r="N4517" t="s">
        <v>291</v>
      </c>
      <c r="AK4517" t="s">
        <v>361</v>
      </c>
    </row>
    <row r="4518" spans="1:37">
      <c r="B4518" t="s">
        <v>51</v>
      </c>
      <c r="C4518" t="s">
        <v>75</v>
      </c>
      <c r="D4518" t="s">
        <v>52</v>
      </c>
      <c r="E4518" t="s">
        <v>114</v>
      </c>
      <c r="F4518" t="s">
        <v>148</v>
      </c>
      <c r="G4518" t="s">
        <v>148</v>
      </c>
      <c r="H4518" t="s">
        <v>209</v>
      </c>
      <c r="I4518" t="s">
        <v>228</v>
      </c>
      <c r="J4518" t="s">
        <v>247</v>
      </c>
      <c r="K4518" t="s">
        <v>261</v>
      </c>
      <c r="L4518" t="s">
        <v>274</v>
      </c>
      <c r="M4518" t="s">
        <v>283</v>
      </c>
      <c r="N4518" t="s">
        <v>292</v>
      </c>
      <c r="O4518" t="s">
        <v>300</v>
      </c>
      <c r="AK4518" t="s">
        <v>361</v>
      </c>
    </row>
    <row r="4519" spans="1:37">
      <c r="B4519" t="s">
        <v>52</v>
      </c>
      <c r="C4519" t="s">
        <v>76</v>
      </c>
      <c r="D4519" t="s">
        <v>96</v>
      </c>
      <c r="E4519" t="s">
        <v>115</v>
      </c>
      <c r="F4519" t="s">
        <v>149</v>
      </c>
      <c r="G4519" t="s">
        <v>174</v>
      </c>
      <c r="H4519" t="s">
        <v>96</v>
      </c>
      <c r="I4519" t="s">
        <v>229</v>
      </c>
      <c r="J4519" t="s">
        <v>248</v>
      </c>
      <c r="K4519" t="s">
        <v>262</v>
      </c>
      <c r="L4519" t="s">
        <v>52</v>
      </c>
      <c r="M4519" t="s">
        <v>76</v>
      </c>
      <c r="N4519" t="s">
        <v>293</v>
      </c>
      <c r="O4519" t="s">
        <v>301</v>
      </c>
      <c r="P4519" t="s">
        <v>309</v>
      </c>
      <c r="Q4519" t="s">
        <v>315</v>
      </c>
      <c r="R4519" t="s">
        <v>228</v>
      </c>
      <c r="S4519" t="s">
        <v>328</v>
      </c>
      <c r="T4519" t="s">
        <v>149</v>
      </c>
      <c r="U4519" t="s">
        <v>337</v>
      </c>
      <c r="V4519" t="s">
        <v>341</v>
      </c>
      <c r="W4519" t="s">
        <v>345</v>
      </c>
      <c r="X4519" t="s">
        <v>350</v>
      </c>
      <c r="AK4519" t="s">
        <v>361</v>
      </c>
    </row>
    <row r="4520" spans="1:37">
      <c r="B4520" t="s">
        <v>53</v>
      </c>
      <c r="C4520" t="s">
        <v>77</v>
      </c>
      <c r="D4520" t="s">
        <v>97</v>
      </c>
      <c r="E4520" t="s">
        <v>116</v>
      </c>
      <c r="F4520" t="s">
        <v>150</v>
      </c>
      <c r="G4520" t="s">
        <v>175</v>
      </c>
      <c r="H4520" t="s">
        <v>210</v>
      </c>
      <c r="I4520" t="s">
        <v>230</v>
      </c>
      <c r="J4520" t="s">
        <v>249</v>
      </c>
      <c r="K4520" t="s">
        <v>263</v>
      </c>
      <c r="L4520" t="s">
        <v>275</v>
      </c>
      <c r="M4520" t="s">
        <v>284</v>
      </c>
      <c r="N4520" t="s">
        <v>294</v>
      </c>
      <c r="O4520" t="s">
        <v>302</v>
      </c>
      <c r="P4520" t="s">
        <v>310</v>
      </c>
      <c r="Q4520" t="s">
        <v>316</v>
      </c>
      <c r="R4520" t="s">
        <v>322</v>
      </c>
      <c r="S4520" t="s">
        <v>329</v>
      </c>
      <c r="AK4520" t="s">
        <v>361</v>
      </c>
    </row>
    <row r="4521" spans="1:37">
      <c r="A4521" t="s">
        <v>39</v>
      </c>
      <c r="B4521" t="s">
        <v>54</v>
      </c>
      <c r="C4521" t="s">
        <v>54</v>
      </c>
      <c r="D4521" t="s">
        <v>54</v>
      </c>
      <c r="E4521" t="s">
        <v>54</v>
      </c>
      <c r="F4521" t="s">
        <v>54</v>
      </c>
      <c r="G4521" t="s">
        <v>54</v>
      </c>
      <c r="H4521" t="s">
        <v>54</v>
      </c>
      <c r="I4521" t="s">
        <v>54</v>
      </c>
      <c r="J4521" t="s">
        <v>54</v>
      </c>
      <c r="K4521" t="s">
        <v>54</v>
      </c>
      <c r="L4521" t="s">
        <v>54</v>
      </c>
      <c r="M4521" t="s">
        <v>54</v>
      </c>
      <c r="N4521" t="s">
        <v>54</v>
      </c>
      <c r="O4521" t="s">
        <v>54</v>
      </c>
      <c r="P4521" t="s">
        <v>54</v>
      </c>
      <c r="Q4521" t="s">
        <v>54</v>
      </c>
      <c r="R4521" t="s">
        <v>323</v>
      </c>
      <c r="S4521" t="s">
        <v>330</v>
      </c>
      <c r="AK4521" t="s">
        <v>361</v>
      </c>
    </row>
    <row r="4522" spans="1:37">
      <c r="B4522" t="s">
        <v>55</v>
      </c>
      <c r="C4522" t="s">
        <v>78</v>
      </c>
      <c r="D4522" t="s">
        <v>55</v>
      </c>
      <c r="E4522" t="s">
        <v>78</v>
      </c>
      <c r="F4522" t="s">
        <v>55</v>
      </c>
      <c r="G4522" t="s">
        <v>78</v>
      </c>
      <c r="H4522" t="s">
        <v>55</v>
      </c>
      <c r="I4522" t="s">
        <v>78</v>
      </c>
      <c r="J4522" t="s">
        <v>55</v>
      </c>
      <c r="K4522" t="s">
        <v>78</v>
      </c>
      <c r="L4522" t="s">
        <v>55</v>
      </c>
      <c r="M4522" t="s">
        <v>78</v>
      </c>
      <c r="N4522" t="s">
        <v>55</v>
      </c>
      <c r="O4522" t="s">
        <v>78</v>
      </c>
      <c r="P4522" t="s">
        <v>55</v>
      </c>
      <c r="Q4522" t="s">
        <v>78</v>
      </c>
      <c r="R4522" t="s">
        <v>55</v>
      </c>
      <c r="S4522" t="s">
        <v>78</v>
      </c>
      <c r="T4522" t="s">
        <v>55</v>
      </c>
      <c r="U4522" t="s">
        <v>78</v>
      </c>
      <c r="V4522" t="s">
        <v>55</v>
      </c>
      <c r="W4522" t="s">
        <v>78</v>
      </c>
      <c r="X4522" t="s">
        <v>55</v>
      </c>
      <c r="Y4522" t="s">
        <v>78</v>
      </c>
      <c r="Z4522" t="s">
        <v>55</v>
      </c>
      <c r="AA4522" t="s">
        <v>78</v>
      </c>
      <c r="AB4522" t="s">
        <v>55</v>
      </c>
      <c r="AC4522" t="s">
        <v>78</v>
      </c>
      <c r="AD4522" t="s">
        <v>55</v>
      </c>
      <c r="AE4522" t="s">
        <v>78</v>
      </c>
      <c r="AF4522" t="s">
        <v>55</v>
      </c>
      <c r="AG4522" t="s">
        <v>78</v>
      </c>
      <c r="AH4522" t="s">
        <v>55</v>
      </c>
      <c r="AI4522" t="s">
        <v>78</v>
      </c>
      <c r="AK4522" t="s">
        <v>361</v>
      </c>
    </row>
    <row r="4523" spans="1:37">
      <c r="B4523" t="s">
        <v>56</v>
      </c>
      <c r="C4523" t="s">
        <v>56</v>
      </c>
      <c r="D4523" t="s">
        <v>56</v>
      </c>
      <c r="E4523" t="s">
        <v>56</v>
      </c>
      <c r="F4523" t="s">
        <v>56</v>
      </c>
      <c r="G4523" t="s">
        <v>176</v>
      </c>
      <c r="H4523" t="s">
        <v>211</v>
      </c>
      <c r="I4523" t="s">
        <v>231</v>
      </c>
      <c r="J4523" t="s">
        <v>250</v>
      </c>
      <c r="K4523" t="s">
        <v>264</v>
      </c>
      <c r="L4523" t="s">
        <v>276</v>
      </c>
      <c r="M4523" t="s">
        <v>285</v>
      </c>
      <c r="N4523" t="s">
        <v>295</v>
      </c>
      <c r="O4523" t="s">
        <v>303</v>
      </c>
      <c r="P4523" t="s">
        <v>56</v>
      </c>
      <c r="Q4523" t="s">
        <v>317</v>
      </c>
      <c r="R4523" t="s">
        <v>324</v>
      </c>
      <c r="S4523" t="s">
        <v>331</v>
      </c>
      <c r="T4523" t="s">
        <v>334</v>
      </c>
      <c r="U4523" t="s">
        <v>338</v>
      </c>
      <c r="V4523" t="s">
        <v>342</v>
      </c>
      <c r="W4523" t="s">
        <v>346</v>
      </c>
      <c r="X4523" t="s">
        <v>351</v>
      </c>
      <c r="AK4523" t="s">
        <v>361</v>
      </c>
    </row>
    <row r="4524" spans="1:37">
      <c r="B4524" t="s">
        <v>57</v>
      </c>
      <c r="C4524" t="s">
        <v>79</v>
      </c>
      <c r="D4524" t="s">
        <v>98</v>
      </c>
      <c r="E4524" t="s">
        <v>117</v>
      </c>
      <c r="F4524" t="s">
        <v>151</v>
      </c>
      <c r="G4524" t="s">
        <v>177</v>
      </c>
      <c r="H4524" t="s">
        <v>212</v>
      </c>
      <c r="I4524" t="s">
        <v>232</v>
      </c>
      <c r="J4524" t="s">
        <v>251</v>
      </c>
      <c r="K4524" t="s">
        <v>265</v>
      </c>
      <c r="L4524" t="s">
        <v>277</v>
      </c>
      <c r="M4524" t="s">
        <v>286</v>
      </c>
      <c r="N4524" t="s">
        <v>296</v>
      </c>
      <c r="O4524" t="s">
        <v>304</v>
      </c>
      <c r="P4524" t="s">
        <v>311</v>
      </c>
      <c r="Q4524" t="s">
        <v>318</v>
      </c>
      <c r="R4524" t="s">
        <v>185</v>
      </c>
      <c r="S4524" t="s">
        <v>159</v>
      </c>
      <c r="T4524" t="s">
        <v>185</v>
      </c>
      <c r="U4524" t="s">
        <v>339</v>
      </c>
      <c r="V4524" t="s">
        <v>72</v>
      </c>
      <c r="W4524" t="s">
        <v>347</v>
      </c>
      <c r="X4524" t="s">
        <v>72</v>
      </c>
      <c r="Y4524" t="s">
        <v>96</v>
      </c>
      <c r="AK4524" t="s">
        <v>361</v>
      </c>
    </row>
    <row r="4525" spans="1:37">
      <c r="B4525" t="s">
        <v>58</v>
      </c>
      <c r="C4525" t="s">
        <v>80</v>
      </c>
      <c r="D4525" t="s">
        <v>99</v>
      </c>
      <c r="E4525" t="s">
        <v>118</v>
      </c>
      <c r="F4525" t="s">
        <v>152</v>
      </c>
      <c r="G4525" t="s">
        <v>178</v>
      </c>
      <c r="H4525" t="s">
        <v>213</v>
      </c>
      <c r="I4525" t="s">
        <v>233</v>
      </c>
      <c r="J4525" t="s">
        <v>252</v>
      </c>
      <c r="K4525" t="s">
        <v>266</v>
      </c>
      <c r="L4525" t="s">
        <v>278</v>
      </c>
      <c r="M4525" t="s">
        <v>287</v>
      </c>
      <c r="N4525" t="s">
        <v>297</v>
      </c>
      <c r="O4525" t="s">
        <v>305</v>
      </c>
      <c r="P4525" t="s">
        <v>312</v>
      </c>
      <c r="Q4525" t="s">
        <v>319</v>
      </c>
      <c r="R4525">
        <f>&gt;10       ветра      1.2     18  11</f>
        <v>0</v>
      </c>
      <c r="AK4525" t="s">
        <v>361</v>
      </c>
    </row>
    <row r="4526" spans="1:37">
      <c r="A4526" t="s">
        <v>40</v>
      </c>
      <c r="B4526" t="s">
        <v>59</v>
      </c>
      <c r="C4526" t="s">
        <v>81</v>
      </c>
      <c r="D4526" t="s">
        <v>100</v>
      </c>
      <c r="E4526" t="s">
        <v>119</v>
      </c>
      <c r="F4526" t="s">
        <v>153</v>
      </c>
      <c r="G4526" t="s">
        <v>179</v>
      </c>
      <c r="H4526" t="s">
        <v>214</v>
      </c>
      <c r="I4526" t="s">
        <v>234</v>
      </c>
      <c r="AK4526" t="s">
        <v>361</v>
      </c>
    </row>
    <row r="4527" spans="1:37">
      <c r="A4527" t="s">
        <v>40</v>
      </c>
      <c r="B4527" t="s">
        <v>60</v>
      </c>
      <c r="C4527" t="s">
        <v>82</v>
      </c>
      <c r="D4527" t="s">
        <v>101</v>
      </c>
      <c r="E4527" t="s">
        <v>120</v>
      </c>
      <c r="F4527" t="s">
        <v>154</v>
      </c>
      <c r="G4527" t="s">
        <v>180</v>
      </c>
      <c r="H4527" t="s">
        <v>215</v>
      </c>
      <c r="I4527" t="s">
        <v>235</v>
      </c>
      <c r="J4527" t="s">
        <v>253</v>
      </c>
      <c r="K4527" t="s">
        <v>267</v>
      </c>
      <c r="L4527" t="s">
        <v>279</v>
      </c>
      <c r="M4527" t="s">
        <v>288</v>
      </c>
      <c r="N4527" t="s">
        <v>100</v>
      </c>
      <c r="O4527" t="s">
        <v>306</v>
      </c>
      <c r="P4527" t="s">
        <v>313</v>
      </c>
      <c r="Q4527" t="s">
        <v>320</v>
      </c>
      <c r="R4527" t="s">
        <v>325</v>
      </c>
      <c r="S4527" t="s">
        <v>332</v>
      </c>
      <c r="T4527" t="s">
        <v>119</v>
      </c>
      <c r="U4527" t="s">
        <v>234</v>
      </c>
      <c r="V4527" t="s">
        <v>343</v>
      </c>
      <c r="W4527" t="s">
        <v>348</v>
      </c>
      <c r="X4527" t="s">
        <v>352</v>
      </c>
      <c r="Y4527" t="s">
        <v>354</v>
      </c>
      <c r="AK4527" t="s">
        <v>361</v>
      </c>
    </row>
    <row r="4528" spans="1:37">
      <c r="A4528" t="s">
        <v>41</v>
      </c>
      <c r="B4528" t="s">
        <v>61</v>
      </c>
      <c r="C4528" t="s">
        <v>83</v>
      </c>
      <c r="D4528" t="s">
        <v>102</v>
      </c>
      <c r="E4528" t="s">
        <v>121</v>
      </c>
      <c r="F4528" t="s">
        <v>155</v>
      </c>
      <c r="G4528" t="s">
        <v>181</v>
      </c>
      <c r="H4528" t="s">
        <v>216</v>
      </c>
      <c r="I4528" t="s">
        <v>236</v>
      </c>
      <c r="AK4528" t="s">
        <v>361</v>
      </c>
    </row>
    <row r="4529" spans="1:37">
      <c r="A4529" t="s">
        <v>42</v>
      </c>
      <c r="B4529" t="s">
        <v>62</v>
      </c>
      <c r="C4529" t="s">
        <v>84</v>
      </c>
      <c r="D4529" t="s">
        <v>103</v>
      </c>
      <c r="E4529" t="s">
        <v>122</v>
      </c>
      <c r="F4529" t="s">
        <v>156</v>
      </c>
      <c r="G4529" t="s">
        <v>182</v>
      </c>
      <c r="H4529" t="s">
        <v>83</v>
      </c>
      <c r="I4529" t="s">
        <v>237</v>
      </c>
      <c r="J4529" t="s">
        <v>254</v>
      </c>
      <c r="K4529" t="s">
        <v>268</v>
      </c>
      <c r="L4529" t="s">
        <v>280</v>
      </c>
      <c r="M4529" t="s">
        <v>289</v>
      </c>
      <c r="N4529" t="s">
        <v>298</v>
      </c>
      <c r="O4529" t="s">
        <v>307</v>
      </c>
      <c r="P4529" t="s">
        <v>314</v>
      </c>
      <c r="Q4529" t="s">
        <v>216</v>
      </c>
      <c r="R4529" t="s">
        <v>326</v>
      </c>
      <c r="S4529" t="s">
        <v>333</v>
      </c>
      <c r="T4529" t="s">
        <v>335</v>
      </c>
      <c r="U4529" t="s">
        <v>340</v>
      </c>
      <c r="V4529" t="s">
        <v>344</v>
      </c>
      <c r="W4529" t="s">
        <v>349</v>
      </c>
      <c r="AK4529" t="s">
        <v>361</v>
      </c>
    </row>
    <row r="4530" spans="1:37">
      <c r="A4530" t="s">
        <v>43</v>
      </c>
      <c r="B4530" t="s">
        <v>63</v>
      </c>
      <c r="C4530" t="s">
        <v>85</v>
      </c>
      <c r="D4530" t="s">
        <v>104</v>
      </c>
      <c r="E4530" t="s">
        <v>123</v>
      </c>
      <c r="F4530" t="s">
        <v>157</v>
      </c>
      <c r="G4530" t="s">
        <v>183</v>
      </c>
      <c r="AK4530" t="s">
        <v>361</v>
      </c>
    </row>
    <row r="4531" spans="1:37">
      <c r="A4531" t="s">
        <v>44</v>
      </c>
      <c r="B4531" t="s">
        <v>64</v>
      </c>
      <c r="C4531" t="s">
        <v>86</v>
      </c>
      <c r="D4531" t="s">
        <v>105</v>
      </c>
      <c r="E4531" t="s">
        <v>124</v>
      </c>
      <c r="F4531" t="s">
        <v>158</v>
      </c>
      <c r="G4531" t="s">
        <v>184</v>
      </c>
      <c r="AK4531" t="s">
        <v>361</v>
      </c>
    </row>
    <row r="4532" spans="1:37">
      <c r="A4532" t="s">
        <v>45</v>
      </c>
      <c r="B4532" t="s">
        <v>65</v>
      </c>
      <c r="C4532" t="s">
        <v>87</v>
      </c>
      <c r="D4532" t="s">
        <v>106</v>
      </c>
      <c r="E4532" t="s">
        <v>125</v>
      </c>
      <c r="F4532" t="s">
        <v>159</v>
      </c>
      <c r="G4532" t="s">
        <v>185</v>
      </c>
      <c r="H4532" t="s">
        <v>159</v>
      </c>
      <c r="I4532" t="s">
        <v>185</v>
      </c>
      <c r="J4532" t="s">
        <v>255</v>
      </c>
      <c r="AK4532" t="s">
        <v>361</v>
      </c>
    </row>
    <row r="4533" spans="1:37">
      <c r="A4533" t="s">
        <v>46</v>
      </c>
      <c r="B4533" t="s">
        <v>66</v>
      </c>
      <c r="C4533" t="s">
        <v>88</v>
      </c>
      <c r="D4533" t="s">
        <v>76</v>
      </c>
      <c r="E4533" t="s">
        <v>126</v>
      </c>
      <c r="F4533" t="s">
        <v>160</v>
      </c>
      <c r="G4533" t="s">
        <v>186</v>
      </c>
      <c r="H4533" t="s">
        <v>217</v>
      </c>
      <c r="I4533" t="s">
        <v>238</v>
      </c>
      <c r="J4533" t="s">
        <v>256</v>
      </c>
      <c r="K4533" t="s">
        <v>265</v>
      </c>
      <c r="L4533" t="s">
        <v>281</v>
      </c>
      <c r="M4533" t="s">
        <v>290</v>
      </c>
      <c r="N4533" t="s">
        <v>299</v>
      </c>
      <c r="O4533" t="s">
        <v>308</v>
      </c>
      <c r="P4533" t="s">
        <v>228</v>
      </c>
      <c r="Q4533" t="s">
        <v>72</v>
      </c>
      <c r="R4533" t="s">
        <v>327</v>
      </c>
      <c r="S4533" t="s">
        <v>327</v>
      </c>
      <c r="T4533" t="s">
        <v>336</v>
      </c>
      <c r="U4533" t="s">
        <v>336</v>
      </c>
      <c r="V4533" t="s">
        <v>336</v>
      </c>
      <c r="W4533" t="s">
        <v>336</v>
      </c>
      <c r="X4533" t="s">
        <v>353</v>
      </c>
      <c r="AK4533" t="s">
        <v>361</v>
      </c>
    </row>
    <row r="4534" spans="1:37">
      <c r="B4534" t="s">
        <v>67</v>
      </c>
      <c r="C4534" t="s">
        <v>89</v>
      </c>
      <c r="D4534" t="s">
        <v>107</v>
      </c>
      <c r="AK4534" t="s">
        <v>361</v>
      </c>
    </row>
    <row r="4535" spans="1:37">
      <c r="B4535" t="s">
        <v>68</v>
      </c>
      <c r="C4535" t="s">
        <v>90</v>
      </c>
      <c r="D4535" t="s">
        <v>108</v>
      </c>
      <c r="AK4535" t="s">
        <v>361</v>
      </c>
    </row>
    <row r="4536" spans="1:37">
      <c r="A4536" t="s">
        <v>47</v>
      </c>
      <c r="B4536" t="s">
        <v>69</v>
      </c>
      <c r="C4536" t="s">
        <v>91</v>
      </c>
      <c r="D4536" t="s">
        <v>109</v>
      </c>
      <c r="E4536" t="s">
        <v>109</v>
      </c>
      <c r="F4536" t="s">
        <v>109</v>
      </c>
      <c r="G4536" t="s">
        <v>109</v>
      </c>
      <c r="H4536" t="s">
        <v>109</v>
      </c>
      <c r="I4536" t="s">
        <v>239</v>
      </c>
      <c r="AK4536" t="s">
        <v>361</v>
      </c>
    </row>
    <row r="4537" spans="1:37">
      <c r="B4537" t="s">
        <v>70</v>
      </c>
      <c r="C4537" t="s">
        <v>92</v>
      </c>
      <c r="D4537" t="s">
        <v>110</v>
      </c>
      <c r="E4537" t="s">
        <v>127</v>
      </c>
      <c r="F4537" t="s">
        <v>161</v>
      </c>
      <c r="G4537" t="s">
        <v>187</v>
      </c>
      <c r="H4537" t="s">
        <v>218</v>
      </c>
      <c r="AK4537" t="s">
        <v>361</v>
      </c>
    </row>
    <row r="4538" spans="1:37">
      <c r="B4538" t="s">
        <v>71</v>
      </c>
      <c r="C4538" t="s">
        <v>93</v>
      </c>
      <c r="D4538" t="s">
        <v>111</v>
      </c>
      <c r="E4538" t="s">
        <v>128</v>
      </c>
      <c r="F4538" t="s">
        <v>162</v>
      </c>
      <c r="G4538" t="s">
        <v>188</v>
      </c>
      <c r="H4538" t="s">
        <v>219</v>
      </c>
      <c r="I4538" t="s">
        <v>240</v>
      </c>
      <c r="J4538" t="s">
        <v>257</v>
      </c>
      <c r="K4538" t="s">
        <v>269</v>
      </c>
      <c r="L4538" t="s">
        <v>109</v>
      </c>
      <c r="M4538" t="s">
        <v>109</v>
      </c>
      <c r="N4538" t="s">
        <v>109</v>
      </c>
      <c r="O4538" t="s">
        <v>109</v>
      </c>
      <c r="P4538" t="s">
        <v>109</v>
      </c>
      <c r="Q4538" t="s">
        <v>321</v>
      </c>
      <c r="AK4538" t="s">
        <v>361</v>
      </c>
    </row>
    <row r="4539" spans="1:37">
      <c r="A4539" t="s">
        <v>48</v>
      </c>
      <c r="B4539" t="s">
        <v>71</v>
      </c>
      <c r="C4539" t="s">
        <v>93</v>
      </c>
      <c r="D4539" t="s">
        <v>111</v>
      </c>
      <c r="E4539" t="s">
        <v>128</v>
      </c>
      <c r="F4539" t="s">
        <v>163</v>
      </c>
      <c r="G4539" t="s">
        <v>189</v>
      </c>
      <c r="H4539" t="s">
        <v>220</v>
      </c>
      <c r="I4539" t="s">
        <v>241</v>
      </c>
      <c r="J4539" t="s">
        <v>258</v>
      </c>
      <c r="K4539" t="s">
        <v>270</v>
      </c>
      <c r="AK4539" t="s">
        <v>361</v>
      </c>
    </row>
    <row r="4540" spans="1:37">
      <c r="B4540" t="s">
        <v>72</v>
      </c>
      <c r="C4540" t="s">
        <v>72</v>
      </c>
      <c r="D4540" t="s">
        <v>72</v>
      </c>
      <c r="E4540" t="s">
        <v>72</v>
      </c>
      <c r="F4540" t="s">
        <v>72</v>
      </c>
      <c r="G4540" t="s">
        <v>72</v>
      </c>
      <c r="H4540" t="s">
        <v>72</v>
      </c>
      <c r="I4540" t="s">
        <v>72</v>
      </c>
      <c r="J4540" t="s">
        <v>72</v>
      </c>
      <c r="K4540" t="s">
        <v>272</v>
      </c>
      <c r="AK4540" t="s">
        <v>361</v>
      </c>
    </row>
    <row r="4541" spans="1:37">
      <c r="A4541" t="s">
        <v>37</v>
      </c>
      <c r="B4541" t="s">
        <v>49</v>
      </c>
      <c r="C4541" t="s">
        <v>73</v>
      </c>
      <c r="D4541" t="s">
        <v>94</v>
      </c>
      <c r="E4541" t="s">
        <v>112</v>
      </c>
      <c r="F4541" t="s">
        <v>146</v>
      </c>
      <c r="G4541" t="s">
        <v>172</v>
      </c>
      <c r="H4541" t="s">
        <v>207</v>
      </c>
      <c r="I4541" t="s">
        <v>226</v>
      </c>
      <c r="J4541" t="s">
        <v>246</v>
      </c>
      <c r="K4541" t="s">
        <v>259</v>
      </c>
      <c r="AK4541" t="s">
        <v>361</v>
      </c>
    </row>
    <row r="4542" spans="1:37">
      <c r="A4542" t="s">
        <v>38</v>
      </c>
      <c r="B4542" t="s">
        <v>50</v>
      </c>
      <c r="C4542" t="s">
        <v>74</v>
      </c>
      <c r="D4542" t="s">
        <v>95</v>
      </c>
      <c r="E4542" t="s">
        <v>113</v>
      </c>
      <c r="F4542" t="s">
        <v>147</v>
      </c>
      <c r="G4542" t="s">
        <v>173</v>
      </c>
      <c r="H4542" t="s">
        <v>208</v>
      </c>
      <c r="I4542" t="s">
        <v>227</v>
      </c>
      <c r="J4542" t="s">
        <v>115</v>
      </c>
      <c r="K4542" t="s">
        <v>260</v>
      </c>
      <c r="L4542" t="s">
        <v>273</v>
      </c>
      <c r="M4542" t="s">
        <v>282</v>
      </c>
      <c r="N4542" t="s">
        <v>291</v>
      </c>
      <c r="AK4542" t="s">
        <v>361</v>
      </c>
    </row>
    <row r="4543" spans="1:37">
      <c r="B4543" t="s">
        <v>51</v>
      </c>
      <c r="C4543" t="s">
        <v>75</v>
      </c>
      <c r="D4543" t="s">
        <v>52</v>
      </c>
      <c r="E4543" t="s">
        <v>114</v>
      </c>
      <c r="F4543" t="s">
        <v>148</v>
      </c>
      <c r="G4543" t="s">
        <v>148</v>
      </c>
      <c r="H4543" t="s">
        <v>209</v>
      </c>
      <c r="I4543" t="s">
        <v>228</v>
      </c>
      <c r="J4543" t="s">
        <v>247</v>
      </c>
      <c r="K4543" t="s">
        <v>261</v>
      </c>
      <c r="L4543" t="s">
        <v>274</v>
      </c>
      <c r="M4543" t="s">
        <v>283</v>
      </c>
      <c r="N4543" t="s">
        <v>292</v>
      </c>
      <c r="O4543" t="s">
        <v>300</v>
      </c>
      <c r="AK4543" t="s">
        <v>361</v>
      </c>
    </row>
    <row r="4544" spans="1:37">
      <c r="B4544" t="s">
        <v>52</v>
      </c>
      <c r="C4544" t="s">
        <v>76</v>
      </c>
      <c r="D4544" t="s">
        <v>96</v>
      </c>
      <c r="E4544" t="s">
        <v>115</v>
      </c>
      <c r="F4544" t="s">
        <v>149</v>
      </c>
      <c r="G4544" t="s">
        <v>174</v>
      </c>
      <c r="H4544" t="s">
        <v>96</v>
      </c>
      <c r="I4544" t="s">
        <v>229</v>
      </c>
      <c r="J4544" t="s">
        <v>248</v>
      </c>
      <c r="K4544" t="s">
        <v>262</v>
      </c>
      <c r="L4544" t="s">
        <v>52</v>
      </c>
      <c r="M4544" t="s">
        <v>76</v>
      </c>
      <c r="N4544" t="s">
        <v>293</v>
      </c>
      <c r="O4544" t="s">
        <v>301</v>
      </c>
      <c r="P4544" t="s">
        <v>309</v>
      </c>
      <c r="Q4544" t="s">
        <v>315</v>
      </c>
      <c r="R4544" t="s">
        <v>228</v>
      </c>
      <c r="S4544" t="s">
        <v>328</v>
      </c>
      <c r="T4544" t="s">
        <v>149</v>
      </c>
      <c r="U4544" t="s">
        <v>337</v>
      </c>
      <c r="V4544" t="s">
        <v>341</v>
      </c>
      <c r="W4544" t="s">
        <v>345</v>
      </c>
      <c r="X4544" t="s">
        <v>350</v>
      </c>
      <c r="AK4544" t="s">
        <v>361</v>
      </c>
    </row>
    <row r="4545" spans="1:37">
      <c r="B4545" t="s">
        <v>53</v>
      </c>
      <c r="C4545" t="s">
        <v>77</v>
      </c>
      <c r="D4545" t="s">
        <v>97</v>
      </c>
      <c r="E4545" t="s">
        <v>116</v>
      </c>
      <c r="F4545" t="s">
        <v>150</v>
      </c>
      <c r="G4545" t="s">
        <v>175</v>
      </c>
      <c r="H4545" t="s">
        <v>210</v>
      </c>
      <c r="I4545" t="s">
        <v>230</v>
      </c>
      <c r="J4545" t="s">
        <v>249</v>
      </c>
      <c r="K4545" t="s">
        <v>263</v>
      </c>
      <c r="L4545" t="s">
        <v>275</v>
      </c>
      <c r="M4545" t="s">
        <v>284</v>
      </c>
      <c r="N4545" t="s">
        <v>294</v>
      </c>
      <c r="O4545" t="s">
        <v>302</v>
      </c>
      <c r="P4545" t="s">
        <v>310</v>
      </c>
      <c r="Q4545" t="s">
        <v>316</v>
      </c>
      <c r="R4545" t="s">
        <v>322</v>
      </c>
      <c r="S4545" t="s">
        <v>329</v>
      </c>
      <c r="AK4545" t="s">
        <v>361</v>
      </c>
    </row>
    <row r="4546" spans="1:37">
      <c r="A4546" t="s">
        <v>39</v>
      </c>
      <c r="B4546" t="s">
        <v>54</v>
      </c>
      <c r="C4546" t="s">
        <v>54</v>
      </c>
      <c r="D4546" t="s">
        <v>54</v>
      </c>
      <c r="E4546" t="s">
        <v>54</v>
      </c>
      <c r="F4546" t="s">
        <v>54</v>
      </c>
      <c r="G4546" t="s">
        <v>54</v>
      </c>
      <c r="H4546" t="s">
        <v>54</v>
      </c>
      <c r="I4546" t="s">
        <v>54</v>
      </c>
      <c r="J4546" t="s">
        <v>54</v>
      </c>
      <c r="K4546" t="s">
        <v>54</v>
      </c>
      <c r="L4546" t="s">
        <v>54</v>
      </c>
      <c r="M4546" t="s">
        <v>54</v>
      </c>
      <c r="N4546" t="s">
        <v>54</v>
      </c>
      <c r="O4546" t="s">
        <v>54</v>
      </c>
      <c r="P4546" t="s">
        <v>54</v>
      </c>
      <c r="Q4546" t="s">
        <v>54</v>
      </c>
      <c r="R4546" t="s">
        <v>323</v>
      </c>
      <c r="S4546" t="s">
        <v>330</v>
      </c>
      <c r="AK4546" t="s">
        <v>361</v>
      </c>
    </row>
    <row r="4547" spans="1:37">
      <c r="B4547" t="s">
        <v>55</v>
      </c>
      <c r="C4547" t="s">
        <v>78</v>
      </c>
      <c r="D4547" t="s">
        <v>55</v>
      </c>
      <c r="E4547" t="s">
        <v>78</v>
      </c>
      <c r="F4547" t="s">
        <v>55</v>
      </c>
      <c r="G4547" t="s">
        <v>78</v>
      </c>
      <c r="H4547" t="s">
        <v>55</v>
      </c>
      <c r="I4547" t="s">
        <v>78</v>
      </c>
      <c r="J4547" t="s">
        <v>55</v>
      </c>
      <c r="K4547" t="s">
        <v>78</v>
      </c>
      <c r="L4547" t="s">
        <v>55</v>
      </c>
      <c r="M4547" t="s">
        <v>78</v>
      </c>
      <c r="N4547" t="s">
        <v>55</v>
      </c>
      <c r="O4547" t="s">
        <v>78</v>
      </c>
      <c r="P4547" t="s">
        <v>55</v>
      </c>
      <c r="Q4547" t="s">
        <v>78</v>
      </c>
      <c r="R4547" t="s">
        <v>55</v>
      </c>
      <c r="S4547" t="s">
        <v>78</v>
      </c>
      <c r="T4547" t="s">
        <v>55</v>
      </c>
      <c r="U4547" t="s">
        <v>78</v>
      </c>
      <c r="V4547" t="s">
        <v>55</v>
      </c>
      <c r="W4547" t="s">
        <v>78</v>
      </c>
      <c r="X4547" t="s">
        <v>55</v>
      </c>
      <c r="Y4547" t="s">
        <v>78</v>
      </c>
      <c r="Z4547" t="s">
        <v>55</v>
      </c>
      <c r="AA4547" t="s">
        <v>78</v>
      </c>
      <c r="AB4547" t="s">
        <v>55</v>
      </c>
      <c r="AC4547" t="s">
        <v>78</v>
      </c>
      <c r="AD4547" t="s">
        <v>55</v>
      </c>
      <c r="AE4547" t="s">
        <v>78</v>
      </c>
      <c r="AF4547" t="s">
        <v>55</v>
      </c>
      <c r="AG4547" t="s">
        <v>78</v>
      </c>
      <c r="AH4547" t="s">
        <v>55</v>
      </c>
      <c r="AI4547" t="s">
        <v>78</v>
      </c>
      <c r="AK4547" t="s">
        <v>361</v>
      </c>
    </row>
    <row r="4548" spans="1:37">
      <c r="B4548" t="s">
        <v>56</v>
      </c>
      <c r="C4548" t="s">
        <v>56</v>
      </c>
      <c r="D4548" t="s">
        <v>56</v>
      </c>
      <c r="E4548" t="s">
        <v>56</v>
      </c>
      <c r="F4548" t="s">
        <v>56</v>
      </c>
      <c r="G4548" t="s">
        <v>176</v>
      </c>
      <c r="H4548" t="s">
        <v>211</v>
      </c>
      <c r="I4548" t="s">
        <v>231</v>
      </c>
      <c r="J4548" t="s">
        <v>250</v>
      </c>
      <c r="K4548" t="s">
        <v>264</v>
      </c>
      <c r="L4548" t="s">
        <v>276</v>
      </c>
      <c r="M4548" t="s">
        <v>285</v>
      </c>
      <c r="N4548" t="s">
        <v>295</v>
      </c>
      <c r="O4548" t="s">
        <v>303</v>
      </c>
      <c r="P4548" t="s">
        <v>56</v>
      </c>
      <c r="Q4548" t="s">
        <v>317</v>
      </c>
      <c r="R4548" t="s">
        <v>324</v>
      </c>
      <c r="S4548" t="s">
        <v>331</v>
      </c>
      <c r="T4548" t="s">
        <v>334</v>
      </c>
      <c r="U4548" t="s">
        <v>338</v>
      </c>
      <c r="V4548" t="s">
        <v>342</v>
      </c>
      <c r="W4548" t="s">
        <v>346</v>
      </c>
      <c r="X4548" t="s">
        <v>351</v>
      </c>
      <c r="AK4548" t="s">
        <v>361</v>
      </c>
    </row>
    <row r="4549" spans="1:37">
      <c r="B4549" t="s">
        <v>57</v>
      </c>
      <c r="C4549" t="s">
        <v>79</v>
      </c>
      <c r="D4549" t="s">
        <v>98</v>
      </c>
      <c r="E4549" t="s">
        <v>117</v>
      </c>
      <c r="F4549" t="s">
        <v>151</v>
      </c>
      <c r="G4549" t="s">
        <v>177</v>
      </c>
      <c r="H4549" t="s">
        <v>212</v>
      </c>
      <c r="I4549" t="s">
        <v>232</v>
      </c>
      <c r="J4549" t="s">
        <v>251</v>
      </c>
      <c r="K4549" t="s">
        <v>265</v>
      </c>
      <c r="L4549" t="s">
        <v>277</v>
      </c>
      <c r="M4549" t="s">
        <v>286</v>
      </c>
      <c r="N4549" t="s">
        <v>296</v>
      </c>
      <c r="O4549" t="s">
        <v>304</v>
      </c>
      <c r="P4549" t="s">
        <v>311</v>
      </c>
      <c r="Q4549" t="s">
        <v>318</v>
      </c>
      <c r="R4549" t="s">
        <v>185</v>
      </c>
      <c r="S4549" t="s">
        <v>159</v>
      </c>
      <c r="T4549" t="s">
        <v>185</v>
      </c>
      <c r="U4549" t="s">
        <v>339</v>
      </c>
      <c r="V4549" t="s">
        <v>72</v>
      </c>
      <c r="W4549" t="s">
        <v>347</v>
      </c>
      <c r="X4549" t="s">
        <v>72</v>
      </c>
      <c r="Y4549" t="s">
        <v>96</v>
      </c>
      <c r="AK4549" t="s">
        <v>361</v>
      </c>
    </row>
    <row r="4550" spans="1:37">
      <c r="B4550" t="s">
        <v>58</v>
      </c>
      <c r="C4550" t="s">
        <v>80</v>
      </c>
      <c r="D4550" t="s">
        <v>99</v>
      </c>
      <c r="E4550" t="s">
        <v>118</v>
      </c>
      <c r="F4550" t="s">
        <v>152</v>
      </c>
      <c r="G4550" t="s">
        <v>178</v>
      </c>
      <c r="H4550" t="s">
        <v>213</v>
      </c>
      <c r="I4550" t="s">
        <v>233</v>
      </c>
      <c r="J4550" t="s">
        <v>252</v>
      </c>
      <c r="K4550" t="s">
        <v>266</v>
      </c>
      <c r="L4550" t="s">
        <v>278</v>
      </c>
      <c r="M4550" t="s">
        <v>287</v>
      </c>
      <c r="N4550" t="s">
        <v>297</v>
      </c>
      <c r="O4550" t="s">
        <v>305</v>
      </c>
      <c r="P4550" t="s">
        <v>312</v>
      </c>
      <c r="Q4550" t="s">
        <v>319</v>
      </c>
      <c r="R4550">
        <f>&gt;10       ветра      1.5     20   4</f>
        <v>0</v>
      </c>
      <c r="AK4550" t="s">
        <v>361</v>
      </c>
    </row>
    <row r="4551" spans="1:37">
      <c r="A4551" t="s">
        <v>40</v>
      </c>
      <c r="B4551" t="s">
        <v>59</v>
      </c>
      <c r="C4551" t="s">
        <v>81</v>
      </c>
      <c r="D4551" t="s">
        <v>100</v>
      </c>
      <c r="E4551" t="s">
        <v>119</v>
      </c>
      <c r="F4551" t="s">
        <v>153</v>
      </c>
      <c r="G4551" t="s">
        <v>179</v>
      </c>
      <c r="H4551" t="s">
        <v>214</v>
      </c>
      <c r="I4551" t="s">
        <v>234</v>
      </c>
      <c r="AK4551" t="s">
        <v>361</v>
      </c>
    </row>
    <row r="4552" spans="1:37">
      <c r="A4552" t="s">
        <v>40</v>
      </c>
      <c r="B4552" t="s">
        <v>60</v>
      </c>
      <c r="C4552" t="s">
        <v>82</v>
      </c>
      <c r="D4552" t="s">
        <v>101</v>
      </c>
      <c r="E4552" t="s">
        <v>120</v>
      </c>
      <c r="F4552" t="s">
        <v>154</v>
      </c>
      <c r="G4552" t="s">
        <v>180</v>
      </c>
      <c r="H4552" t="s">
        <v>215</v>
      </c>
      <c r="I4552" t="s">
        <v>235</v>
      </c>
      <c r="J4552" t="s">
        <v>253</v>
      </c>
      <c r="K4552" t="s">
        <v>267</v>
      </c>
      <c r="L4552" t="s">
        <v>279</v>
      </c>
      <c r="M4552" t="s">
        <v>288</v>
      </c>
      <c r="N4552" t="s">
        <v>100</v>
      </c>
      <c r="O4552" t="s">
        <v>306</v>
      </c>
      <c r="P4552" t="s">
        <v>313</v>
      </c>
      <c r="Q4552" t="s">
        <v>320</v>
      </c>
      <c r="R4552" t="s">
        <v>325</v>
      </c>
      <c r="S4552" t="s">
        <v>332</v>
      </c>
      <c r="T4552" t="s">
        <v>119</v>
      </c>
      <c r="U4552" t="s">
        <v>234</v>
      </c>
      <c r="V4552" t="s">
        <v>343</v>
      </c>
      <c r="W4552" t="s">
        <v>348</v>
      </c>
      <c r="X4552" t="s">
        <v>352</v>
      </c>
      <c r="Y4552" t="s">
        <v>354</v>
      </c>
      <c r="AK4552" t="s">
        <v>361</v>
      </c>
    </row>
    <row r="4553" spans="1:37">
      <c r="A4553" t="s">
        <v>41</v>
      </c>
      <c r="B4553" t="s">
        <v>61</v>
      </c>
      <c r="C4553" t="s">
        <v>83</v>
      </c>
      <c r="D4553" t="s">
        <v>102</v>
      </c>
      <c r="E4553" t="s">
        <v>121</v>
      </c>
      <c r="F4553" t="s">
        <v>155</v>
      </c>
      <c r="G4553" t="s">
        <v>181</v>
      </c>
      <c r="H4553" t="s">
        <v>216</v>
      </c>
      <c r="I4553" t="s">
        <v>236</v>
      </c>
      <c r="AK4553" t="s">
        <v>361</v>
      </c>
    </row>
    <row r="4554" spans="1:37">
      <c r="A4554" t="s">
        <v>42</v>
      </c>
      <c r="B4554" t="s">
        <v>62</v>
      </c>
      <c r="C4554" t="s">
        <v>84</v>
      </c>
      <c r="D4554" t="s">
        <v>103</v>
      </c>
      <c r="E4554" t="s">
        <v>122</v>
      </c>
      <c r="F4554" t="s">
        <v>156</v>
      </c>
      <c r="G4554" t="s">
        <v>182</v>
      </c>
      <c r="H4554" t="s">
        <v>83</v>
      </c>
      <c r="I4554" t="s">
        <v>237</v>
      </c>
      <c r="J4554" t="s">
        <v>254</v>
      </c>
      <c r="K4554" t="s">
        <v>268</v>
      </c>
      <c r="L4554" t="s">
        <v>280</v>
      </c>
      <c r="M4554" t="s">
        <v>289</v>
      </c>
      <c r="N4554" t="s">
        <v>298</v>
      </c>
      <c r="O4554" t="s">
        <v>307</v>
      </c>
      <c r="P4554" t="s">
        <v>314</v>
      </c>
      <c r="Q4554" t="s">
        <v>216</v>
      </c>
      <c r="R4554" t="s">
        <v>326</v>
      </c>
      <c r="S4554" t="s">
        <v>333</v>
      </c>
      <c r="T4554" t="s">
        <v>335</v>
      </c>
      <c r="U4554" t="s">
        <v>340</v>
      </c>
      <c r="V4554" t="s">
        <v>344</v>
      </c>
      <c r="W4554" t="s">
        <v>349</v>
      </c>
      <c r="AK4554" t="s">
        <v>361</v>
      </c>
    </row>
    <row r="4555" spans="1:37">
      <c r="A4555" t="s">
        <v>43</v>
      </c>
      <c r="B4555" t="s">
        <v>63</v>
      </c>
      <c r="C4555" t="s">
        <v>85</v>
      </c>
      <c r="D4555" t="s">
        <v>104</v>
      </c>
      <c r="E4555" t="s">
        <v>123</v>
      </c>
      <c r="F4555" t="s">
        <v>157</v>
      </c>
      <c r="G4555" t="s">
        <v>183</v>
      </c>
      <c r="AK4555" t="s">
        <v>361</v>
      </c>
    </row>
    <row r="4556" spans="1:37">
      <c r="A4556" t="s">
        <v>44</v>
      </c>
      <c r="B4556" t="s">
        <v>64</v>
      </c>
      <c r="C4556" t="s">
        <v>86</v>
      </c>
      <c r="D4556" t="s">
        <v>105</v>
      </c>
      <c r="E4556" t="s">
        <v>124</v>
      </c>
      <c r="F4556" t="s">
        <v>158</v>
      </c>
      <c r="G4556" t="s">
        <v>184</v>
      </c>
      <c r="AK4556" t="s">
        <v>361</v>
      </c>
    </row>
    <row r="4557" spans="1:37">
      <c r="A4557" t="s">
        <v>45</v>
      </c>
      <c r="B4557" t="s">
        <v>65</v>
      </c>
      <c r="C4557" t="s">
        <v>87</v>
      </c>
      <c r="D4557" t="s">
        <v>106</v>
      </c>
      <c r="E4557" t="s">
        <v>125</v>
      </c>
      <c r="F4557" t="s">
        <v>159</v>
      </c>
      <c r="G4557" t="s">
        <v>185</v>
      </c>
      <c r="H4557" t="s">
        <v>159</v>
      </c>
      <c r="I4557" t="s">
        <v>185</v>
      </c>
      <c r="J4557" t="s">
        <v>255</v>
      </c>
      <c r="AK4557" t="s">
        <v>361</v>
      </c>
    </row>
    <row r="4558" spans="1:37">
      <c r="A4558" t="s">
        <v>46</v>
      </c>
      <c r="B4558" t="s">
        <v>66</v>
      </c>
      <c r="C4558" t="s">
        <v>88</v>
      </c>
      <c r="D4558" t="s">
        <v>76</v>
      </c>
      <c r="E4558" t="s">
        <v>126</v>
      </c>
      <c r="F4558" t="s">
        <v>160</v>
      </c>
      <c r="G4558" t="s">
        <v>186</v>
      </c>
      <c r="H4558" t="s">
        <v>217</v>
      </c>
      <c r="I4558" t="s">
        <v>238</v>
      </c>
      <c r="J4558" t="s">
        <v>256</v>
      </c>
      <c r="K4558" t="s">
        <v>265</v>
      </c>
      <c r="L4558" t="s">
        <v>281</v>
      </c>
      <c r="M4558" t="s">
        <v>290</v>
      </c>
      <c r="N4558" t="s">
        <v>299</v>
      </c>
      <c r="O4558" t="s">
        <v>308</v>
      </c>
      <c r="P4558" t="s">
        <v>228</v>
      </c>
      <c r="Q4558" t="s">
        <v>72</v>
      </c>
      <c r="R4558" t="s">
        <v>327</v>
      </c>
      <c r="S4558" t="s">
        <v>327</v>
      </c>
      <c r="T4558" t="s">
        <v>336</v>
      </c>
      <c r="U4558" t="s">
        <v>336</v>
      </c>
      <c r="V4558" t="s">
        <v>336</v>
      </c>
      <c r="W4558" t="s">
        <v>336</v>
      </c>
      <c r="X4558" t="s">
        <v>353</v>
      </c>
      <c r="AK4558" t="s">
        <v>361</v>
      </c>
    </row>
    <row r="4559" spans="1:37">
      <c r="B4559" t="s">
        <v>67</v>
      </c>
      <c r="C4559" t="s">
        <v>89</v>
      </c>
      <c r="D4559" t="s">
        <v>107</v>
      </c>
      <c r="AK4559" t="s">
        <v>361</v>
      </c>
    </row>
    <row r="4560" spans="1:37">
      <c r="B4560" t="s">
        <v>68</v>
      </c>
      <c r="C4560" t="s">
        <v>90</v>
      </c>
      <c r="D4560" t="s">
        <v>108</v>
      </c>
      <c r="AK4560" t="s">
        <v>361</v>
      </c>
    </row>
    <row r="4561" spans="1:37">
      <c r="A4561" t="s">
        <v>47</v>
      </c>
      <c r="B4561" t="s">
        <v>69</v>
      </c>
      <c r="C4561" t="s">
        <v>91</v>
      </c>
      <c r="D4561" t="s">
        <v>109</v>
      </c>
      <c r="E4561" t="s">
        <v>109</v>
      </c>
      <c r="F4561" t="s">
        <v>109</v>
      </c>
      <c r="G4561" t="s">
        <v>109</v>
      </c>
      <c r="H4561" t="s">
        <v>109</v>
      </c>
      <c r="I4561" t="s">
        <v>239</v>
      </c>
      <c r="AK4561" t="s">
        <v>361</v>
      </c>
    </row>
    <row r="4562" spans="1:37">
      <c r="B4562" t="s">
        <v>70</v>
      </c>
      <c r="C4562" t="s">
        <v>92</v>
      </c>
      <c r="D4562" t="s">
        <v>110</v>
      </c>
      <c r="E4562" t="s">
        <v>127</v>
      </c>
      <c r="F4562" t="s">
        <v>161</v>
      </c>
      <c r="G4562" t="s">
        <v>187</v>
      </c>
      <c r="H4562" t="s">
        <v>218</v>
      </c>
      <c r="AK4562" t="s">
        <v>361</v>
      </c>
    </row>
    <row r="4563" spans="1:37">
      <c r="B4563" t="s">
        <v>71</v>
      </c>
      <c r="C4563" t="s">
        <v>93</v>
      </c>
      <c r="D4563" t="s">
        <v>111</v>
      </c>
      <c r="E4563" t="s">
        <v>128</v>
      </c>
      <c r="F4563" t="s">
        <v>162</v>
      </c>
      <c r="G4563" t="s">
        <v>188</v>
      </c>
      <c r="H4563" t="s">
        <v>219</v>
      </c>
      <c r="I4563" t="s">
        <v>240</v>
      </c>
      <c r="J4563" t="s">
        <v>257</v>
      </c>
      <c r="K4563" t="s">
        <v>269</v>
      </c>
      <c r="L4563" t="s">
        <v>109</v>
      </c>
      <c r="M4563" t="s">
        <v>109</v>
      </c>
      <c r="N4563" t="s">
        <v>109</v>
      </c>
      <c r="O4563" t="s">
        <v>109</v>
      </c>
      <c r="P4563" t="s">
        <v>109</v>
      </c>
      <c r="Q4563" t="s">
        <v>321</v>
      </c>
      <c r="AK4563" t="s">
        <v>361</v>
      </c>
    </row>
    <row r="4564" spans="1:37">
      <c r="A4564" t="s">
        <v>48</v>
      </c>
      <c r="B4564" t="s">
        <v>71</v>
      </c>
      <c r="C4564" t="s">
        <v>93</v>
      </c>
      <c r="D4564" t="s">
        <v>111</v>
      </c>
      <c r="E4564" t="s">
        <v>128</v>
      </c>
      <c r="F4564" t="s">
        <v>163</v>
      </c>
      <c r="G4564" t="s">
        <v>189</v>
      </c>
      <c r="H4564" t="s">
        <v>220</v>
      </c>
      <c r="I4564" t="s">
        <v>241</v>
      </c>
      <c r="J4564" t="s">
        <v>258</v>
      </c>
      <c r="K4564" t="s">
        <v>270</v>
      </c>
      <c r="AK4564" t="s">
        <v>361</v>
      </c>
    </row>
    <row r="4565" spans="1:37">
      <c r="B4565" t="s">
        <v>72</v>
      </c>
      <c r="C4565" t="s">
        <v>72</v>
      </c>
      <c r="D4565" t="s">
        <v>72</v>
      </c>
      <c r="E4565" t="s">
        <v>139</v>
      </c>
      <c r="F4565" t="s">
        <v>139</v>
      </c>
      <c r="G4565" t="s">
        <v>192</v>
      </c>
      <c r="H4565" t="s">
        <v>192</v>
      </c>
      <c r="I4565" t="s">
        <v>192</v>
      </c>
      <c r="J4565" t="s">
        <v>192</v>
      </c>
      <c r="K4565" t="s">
        <v>272</v>
      </c>
      <c r="AK4565" t="s">
        <v>361</v>
      </c>
    </row>
    <row r="4566" spans="1:37">
      <c r="A4566" t="s">
        <v>37</v>
      </c>
      <c r="B4566" t="s">
        <v>49</v>
      </c>
      <c r="C4566" t="s">
        <v>73</v>
      </c>
      <c r="D4566" t="s">
        <v>94</v>
      </c>
      <c r="E4566" t="s">
        <v>112</v>
      </c>
      <c r="F4566" t="s">
        <v>146</v>
      </c>
      <c r="G4566" t="s">
        <v>172</v>
      </c>
      <c r="H4566" t="s">
        <v>207</v>
      </c>
      <c r="I4566" t="s">
        <v>226</v>
      </c>
      <c r="J4566" t="s">
        <v>246</v>
      </c>
      <c r="K4566" t="s">
        <v>259</v>
      </c>
      <c r="AK4566" t="s">
        <v>361</v>
      </c>
    </row>
    <row r="4567" spans="1:37">
      <c r="A4567" t="s">
        <v>38</v>
      </c>
      <c r="B4567" t="s">
        <v>50</v>
      </c>
      <c r="C4567" t="s">
        <v>74</v>
      </c>
      <c r="D4567" t="s">
        <v>95</v>
      </c>
      <c r="E4567" t="s">
        <v>113</v>
      </c>
      <c r="F4567" t="s">
        <v>147</v>
      </c>
      <c r="G4567" t="s">
        <v>173</v>
      </c>
      <c r="H4567" t="s">
        <v>208</v>
      </c>
      <c r="I4567" t="s">
        <v>227</v>
      </c>
      <c r="J4567" t="s">
        <v>115</v>
      </c>
      <c r="K4567" t="s">
        <v>260</v>
      </c>
      <c r="L4567" t="s">
        <v>273</v>
      </c>
      <c r="M4567" t="s">
        <v>282</v>
      </c>
      <c r="N4567" t="s">
        <v>291</v>
      </c>
      <c r="AK4567" t="s">
        <v>361</v>
      </c>
    </row>
    <row r="4568" spans="1:37">
      <c r="B4568" t="s">
        <v>51</v>
      </c>
      <c r="C4568" t="s">
        <v>75</v>
      </c>
      <c r="D4568" t="s">
        <v>52</v>
      </c>
      <c r="E4568" t="s">
        <v>114</v>
      </c>
      <c r="F4568" t="s">
        <v>148</v>
      </c>
      <c r="G4568" t="s">
        <v>148</v>
      </c>
      <c r="H4568" t="s">
        <v>209</v>
      </c>
      <c r="I4568" t="s">
        <v>228</v>
      </c>
      <c r="J4568" t="s">
        <v>247</v>
      </c>
      <c r="K4568" t="s">
        <v>261</v>
      </c>
      <c r="L4568" t="s">
        <v>274</v>
      </c>
      <c r="M4568" t="s">
        <v>283</v>
      </c>
      <c r="N4568" t="s">
        <v>292</v>
      </c>
      <c r="O4568" t="s">
        <v>300</v>
      </c>
      <c r="AK4568" t="s">
        <v>361</v>
      </c>
    </row>
    <row r="4569" spans="1:37">
      <c r="B4569" t="s">
        <v>52</v>
      </c>
      <c r="C4569" t="s">
        <v>76</v>
      </c>
      <c r="D4569" t="s">
        <v>96</v>
      </c>
      <c r="E4569" t="s">
        <v>115</v>
      </c>
      <c r="F4569" t="s">
        <v>149</v>
      </c>
      <c r="G4569" t="s">
        <v>174</v>
      </c>
      <c r="H4569" t="s">
        <v>96</v>
      </c>
      <c r="I4569" t="s">
        <v>229</v>
      </c>
      <c r="J4569" t="s">
        <v>248</v>
      </c>
      <c r="K4569" t="s">
        <v>262</v>
      </c>
      <c r="L4569" t="s">
        <v>52</v>
      </c>
      <c r="M4569" t="s">
        <v>76</v>
      </c>
      <c r="N4569" t="s">
        <v>293</v>
      </c>
      <c r="O4569" t="s">
        <v>301</v>
      </c>
      <c r="P4569" t="s">
        <v>309</v>
      </c>
      <c r="Q4569" t="s">
        <v>315</v>
      </c>
      <c r="R4569" t="s">
        <v>228</v>
      </c>
      <c r="S4569" t="s">
        <v>328</v>
      </c>
      <c r="T4569" t="s">
        <v>149</v>
      </c>
      <c r="U4569" t="s">
        <v>337</v>
      </c>
      <c r="V4569" t="s">
        <v>341</v>
      </c>
      <c r="W4569" t="s">
        <v>345</v>
      </c>
      <c r="X4569" t="s">
        <v>350</v>
      </c>
      <c r="AK4569" t="s">
        <v>361</v>
      </c>
    </row>
    <row r="4570" spans="1:37">
      <c r="B4570" t="s">
        <v>53</v>
      </c>
      <c r="C4570" t="s">
        <v>77</v>
      </c>
      <c r="D4570" t="s">
        <v>97</v>
      </c>
      <c r="E4570" t="s">
        <v>116</v>
      </c>
      <c r="F4570" t="s">
        <v>150</v>
      </c>
      <c r="G4570" t="s">
        <v>175</v>
      </c>
      <c r="H4570" t="s">
        <v>210</v>
      </c>
      <c r="I4570" t="s">
        <v>230</v>
      </c>
      <c r="J4570" t="s">
        <v>249</v>
      </c>
      <c r="K4570" t="s">
        <v>263</v>
      </c>
      <c r="L4570" t="s">
        <v>275</v>
      </c>
      <c r="M4570" t="s">
        <v>284</v>
      </c>
      <c r="N4570" t="s">
        <v>294</v>
      </c>
      <c r="O4570" t="s">
        <v>302</v>
      </c>
      <c r="P4570" t="s">
        <v>310</v>
      </c>
      <c r="Q4570" t="s">
        <v>316</v>
      </c>
      <c r="R4570" t="s">
        <v>322</v>
      </c>
      <c r="S4570" t="s">
        <v>329</v>
      </c>
      <c r="AK4570" t="s">
        <v>361</v>
      </c>
    </row>
    <row r="4571" spans="1:37">
      <c r="A4571" t="s">
        <v>39</v>
      </c>
      <c r="B4571" t="s">
        <v>54</v>
      </c>
      <c r="C4571" t="s">
        <v>54</v>
      </c>
      <c r="D4571" t="s">
        <v>54</v>
      </c>
      <c r="E4571" t="s">
        <v>54</v>
      </c>
      <c r="F4571" t="s">
        <v>54</v>
      </c>
      <c r="G4571" t="s">
        <v>54</v>
      </c>
      <c r="H4571" t="s">
        <v>54</v>
      </c>
      <c r="I4571" t="s">
        <v>54</v>
      </c>
      <c r="J4571" t="s">
        <v>54</v>
      </c>
      <c r="K4571" t="s">
        <v>54</v>
      </c>
      <c r="L4571" t="s">
        <v>54</v>
      </c>
      <c r="M4571" t="s">
        <v>54</v>
      </c>
      <c r="N4571" t="s">
        <v>54</v>
      </c>
      <c r="O4571" t="s">
        <v>54</v>
      </c>
      <c r="P4571" t="s">
        <v>54</v>
      </c>
      <c r="Q4571" t="s">
        <v>54</v>
      </c>
      <c r="R4571" t="s">
        <v>323</v>
      </c>
      <c r="S4571" t="s">
        <v>330</v>
      </c>
      <c r="AK4571" t="s">
        <v>361</v>
      </c>
    </row>
    <row r="4572" spans="1:37">
      <c r="B4572" t="s">
        <v>55</v>
      </c>
      <c r="C4572" t="s">
        <v>78</v>
      </c>
      <c r="D4572" t="s">
        <v>55</v>
      </c>
      <c r="E4572" t="s">
        <v>78</v>
      </c>
      <c r="F4572" t="s">
        <v>55</v>
      </c>
      <c r="G4572" t="s">
        <v>78</v>
      </c>
      <c r="H4572" t="s">
        <v>55</v>
      </c>
      <c r="I4572" t="s">
        <v>78</v>
      </c>
      <c r="J4572" t="s">
        <v>55</v>
      </c>
      <c r="K4572" t="s">
        <v>78</v>
      </c>
      <c r="L4572" t="s">
        <v>55</v>
      </c>
      <c r="M4572" t="s">
        <v>78</v>
      </c>
      <c r="N4572" t="s">
        <v>55</v>
      </c>
      <c r="O4572" t="s">
        <v>78</v>
      </c>
      <c r="P4572" t="s">
        <v>55</v>
      </c>
      <c r="Q4572" t="s">
        <v>78</v>
      </c>
      <c r="R4572" t="s">
        <v>55</v>
      </c>
      <c r="S4572" t="s">
        <v>78</v>
      </c>
      <c r="T4572" t="s">
        <v>55</v>
      </c>
      <c r="U4572" t="s">
        <v>78</v>
      </c>
      <c r="V4572" t="s">
        <v>55</v>
      </c>
      <c r="W4572" t="s">
        <v>78</v>
      </c>
      <c r="X4572" t="s">
        <v>55</v>
      </c>
      <c r="Y4572" t="s">
        <v>78</v>
      </c>
      <c r="Z4572" t="s">
        <v>55</v>
      </c>
      <c r="AA4572" t="s">
        <v>78</v>
      </c>
      <c r="AB4572" t="s">
        <v>55</v>
      </c>
      <c r="AC4572" t="s">
        <v>78</v>
      </c>
      <c r="AD4572" t="s">
        <v>55</v>
      </c>
      <c r="AE4572" t="s">
        <v>78</v>
      </c>
      <c r="AF4572" t="s">
        <v>55</v>
      </c>
      <c r="AG4572" t="s">
        <v>78</v>
      </c>
      <c r="AH4572" t="s">
        <v>55</v>
      </c>
      <c r="AI4572" t="s">
        <v>78</v>
      </c>
      <c r="AK4572" t="s">
        <v>361</v>
      </c>
    </row>
    <row r="4573" spans="1:37">
      <c r="B4573" t="s">
        <v>56</v>
      </c>
      <c r="C4573" t="s">
        <v>56</v>
      </c>
      <c r="D4573" t="s">
        <v>56</v>
      </c>
      <c r="E4573" t="s">
        <v>56</v>
      </c>
      <c r="F4573" t="s">
        <v>56</v>
      </c>
      <c r="G4573" t="s">
        <v>176</v>
      </c>
      <c r="H4573" t="s">
        <v>211</v>
      </c>
      <c r="I4573" t="s">
        <v>231</v>
      </c>
      <c r="J4573" t="s">
        <v>250</v>
      </c>
      <c r="K4573" t="s">
        <v>264</v>
      </c>
      <c r="L4573" t="s">
        <v>276</v>
      </c>
      <c r="M4573" t="s">
        <v>285</v>
      </c>
      <c r="N4573" t="s">
        <v>295</v>
      </c>
      <c r="O4573" t="s">
        <v>303</v>
      </c>
      <c r="P4573" t="s">
        <v>56</v>
      </c>
      <c r="Q4573" t="s">
        <v>317</v>
      </c>
      <c r="R4573" t="s">
        <v>324</v>
      </c>
      <c r="S4573" t="s">
        <v>331</v>
      </c>
      <c r="T4573" t="s">
        <v>334</v>
      </c>
      <c r="U4573" t="s">
        <v>338</v>
      </c>
      <c r="V4573" t="s">
        <v>342</v>
      </c>
      <c r="W4573" t="s">
        <v>346</v>
      </c>
      <c r="X4573" t="s">
        <v>351</v>
      </c>
      <c r="AK4573" t="s">
        <v>361</v>
      </c>
    </row>
    <row r="4574" spans="1:37">
      <c r="B4574" t="s">
        <v>57</v>
      </c>
      <c r="C4574" t="s">
        <v>79</v>
      </c>
      <c r="D4574" t="s">
        <v>98</v>
      </c>
      <c r="E4574" t="s">
        <v>117</v>
      </c>
      <c r="F4574" t="s">
        <v>151</v>
      </c>
      <c r="G4574" t="s">
        <v>177</v>
      </c>
      <c r="H4574" t="s">
        <v>212</v>
      </c>
      <c r="I4574" t="s">
        <v>232</v>
      </c>
      <c r="J4574" t="s">
        <v>251</v>
      </c>
      <c r="K4574" t="s">
        <v>265</v>
      </c>
      <c r="L4574" t="s">
        <v>277</v>
      </c>
      <c r="M4574" t="s">
        <v>286</v>
      </c>
      <c r="N4574" t="s">
        <v>296</v>
      </c>
      <c r="O4574" t="s">
        <v>304</v>
      </c>
      <c r="P4574" t="s">
        <v>311</v>
      </c>
      <c r="Q4574" t="s">
        <v>318</v>
      </c>
      <c r="R4574" t="s">
        <v>185</v>
      </c>
      <c r="S4574" t="s">
        <v>159</v>
      </c>
      <c r="T4574" t="s">
        <v>185</v>
      </c>
      <c r="U4574" t="s">
        <v>339</v>
      </c>
      <c r="V4574" t="s">
        <v>72</v>
      </c>
      <c r="W4574" t="s">
        <v>347</v>
      </c>
      <c r="X4574" t="s">
        <v>72</v>
      </c>
      <c r="Y4574" t="s">
        <v>96</v>
      </c>
      <c r="AK4574" t="s">
        <v>361</v>
      </c>
    </row>
    <row r="4575" spans="1:37">
      <c r="B4575" t="s">
        <v>58</v>
      </c>
      <c r="C4575" t="s">
        <v>80</v>
      </c>
      <c r="D4575" t="s">
        <v>99</v>
      </c>
      <c r="E4575" t="s">
        <v>118</v>
      </c>
      <c r="F4575" t="s">
        <v>152</v>
      </c>
      <c r="G4575" t="s">
        <v>178</v>
      </c>
      <c r="H4575" t="s">
        <v>213</v>
      </c>
      <c r="I4575" t="s">
        <v>233</v>
      </c>
      <c r="J4575" t="s">
        <v>252</v>
      </c>
      <c r="K4575" t="s">
        <v>266</v>
      </c>
      <c r="L4575" t="s">
        <v>278</v>
      </c>
      <c r="M4575" t="s">
        <v>287</v>
      </c>
      <c r="N4575" t="s">
        <v>297</v>
      </c>
      <c r="O4575" t="s">
        <v>305</v>
      </c>
      <c r="P4575" t="s">
        <v>312</v>
      </c>
      <c r="Q4575" t="s">
        <v>319</v>
      </c>
      <c r="R4575">
        <f>&gt;10       ветра      3.0     21   4</f>
        <v>0</v>
      </c>
      <c r="AK4575" t="s">
        <v>361</v>
      </c>
    </row>
    <row r="4576" spans="1:37">
      <c r="A4576" t="s">
        <v>40</v>
      </c>
      <c r="B4576" t="s">
        <v>59</v>
      </c>
      <c r="C4576" t="s">
        <v>81</v>
      </c>
      <c r="D4576" t="s">
        <v>100</v>
      </c>
      <c r="E4576" t="s">
        <v>119</v>
      </c>
      <c r="F4576" t="s">
        <v>153</v>
      </c>
      <c r="G4576" t="s">
        <v>179</v>
      </c>
      <c r="H4576" t="s">
        <v>214</v>
      </c>
      <c r="I4576" t="s">
        <v>234</v>
      </c>
      <c r="AK4576" t="s">
        <v>361</v>
      </c>
    </row>
    <row r="4577" spans="1:37">
      <c r="A4577" t="s">
        <v>40</v>
      </c>
      <c r="B4577" t="s">
        <v>60</v>
      </c>
      <c r="C4577" t="s">
        <v>82</v>
      </c>
      <c r="D4577" t="s">
        <v>101</v>
      </c>
      <c r="E4577" t="s">
        <v>120</v>
      </c>
      <c r="F4577" t="s">
        <v>154</v>
      </c>
      <c r="G4577" t="s">
        <v>180</v>
      </c>
      <c r="H4577" t="s">
        <v>215</v>
      </c>
      <c r="I4577" t="s">
        <v>235</v>
      </c>
      <c r="J4577" t="s">
        <v>253</v>
      </c>
      <c r="K4577" t="s">
        <v>267</v>
      </c>
      <c r="L4577" t="s">
        <v>279</v>
      </c>
      <c r="M4577" t="s">
        <v>288</v>
      </c>
      <c r="N4577" t="s">
        <v>100</v>
      </c>
      <c r="O4577" t="s">
        <v>306</v>
      </c>
      <c r="P4577" t="s">
        <v>313</v>
      </c>
      <c r="Q4577" t="s">
        <v>320</v>
      </c>
      <c r="R4577" t="s">
        <v>325</v>
      </c>
      <c r="S4577" t="s">
        <v>332</v>
      </c>
      <c r="T4577" t="s">
        <v>119</v>
      </c>
      <c r="U4577" t="s">
        <v>234</v>
      </c>
      <c r="V4577" t="s">
        <v>343</v>
      </c>
      <c r="W4577" t="s">
        <v>348</v>
      </c>
      <c r="X4577" t="s">
        <v>352</v>
      </c>
      <c r="Y4577" t="s">
        <v>354</v>
      </c>
      <c r="AK4577" t="s">
        <v>361</v>
      </c>
    </row>
    <row r="4578" spans="1:37">
      <c r="A4578" t="s">
        <v>41</v>
      </c>
      <c r="B4578" t="s">
        <v>61</v>
      </c>
      <c r="C4578" t="s">
        <v>83</v>
      </c>
      <c r="D4578" t="s">
        <v>102</v>
      </c>
      <c r="E4578" t="s">
        <v>121</v>
      </c>
      <c r="F4578" t="s">
        <v>155</v>
      </c>
      <c r="G4578" t="s">
        <v>181</v>
      </c>
      <c r="H4578" t="s">
        <v>216</v>
      </c>
      <c r="I4578" t="s">
        <v>236</v>
      </c>
      <c r="AK4578" t="s">
        <v>361</v>
      </c>
    </row>
    <row r="4579" spans="1:37">
      <c r="A4579" t="s">
        <v>42</v>
      </c>
      <c r="B4579" t="s">
        <v>62</v>
      </c>
      <c r="C4579" t="s">
        <v>84</v>
      </c>
      <c r="D4579" t="s">
        <v>103</v>
      </c>
      <c r="E4579" t="s">
        <v>122</v>
      </c>
      <c r="F4579" t="s">
        <v>156</v>
      </c>
      <c r="G4579" t="s">
        <v>182</v>
      </c>
      <c r="H4579" t="s">
        <v>83</v>
      </c>
      <c r="I4579" t="s">
        <v>237</v>
      </c>
      <c r="J4579" t="s">
        <v>254</v>
      </c>
      <c r="K4579" t="s">
        <v>268</v>
      </c>
      <c r="L4579" t="s">
        <v>280</v>
      </c>
      <c r="M4579" t="s">
        <v>289</v>
      </c>
      <c r="N4579" t="s">
        <v>298</v>
      </c>
      <c r="O4579" t="s">
        <v>307</v>
      </c>
      <c r="P4579" t="s">
        <v>314</v>
      </c>
      <c r="Q4579" t="s">
        <v>216</v>
      </c>
      <c r="R4579" t="s">
        <v>326</v>
      </c>
      <c r="S4579" t="s">
        <v>333</v>
      </c>
      <c r="T4579" t="s">
        <v>335</v>
      </c>
      <c r="U4579" t="s">
        <v>340</v>
      </c>
      <c r="V4579" t="s">
        <v>344</v>
      </c>
      <c r="W4579" t="s">
        <v>349</v>
      </c>
      <c r="AK4579" t="s">
        <v>361</v>
      </c>
    </row>
    <row r="4580" spans="1:37">
      <c r="A4580" t="s">
        <v>43</v>
      </c>
      <c r="B4580" t="s">
        <v>63</v>
      </c>
      <c r="C4580" t="s">
        <v>85</v>
      </c>
      <c r="D4580" t="s">
        <v>104</v>
      </c>
      <c r="E4580" t="s">
        <v>123</v>
      </c>
      <c r="F4580" t="s">
        <v>157</v>
      </c>
      <c r="G4580" t="s">
        <v>183</v>
      </c>
      <c r="AK4580" t="s">
        <v>361</v>
      </c>
    </row>
    <row r="4581" spans="1:37">
      <c r="A4581" t="s">
        <v>44</v>
      </c>
      <c r="B4581" t="s">
        <v>64</v>
      </c>
      <c r="C4581" t="s">
        <v>86</v>
      </c>
      <c r="D4581" t="s">
        <v>105</v>
      </c>
      <c r="E4581" t="s">
        <v>124</v>
      </c>
      <c r="F4581" t="s">
        <v>158</v>
      </c>
      <c r="G4581" t="s">
        <v>184</v>
      </c>
      <c r="AK4581" t="s">
        <v>361</v>
      </c>
    </row>
    <row r="4582" spans="1:37">
      <c r="A4582" t="s">
        <v>45</v>
      </c>
      <c r="B4582" t="s">
        <v>65</v>
      </c>
      <c r="C4582" t="s">
        <v>87</v>
      </c>
      <c r="D4582" t="s">
        <v>106</v>
      </c>
      <c r="E4582" t="s">
        <v>125</v>
      </c>
      <c r="F4582" t="s">
        <v>159</v>
      </c>
      <c r="G4582" t="s">
        <v>185</v>
      </c>
      <c r="H4582" t="s">
        <v>159</v>
      </c>
      <c r="I4582" t="s">
        <v>185</v>
      </c>
      <c r="J4582" t="s">
        <v>255</v>
      </c>
      <c r="AK4582" t="s">
        <v>361</v>
      </c>
    </row>
    <row r="4583" spans="1:37">
      <c r="A4583" t="s">
        <v>46</v>
      </c>
      <c r="B4583" t="s">
        <v>66</v>
      </c>
      <c r="C4583" t="s">
        <v>88</v>
      </c>
      <c r="D4583" t="s">
        <v>76</v>
      </c>
      <c r="E4583" t="s">
        <v>126</v>
      </c>
      <c r="F4583" t="s">
        <v>160</v>
      </c>
      <c r="G4583" t="s">
        <v>186</v>
      </c>
      <c r="H4583" t="s">
        <v>217</v>
      </c>
      <c r="I4583" t="s">
        <v>238</v>
      </c>
      <c r="J4583" t="s">
        <v>256</v>
      </c>
      <c r="K4583" t="s">
        <v>265</v>
      </c>
      <c r="L4583" t="s">
        <v>281</v>
      </c>
      <c r="M4583" t="s">
        <v>290</v>
      </c>
      <c r="N4583" t="s">
        <v>299</v>
      </c>
      <c r="O4583" t="s">
        <v>308</v>
      </c>
      <c r="P4583" t="s">
        <v>228</v>
      </c>
      <c r="Q4583" t="s">
        <v>72</v>
      </c>
      <c r="R4583" t="s">
        <v>327</v>
      </c>
      <c r="S4583" t="s">
        <v>327</v>
      </c>
      <c r="T4583" t="s">
        <v>336</v>
      </c>
      <c r="U4583" t="s">
        <v>336</v>
      </c>
      <c r="V4583" t="s">
        <v>336</v>
      </c>
      <c r="W4583" t="s">
        <v>336</v>
      </c>
      <c r="X4583" t="s">
        <v>353</v>
      </c>
      <c r="AK4583" t="s">
        <v>361</v>
      </c>
    </row>
    <row r="4584" spans="1:37">
      <c r="B4584" t="s">
        <v>67</v>
      </c>
      <c r="C4584" t="s">
        <v>89</v>
      </c>
      <c r="D4584" t="s">
        <v>107</v>
      </c>
      <c r="AK4584" t="s">
        <v>361</v>
      </c>
    </row>
    <row r="4585" spans="1:37">
      <c r="B4585" t="s">
        <v>68</v>
      </c>
      <c r="C4585" t="s">
        <v>90</v>
      </c>
      <c r="D4585" t="s">
        <v>108</v>
      </c>
      <c r="AK4585" t="s">
        <v>361</v>
      </c>
    </row>
    <row r="4586" spans="1:37">
      <c r="A4586" t="s">
        <v>47</v>
      </c>
      <c r="B4586" t="s">
        <v>69</v>
      </c>
      <c r="C4586" t="s">
        <v>91</v>
      </c>
      <c r="D4586" t="s">
        <v>109</v>
      </c>
      <c r="E4586" t="s">
        <v>109</v>
      </c>
      <c r="F4586" t="s">
        <v>109</v>
      </c>
      <c r="G4586" t="s">
        <v>109</v>
      </c>
      <c r="H4586" t="s">
        <v>109</v>
      </c>
      <c r="I4586" t="s">
        <v>239</v>
      </c>
      <c r="AK4586" t="s">
        <v>361</v>
      </c>
    </row>
    <row r="4587" spans="1:37">
      <c r="B4587" t="s">
        <v>70</v>
      </c>
      <c r="C4587" t="s">
        <v>92</v>
      </c>
      <c r="D4587" t="s">
        <v>110</v>
      </c>
      <c r="E4587" t="s">
        <v>127</v>
      </c>
      <c r="F4587" t="s">
        <v>161</v>
      </c>
      <c r="G4587" t="s">
        <v>187</v>
      </c>
      <c r="H4587" t="s">
        <v>218</v>
      </c>
      <c r="AK4587" t="s">
        <v>361</v>
      </c>
    </row>
    <row r="4588" spans="1:37">
      <c r="B4588" t="s">
        <v>71</v>
      </c>
      <c r="C4588" t="s">
        <v>93</v>
      </c>
      <c r="D4588" t="s">
        <v>111</v>
      </c>
      <c r="E4588" t="s">
        <v>128</v>
      </c>
      <c r="F4588" t="s">
        <v>162</v>
      </c>
      <c r="G4588" t="s">
        <v>188</v>
      </c>
      <c r="H4588" t="s">
        <v>219</v>
      </c>
      <c r="I4588" t="s">
        <v>240</v>
      </c>
      <c r="J4588" t="s">
        <v>257</v>
      </c>
      <c r="K4588" t="s">
        <v>269</v>
      </c>
      <c r="L4588" t="s">
        <v>109</v>
      </c>
      <c r="M4588" t="s">
        <v>109</v>
      </c>
      <c r="N4588" t="s">
        <v>109</v>
      </c>
      <c r="O4588" t="s">
        <v>109</v>
      </c>
      <c r="P4588" t="s">
        <v>109</v>
      </c>
      <c r="Q4588" t="s">
        <v>321</v>
      </c>
      <c r="AK4588" t="s">
        <v>361</v>
      </c>
    </row>
    <row r="4589" spans="1:37">
      <c r="A4589" t="s">
        <v>48</v>
      </c>
      <c r="B4589" t="s">
        <v>71</v>
      </c>
      <c r="C4589" t="s">
        <v>93</v>
      </c>
      <c r="D4589" t="s">
        <v>111</v>
      </c>
      <c r="E4589" t="s">
        <v>128</v>
      </c>
      <c r="F4589" t="s">
        <v>163</v>
      </c>
      <c r="G4589" t="s">
        <v>189</v>
      </c>
      <c r="H4589" t="s">
        <v>220</v>
      </c>
      <c r="I4589" t="s">
        <v>241</v>
      </c>
      <c r="J4589" t="s">
        <v>258</v>
      </c>
      <c r="K4589" t="s">
        <v>270</v>
      </c>
      <c r="AK4589" t="s">
        <v>361</v>
      </c>
    </row>
    <row r="4590" spans="1:37">
      <c r="B4590" t="s">
        <v>72</v>
      </c>
      <c r="C4590" t="s">
        <v>72</v>
      </c>
      <c r="D4590" t="s">
        <v>72</v>
      </c>
      <c r="E4590" t="s">
        <v>139</v>
      </c>
      <c r="F4590" t="s">
        <v>139</v>
      </c>
      <c r="G4590" t="s">
        <v>192</v>
      </c>
      <c r="H4590" t="s">
        <v>192</v>
      </c>
      <c r="I4590" t="s">
        <v>192</v>
      </c>
      <c r="J4590" t="s">
        <v>192</v>
      </c>
      <c r="K4590" t="s">
        <v>271</v>
      </c>
      <c r="AK4590" t="s">
        <v>361</v>
      </c>
    </row>
    <row r="4591" spans="1:37">
      <c r="A4591" t="s">
        <v>37</v>
      </c>
      <c r="B4591" t="s">
        <v>49</v>
      </c>
      <c r="C4591" t="s">
        <v>73</v>
      </c>
      <c r="D4591" t="s">
        <v>94</v>
      </c>
      <c r="E4591" t="s">
        <v>112</v>
      </c>
      <c r="F4591" t="s">
        <v>146</v>
      </c>
      <c r="G4591" t="s">
        <v>172</v>
      </c>
      <c r="H4591" t="s">
        <v>207</v>
      </c>
      <c r="I4591" t="s">
        <v>226</v>
      </c>
      <c r="J4591" t="s">
        <v>246</v>
      </c>
      <c r="K4591" t="s">
        <v>259</v>
      </c>
      <c r="AK4591" t="s">
        <v>361</v>
      </c>
    </row>
    <row r="4592" spans="1:37">
      <c r="A4592" t="s">
        <v>38</v>
      </c>
      <c r="B4592" t="s">
        <v>50</v>
      </c>
      <c r="C4592" t="s">
        <v>74</v>
      </c>
      <c r="D4592" t="s">
        <v>95</v>
      </c>
      <c r="E4592" t="s">
        <v>113</v>
      </c>
      <c r="F4592" t="s">
        <v>147</v>
      </c>
      <c r="G4592" t="s">
        <v>173</v>
      </c>
      <c r="H4592" t="s">
        <v>208</v>
      </c>
      <c r="I4592" t="s">
        <v>227</v>
      </c>
      <c r="J4592" t="s">
        <v>115</v>
      </c>
      <c r="K4592" t="s">
        <v>260</v>
      </c>
      <c r="L4592" t="s">
        <v>273</v>
      </c>
      <c r="M4592" t="s">
        <v>282</v>
      </c>
      <c r="N4592" t="s">
        <v>291</v>
      </c>
      <c r="AK4592" t="s">
        <v>361</v>
      </c>
    </row>
    <row r="4593" spans="1:37">
      <c r="B4593" t="s">
        <v>51</v>
      </c>
      <c r="C4593" t="s">
        <v>75</v>
      </c>
      <c r="D4593" t="s">
        <v>52</v>
      </c>
      <c r="E4593" t="s">
        <v>114</v>
      </c>
      <c r="F4593" t="s">
        <v>148</v>
      </c>
      <c r="G4593" t="s">
        <v>148</v>
      </c>
      <c r="H4593" t="s">
        <v>209</v>
      </c>
      <c r="I4593" t="s">
        <v>228</v>
      </c>
      <c r="J4593" t="s">
        <v>247</v>
      </c>
      <c r="K4593" t="s">
        <v>261</v>
      </c>
      <c r="L4593" t="s">
        <v>274</v>
      </c>
      <c r="M4593" t="s">
        <v>283</v>
      </c>
      <c r="N4593" t="s">
        <v>292</v>
      </c>
      <c r="O4593" t="s">
        <v>300</v>
      </c>
      <c r="AK4593" t="s">
        <v>361</v>
      </c>
    </row>
    <row r="4594" spans="1:37">
      <c r="B4594" t="s">
        <v>52</v>
      </c>
      <c r="C4594" t="s">
        <v>76</v>
      </c>
      <c r="D4594" t="s">
        <v>96</v>
      </c>
      <c r="E4594" t="s">
        <v>115</v>
      </c>
      <c r="F4594" t="s">
        <v>149</v>
      </c>
      <c r="G4594" t="s">
        <v>174</v>
      </c>
      <c r="H4594" t="s">
        <v>96</v>
      </c>
      <c r="I4594" t="s">
        <v>229</v>
      </c>
      <c r="J4594" t="s">
        <v>248</v>
      </c>
      <c r="K4594" t="s">
        <v>262</v>
      </c>
      <c r="L4594" t="s">
        <v>52</v>
      </c>
      <c r="M4594" t="s">
        <v>76</v>
      </c>
      <c r="N4594" t="s">
        <v>293</v>
      </c>
      <c r="O4594" t="s">
        <v>301</v>
      </c>
      <c r="P4594" t="s">
        <v>309</v>
      </c>
      <c r="Q4594" t="s">
        <v>315</v>
      </c>
      <c r="R4594" t="s">
        <v>228</v>
      </c>
      <c r="S4594" t="s">
        <v>328</v>
      </c>
      <c r="T4594" t="s">
        <v>149</v>
      </c>
      <c r="U4594" t="s">
        <v>337</v>
      </c>
      <c r="V4594" t="s">
        <v>341</v>
      </c>
      <c r="W4594" t="s">
        <v>345</v>
      </c>
      <c r="X4594" t="s">
        <v>350</v>
      </c>
      <c r="AK4594" t="s">
        <v>361</v>
      </c>
    </row>
    <row r="4595" spans="1:37">
      <c r="B4595" t="s">
        <v>53</v>
      </c>
      <c r="C4595" t="s">
        <v>77</v>
      </c>
      <c r="D4595" t="s">
        <v>97</v>
      </c>
      <c r="E4595" t="s">
        <v>116</v>
      </c>
      <c r="F4595" t="s">
        <v>150</v>
      </c>
      <c r="G4595" t="s">
        <v>175</v>
      </c>
      <c r="H4595" t="s">
        <v>210</v>
      </c>
      <c r="I4595" t="s">
        <v>230</v>
      </c>
      <c r="J4595" t="s">
        <v>249</v>
      </c>
      <c r="K4595" t="s">
        <v>263</v>
      </c>
      <c r="L4595" t="s">
        <v>275</v>
      </c>
      <c r="M4595" t="s">
        <v>284</v>
      </c>
      <c r="N4595" t="s">
        <v>294</v>
      </c>
      <c r="O4595" t="s">
        <v>302</v>
      </c>
      <c r="P4595" t="s">
        <v>310</v>
      </c>
      <c r="Q4595" t="s">
        <v>316</v>
      </c>
      <c r="R4595" t="s">
        <v>322</v>
      </c>
      <c r="S4595" t="s">
        <v>329</v>
      </c>
      <c r="AK4595" t="s">
        <v>361</v>
      </c>
    </row>
    <row r="4596" spans="1:37">
      <c r="A4596" t="s">
        <v>39</v>
      </c>
      <c r="B4596" t="s">
        <v>54</v>
      </c>
      <c r="C4596" t="s">
        <v>54</v>
      </c>
      <c r="D4596" t="s">
        <v>54</v>
      </c>
      <c r="E4596" t="s">
        <v>54</v>
      </c>
      <c r="F4596" t="s">
        <v>54</v>
      </c>
      <c r="G4596" t="s">
        <v>54</v>
      </c>
      <c r="H4596" t="s">
        <v>54</v>
      </c>
      <c r="I4596" t="s">
        <v>54</v>
      </c>
      <c r="J4596" t="s">
        <v>54</v>
      </c>
      <c r="K4596" t="s">
        <v>54</v>
      </c>
      <c r="L4596" t="s">
        <v>54</v>
      </c>
      <c r="M4596" t="s">
        <v>54</v>
      </c>
      <c r="N4596" t="s">
        <v>54</v>
      </c>
      <c r="O4596" t="s">
        <v>54</v>
      </c>
      <c r="P4596" t="s">
        <v>54</v>
      </c>
      <c r="Q4596" t="s">
        <v>54</v>
      </c>
      <c r="R4596" t="s">
        <v>323</v>
      </c>
      <c r="S4596" t="s">
        <v>330</v>
      </c>
      <c r="AK4596" t="s">
        <v>361</v>
      </c>
    </row>
    <row r="4597" spans="1:37">
      <c r="B4597" t="s">
        <v>55</v>
      </c>
      <c r="C4597" t="s">
        <v>78</v>
      </c>
      <c r="D4597" t="s">
        <v>55</v>
      </c>
      <c r="E4597" t="s">
        <v>78</v>
      </c>
      <c r="F4597" t="s">
        <v>55</v>
      </c>
      <c r="G4597" t="s">
        <v>78</v>
      </c>
      <c r="H4597" t="s">
        <v>55</v>
      </c>
      <c r="I4597" t="s">
        <v>78</v>
      </c>
      <c r="J4597" t="s">
        <v>55</v>
      </c>
      <c r="K4597" t="s">
        <v>78</v>
      </c>
      <c r="L4597" t="s">
        <v>55</v>
      </c>
      <c r="M4597" t="s">
        <v>78</v>
      </c>
      <c r="N4597" t="s">
        <v>55</v>
      </c>
      <c r="O4597" t="s">
        <v>78</v>
      </c>
      <c r="P4597" t="s">
        <v>55</v>
      </c>
      <c r="Q4597" t="s">
        <v>78</v>
      </c>
      <c r="R4597" t="s">
        <v>55</v>
      </c>
      <c r="S4597" t="s">
        <v>78</v>
      </c>
      <c r="T4597" t="s">
        <v>55</v>
      </c>
      <c r="U4597" t="s">
        <v>78</v>
      </c>
      <c r="V4597" t="s">
        <v>55</v>
      </c>
      <c r="W4597" t="s">
        <v>78</v>
      </c>
      <c r="X4597" t="s">
        <v>55</v>
      </c>
      <c r="Y4597" t="s">
        <v>78</v>
      </c>
      <c r="Z4597" t="s">
        <v>55</v>
      </c>
      <c r="AA4597" t="s">
        <v>78</v>
      </c>
      <c r="AB4597" t="s">
        <v>55</v>
      </c>
      <c r="AC4597" t="s">
        <v>78</v>
      </c>
      <c r="AD4597" t="s">
        <v>55</v>
      </c>
      <c r="AE4597" t="s">
        <v>78</v>
      </c>
      <c r="AF4597" t="s">
        <v>55</v>
      </c>
      <c r="AG4597" t="s">
        <v>78</v>
      </c>
      <c r="AH4597" t="s">
        <v>55</v>
      </c>
      <c r="AI4597" t="s">
        <v>78</v>
      </c>
      <c r="AK4597" t="s">
        <v>361</v>
      </c>
    </row>
    <row r="4598" spans="1:37">
      <c r="B4598" t="s">
        <v>56</v>
      </c>
      <c r="C4598" t="s">
        <v>56</v>
      </c>
      <c r="D4598" t="s">
        <v>56</v>
      </c>
      <c r="E4598" t="s">
        <v>56</v>
      </c>
      <c r="F4598" t="s">
        <v>56</v>
      </c>
      <c r="G4598" t="s">
        <v>176</v>
      </c>
      <c r="H4598" t="s">
        <v>211</v>
      </c>
      <c r="I4598" t="s">
        <v>231</v>
      </c>
      <c r="J4598" t="s">
        <v>250</v>
      </c>
      <c r="K4598" t="s">
        <v>264</v>
      </c>
      <c r="L4598" t="s">
        <v>276</v>
      </c>
      <c r="M4598" t="s">
        <v>285</v>
      </c>
      <c r="N4598" t="s">
        <v>295</v>
      </c>
      <c r="O4598" t="s">
        <v>303</v>
      </c>
      <c r="P4598" t="s">
        <v>56</v>
      </c>
      <c r="Q4598" t="s">
        <v>317</v>
      </c>
      <c r="R4598" t="s">
        <v>324</v>
      </c>
      <c r="S4598" t="s">
        <v>331</v>
      </c>
      <c r="T4598" t="s">
        <v>334</v>
      </c>
      <c r="U4598" t="s">
        <v>338</v>
      </c>
      <c r="V4598" t="s">
        <v>342</v>
      </c>
      <c r="W4598" t="s">
        <v>346</v>
      </c>
      <c r="X4598" t="s">
        <v>351</v>
      </c>
      <c r="AK4598" t="s">
        <v>361</v>
      </c>
    </row>
    <row r="4599" spans="1:37">
      <c r="B4599" t="s">
        <v>57</v>
      </c>
      <c r="C4599" t="s">
        <v>79</v>
      </c>
      <c r="D4599" t="s">
        <v>98</v>
      </c>
      <c r="E4599" t="s">
        <v>117</v>
      </c>
      <c r="F4599" t="s">
        <v>151</v>
      </c>
      <c r="G4599" t="s">
        <v>177</v>
      </c>
      <c r="H4599" t="s">
        <v>212</v>
      </c>
      <c r="I4599" t="s">
        <v>232</v>
      </c>
      <c r="J4599" t="s">
        <v>251</v>
      </c>
      <c r="K4599" t="s">
        <v>265</v>
      </c>
      <c r="L4599" t="s">
        <v>277</v>
      </c>
      <c r="M4599" t="s">
        <v>286</v>
      </c>
      <c r="N4599" t="s">
        <v>296</v>
      </c>
      <c r="O4599" t="s">
        <v>304</v>
      </c>
      <c r="P4599" t="s">
        <v>311</v>
      </c>
      <c r="Q4599" t="s">
        <v>318</v>
      </c>
      <c r="R4599" t="s">
        <v>185</v>
      </c>
      <c r="S4599" t="s">
        <v>159</v>
      </c>
      <c r="T4599" t="s">
        <v>185</v>
      </c>
      <c r="U4599" t="s">
        <v>339</v>
      </c>
      <c r="V4599" t="s">
        <v>72</v>
      </c>
      <c r="W4599" t="s">
        <v>347</v>
      </c>
      <c r="X4599" t="s">
        <v>72</v>
      </c>
      <c r="Y4599" t="s">
        <v>96</v>
      </c>
      <c r="AK4599" t="s">
        <v>361</v>
      </c>
    </row>
    <row r="4600" spans="1:37">
      <c r="B4600" t="s">
        <v>58</v>
      </c>
      <c r="C4600" t="s">
        <v>80</v>
      </c>
      <c r="D4600" t="s">
        <v>99</v>
      </c>
      <c r="E4600" t="s">
        <v>118</v>
      </c>
      <c r="F4600" t="s">
        <v>152</v>
      </c>
      <c r="G4600" t="s">
        <v>178</v>
      </c>
      <c r="H4600" t="s">
        <v>213</v>
      </c>
      <c r="I4600" t="s">
        <v>233</v>
      </c>
      <c r="J4600" t="s">
        <v>252</v>
      </c>
      <c r="K4600" t="s">
        <v>266</v>
      </c>
      <c r="L4600" t="s">
        <v>278</v>
      </c>
      <c r="M4600" t="s">
        <v>287</v>
      </c>
      <c r="N4600" t="s">
        <v>297</v>
      </c>
      <c r="O4600" t="s">
        <v>305</v>
      </c>
      <c r="P4600" t="s">
        <v>312</v>
      </c>
      <c r="Q4600" t="s">
        <v>319</v>
      </c>
      <c r="R4600">
        <f>&gt;10       ветра      1.6     17   4</f>
        <v>0</v>
      </c>
      <c r="AK4600" t="s">
        <v>361</v>
      </c>
    </row>
    <row r="4601" spans="1:37">
      <c r="A4601" t="s">
        <v>40</v>
      </c>
      <c r="B4601" t="s">
        <v>59</v>
      </c>
      <c r="C4601" t="s">
        <v>81</v>
      </c>
      <c r="D4601" t="s">
        <v>100</v>
      </c>
      <c r="E4601" t="s">
        <v>119</v>
      </c>
      <c r="F4601" t="s">
        <v>153</v>
      </c>
      <c r="G4601" t="s">
        <v>179</v>
      </c>
      <c r="H4601" t="s">
        <v>214</v>
      </c>
      <c r="I4601" t="s">
        <v>234</v>
      </c>
      <c r="AK4601" t="s">
        <v>361</v>
      </c>
    </row>
    <row r="4602" spans="1:37">
      <c r="A4602" t="s">
        <v>40</v>
      </c>
      <c r="B4602" t="s">
        <v>60</v>
      </c>
      <c r="C4602" t="s">
        <v>82</v>
      </c>
      <c r="D4602" t="s">
        <v>101</v>
      </c>
      <c r="E4602" t="s">
        <v>120</v>
      </c>
      <c r="F4602" t="s">
        <v>154</v>
      </c>
      <c r="G4602" t="s">
        <v>180</v>
      </c>
      <c r="H4602" t="s">
        <v>215</v>
      </c>
      <c r="I4602" t="s">
        <v>235</v>
      </c>
      <c r="J4602" t="s">
        <v>253</v>
      </c>
      <c r="K4602" t="s">
        <v>267</v>
      </c>
      <c r="L4602" t="s">
        <v>279</v>
      </c>
      <c r="M4602" t="s">
        <v>288</v>
      </c>
      <c r="N4602" t="s">
        <v>100</v>
      </c>
      <c r="O4602" t="s">
        <v>306</v>
      </c>
      <c r="P4602" t="s">
        <v>313</v>
      </c>
      <c r="Q4602" t="s">
        <v>320</v>
      </c>
      <c r="R4602" t="s">
        <v>325</v>
      </c>
      <c r="S4602" t="s">
        <v>332</v>
      </c>
      <c r="T4602" t="s">
        <v>119</v>
      </c>
      <c r="U4602" t="s">
        <v>234</v>
      </c>
      <c r="V4602" t="s">
        <v>343</v>
      </c>
      <c r="W4602" t="s">
        <v>348</v>
      </c>
      <c r="X4602" t="s">
        <v>352</v>
      </c>
      <c r="Y4602" t="s">
        <v>354</v>
      </c>
      <c r="AK4602" t="s">
        <v>361</v>
      </c>
    </row>
    <row r="4603" spans="1:37">
      <c r="A4603" t="s">
        <v>41</v>
      </c>
      <c r="B4603" t="s">
        <v>61</v>
      </c>
      <c r="C4603" t="s">
        <v>83</v>
      </c>
      <c r="D4603" t="s">
        <v>102</v>
      </c>
      <c r="E4603" t="s">
        <v>121</v>
      </c>
      <c r="F4603" t="s">
        <v>155</v>
      </c>
      <c r="G4603" t="s">
        <v>181</v>
      </c>
      <c r="H4603" t="s">
        <v>216</v>
      </c>
      <c r="I4603" t="s">
        <v>236</v>
      </c>
      <c r="AK4603" t="s">
        <v>361</v>
      </c>
    </row>
    <row r="4604" spans="1:37">
      <c r="A4604" t="s">
        <v>42</v>
      </c>
      <c r="B4604" t="s">
        <v>62</v>
      </c>
      <c r="C4604" t="s">
        <v>84</v>
      </c>
      <c r="D4604" t="s">
        <v>103</v>
      </c>
      <c r="E4604" t="s">
        <v>122</v>
      </c>
      <c r="F4604" t="s">
        <v>156</v>
      </c>
      <c r="G4604" t="s">
        <v>182</v>
      </c>
      <c r="H4604" t="s">
        <v>83</v>
      </c>
      <c r="I4604" t="s">
        <v>237</v>
      </c>
      <c r="J4604" t="s">
        <v>254</v>
      </c>
      <c r="K4604" t="s">
        <v>268</v>
      </c>
      <c r="L4604" t="s">
        <v>280</v>
      </c>
      <c r="M4604" t="s">
        <v>289</v>
      </c>
      <c r="N4604" t="s">
        <v>298</v>
      </c>
      <c r="O4604" t="s">
        <v>307</v>
      </c>
      <c r="P4604" t="s">
        <v>314</v>
      </c>
      <c r="Q4604" t="s">
        <v>216</v>
      </c>
      <c r="R4604" t="s">
        <v>326</v>
      </c>
      <c r="S4604" t="s">
        <v>333</v>
      </c>
      <c r="T4604" t="s">
        <v>335</v>
      </c>
      <c r="U4604" t="s">
        <v>340</v>
      </c>
      <c r="V4604" t="s">
        <v>344</v>
      </c>
      <c r="W4604" t="s">
        <v>349</v>
      </c>
      <c r="AK4604" t="s">
        <v>361</v>
      </c>
    </row>
    <row r="4605" spans="1:37">
      <c r="A4605" t="s">
        <v>43</v>
      </c>
      <c r="B4605" t="s">
        <v>63</v>
      </c>
      <c r="C4605" t="s">
        <v>85</v>
      </c>
      <c r="D4605" t="s">
        <v>104</v>
      </c>
      <c r="E4605" t="s">
        <v>123</v>
      </c>
      <c r="F4605" t="s">
        <v>157</v>
      </c>
      <c r="G4605" t="s">
        <v>183</v>
      </c>
      <c r="AK4605" t="s">
        <v>361</v>
      </c>
    </row>
    <row r="4606" spans="1:37">
      <c r="A4606" t="s">
        <v>44</v>
      </c>
      <c r="B4606" t="s">
        <v>64</v>
      </c>
      <c r="C4606" t="s">
        <v>86</v>
      </c>
      <c r="D4606" t="s">
        <v>105</v>
      </c>
      <c r="E4606" t="s">
        <v>124</v>
      </c>
      <c r="F4606" t="s">
        <v>158</v>
      </c>
      <c r="G4606" t="s">
        <v>184</v>
      </c>
      <c r="AK4606" t="s">
        <v>361</v>
      </c>
    </row>
    <row r="4607" spans="1:37">
      <c r="A4607" t="s">
        <v>45</v>
      </c>
      <c r="B4607" t="s">
        <v>65</v>
      </c>
      <c r="C4607" t="s">
        <v>87</v>
      </c>
      <c r="D4607" t="s">
        <v>106</v>
      </c>
      <c r="E4607" t="s">
        <v>125</v>
      </c>
      <c r="F4607" t="s">
        <v>159</v>
      </c>
      <c r="G4607" t="s">
        <v>185</v>
      </c>
      <c r="H4607" t="s">
        <v>159</v>
      </c>
      <c r="I4607" t="s">
        <v>185</v>
      </c>
      <c r="J4607" t="s">
        <v>255</v>
      </c>
      <c r="AK4607" t="s">
        <v>361</v>
      </c>
    </row>
    <row r="4608" spans="1:37">
      <c r="A4608" t="s">
        <v>46</v>
      </c>
      <c r="B4608" t="s">
        <v>66</v>
      </c>
      <c r="C4608" t="s">
        <v>88</v>
      </c>
      <c r="D4608" t="s">
        <v>76</v>
      </c>
      <c r="E4608" t="s">
        <v>126</v>
      </c>
      <c r="F4608" t="s">
        <v>160</v>
      </c>
      <c r="G4608" t="s">
        <v>186</v>
      </c>
      <c r="H4608" t="s">
        <v>217</v>
      </c>
      <c r="I4608" t="s">
        <v>238</v>
      </c>
      <c r="J4608" t="s">
        <v>256</v>
      </c>
      <c r="K4608" t="s">
        <v>265</v>
      </c>
      <c r="L4608" t="s">
        <v>281</v>
      </c>
      <c r="M4608" t="s">
        <v>290</v>
      </c>
      <c r="N4608" t="s">
        <v>299</v>
      </c>
      <c r="O4608" t="s">
        <v>308</v>
      </c>
      <c r="P4608" t="s">
        <v>228</v>
      </c>
      <c r="Q4608" t="s">
        <v>72</v>
      </c>
      <c r="R4608" t="s">
        <v>327</v>
      </c>
      <c r="S4608" t="s">
        <v>327</v>
      </c>
      <c r="T4608" t="s">
        <v>336</v>
      </c>
      <c r="U4608" t="s">
        <v>336</v>
      </c>
      <c r="V4608" t="s">
        <v>336</v>
      </c>
      <c r="W4608" t="s">
        <v>336</v>
      </c>
      <c r="X4608" t="s">
        <v>353</v>
      </c>
      <c r="AK4608" t="s">
        <v>361</v>
      </c>
    </row>
    <row r="4609" spans="1:37">
      <c r="B4609" t="s">
        <v>67</v>
      </c>
      <c r="C4609" t="s">
        <v>89</v>
      </c>
      <c r="D4609" t="s">
        <v>107</v>
      </c>
      <c r="AK4609" t="s">
        <v>361</v>
      </c>
    </row>
    <row r="4610" spans="1:37">
      <c r="B4610" t="s">
        <v>68</v>
      </c>
      <c r="C4610" t="s">
        <v>90</v>
      </c>
      <c r="D4610" t="s">
        <v>108</v>
      </c>
      <c r="AK4610" t="s">
        <v>361</v>
      </c>
    </row>
    <row r="4611" spans="1:37">
      <c r="A4611" t="s">
        <v>47</v>
      </c>
      <c r="B4611" t="s">
        <v>69</v>
      </c>
      <c r="C4611" t="s">
        <v>91</v>
      </c>
      <c r="D4611" t="s">
        <v>109</v>
      </c>
      <c r="E4611" t="s">
        <v>109</v>
      </c>
      <c r="F4611" t="s">
        <v>109</v>
      </c>
      <c r="G4611" t="s">
        <v>109</v>
      </c>
      <c r="H4611" t="s">
        <v>109</v>
      </c>
      <c r="I4611" t="s">
        <v>239</v>
      </c>
      <c r="AK4611" t="s">
        <v>361</v>
      </c>
    </row>
    <row r="4612" spans="1:37">
      <c r="B4612" t="s">
        <v>70</v>
      </c>
      <c r="C4612" t="s">
        <v>92</v>
      </c>
      <c r="D4612" t="s">
        <v>110</v>
      </c>
      <c r="E4612" t="s">
        <v>127</v>
      </c>
      <c r="F4612" t="s">
        <v>161</v>
      </c>
      <c r="G4612" t="s">
        <v>187</v>
      </c>
      <c r="H4612" t="s">
        <v>218</v>
      </c>
      <c r="AK4612" t="s">
        <v>361</v>
      </c>
    </row>
    <row r="4613" spans="1:37">
      <c r="B4613" t="s">
        <v>71</v>
      </c>
      <c r="C4613" t="s">
        <v>93</v>
      </c>
      <c r="D4613" t="s">
        <v>111</v>
      </c>
      <c r="E4613" t="s">
        <v>128</v>
      </c>
      <c r="F4613" t="s">
        <v>162</v>
      </c>
      <c r="G4613" t="s">
        <v>188</v>
      </c>
      <c r="H4613" t="s">
        <v>219</v>
      </c>
      <c r="I4613" t="s">
        <v>240</v>
      </c>
      <c r="J4613" t="s">
        <v>257</v>
      </c>
      <c r="K4613" t="s">
        <v>269</v>
      </c>
      <c r="L4613" t="s">
        <v>109</v>
      </c>
      <c r="M4613" t="s">
        <v>109</v>
      </c>
      <c r="N4613" t="s">
        <v>109</v>
      </c>
      <c r="O4613" t="s">
        <v>109</v>
      </c>
      <c r="P4613" t="s">
        <v>109</v>
      </c>
      <c r="Q4613" t="s">
        <v>321</v>
      </c>
      <c r="AK4613" t="s">
        <v>361</v>
      </c>
    </row>
    <row r="4614" spans="1:37">
      <c r="A4614" t="s">
        <v>48</v>
      </c>
      <c r="B4614" t="s">
        <v>71</v>
      </c>
      <c r="C4614" t="s">
        <v>93</v>
      </c>
      <c r="D4614" t="s">
        <v>111</v>
      </c>
      <c r="E4614" t="s">
        <v>128</v>
      </c>
      <c r="F4614" t="s">
        <v>163</v>
      </c>
      <c r="G4614" t="s">
        <v>189</v>
      </c>
      <c r="H4614" t="s">
        <v>220</v>
      </c>
      <c r="I4614" t="s">
        <v>241</v>
      </c>
      <c r="J4614" t="s">
        <v>258</v>
      </c>
      <c r="K4614" t="s">
        <v>270</v>
      </c>
      <c r="AK4614" t="s">
        <v>361</v>
      </c>
    </row>
    <row r="4615" spans="1:37">
      <c r="B4615" t="s">
        <v>72</v>
      </c>
      <c r="C4615" t="s">
        <v>72</v>
      </c>
      <c r="D4615" t="s">
        <v>72</v>
      </c>
      <c r="E4615" t="s">
        <v>72</v>
      </c>
      <c r="F4615" t="s">
        <v>72</v>
      </c>
      <c r="G4615" t="s">
        <v>72</v>
      </c>
      <c r="H4615" t="s">
        <v>72</v>
      </c>
      <c r="I4615" t="s">
        <v>72</v>
      </c>
      <c r="J4615" t="s">
        <v>72</v>
      </c>
      <c r="K4615" t="s">
        <v>272</v>
      </c>
      <c r="AK4615" t="s">
        <v>361</v>
      </c>
    </row>
    <row r="4616" spans="1:37">
      <c r="A4616" t="s">
        <v>37</v>
      </c>
      <c r="B4616" t="s">
        <v>49</v>
      </c>
      <c r="C4616" t="s">
        <v>73</v>
      </c>
      <c r="D4616" t="s">
        <v>94</v>
      </c>
      <c r="E4616" t="s">
        <v>112</v>
      </c>
      <c r="F4616" t="s">
        <v>146</v>
      </c>
      <c r="G4616" t="s">
        <v>172</v>
      </c>
      <c r="H4616" t="s">
        <v>207</v>
      </c>
      <c r="I4616" t="s">
        <v>226</v>
      </c>
      <c r="J4616" t="s">
        <v>246</v>
      </c>
      <c r="K4616" t="s">
        <v>259</v>
      </c>
      <c r="AK4616" t="s">
        <v>361</v>
      </c>
    </row>
    <row r="4617" spans="1:37">
      <c r="A4617" t="s">
        <v>38</v>
      </c>
      <c r="B4617" t="s">
        <v>50</v>
      </c>
      <c r="C4617" t="s">
        <v>74</v>
      </c>
      <c r="D4617" t="s">
        <v>95</v>
      </c>
      <c r="E4617" t="s">
        <v>113</v>
      </c>
      <c r="F4617" t="s">
        <v>147</v>
      </c>
      <c r="G4617" t="s">
        <v>173</v>
      </c>
      <c r="H4617" t="s">
        <v>208</v>
      </c>
      <c r="I4617" t="s">
        <v>227</v>
      </c>
      <c r="J4617" t="s">
        <v>115</v>
      </c>
      <c r="K4617" t="s">
        <v>260</v>
      </c>
      <c r="L4617" t="s">
        <v>273</v>
      </c>
      <c r="M4617" t="s">
        <v>282</v>
      </c>
      <c r="N4617" t="s">
        <v>291</v>
      </c>
      <c r="AK4617" t="s">
        <v>361</v>
      </c>
    </row>
    <row r="4618" spans="1:37">
      <c r="B4618" t="s">
        <v>51</v>
      </c>
      <c r="C4618" t="s">
        <v>75</v>
      </c>
      <c r="D4618" t="s">
        <v>52</v>
      </c>
      <c r="E4618" t="s">
        <v>114</v>
      </c>
      <c r="F4618" t="s">
        <v>148</v>
      </c>
      <c r="G4618" t="s">
        <v>148</v>
      </c>
      <c r="H4618" t="s">
        <v>209</v>
      </c>
      <c r="I4618" t="s">
        <v>228</v>
      </c>
      <c r="J4618" t="s">
        <v>247</v>
      </c>
      <c r="K4618" t="s">
        <v>261</v>
      </c>
      <c r="L4618" t="s">
        <v>274</v>
      </c>
      <c r="M4618" t="s">
        <v>283</v>
      </c>
      <c r="N4618" t="s">
        <v>292</v>
      </c>
      <c r="O4618" t="s">
        <v>300</v>
      </c>
      <c r="AK4618" t="s">
        <v>361</v>
      </c>
    </row>
    <row r="4619" spans="1:37">
      <c r="B4619" t="s">
        <v>52</v>
      </c>
      <c r="C4619" t="s">
        <v>76</v>
      </c>
      <c r="D4619" t="s">
        <v>96</v>
      </c>
      <c r="E4619" t="s">
        <v>115</v>
      </c>
      <c r="F4619" t="s">
        <v>149</v>
      </c>
      <c r="G4619" t="s">
        <v>174</v>
      </c>
      <c r="H4619" t="s">
        <v>96</v>
      </c>
      <c r="I4619" t="s">
        <v>229</v>
      </c>
      <c r="J4619" t="s">
        <v>248</v>
      </c>
      <c r="K4619" t="s">
        <v>262</v>
      </c>
      <c r="L4619" t="s">
        <v>52</v>
      </c>
      <c r="M4619" t="s">
        <v>76</v>
      </c>
      <c r="N4619" t="s">
        <v>293</v>
      </c>
      <c r="O4619" t="s">
        <v>301</v>
      </c>
      <c r="P4619" t="s">
        <v>309</v>
      </c>
      <c r="Q4619" t="s">
        <v>315</v>
      </c>
      <c r="R4619" t="s">
        <v>228</v>
      </c>
      <c r="S4619" t="s">
        <v>328</v>
      </c>
      <c r="T4619" t="s">
        <v>149</v>
      </c>
      <c r="U4619" t="s">
        <v>337</v>
      </c>
      <c r="V4619" t="s">
        <v>341</v>
      </c>
      <c r="W4619" t="s">
        <v>345</v>
      </c>
      <c r="X4619" t="s">
        <v>350</v>
      </c>
      <c r="AK4619" t="s">
        <v>361</v>
      </c>
    </row>
    <row r="4620" spans="1:37">
      <c r="B4620" t="s">
        <v>53</v>
      </c>
      <c r="C4620" t="s">
        <v>77</v>
      </c>
      <c r="D4620" t="s">
        <v>97</v>
      </c>
      <c r="E4620" t="s">
        <v>116</v>
      </c>
      <c r="F4620" t="s">
        <v>150</v>
      </c>
      <c r="G4620" t="s">
        <v>175</v>
      </c>
      <c r="H4620" t="s">
        <v>210</v>
      </c>
      <c r="I4620" t="s">
        <v>230</v>
      </c>
      <c r="J4620" t="s">
        <v>249</v>
      </c>
      <c r="K4620" t="s">
        <v>263</v>
      </c>
      <c r="L4620" t="s">
        <v>275</v>
      </c>
      <c r="M4620" t="s">
        <v>284</v>
      </c>
      <c r="N4620" t="s">
        <v>294</v>
      </c>
      <c r="O4620" t="s">
        <v>302</v>
      </c>
      <c r="P4620" t="s">
        <v>310</v>
      </c>
      <c r="Q4620" t="s">
        <v>316</v>
      </c>
      <c r="R4620" t="s">
        <v>322</v>
      </c>
      <c r="S4620" t="s">
        <v>329</v>
      </c>
      <c r="AK4620" t="s">
        <v>361</v>
      </c>
    </row>
    <row r="4621" spans="1:37">
      <c r="A4621" t="s">
        <v>39</v>
      </c>
      <c r="B4621" t="s">
        <v>54</v>
      </c>
      <c r="C4621" t="s">
        <v>54</v>
      </c>
      <c r="D4621" t="s">
        <v>54</v>
      </c>
      <c r="E4621" t="s">
        <v>54</v>
      </c>
      <c r="F4621" t="s">
        <v>54</v>
      </c>
      <c r="G4621" t="s">
        <v>54</v>
      </c>
      <c r="H4621" t="s">
        <v>54</v>
      </c>
      <c r="I4621" t="s">
        <v>54</v>
      </c>
      <c r="J4621" t="s">
        <v>54</v>
      </c>
      <c r="K4621" t="s">
        <v>54</v>
      </c>
      <c r="L4621" t="s">
        <v>54</v>
      </c>
      <c r="M4621" t="s">
        <v>54</v>
      </c>
      <c r="N4621" t="s">
        <v>54</v>
      </c>
      <c r="O4621" t="s">
        <v>54</v>
      </c>
      <c r="P4621" t="s">
        <v>54</v>
      </c>
      <c r="Q4621" t="s">
        <v>54</v>
      </c>
      <c r="R4621" t="s">
        <v>323</v>
      </c>
      <c r="S4621" t="s">
        <v>330</v>
      </c>
      <c r="AK4621" t="s">
        <v>361</v>
      </c>
    </row>
    <row r="4622" spans="1:37">
      <c r="B4622" t="s">
        <v>55</v>
      </c>
      <c r="C4622" t="s">
        <v>78</v>
      </c>
      <c r="D4622" t="s">
        <v>55</v>
      </c>
      <c r="E4622" t="s">
        <v>78</v>
      </c>
      <c r="F4622" t="s">
        <v>55</v>
      </c>
      <c r="G4622" t="s">
        <v>78</v>
      </c>
      <c r="H4622" t="s">
        <v>55</v>
      </c>
      <c r="I4622" t="s">
        <v>78</v>
      </c>
      <c r="J4622" t="s">
        <v>55</v>
      </c>
      <c r="K4622" t="s">
        <v>78</v>
      </c>
      <c r="L4622" t="s">
        <v>55</v>
      </c>
      <c r="M4622" t="s">
        <v>78</v>
      </c>
      <c r="N4622" t="s">
        <v>55</v>
      </c>
      <c r="O4622" t="s">
        <v>78</v>
      </c>
      <c r="P4622" t="s">
        <v>55</v>
      </c>
      <c r="Q4622" t="s">
        <v>78</v>
      </c>
      <c r="R4622" t="s">
        <v>55</v>
      </c>
      <c r="S4622" t="s">
        <v>78</v>
      </c>
      <c r="T4622" t="s">
        <v>55</v>
      </c>
      <c r="U4622" t="s">
        <v>78</v>
      </c>
      <c r="V4622" t="s">
        <v>55</v>
      </c>
      <c r="W4622" t="s">
        <v>78</v>
      </c>
      <c r="X4622" t="s">
        <v>55</v>
      </c>
      <c r="Y4622" t="s">
        <v>78</v>
      </c>
      <c r="Z4622" t="s">
        <v>55</v>
      </c>
      <c r="AA4622" t="s">
        <v>78</v>
      </c>
      <c r="AB4622" t="s">
        <v>55</v>
      </c>
      <c r="AC4622" t="s">
        <v>78</v>
      </c>
      <c r="AD4622" t="s">
        <v>55</v>
      </c>
      <c r="AE4622" t="s">
        <v>78</v>
      </c>
      <c r="AF4622" t="s">
        <v>55</v>
      </c>
      <c r="AG4622" t="s">
        <v>78</v>
      </c>
      <c r="AH4622" t="s">
        <v>55</v>
      </c>
      <c r="AI4622" t="s">
        <v>78</v>
      </c>
      <c r="AK4622" t="s">
        <v>361</v>
      </c>
    </row>
    <row r="4623" spans="1:37">
      <c r="B4623" t="s">
        <v>56</v>
      </c>
      <c r="C4623" t="s">
        <v>56</v>
      </c>
      <c r="D4623" t="s">
        <v>56</v>
      </c>
      <c r="E4623" t="s">
        <v>56</v>
      </c>
      <c r="F4623" t="s">
        <v>56</v>
      </c>
      <c r="G4623" t="s">
        <v>176</v>
      </c>
      <c r="H4623" t="s">
        <v>211</v>
      </c>
      <c r="I4623" t="s">
        <v>231</v>
      </c>
      <c r="J4623" t="s">
        <v>250</v>
      </c>
      <c r="K4623" t="s">
        <v>264</v>
      </c>
      <c r="L4623" t="s">
        <v>276</v>
      </c>
      <c r="M4623" t="s">
        <v>285</v>
      </c>
      <c r="N4623" t="s">
        <v>295</v>
      </c>
      <c r="O4623" t="s">
        <v>303</v>
      </c>
      <c r="P4623" t="s">
        <v>56</v>
      </c>
      <c r="Q4623" t="s">
        <v>317</v>
      </c>
      <c r="R4623" t="s">
        <v>324</v>
      </c>
      <c r="S4623" t="s">
        <v>331</v>
      </c>
      <c r="T4623" t="s">
        <v>334</v>
      </c>
      <c r="U4623" t="s">
        <v>338</v>
      </c>
      <c r="V4623" t="s">
        <v>342</v>
      </c>
      <c r="W4623" t="s">
        <v>346</v>
      </c>
      <c r="X4623" t="s">
        <v>351</v>
      </c>
      <c r="AK4623" t="s">
        <v>361</v>
      </c>
    </row>
    <row r="4624" spans="1:37">
      <c r="B4624" t="s">
        <v>57</v>
      </c>
      <c r="C4624" t="s">
        <v>79</v>
      </c>
      <c r="D4624" t="s">
        <v>98</v>
      </c>
      <c r="E4624" t="s">
        <v>117</v>
      </c>
      <c r="F4624" t="s">
        <v>151</v>
      </c>
      <c r="G4624" t="s">
        <v>177</v>
      </c>
      <c r="H4624" t="s">
        <v>212</v>
      </c>
      <c r="I4624" t="s">
        <v>232</v>
      </c>
      <c r="J4624" t="s">
        <v>251</v>
      </c>
      <c r="K4624" t="s">
        <v>265</v>
      </c>
      <c r="L4624" t="s">
        <v>277</v>
      </c>
      <c r="M4624" t="s">
        <v>286</v>
      </c>
      <c r="N4624" t="s">
        <v>296</v>
      </c>
      <c r="O4624" t="s">
        <v>304</v>
      </c>
      <c r="P4624" t="s">
        <v>311</v>
      </c>
      <c r="Q4624" t="s">
        <v>318</v>
      </c>
      <c r="R4624" t="s">
        <v>185</v>
      </c>
      <c r="S4624" t="s">
        <v>159</v>
      </c>
      <c r="T4624" t="s">
        <v>185</v>
      </c>
      <c r="U4624" t="s">
        <v>339</v>
      </c>
      <c r="V4624" t="s">
        <v>72</v>
      </c>
      <c r="W4624" t="s">
        <v>347</v>
      </c>
      <c r="X4624" t="s">
        <v>72</v>
      </c>
      <c r="Y4624" t="s">
        <v>96</v>
      </c>
      <c r="AK4624" t="s">
        <v>361</v>
      </c>
    </row>
    <row r="4625" spans="1:37">
      <c r="B4625" t="s">
        <v>58</v>
      </c>
      <c r="C4625" t="s">
        <v>80</v>
      </c>
      <c r="D4625" t="s">
        <v>99</v>
      </c>
      <c r="E4625" t="s">
        <v>118</v>
      </c>
      <c r="F4625" t="s">
        <v>152</v>
      </c>
      <c r="G4625" t="s">
        <v>178</v>
      </c>
      <c r="H4625" t="s">
        <v>213</v>
      </c>
      <c r="I4625" t="s">
        <v>233</v>
      </c>
      <c r="J4625" t="s">
        <v>252</v>
      </c>
      <c r="K4625" t="s">
        <v>266</v>
      </c>
      <c r="L4625" t="s">
        <v>278</v>
      </c>
      <c r="M4625" t="s">
        <v>287</v>
      </c>
      <c r="N4625" t="s">
        <v>297</v>
      </c>
      <c r="O4625" t="s">
        <v>305</v>
      </c>
      <c r="P4625" t="s">
        <v>312</v>
      </c>
      <c r="Q4625" t="s">
        <v>319</v>
      </c>
      <c r="R4625">
        <f>&gt;10       ветра      2.2     24  11</f>
        <v>0</v>
      </c>
      <c r="AK4625" t="s">
        <v>361</v>
      </c>
    </row>
    <row r="4626" spans="1:37">
      <c r="A4626" t="s">
        <v>40</v>
      </c>
      <c r="B4626" t="s">
        <v>59</v>
      </c>
      <c r="C4626" t="s">
        <v>81</v>
      </c>
      <c r="D4626" t="s">
        <v>100</v>
      </c>
      <c r="E4626" t="s">
        <v>119</v>
      </c>
      <c r="F4626" t="s">
        <v>153</v>
      </c>
      <c r="G4626" t="s">
        <v>179</v>
      </c>
      <c r="H4626" t="s">
        <v>214</v>
      </c>
      <c r="I4626" t="s">
        <v>234</v>
      </c>
      <c r="AK4626" t="s">
        <v>361</v>
      </c>
    </row>
    <row r="4627" spans="1:37">
      <c r="A4627" t="s">
        <v>40</v>
      </c>
      <c r="B4627" t="s">
        <v>60</v>
      </c>
      <c r="C4627" t="s">
        <v>82</v>
      </c>
      <c r="D4627" t="s">
        <v>101</v>
      </c>
      <c r="E4627" t="s">
        <v>120</v>
      </c>
      <c r="F4627" t="s">
        <v>154</v>
      </c>
      <c r="G4627" t="s">
        <v>180</v>
      </c>
      <c r="H4627" t="s">
        <v>215</v>
      </c>
      <c r="I4627" t="s">
        <v>235</v>
      </c>
      <c r="J4627" t="s">
        <v>253</v>
      </c>
      <c r="K4627" t="s">
        <v>267</v>
      </c>
      <c r="L4627" t="s">
        <v>279</v>
      </c>
      <c r="M4627" t="s">
        <v>288</v>
      </c>
      <c r="N4627" t="s">
        <v>100</v>
      </c>
      <c r="O4627" t="s">
        <v>306</v>
      </c>
      <c r="P4627" t="s">
        <v>313</v>
      </c>
      <c r="Q4627" t="s">
        <v>320</v>
      </c>
      <c r="R4627" t="s">
        <v>325</v>
      </c>
      <c r="S4627" t="s">
        <v>332</v>
      </c>
      <c r="T4627" t="s">
        <v>119</v>
      </c>
      <c r="U4627" t="s">
        <v>234</v>
      </c>
      <c r="V4627" t="s">
        <v>343</v>
      </c>
      <c r="W4627" t="s">
        <v>348</v>
      </c>
      <c r="X4627" t="s">
        <v>352</v>
      </c>
      <c r="Y4627" t="s">
        <v>354</v>
      </c>
      <c r="AK4627" t="s">
        <v>361</v>
      </c>
    </row>
    <row r="4628" spans="1:37">
      <c r="A4628" t="s">
        <v>41</v>
      </c>
      <c r="B4628" t="s">
        <v>61</v>
      </c>
      <c r="C4628" t="s">
        <v>83</v>
      </c>
      <c r="D4628" t="s">
        <v>102</v>
      </c>
      <c r="E4628" t="s">
        <v>121</v>
      </c>
      <c r="F4628" t="s">
        <v>155</v>
      </c>
      <c r="G4628" t="s">
        <v>181</v>
      </c>
      <c r="H4628" t="s">
        <v>216</v>
      </c>
      <c r="I4628" t="s">
        <v>236</v>
      </c>
      <c r="AK4628" t="s">
        <v>361</v>
      </c>
    </row>
    <row r="4629" spans="1:37">
      <c r="A4629" t="s">
        <v>42</v>
      </c>
      <c r="B4629" t="s">
        <v>62</v>
      </c>
      <c r="C4629" t="s">
        <v>84</v>
      </c>
      <c r="D4629" t="s">
        <v>103</v>
      </c>
      <c r="E4629" t="s">
        <v>122</v>
      </c>
      <c r="F4629" t="s">
        <v>156</v>
      </c>
      <c r="G4629" t="s">
        <v>182</v>
      </c>
      <c r="H4629" t="s">
        <v>83</v>
      </c>
      <c r="I4629" t="s">
        <v>237</v>
      </c>
      <c r="J4629" t="s">
        <v>254</v>
      </c>
      <c r="K4629" t="s">
        <v>268</v>
      </c>
      <c r="L4629" t="s">
        <v>280</v>
      </c>
      <c r="M4629" t="s">
        <v>289</v>
      </c>
      <c r="N4629" t="s">
        <v>298</v>
      </c>
      <c r="O4629" t="s">
        <v>307</v>
      </c>
      <c r="P4629" t="s">
        <v>314</v>
      </c>
      <c r="Q4629" t="s">
        <v>216</v>
      </c>
      <c r="R4629" t="s">
        <v>326</v>
      </c>
      <c r="S4629" t="s">
        <v>333</v>
      </c>
      <c r="T4629" t="s">
        <v>335</v>
      </c>
      <c r="U4629" t="s">
        <v>340</v>
      </c>
      <c r="V4629" t="s">
        <v>344</v>
      </c>
      <c r="W4629" t="s">
        <v>349</v>
      </c>
      <c r="AK4629" t="s">
        <v>361</v>
      </c>
    </row>
    <row r="4630" spans="1:37">
      <c r="A4630" t="s">
        <v>43</v>
      </c>
      <c r="B4630" t="s">
        <v>63</v>
      </c>
      <c r="C4630" t="s">
        <v>85</v>
      </c>
      <c r="D4630" t="s">
        <v>104</v>
      </c>
      <c r="E4630" t="s">
        <v>123</v>
      </c>
      <c r="F4630" t="s">
        <v>157</v>
      </c>
      <c r="G4630" t="s">
        <v>183</v>
      </c>
      <c r="AK4630" t="s">
        <v>361</v>
      </c>
    </row>
    <row r="4631" spans="1:37">
      <c r="A4631" t="s">
        <v>44</v>
      </c>
      <c r="B4631" t="s">
        <v>64</v>
      </c>
      <c r="C4631" t="s">
        <v>86</v>
      </c>
      <c r="D4631" t="s">
        <v>105</v>
      </c>
      <c r="E4631" t="s">
        <v>124</v>
      </c>
      <c r="F4631" t="s">
        <v>158</v>
      </c>
      <c r="G4631" t="s">
        <v>184</v>
      </c>
      <c r="AK4631" t="s">
        <v>361</v>
      </c>
    </row>
    <row r="4632" spans="1:37">
      <c r="A4632" t="s">
        <v>45</v>
      </c>
      <c r="B4632" t="s">
        <v>65</v>
      </c>
      <c r="C4632" t="s">
        <v>87</v>
      </c>
      <c r="D4632" t="s">
        <v>106</v>
      </c>
      <c r="E4632" t="s">
        <v>125</v>
      </c>
      <c r="F4632" t="s">
        <v>159</v>
      </c>
      <c r="G4632" t="s">
        <v>185</v>
      </c>
      <c r="H4632" t="s">
        <v>159</v>
      </c>
      <c r="I4632" t="s">
        <v>185</v>
      </c>
      <c r="J4632" t="s">
        <v>255</v>
      </c>
      <c r="AK4632" t="s">
        <v>361</v>
      </c>
    </row>
    <row r="4633" spans="1:37">
      <c r="A4633" t="s">
        <v>46</v>
      </c>
      <c r="B4633" t="s">
        <v>66</v>
      </c>
      <c r="C4633" t="s">
        <v>88</v>
      </c>
      <c r="D4633" t="s">
        <v>76</v>
      </c>
      <c r="E4633" t="s">
        <v>126</v>
      </c>
      <c r="F4633" t="s">
        <v>160</v>
      </c>
      <c r="G4633" t="s">
        <v>186</v>
      </c>
      <c r="H4633" t="s">
        <v>217</v>
      </c>
      <c r="I4633" t="s">
        <v>238</v>
      </c>
      <c r="J4633" t="s">
        <v>256</v>
      </c>
      <c r="K4633" t="s">
        <v>265</v>
      </c>
      <c r="L4633" t="s">
        <v>281</v>
      </c>
      <c r="M4633" t="s">
        <v>290</v>
      </c>
      <c r="N4633" t="s">
        <v>299</v>
      </c>
      <c r="O4633" t="s">
        <v>308</v>
      </c>
      <c r="P4633" t="s">
        <v>228</v>
      </c>
      <c r="Q4633" t="s">
        <v>72</v>
      </c>
      <c r="R4633" t="s">
        <v>327</v>
      </c>
      <c r="S4633" t="s">
        <v>327</v>
      </c>
      <c r="T4633" t="s">
        <v>336</v>
      </c>
      <c r="U4633" t="s">
        <v>336</v>
      </c>
      <c r="V4633" t="s">
        <v>336</v>
      </c>
      <c r="W4633" t="s">
        <v>336</v>
      </c>
      <c r="X4633" t="s">
        <v>353</v>
      </c>
      <c r="AK4633" t="s">
        <v>361</v>
      </c>
    </row>
    <row r="4634" spans="1:37">
      <c r="B4634" t="s">
        <v>67</v>
      </c>
      <c r="C4634" t="s">
        <v>89</v>
      </c>
      <c r="D4634" t="s">
        <v>107</v>
      </c>
      <c r="AK4634" t="s">
        <v>361</v>
      </c>
    </row>
    <row r="4635" spans="1:37">
      <c r="B4635" t="s">
        <v>68</v>
      </c>
      <c r="C4635" t="s">
        <v>90</v>
      </c>
      <c r="D4635" t="s">
        <v>108</v>
      </c>
      <c r="AK4635" t="s">
        <v>361</v>
      </c>
    </row>
    <row r="4636" spans="1:37">
      <c r="A4636" t="s">
        <v>47</v>
      </c>
      <c r="B4636" t="s">
        <v>69</v>
      </c>
      <c r="C4636" t="s">
        <v>91</v>
      </c>
      <c r="D4636" t="s">
        <v>109</v>
      </c>
      <c r="E4636" t="s">
        <v>109</v>
      </c>
      <c r="F4636" t="s">
        <v>109</v>
      </c>
      <c r="G4636" t="s">
        <v>109</v>
      </c>
      <c r="H4636" t="s">
        <v>109</v>
      </c>
      <c r="I4636" t="s">
        <v>239</v>
      </c>
      <c r="AK4636" t="s">
        <v>361</v>
      </c>
    </row>
    <row r="4637" spans="1:37">
      <c r="B4637" t="s">
        <v>70</v>
      </c>
      <c r="C4637" t="s">
        <v>92</v>
      </c>
      <c r="D4637" t="s">
        <v>110</v>
      </c>
      <c r="E4637" t="s">
        <v>127</v>
      </c>
      <c r="F4637" t="s">
        <v>161</v>
      </c>
      <c r="G4637" t="s">
        <v>187</v>
      </c>
      <c r="H4637" t="s">
        <v>218</v>
      </c>
      <c r="AK4637" t="s">
        <v>361</v>
      </c>
    </row>
    <row r="4638" spans="1:37">
      <c r="B4638" t="s">
        <v>71</v>
      </c>
      <c r="C4638" t="s">
        <v>93</v>
      </c>
      <c r="D4638" t="s">
        <v>111</v>
      </c>
      <c r="E4638" t="s">
        <v>128</v>
      </c>
      <c r="F4638" t="s">
        <v>162</v>
      </c>
      <c r="G4638" t="s">
        <v>188</v>
      </c>
      <c r="H4638" t="s">
        <v>219</v>
      </c>
      <c r="I4638" t="s">
        <v>240</v>
      </c>
      <c r="J4638" t="s">
        <v>257</v>
      </c>
      <c r="K4638" t="s">
        <v>269</v>
      </c>
      <c r="L4638" t="s">
        <v>109</v>
      </c>
      <c r="M4638" t="s">
        <v>109</v>
      </c>
      <c r="N4638" t="s">
        <v>109</v>
      </c>
      <c r="O4638" t="s">
        <v>109</v>
      </c>
      <c r="P4638" t="s">
        <v>109</v>
      </c>
      <c r="Q4638" t="s">
        <v>321</v>
      </c>
      <c r="AK4638" t="s">
        <v>361</v>
      </c>
    </row>
    <row r="4639" spans="1:37">
      <c r="A4639" t="s">
        <v>48</v>
      </c>
      <c r="B4639" t="s">
        <v>71</v>
      </c>
      <c r="C4639" t="s">
        <v>93</v>
      </c>
      <c r="D4639" t="s">
        <v>111</v>
      </c>
      <c r="E4639" t="s">
        <v>128</v>
      </c>
      <c r="F4639" t="s">
        <v>163</v>
      </c>
      <c r="G4639" t="s">
        <v>189</v>
      </c>
      <c r="H4639" t="s">
        <v>220</v>
      </c>
      <c r="I4639" t="s">
        <v>241</v>
      </c>
      <c r="J4639" t="s">
        <v>258</v>
      </c>
      <c r="K4639" t="s">
        <v>270</v>
      </c>
      <c r="AK4639" t="s">
        <v>361</v>
      </c>
    </row>
    <row r="4640" spans="1:37">
      <c r="B4640" t="s">
        <v>72</v>
      </c>
      <c r="C4640" t="s">
        <v>72</v>
      </c>
      <c r="D4640" t="s">
        <v>72</v>
      </c>
      <c r="E4640" t="s">
        <v>72</v>
      </c>
      <c r="F4640" t="s">
        <v>72</v>
      </c>
      <c r="G4640" t="s">
        <v>72</v>
      </c>
      <c r="H4640" t="s">
        <v>72</v>
      </c>
      <c r="I4640" t="s">
        <v>72</v>
      </c>
      <c r="J4640" t="s">
        <v>72</v>
      </c>
      <c r="K4640" t="s">
        <v>272</v>
      </c>
      <c r="AK4640" t="s">
        <v>361</v>
      </c>
    </row>
    <row r="4641" spans="1:37">
      <c r="A4641" t="s">
        <v>37</v>
      </c>
      <c r="B4641" t="s">
        <v>49</v>
      </c>
      <c r="C4641" t="s">
        <v>73</v>
      </c>
      <c r="D4641" t="s">
        <v>94</v>
      </c>
      <c r="E4641" t="s">
        <v>112</v>
      </c>
      <c r="F4641" t="s">
        <v>146</v>
      </c>
      <c r="G4641" t="s">
        <v>172</v>
      </c>
      <c r="H4641" t="s">
        <v>207</v>
      </c>
      <c r="I4641" t="s">
        <v>226</v>
      </c>
      <c r="J4641" t="s">
        <v>246</v>
      </c>
      <c r="K4641" t="s">
        <v>259</v>
      </c>
      <c r="AK4641" t="s">
        <v>361</v>
      </c>
    </row>
    <row r="4642" spans="1:37">
      <c r="A4642" t="s">
        <v>38</v>
      </c>
      <c r="B4642" t="s">
        <v>50</v>
      </c>
      <c r="C4642" t="s">
        <v>74</v>
      </c>
      <c r="D4642" t="s">
        <v>95</v>
      </c>
      <c r="E4642" t="s">
        <v>113</v>
      </c>
      <c r="F4642" t="s">
        <v>147</v>
      </c>
      <c r="G4642" t="s">
        <v>173</v>
      </c>
      <c r="H4642" t="s">
        <v>208</v>
      </c>
      <c r="I4642" t="s">
        <v>227</v>
      </c>
      <c r="J4642" t="s">
        <v>115</v>
      </c>
      <c r="K4642" t="s">
        <v>260</v>
      </c>
      <c r="L4642" t="s">
        <v>273</v>
      </c>
      <c r="M4642" t="s">
        <v>282</v>
      </c>
      <c r="N4642" t="s">
        <v>291</v>
      </c>
      <c r="AK4642" t="s">
        <v>361</v>
      </c>
    </row>
    <row r="4643" spans="1:37">
      <c r="B4643" t="s">
        <v>51</v>
      </c>
      <c r="C4643" t="s">
        <v>75</v>
      </c>
      <c r="D4643" t="s">
        <v>52</v>
      </c>
      <c r="E4643" t="s">
        <v>114</v>
      </c>
      <c r="F4643" t="s">
        <v>148</v>
      </c>
      <c r="G4643" t="s">
        <v>148</v>
      </c>
      <c r="H4643" t="s">
        <v>209</v>
      </c>
      <c r="I4643" t="s">
        <v>228</v>
      </c>
      <c r="J4643" t="s">
        <v>247</v>
      </c>
      <c r="K4643" t="s">
        <v>261</v>
      </c>
      <c r="L4643" t="s">
        <v>274</v>
      </c>
      <c r="M4643" t="s">
        <v>283</v>
      </c>
      <c r="N4643" t="s">
        <v>292</v>
      </c>
      <c r="O4643" t="s">
        <v>300</v>
      </c>
      <c r="AK4643" t="s">
        <v>361</v>
      </c>
    </row>
    <row r="4644" spans="1:37">
      <c r="B4644" t="s">
        <v>52</v>
      </c>
      <c r="C4644" t="s">
        <v>76</v>
      </c>
      <c r="D4644" t="s">
        <v>96</v>
      </c>
      <c r="E4644" t="s">
        <v>115</v>
      </c>
      <c r="F4644" t="s">
        <v>149</v>
      </c>
      <c r="G4644" t="s">
        <v>174</v>
      </c>
      <c r="H4644" t="s">
        <v>96</v>
      </c>
      <c r="I4644" t="s">
        <v>229</v>
      </c>
      <c r="J4644" t="s">
        <v>248</v>
      </c>
      <c r="K4644" t="s">
        <v>262</v>
      </c>
      <c r="L4644" t="s">
        <v>52</v>
      </c>
      <c r="M4644" t="s">
        <v>76</v>
      </c>
      <c r="N4644" t="s">
        <v>293</v>
      </c>
      <c r="O4644" t="s">
        <v>301</v>
      </c>
      <c r="P4644" t="s">
        <v>309</v>
      </c>
      <c r="Q4644" t="s">
        <v>315</v>
      </c>
      <c r="R4644" t="s">
        <v>228</v>
      </c>
      <c r="S4644" t="s">
        <v>328</v>
      </c>
      <c r="T4644" t="s">
        <v>149</v>
      </c>
      <c r="U4644" t="s">
        <v>337</v>
      </c>
      <c r="V4644" t="s">
        <v>341</v>
      </c>
      <c r="W4644" t="s">
        <v>345</v>
      </c>
      <c r="X4644" t="s">
        <v>350</v>
      </c>
      <c r="AK4644" t="s">
        <v>361</v>
      </c>
    </row>
    <row r="4645" spans="1:37">
      <c r="B4645" t="s">
        <v>53</v>
      </c>
      <c r="C4645" t="s">
        <v>77</v>
      </c>
      <c r="D4645" t="s">
        <v>97</v>
      </c>
      <c r="E4645" t="s">
        <v>116</v>
      </c>
      <c r="F4645" t="s">
        <v>150</v>
      </c>
      <c r="G4645" t="s">
        <v>175</v>
      </c>
      <c r="H4645" t="s">
        <v>210</v>
      </c>
      <c r="I4645" t="s">
        <v>230</v>
      </c>
      <c r="J4645" t="s">
        <v>249</v>
      </c>
      <c r="K4645" t="s">
        <v>263</v>
      </c>
      <c r="L4645" t="s">
        <v>275</v>
      </c>
      <c r="M4645" t="s">
        <v>284</v>
      </c>
      <c r="N4645" t="s">
        <v>294</v>
      </c>
      <c r="O4645" t="s">
        <v>302</v>
      </c>
      <c r="P4645" t="s">
        <v>310</v>
      </c>
      <c r="Q4645" t="s">
        <v>316</v>
      </c>
      <c r="R4645" t="s">
        <v>322</v>
      </c>
      <c r="S4645" t="s">
        <v>329</v>
      </c>
      <c r="AK4645" t="s">
        <v>361</v>
      </c>
    </row>
    <row r="4646" spans="1:37">
      <c r="A4646" t="s">
        <v>39</v>
      </c>
      <c r="B4646" t="s">
        <v>54</v>
      </c>
      <c r="C4646" t="s">
        <v>54</v>
      </c>
      <c r="D4646" t="s">
        <v>54</v>
      </c>
      <c r="E4646" t="s">
        <v>54</v>
      </c>
      <c r="F4646" t="s">
        <v>54</v>
      </c>
      <c r="G4646" t="s">
        <v>54</v>
      </c>
      <c r="H4646" t="s">
        <v>54</v>
      </c>
      <c r="I4646" t="s">
        <v>54</v>
      </c>
      <c r="J4646" t="s">
        <v>54</v>
      </c>
      <c r="K4646" t="s">
        <v>54</v>
      </c>
      <c r="L4646" t="s">
        <v>54</v>
      </c>
      <c r="M4646" t="s">
        <v>54</v>
      </c>
      <c r="N4646" t="s">
        <v>54</v>
      </c>
      <c r="O4646" t="s">
        <v>54</v>
      </c>
      <c r="P4646" t="s">
        <v>54</v>
      </c>
      <c r="Q4646" t="s">
        <v>54</v>
      </c>
      <c r="R4646" t="s">
        <v>323</v>
      </c>
      <c r="S4646" t="s">
        <v>330</v>
      </c>
      <c r="AK4646" t="s">
        <v>361</v>
      </c>
    </row>
    <row r="4647" spans="1:37">
      <c r="B4647" t="s">
        <v>55</v>
      </c>
      <c r="C4647" t="s">
        <v>78</v>
      </c>
      <c r="D4647" t="s">
        <v>55</v>
      </c>
      <c r="E4647" t="s">
        <v>78</v>
      </c>
      <c r="F4647" t="s">
        <v>55</v>
      </c>
      <c r="G4647" t="s">
        <v>78</v>
      </c>
      <c r="H4647" t="s">
        <v>55</v>
      </c>
      <c r="I4647" t="s">
        <v>78</v>
      </c>
      <c r="J4647" t="s">
        <v>55</v>
      </c>
      <c r="K4647" t="s">
        <v>78</v>
      </c>
      <c r="L4647" t="s">
        <v>55</v>
      </c>
      <c r="M4647" t="s">
        <v>78</v>
      </c>
      <c r="N4647" t="s">
        <v>55</v>
      </c>
      <c r="O4647" t="s">
        <v>78</v>
      </c>
      <c r="P4647" t="s">
        <v>55</v>
      </c>
      <c r="Q4647" t="s">
        <v>78</v>
      </c>
      <c r="R4647" t="s">
        <v>55</v>
      </c>
      <c r="S4647" t="s">
        <v>78</v>
      </c>
      <c r="T4647" t="s">
        <v>55</v>
      </c>
      <c r="U4647" t="s">
        <v>78</v>
      </c>
      <c r="V4647" t="s">
        <v>55</v>
      </c>
      <c r="W4647" t="s">
        <v>78</v>
      </c>
      <c r="X4647" t="s">
        <v>55</v>
      </c>
      <c r="Y4647" t="s">
        <v>78</v>
      </c>
      <c r="Z4647" t="s">
        <v>55</v>
      </c>
      <c r="AA4647" t="s">
        <v>78</v>
      </c>
      <c r="AB4647" t="s">
        <v>55</v>
      </c>
      <c r="AC4647" t="s">
        <v>78</v>
      </c>
      <c r="AD4647" t="s">
        <v>55</v>
      </c>
      <c r="AE4647" t="s">
        <v>78</v>
      </c>
      <c r="AF4647" t="s">
        <v>55</v>
      </c>
      <c r="AG4647" t="s">
        <v>78</v>
      </c>
      <c r="AH4647" t="s">
        <v>55</v>
      </c>
      <c r="AI4647" t="s">
        <v>78</v>
      </c>
      <c r="AK4647" t="s">
        <v>361</v>
      </c>
    </row>
    <row r="4648" spans="1:37">
      <c r="B4648" t="s">
        <v>56</v>
      </c>
      <c r="C4648" t="s">
        <v>56</v>
      </c>
      <c r="D4648" t="s">
        <v>56</v>
      </c>
      <c r="E4648" t="s">
        <v>56</v>
      </c>
      <c r="F4648" t="s">
        <v>56</v>
      </c>
      <c r="G4648" t="s">
        <v>176</v>
      </c>
      <c r="H4648" t="s">
        <v>211</v>
      </c>
      <c r="I4648" t="s">
        <v>231</v>
      </c>
      <c r="J4648" t="s">
        <v>250</v>
      </c>
      <c r="K4648" t="s">
        <v>264</v>
      </c>
      <c r="L4648" t="s">
        <v>276</v>
      </c>
      <c r="M4648" t="s">
        <v>285</v>
      </c>
      <c r="N4648" t="s">
        <v>295</v>
      </c>
      <c r="O4648" t="s">
        <v>303</v>
      </c>
      <c r="P4648" t="s">
        <v>56</v>
      </c>
      <c r="Q4648" t="s">
        <v>317</v>
      </c>
      <c r="R4648" t="s">
        <v>324</v>
      </c>
      <c r="S4648" t="s">
        <v>331</v>
      </c>
      <c r="T4648" t="s">
        <v>334</v>
      </c>
      <c r="U4648" t="s">
        <v>338</v>
      </c>
      <c r="V4648" t="s">
        <v>342</v>
      </c>
      <c r="W4648" t="s">
        <v>346</v>
      </c>
      <c r="X4648" t="s">
        <v>351</v>
      </c>
      <c r="AK4648" t="s">
        <v>361</v>
      </c>
    </row>
    <row r="4649" spans="1:37">
      <c r="B4649" t="s">
        <v>57</v>
      </c>
      <c r="C4649" t="s">
        <v>79</v>
      </c>
      <c r="D4649" t="s">
        <v>98</v>
      </c>
      <c r="E4649" t="s">
        <v>117</v>
      </c>
      <c r="F4649" t="s">
        <v>151</v>
      </c>
      <c r="G4649" t="s">
        <v>177</v>
      </c>
      <c r="H4649" t="s">
        <v>212</v>
      </c>
      <c r="I4649" t="s">
        <v>232</v>
      </c>
      <c r="J4649" t="s">
        <v>251</v>
      </c>
      <c r="K4649" t="s">
        <v>265</v>
      </c>
      <c r="L4649" t="s">
        <v>277</v>
      </c>
      <c r="M4649" t="s">
        <v>286</v>
      </c>
      <c r="N4649" t="s">
        <v>296</v>
      </c>
      <c r="O4649" t="s">
        <v>304</v>
      </c>
      <c r="P4649" t="s">
        <v>311</v>
      </c>
      <c r="Q4649" t="s">
        <v>318</v>
      </c>
      <c r="R4649" t="s">
        <v>185</v>
      </c>
      <c r="S4649" t="s">
        <v>159</v>
      </c>
      <c r="T4649" t="s">
        <v>185</v>
      </c>
      <c r="U4649" t="s">
        <v>339</v>
      </c>
      <c r="V4649" t="s">
        <v>72</v>
      </c>
      <c r="W4649" t="s">
        <v>347</v>
      </c>
      <c r="X4649" t="s">
        <v>72</v>
      </c>
      <c r="Y4649" t="s">
        <v>96</v>
      </c>
      <c r="AK4649" t="s">
        <v>361</v>
      </c>
    </row>
    <row r="4650" spans="1:37">
      <c r="B4650" t="s">
        <v>58</v>
      </c>
      <c r="C4650" t="s">
        <v>80</v>
      </c>
      <c r="D4650" t="s">
        <v>99</v>
      </c>
      <c r="E4650" t="s">
        <v>118</v>
      </c>
      <c r="F4650" t="s">
        <v>152</v>
      </c>
      <c r="G4650" t="s">
        <v>178</v>
      </c>
      <c r="H4650" t="s">
        <v>213</v>
      </c>
      <c r="I4650" t="s">
        <v>233</v>
      </c>
      <c r="J4650" t="s">
        <v>252</v>
      </c>
      <c r="K4650" t="s">
        <v>266</v>
      </c>
      <c r="L4650" t="s">
        <v>278</v>
      </c>
      <c r="M4650" t="s">
        <v>287</v>
      </c>
      <c r="N4650" t="s">
        <v>297</v>
      </c>
      <c r="O4650" t="s">
        <v>305</v>
      </c>
      <c r="P4650" t="s">
        <v>312</v>
      </c>
      <c r="Q4650" t="s">
        <v>319</v>
      </c>
      <c r="R4650">
        <f>&gt;10       ветра      1.3     20   4</f>
        <v>0</v>
      </c>
      <c r="AK4650" t="s">
        <v>361</v>
      </c>
    </row>
    <row r="4651" spans="1:37">
      <c r="A4651" t="s">
        <v>40</v>
      </c>
      <c r="B4651" t="s">
        <v>59</v>
      </c>
      <c r="C4651" t="s">
        <v>81</v>
      </c>
      <c r="D4651" t="s">
        <v>100</v>
      </c>
      <c r="E4651" t="s">
        <v>119</v>
      </c>
      <c r="F4651" t="s">
        <v>153</v>
      </c>
      <c r="G4651" t="s">
        <v>179</v>
      </c>
      <c r="H4651" t="s">
        <v>214</v>
      </c>
      <c r="I4651" t="s">
        <v>234</v>
      </c>
      <c r="AK4651" t="s">
        <v>361</v>
      </c>
    </row>
    <row r="4652" spans="1:37">
      <c r="A4652" t="s">
        <v>40</v>
      </c>
      <c r="B4652" t="s">
        <v>60</v>
      </c>
      <c r="C4652" t="s">
        <v>82</v>
      </c>
      <c r="D4652" t="s">
        <v>101</v>
      </c>
      <c r="E4652" t="s">
        <v>120</v>
      </c>
      <c r="F4652" t="s">
        <v>154</v>
      </c>
      <c r="G4652" t="s">
        <v>180</v>
      </c>
      <c r="H4652" t="s">
        <v>215</v>
      </c>
      <c r="I4652" t="s">
        <v>235</v>
      </c>
      <c r="J4652" t="s">
        <v>253</v>
      </c>
      <c r="K4652" t="s">
        <v>267</v>
      </c>
      <c r="L4652" t="s">
        <v>279</v>
      </c>
      <c r="M4652" t="s">
        <v>288</v>
      </c>
      <c r="N4652" t="s">
        <v>100</v>
      </c>
      <c r="O4652" t="s">
        <v>306</v>
      </c>
      <c r="P4652" t="s">
        <v>313</v>
      </c>
      <c r="Q4652" t="s">
        <v>320</v>
      </c>
      <c r="R4652" t="s">
        <v>325</v>
      </c>
      <c r="S4652" t="s">
        <v>332</v>
      </c>
      <c r="T4652" t="s">
        <v>119</v>
      </c>
      <c r="U4652" t="s">
        <v>234</v>
      </c>
      <c r="V4652" t="s">
        <v>343</v>
      </c>
      <c r="W4652" t="s">
        <v>348</v>
      </c>
      <c r="X4652" t="s">
        <v>352</v>
      </c>
      <c r="Y4652" t="s">
        <v>354</v>
      </c>
      <c r="AK4652" t="s">
        <v>361</v>
      </c>
    </row>
    <row r="4653" spans="1:37">
      <c r="A4653" t="s">
        <v>41</v>
      </c>
      <c r="B4653" t="s">
        <v>61</v>
      </c>
      <c r="C4653" t="s">
        <v>83</v>
      </c>
      <c r="D4653" t="s">
        <v>102</v>
      </c>
      <c r="E4653" t="s">
        <v>121</v>
      </c>
      <c r="F4653" t="s">
        <v>155</v>
      </c>
      <c r="G4653" t="s">
        <v>181</v>
      </c>
      <c r="H4653" t="s">
        <v>216</v>
      </c>
      <c r="I4653" t="s">
        <v>236</v>
      </c>
      <c r="AK4653" t="s">
        <v>361</v>
      </c>
    </row>
    <row r="4654" spans="1:37">
      <c r="A4654" t="s">
        <v>42</v>
      </c>
      <c r="B4654" t="s">
        <v>62</v>
      </c>
      <c r="C4654" t="s">
        <v>84</v>
      </c>
      <c r="D4654" t="s">
        <v>103</v>
      </c>
      <c r="E4654" t="s">
        <v>122</v>
      </c>
      <c r="F4654" t="s">
        <v>156</v>
      </c>
      <c r="G4654" t="s">
        <v>182</v>
      </c>
      <c r="H4654" t="s">
        <v>83</v>
      </c>
      <c r="I4654" t="s">
        <v>237</v>
      </c>
      <c r="J4654" t="s">
        <v>254</v>
      </c>
      <c r="K4654" t="s">
        <v>268</v>
      </c>
      <c r="L4654" t="s">
        <v>280</v>
      </c>
      <c r="M4654" t="s">
        <v>289</v>
      </c>
      <c r="N4654" t="s">
        <v>298</v>
      </c>
      <c r="O4654" t="s">
        <v>307</v>
      </c>
      <c r="P4654" t="s">
        <v>314</v>
      </c>
      <c r="Q4654" t="s">
        <v>216</v>
      </c>
      <c r="R4654" t="s">
        <v>326</v>
      </c>
      <c r="S4654" t="s">
        <v>333</v>
      </c>
      <c r="T4654" t="s">
        <v>335</v>
      </c>
      <c r="U4654" t="s">
        <v>340</v>
      </c>
      <c r="V4654" t="s">
        <v>344</v>
      </c>
      <c r="W4654" t="s">
        <v>349</v>
      </c>
      <c r="AK4654" t="s">
        <v>361</v>
      </c>
    </row>
    <row r="4655" spans="1:37">
      <c r="A4655" t="s">
        <v>43</v>
      </c>
      <c r="B4655" t="s">
        <v>63</v>
      </c>
      <c r="C4655" t="s">
        <v>85</v>
      </c>
      <c r="D4655" t="s">
        <v>104</v>
      </c>
      <c r="E4655" t="s">
        <v>123</v>
      </c>
      <c r="F4655" t="s">
        <v>157</v>
      </c>
      <c r="G4655" t="s">
        <v>183</v>
      </c>
      <c r="AK4655" t="s">
        <v>361</v>
      </c>
    </row>
    <row r="4656" spans="1:37">
      <c r="A4656" t="s">
        <v>44</v>
      </c>
      <c r="B4656" t="s">
        <v>64</v>
      </c>
      <c r="C4656" t="s">
        <v>86</v>
      </c>
      <c r="D4656" t="s">
        <v>105</v>
      </c>
      <c r="E4656" t="s">
        <v>124</v>
      </c>
      <c r="F4656" t="s">
        <v>158</v>
      </c>
      <c r="G4656" t="s">
        <v>184</v>
      </c>
      <c r="AK4656" t="s">
        <v>361</v>
      </c>
    </row>
    <row r="4657" spans="1:37">
      <c r="A4657" t="s">
        <v>45</v>
      </c>
      <c r="B4657" t="s">
        <v>65</v>
      </c>
      <c r="C4657" t="s">
        <v>87</v>
      </c>
      <c r="D4657" t="s">
        <v>106</v>
      </c>
      <c r="E4657" t="s">
        <v>125</v>
      </c>
      <c r="F4657" t="s">
        <v>159</v>
      </c>
      <c r="G4657" t="s">
        <v>185</v>
      </c>
      <c r="H4657" t="s">
        <v>159</v>
      </c>
      <c r="I4657" t="s">
        <v>185</v>
      </c>
      <c r="J4657" t="s">
        <v>255</v>
      </c>
      <c r="AK4657" t="s">
        <v>361</v>
      </c>
    </row>
    <row r="4658" spans="1:37">
      <c r="A4658" t="s">
        <v>46</v>
      </c>
      <c r="B4658" t="s">
        <v>66</v>
      </c>
      <c r="C4658" t="s">
        <v>88</v>
      </c>
      <c r="D4658" t="s">
        <v>76</v>
      </c>
      <c r="E4658" t="s">
        <v>126</v>
      </c>
      <c r="F4658" t="s">
        <v>160</v>
      </c>
      <c r="G4658" t="s">
        <v>186</v>
      </c>
      <c r="H4658" t="s">
        <v>217</v>
      </c>
      <c r="I4658" t="s">
        <v>238</v>
      </c>
      <c r="J4658" t="s">
        <v>256</v>
      </c>
      <c r="K4658" t="s">
        <v>265</v>
      </c>
      <c r="L4658" t="s">
        <v>281</v>
      </c>
      <c r="M4658" t="s">
        <v>290</v>
      </c>
      <c r="N4658" t="s">
        <v>299</v>
      </c>
      <c r="O4658" t="s">
        <v>308</v>
      </c>
      <c r="P4658" t="s">
        <v>228</v>
      </c>
      <c r="Q4658" t="s">
        <v>72</v>
      </c>
      <c r="R4658" t="s">
        <v>327</v>
      </c>
      <c r="S4658" t="s">
        <v>327</v>
      </c>
      <c r="T4658" t="s">
        <v>336</v>
      </c>
      <c r="U4658" t="s">
        <v>336</v>
      </c>
      <c r="V4658" t="s">
        <v>336</v>
      </c>
      <c r="W4658" t="s">
        <v>336</v>
      </c>
      <c r="X4658" t="s">
        <v>353</v>
      </c>
      <c r="AK4658" t="s">
        <v>361</v>
      </c>
    </row>
    <row r="4659" spans="1:37">
      <c r="B4659" t="s">
        <v>67</v>
      </c>
      <c r="C4659" t="s">
        <v>89</v>
      </c>
      <c r="D4659" t="s">
        <v>107</v>
      </c>
      <c r="AK4659" t="s">
        <v>361</v>
      </c>
    </row>
    <row r="4660" spans="1:37">
      <c r="B4660" t="s">
        <v>68</v>
      </c>
      <c r="C4660" t="s">
        <v>90</v>
      </c>
      <c r="D4660" t="s">
        <v>108</v>
      </c>
      <c r="AK4660" t="s">
        <v>361</v>
      </c>
    </row>
    <row r="4661" spans="1:37">
      <c r="A4661" t="s">
        <v>47</v>
      </c>
      <c r="B4661" t="s">
        <v>69</v>
      </c>
      <c r="C4661" t="s">
        <v>91</v>
      </c>
      <c r="D4661" t="s">
        <v>109</v>
      </c>
      <c r="E4661" t="s">
        <v>109</v>
      </c>
      <c r="F4661" t="s">
        <v>109</v>
      </c>
      <c r="G4661" t="s">
        <v>109</v>
      </c>
      <c r="H4661" t="s">
        <v>109</v>
      </c>
      <c r="I4661" t="s">
        <v>239</v>
      </c>
      <c r="AK4661" t="s">
        <v>361</v>
      </c>
    </row>
    <row r="4662" spans="1:37">
      <c r="B4662" t="s">
        <v>70</v>
      </c>
      <c r="C4662" t="s">
        <v>92</v>
      </c>
      <c r="D4662" t="s">
        <v>110</v>
      </c>
      <c r="E4662" t="s">
        <v>127</v>
      </c>
      <c r="F4662" t="s">
        <v>161</v>
      </c>
      <c r="G4662" t="s">
        <v>187</v>
      </c>
      <c r="H4662" t="s">
        <v>218</v>
      </c>
      <c r="AK4662" t="s">
        <v>361</v>
      </c>
    </row>
    <row r="4663" spans="1:37">
      <c r="B4663" t="s">
        <v>71</v>
      </c>
      <c r="C4663" t="s">
        <v>93</v>
      </c>
      <c r="D4663" t="s">
        <v>111</v>
      </c>
      <c r="E4663" t="s">
        <v>128</v>
      </c>
      <c r="F4663" t="s">
        <v>162</v>
      </c>
      <c r="G4663" t="s">
        <v>188</v>
      </c>
      <c r="H4663" t="s">
        <v>219</v>
      </c>
      <c r="I4663" t="s">
        <v>240</v>
      </c>
      <c r="J4663" t="s">
        <v>257</v>
      </c>
      <c r="K4663" t="s">
        <v>269</v>
      </c>
      <c r="L4663" t="s">
        <v>109</v>
      </c>
      <c r="M4663" t="s">
        <v>109</v>
      </c>
      <c r="N4663" t="s">
        <v>109</v>
      </c>
      <c r="O4663" t="s">
        <v>109</v>
      </c>
      <c r="P4663" t="s">
        <v>109</v>
      </c>
      <c r="Q4663" t="s">
        <v>321</v>
      </c>
      <c r="AK4663" t="s">
        <v>361</v>
      </c>
    </row>
    <row r="4664" spans="1:37">
      <c r="A4664" t="s">
        <v>48</v>
      </c>
      <c r="B4664" t="s">
        <v>71</v>
      </c>
      <c r="C4664" t="s">
        <v>93</v>
      </c>
      <c r="D4664" t="s">
        <v>111</v>
      </c>
      <c r="E4664" t="s">
        <v>128</v>
      </c>
      <c r="F4664" t="s">
        <v>163</v>
      </c>
      <c r="G4664" t="s">
        <v>189</v>
      </c>
      <c r="H4664" t="s">
        <v>220</v>
      </c>
      <c r="I4664" t="s">
        <v>241</v>
      </c>
      <c r="J4664" t="s">
        <v>258</v>
      </c>
      <c r="K4664" t="s">
        <v>270</v>
      </c>
      <c r="AK4664" t="s">
        <v>361</v>
      </c>
    </row>
    <row r="4665" spans="1:37">
      <c r="B4665" t="s">
        <v>72</v>
      </c>
      <c r="C4665" t="s">
        <v>72</v>
      </c>
      <c r="D4665" t="s">
        <v>72</v>
      </c>
      <c r="E4665" t="s">
        <v>72</v>
      </c>
      <c r="F4665" t="s">
        <v>72</v>
      </c>
      <c r="G4665" t="s">
        <v>72</v>
      </c>
      <c r="H4665" t="s">
        <v>72</v>
      </c>
      <c r="I4665" t="s">
        <v>72</v>
      </c>
      <c r="J4665" t="s">
        <v>72</v>
      </c>
      <c r="K4665" t="s">
        <v>272</v>
      </c>
      <c r="AK4665" t="s">
        <v>361</v>
      </c>
    </row>
    <row r="4666" spans="1:37">
      <c r="A4666" t="s">
        <v>37</v>
      </c>
      <c r="B4666" t="s">
        <v>49</v>
      </c>
      <c r="C4666" t="s">
        <v>73</v>
      </c>
      <c r="D4666" t="s">
        <v>94</v>
      </c>
      <c r="E4666" t="s">
        <v>112</v>
      </c>
      <c r="F4666" t="s">
        <v>146</v>
      </c>
      <c r="G4666" t="s">
        <v>172</v>
      </c>
      <c r="H4666" t="s">
        <v>207</v>
      </c>
      <c r="I4666" t="s">
        <v>226</v>
      </c>
      <c r="J4666" t="s">
        <v>246</v>
      </c>
      <c r="K4666" t="s">
        <v>259</v>
      </c>
      <c r="AK4666" t="s">
        <v>361</v>
      </c>
    </row>
    <row r="4667" spans="1:37">
      <c r="A4667" t="s">
        <v>38</v>
      </c>
      <c r="B4667" t="s">
        <v>50</v>
      </c>
      <c r="C4667" t="s">
        <v>74</v>
      </c>
      <c r="D4667" t="s">
        <v>95</v>
      </c>
      <c r="E4667" t="s">
        <v>113</v>
      </c>
      <c r="F4667" t="s">
        <v>147</v>
      </c>
      <c r="G4667" t="s">
        <v>173</v>
      </c>
      <c r="H4667" t="s">
        <v>208</v>
      </c>
      <c r="I4667" t="s">
        <v>227</v>
      </c>
      <c r="J4667" t="s">
        <v>115</v>
      </c>
      <c r="K4667" t="s">
        <v>260</v>
      </c>
      <c r="L4667" t="s">
        <v>273</v>
      </c>
      <c r="M4667" t="s">
        <v>282</v>
      </c>
      <c r="N4667" t="s">
        <v>291</v>
      </c>
      <c r="AK4667" t="s">
        <v>361</v>
      </c>
    </row>
    <row r="4668" spans="1:37">
      <c r="B4668" t="s">
        <v>51</v>
      </c>
      <c r="C4668" t="s">
        <v>75</v>
      </c>
      <c r="D4668" t="s">
        <v>52</v>
      </c>
      <c r="E4668" t="s">
        <v>114</v>
      </c>
      <c r="F4668" t="s">
        <v>148</v>
      </c>
      <c r="G4668" t="s">
        <v>148</v>
      </c>
      <c r="H4668" t="s">
        <v>209</v>
      </c>
      <c r="I4668" t="s">
        <v>228</v>
      </c>
      <c r="J4668" t="s">
        <v>247</v>
      </c>
      <c r="K4668" t="s">
        <v>261</v>
      </c>
      <c r="L4668" t="s">
        <v>274</v>
      </c>
      <c r="M4668" t="s">
        <v>283</v>
      </c>
      <c r="N4668" t="s">
        <v>292</v>
      </c>
      <c r="O4668" t="s">
        <v>300</v>
      </c>
      <c r="AK4668" t="s">
        <v>361</v>
      </c>
    </row>
    <row r="4669" spans="1:37">
      <c r="B4669" t="s">
        <v>52</v>
      </c>
      <c r="C4669" t="s">
        <v>76</v>
      </c>
      <c r="D4669" t="s">
        <v>96</v>
      </c>
      <c r="E4669" t="s">
        <v>115</v>
      </c>
      <c r="F4669" t="s">
        <v>149</v>
      </c>
      <c r="G4669" t="s">
        <v>174</v>
      </c>
      <c r="H4669" t="s">
        <v>96</v>
      </c>
      <c r="I4669" t="s">
        <v>229</v>
      </c>
      <c r="J4669" t="s">
        <v>248</v>
      </c>
      <c r="K4669" t="s">
        <v>262</v>
      </c>
      <c r="L4669" t="s">
        <v>52</v>
      </c>
      <c r="M4669" t="s">
        <v>76</v>
      </c>
      <c r="N4669" t="s">
        <v>293</v>
      </c>
      <c r="O4669" t="s">
        <v>301</v>
      </c>
      <c r="P4669" t="s">
        <v>309</v>
      </c>
      <c r="Q4669" t="s">
        <v>315</v>
      </c>
      <c r="R4669" t="s">
        <v>228</v>
      </c>
      <c r="S4669" t="s">
        <v>328</v>
      </c>
      <c r="T4669" t="s">
        <v>149</v>
      </c>
      <c r="U4669" t="s">
        <v>337</v>
      </c>
      <c r="V4669" t="s">
        <v>341</v>
      </c>
      <c r="W4669" t="s">
        <v>345</v>
      </c>
      <c r="X4669" t="s">
        <v>350</v>
      </c>
      <c r="AK4669" t="s">
        <v>361</v>
      </c>
    </row>
    <row r="4670" spans="1:37">
      <c r="B4670" t="s">
        <v>53</v>
      </c>
      <c r="C4670" t="s">
        <v>77</v>
      </c>
      <c r="D4670" t="s">
        <v>97</v>
      </c>
      <c r="E4670" t="s">
        <v>116</v>
      </c>
      <c r="F4670" t="s">
        <v>150</v>
      </c>
      <c r="G4670" t="s">
        <v>175</v>
      </c>
      <c r="H4670" t="s">
        <v>210</v>
      </c>
      <c r="I4670" t="s">
        <v>230</v>
      </c>
      <c r="J4670" t="s">
        <v>249</v>
      </c>
      <c r="K4670" t="s">
        <v>263</v>
      </c>
      <c r="L4670" t="s">
        <v>275</v>
      </c>
      <c r="M4670" t="s">
        <v>284</v>
      </c>
      <c r="N4670" t="s">
        <v>294</v>
      </c>
      <c r="O4670" t="s">
        <v>302</v>
      </c>
      <c r="P4670" t="s">
        <v>310</v>
      </c>
      <c r="Q4670" t="s">
        <v>316</v>
      </c>
      <c r="R4670" t="s">
        <v>322</v>
      </c>
      <c r="S4670" t="s">
        <v>329</v>
      </c>
      <c r="AK4670" t="s">
        <v>361</v>
      </c>
    </row>
    <row r="4671" spans="1:37">
      <c r="A4671" t="s">
        <v>39</v>
      </c>
      <c r="B4671" t="s">
        <v>54</v>
      </c>
      <c r="C4671" t="s">
        <v>54</v>
      </c>
      <c r="D4671" t="s">
        <v>54</v>
      </c>
      <c r="E4671" t="s">
        <v>54</v>
      </c>
      <c r="F4671" t="s">
        <v>54</v>
      </c>
      <c r="G4671" t="s">
        <v>54</v>
      </c>
      <c r="H4671" t="s">
        <v>54</v>
      </c>
      <c r="I4671" t="s">
        <v>54</v>
      </c>
      <c r="J4671" t="s">
        <v>54</v>
      </c>
      <c r="K4671" t="s">
        <v>54</v>
      </c>
      <c r="L4671" t="s">
        <v>54</v>
      </c>
      <c r="M4671" t="s">
        <v>54</v>
      </c>
      <c r="N4671" t="s">
        <v>54</v>
      </c>
      <c r="O4671" t="s">
        <v>54</v>
      </c>
      <c r="P4671" t="s">
        <v>54</v>
      </c>
      <c r="Q4671" t="s">
        <v>54</v>
      </c>
      <c r="R4671" t="s">
        <v>323</v>
      </c>
      <c r="S4671" t="s">
        <v>330</v>
      </c>
      <c r="AK4671" t="s">
        <v>361</v>
      </c>
    </row>
    <row r="4672" spans="1:37">
      <c r="B4672" t="s">
        <v>55</v>
      </c>
      <c r="C4672" t="s">
        <v>78</v>
      </c>
      <c r="D4672" t="s">
        <v>55</v>
      </c>
      <c r="E4672" t="s">
        <v>78</v>
      </c>
      <c r="F4672" t="s">
        <v>55</v>
      </c>
      <c r="G4672" t="s">
        <v>78</v>
      </c>
      <c r="H4672" t="s">
        <v>55</v>
      </c>
      <c r="I4672" t="s">
        <v>78</v>
      </c>
      <c r="J4672" t="s">
        <v>55</v>
      </c>
      <c r="K4672" t="s">
        <v>78</v>
      </c>
      <c r="L4672" t="s">
        <v>55</v>
      </c>
      <c r="M4672" t="s">
        <v>78</v>
      </c>
      <c r="N4672" t="s">
        <v>55</v>
      </c>
      <c r="O4672" t="s">
        <v>78</v>
      </c>
      <c r="P4672" t="s">
        <v>55</v>
      </c>
      <c r="Q4672" t="s">
        <v>78</v>
      </c>
      <c r="R4672" t="s">
        <v>55</v>
      </c>
      <c r="S4672" t="s">
        <v>78</v>
      </c>
      <c r="T4672" t="s">
        <v>55</v>
      </c>
      <c r="U4672" t="s">
        <v>78</v>
      </c>
      <c r="V4672" t="s">
        <v>55</v>
      </c>
      <c r="W4672" t="s">
        <v>78</v>
      </c>
      <c r="X4672" t="s">
        <v>55</v>
      </c>
      <c r="Y4672" t="s">
        <v>78</v>
      </c>
      <c r="Z4672" t="s">
        <v>55</v>
      </c>
      <c r="AA4672" t="s">
        <v>78</v>
      </c>
      <c r="AB4672" t="s">
        <v>55</v>
      </c>
      <c r="AC4672" t="s">
        <v>78</v>
      </c>
      <c r="AD4672" t="s">
        <v>55</v>
      </c>
      <c r="AE4672" t="s">
        <v>78</v>
      </c>
      <c r="AF4672" t="s">
        <v>55</v>
      </c>
      <c r="AG4672" t="s">
        <v>78</v>
      </c>
      <c r="AH4672" t="s">
        <v>55</v>
      </c>
      <c r="AI4672" t="s">
        <v>78</v>
      </c>
      <c r="AK4672" t="s">
        <v>361</v>
      </c>
    </row>
    <row r="4673" spans="1:37">
      <c r="B4673" t="s">
        <v>56</v>
      </c>
      <c r="C4673" t="s">
        <v>56</v>
      </c>
      <c r="D4673" t="s">
        <v>56</v>
      </c>
      <c r="E4673" t="s">
        <v>56</v>
      </c>
      <c r="F4673" t="s">
        <v>56</v>
      </c>
      <c r="G4673" t="s">
        <v>176</v>
      </c>
      <c r="H4673" t="s">
        <v>211</v>
      </c>
      <c r="I4673" t="s">
        <v>231</v>
      </c>
      <c r="J4673" t="s">
        <v>250</v>
      </c>
      <c r="K4673" t="s">
        <v>264</v>
      </c>
      <c r="L4673" t="s">
        <v>276</v>
      </c>
      <c r="M4673" t="s">
        <v>285</v>
      </c>
      <c r="N4673" t="s">
        <v>295</v>
      </c>
      <c r="O4673" t="s">
        <v>303</v>
      </c>
      <c r="P4673" t="s">
        <v>56</v>
      </c>
      <c r="Q4673" t="s">
        <v>317</v>
      </c>
      <c r="R4673" t="s">
        <v>324</v>
      </c>
      <c r="S4673" t="s">
        <v>331</v>
      </c>
      <c r="T4673" t="s">
        <v>334</v>
      </c>
      <c r="U4673" t="s">
        <v>338</v>
      </c>
      <c r="V4673" t="s">
        <v>342</v>
      </c>
      <c r="W4673" t="s">
        <v>346</v>
      </c>
      <c r="X4673" t="s">
        <v>351</v>
      </c>
      <c r="AK4673" t="s">
        <v>361</v>
      </c>
    </row>
    <row r="4674" spans="1:37">
      <c r="B4674" t="s">
        <v>57</v>
      </c>
      <c r="C4674" t="s">
        <v>79</v>
      </c>
      <c r="D4674" t="s">
        <v>98</v>
      </c>
      <c r="E4674" t="s">
        <v>117</v>
      </c>
      <c r="F4674" t="s">
        <v>151</v>
      </c>
      <c r="G4674" t="s">
        <v>177</v>
      </c>
      <c r="H4674" t="s">
        <v>212</v>
      </c>
      <c r="I4674" t="s">
        <v>232</v>
      </c>
      <c r="J4674" t="s">
        <v>251</v>
      </c>
      <c r="K4674" t="s">
        <v>265</v>
      </c>
      <c r="L4674" t="s">
        <v>277</v>
      </c>
      <c r="M4674" t="s">
        <v>286</v>
      </c>
      <c r="N4674" t="s">
        <v>296</v>
      </c>
      <c r="O4674" t="s">
        <v>304</v>
      </c>
      <c r="P4674" t="s">
        <v>311</v>
      </c>
      <c r="Q4674" t="s">
        <v>318</v>
      </c>
      <c r="R4674" t="s">
        <v>185</v>
      </c>
      <c r="S4674" t="s">
        <v>159</v>
      </c>
      <c r="T4674" t="s">
        <v>185</v>
      </c>
      <c r="U4674" t="s">
        <v>339</v>
      </c>
      <c r="V4674" t="s">
        <v>72</v>
      </c>
      <c r="W4674" t="s">
        <v>347</v>
      </c>
      <c r="X4674" t="s">
        <v>72</v>
      </c>
      <c r="Y4674" t="s">
        <v>96</v>
      </c>
      <c r="AK4674" t="s">
        <v>361</v>
      </c>
    </row>
    <row r="4675" spans="1:37">
      <c r="B4675" t="s">
        <v>58</v>
      </c>
      <c r="C4675" t="s">
        <v>80</v>
      </c>
      <c r="D4675" t="s">
        <v>99</v>
      </c>
      <c r="E4675" t="s">
        <v>118</v>
      </c>
      <c r="F4675" t="s">
        <v>152</v>
      </c>
      <c r="G4675" t="s">
        <v>178</v>
      </c>
      <c r="H4675" t="s">
        <v>213</v>
      </c>
      <c r="I4675" t="s">
        <v>233</v>
      </c>
      <c r="J4675" t="s">
        <v>252</v>
      </c>
      <c r="K4675" t="s">
        <v>266</v>
      </c>
      <c r="L4675" t="s">
        <v>278</v>
      </c>
      <c r="M4675" t="s">
        <v>287</v>
      </c>
      <c r="N4675" t="s">
        <v>297</v>
      </c>
      <c r="O4675" t="s">
        <v>305</v>
      </c>
      <c r="P4675" t="s">
        <v>312</v>
      </c>
      <c r="Q4675" t="s">
        <v>319</v>
      </c>
      <c r="R4675">
        <f>&gt;10       ветра      2.1     16   4</f>
        <v>0</v>
      </c>
      <c r="AK4675" t="s">
        <v>361</v>
      </c>
    </row>
    <row r="4676" spans="1:37">
      <c r="A4676" t="s">
        <v>40</v>
      </c>
      <c r="B4676" t="s">
        <v>59</v>
      </c>
      <c r="C4676" t="s">
        <v>81</v>
      </c>
      <c r="D4676" t="s">
        <v>100</v>
      </c>
      <c r="E4676" t="s">
        <v>119</v>
      </c>
      <c r="F4676" t="s">
        <v>153</v>
      </c>
      <c r="G4676" t="s">
        <v>179</v>
      </c>
      <c r="H4676" t="s">
        <v>214</v>
      </c>
      <c r="I4676" t="s">
        <v>234</v>
      </c>
      <c r="AK4676" t="s">
        <v>361</v>
      </c>
    </row>
    <row r="4677" spans="1:37">
      <c r="A4677" t="s">
        <v>40</v>
      </c>
      <c r="B4677" t="s">
        <v>60</v>
      </c>
      <c r="C4677" t="s">
        <v>82</v>
      </c>
      <c r="D4677" t="s">
        <v>101</v>
      </c>
      <c r="E4677" t="s">
        <v>120</v>
      </c>
      <c r="F4677" t="s">
        <v>154</v>
      </c>
      <c r="G4677" t="s">
        <v>180</v>
      </c>
      <c r="H4677" t="s">
        <v>215</v>
      </c>
      <c r="I4677" t="s">
        <v>235</v>
      </c>
      <c r="J4677" t="s">
        <v>253</v>
      </c>
      <c r="K4677" t="s">
        <v>267</v>
      </c>
      <c r="L4677" t="s">
        <v>279</v>
      </c>
      <c r="M4677" t="s">
        <v>288</v>
      </c>
      <c r="N4677" t="s">
        <v>100</v>
      </c>
      <c r="O4677" t="s">
        <v>306</v>
      </c>
      <c r="P4677" t="s">
        <v>313</v>
      </c>
      <c r="Q4677" t="s">
        <v>320</v>
      </c>
      <c r="R4677" t="s">
        <v>325</v>
      </c>
      <c r="S4677" t="s">
        <v>332</v>
      </c>
      <c r="T4677" t="s">
        <v>119</v>
      </c>
      <c r="U4677" t="s">
        <v>234</v>
      </c>
      <c r="V4677" t="s">
        <v>343</v>
      </c>
      <c r="W4677" t="s">
        <v>348</v>
      </c>
      <c r="X4677" t="s">
        <v>352</v>
      </c>
      <c r="Y4677" t="s">
        <v>354</v>
      </c>
      <c r="AK4677" t="s">
        <v>361</v>
      </c>
    </row>
    <row r="4678" spans="1:37">
      <c r="A4678" t="s">
        <v>41</v>
      </c>
      <c r="B4678" t="s">
        <v>61</v>
      </c>
      <c r="C4678" t="s">
        <v>83</v>
      </c>
      <c r="D4678" t="s">
        <v>102</v>
      </c>
      <c r="E4678" t="s">
        <v>121</v>
      </c>
      <c r="F4678" t="s">
        <v>155</v>
      </c>
      <c r="G4678" t="s">
        <v>181</v>
      </c>
      <c r="H4678" t="s">
        <v>216</v>
      </c>
      <c r="I4678" t="s">
        <v>236</v>
      </c>
      <c r="AK4678" t="s">
        <v>361</v>
      </c>
    </row>
    <row r="4679" spans="1:37">
      <c r="A4679" t="s">
        <v>42</v>
      </c>
      <c r="B4679" t="s">
        <v>62</v>
      </c>
      <c r="C4679" t="s">
        <v>84</v>
      </c>
      <c r="D4679" t="s">
        <v>103</v>
      </c>
      <c r="E4679" t="s">
        <v>122</v>
      </c>
      <c r="F4679" t="s">
        <v>156</v>
      </c>
      <c r="G4679" t="s">
        <v>182</v>
      </c>
      <c r="H4679" t="s">
        <v>83</v>
      </c>
      <c r="I4679" t="s">
        <v>237</v>
      </c>
      <c r="J4679" t="s">
        <v>254</v>
      </c>
      <c r="K4679" t="s">
        <v>268</v>
      </c>
      <c r="L4679" t="s">
        <v>280</v>
      </c>
      <c r="M4679" t="s">
        <v>289</v>
      </c>
      <c r="N4679" t="s">
        <v>298</v>
      </c>
      <c r="O4679" t="s">
        <v>307</v>
      </c>
      <c r="P4679" t="s">
        <v>314</v>
      </c>
      <c r="Q4679" t="s">
        <v>216</v>
      </c>
      <c r="R4679" t="s">
        <v>326</v>
      </c>
      <c r="S4679" t="s">
        <v>333</v>
      </c>
      <c r="T4679" t="s">
        <v>335</v>
      </c>
      <c r="U4679" t="s">
        <v>340</v>
      </c>
      <c r="V4679" t="s">
        <v>344</v>
      </c>
      <c r="W4679" t="s">
        <v>349</v>
      </c>
      <c r="AK4679" t="s">
        <v>361</v>
      </c>
    </row>
    <row r="4680" spans="1:37">
      <c r="A4680" t="s">
        <v>43</v>
      </c>
      <c r="B4680" t="s">
        <v>63</v>
      </c>
      <c r="C4680" t="s">
        <v>85</v>
      </c>
      <c r="D4680" t="s">
        <v>104</v>
      </c>
      <c r="E4680" t="s">
        <v>123</v>
      </c>
      <c r="F4680" t="s">
        <v>157</v>
      </c>
      <c r="G4680" t="s">
        <v>183</v>
      </c>
      <c r="AK4680" t="s">
        <v>361</v>
      </c>
    </row>
    <row r="4681" spans="1:37">
      <c r="A4681" t="s">
        <v>44</v>
      </c>
      <c r="B4681" t="s">
        <v>64</v>
      </c>
      <c r="C4681" t="s">
        <v>86</v>
      </c>
      <c r="D4681" t="s">
        <v>105</v>
      </c>
      <c r="E4681" t="s">
        <v>124</v>
      </c>
      <c r="F4681" t="s">
        <v>158</v>
      </c>
      <c r="G4681" t="s">
        <v>184</v>
      </c>
      <c r="AK4681" t="s">
        <v>361</v>
      </c>
    </row>
    <row r="4682" spans="1:37">
      <c r="A4682" t="s">
        <v>45</v>
      </c>
      <c r="B4682" t="s">
        <v>65</v>
      </c>
      <c r="C4682" t="s">
        <v>87</v>
      </c>
      <c r="D4682" t="s">
        <v>106</v>
      </c>
      <c r="E4682" t="s">
        <v>125</v>
      </c>
      <c r="F4682" t="s">
        <v>159</v>
      </c>
      <c r="G4682" t="s">
        <v>185</v>
      </c>
      <c r="H4682" t="s">
        <v>159</v>
      </c>
      <c r="I4682" t="s">
        <v>185</v>
      </c>
      <c r="J4682" t="s">
        <v>255</v>
      </c>
      <c r="AK4682" t="s">
        <v>361</v>
      </c>
    </row>
    <row r="4683" spans="1:37">
      <c r="A4683" t="s">
        <v>46</v>
      </c>
      <c r="B4683" t="s">
        <v>66</v>
      </c>
      <c r="C4683" t="s">
        <v>88</v>
      </c>
      <c r="D4683" t="s">
        <v>76</v>
      </c>
      <c r="E4683" t="s">
        <v>126</v>
      </c>
      <c r="F4683" t="s">
        <v>160</v>
      </c>
      <c r="G4683" t="s">
        <v>186</v>
      </c>
      <c r="H4683" t="s">
        <v>217</v>
      </c>
      <c r="I4683" t="s">
        <v>238</v>
      </c>
      <c r="J4683" t="s">
        <v>256</v>
      </c>
      <c r="K4683" t="s">
        <v>265</v>
      </c>
      <c r="L4683" t="s">
        <v>281</v>
      </c>
      <c r="M4683" t="s">
        <v>290</v>
      </c>
      <c r="N4683" t="s">
        <v>299</v>
      </c>
      <c r="O4683" t="s">
        <v>308</v>
      </c>
      <c r="P4683" t="s">
        <v>228</v>
      </c>
      <c r="Q4683" t="s">
        <v>72</v>
      </c>
      <c r="R4683" t="s">
        <v>327</v>
      </c>
      <c r="S4683" t="s">
        <v>327</v>
      </c>
      <c r="T4683" t="s">
        <v>336</v>
      </c>
      <c r="U4683" t="s">
        <v>336</v>
      </c>
      <c r="V4683" t="s">
        <v>336</v>
      </c>
      <c r="W4683" t="s">
        <v>336</v>
      </c>
      <c r="X4683" t="s">
        <v>353</v>
      </c>
      <c r="AK4683" t="s">
        <v>361</v>
      </c>
    </row>
    <row r="4684" spans="1:37">
      <c r="B4684" t="s">
        <v>67</v>
      </c>
      <c r="C4684" t="s">
        <v>89</v>
      </c>
      <c r="D4684" t="s">
        <v>107</v>
      </c>
      <c r="AK4684" t="s">
        <v>361</v>
      </c>
    </row>
    <row r="4685" spans="1:37">
      <c r="B4685" t="s">
        <v>68</v>
      </c>
      <c r="C4685" t="s">
        <v>90</v>
      </c>
      <c r="D4685" t="s">
        <v>108</v>
      </c>
      <c r="AK4685" t="s">
        <v>361</v>
      </c>
    </row>
    <row r="4686" spans="1:37">
      <c r="A4686" t="s">
        <v>47</v>
      </c>
      <c r="B4686" t="s">
        <v>69</v>
      </c>
      <c r="C4686" t="s">
        <v>91</v>
      </c>
      <c r="D4686" t="s">
        <v>109</v>
      </c>
      <c r="E4686" t="s">
        <v>109</v>
      </c>
      <c r="F4686" t="s">
        <v>109</v>
      </c>
      <c r="G4686" t="s">
        <v>109</v>
      </c>
      <c r="H4686" t="s">
        <v>109</v>
      </c>
      <c r="I4686" t="s">
        <v>239</v>
      </c>
      <c r="AK4686" t="s">
        <v>361</v>
      </c>
    </row>
    <row r="4687" spans="1:37">
      <c r="B4687" t="s">
        <v>70</v>
      </c>
      <c r="C4687" t="s">
        <v>92</v>
      </c>
      <c r="D4687" t="s">
        <v>110</v>
      </c>
      <c r="E4687" t="s">
        <v>127</v>
      </c>
      <c r="F4687" t="s">
        <v>161</v>
      </c>
      <c r="G4687" t="s">
        <v>187</v>
      </c>
      <c r="H4687" t="s">
        <v>218</v>
      </c>
      <c r="AK4687" t="s">
        <v>361</v>
      </c>
    </row>
    <row r="4688" spans="1:37">
      <c r="B4688" t="s">
        <v>71</v>
      </c>
      <c r="C4688" t="s">
        <v>93</v>
      </c>
      <c r="D4688" t="s">
        <v>111</v>
      </c>
      <c r="E4688" t="s">
        <v>128</v>
      </c>
      <c r="F4688" t="s">
        <v>162</v>
      </c>
      <c r="G4688" t="s">
        <v>188</v>
      </c>
      <c r="H4688" t="s">
        <v>219</v>
      </c>
      <c r="I4688" t="s">
        <v>240</v>
      </c>
      <c r="J4688" t="s">
        <v>257</v>
      </c>
      <c r="K4688" t="s">
        <v>269</v>
      </c>
      <c r="L4688" t="s">
        <v>109</v>
      </c>
      <c r="M4688" t="s">
        <v>109</v>
      </c>
      <c r="N4688" t="s">
        <v>109</v>
      </c>
      <c r="O4688" t="s">
        <v>109</v>
      </c>
      <c r="P4688" t="s">
        <v>109</v>
      </c>
      <c r="Q4688" t="s">
        <v>321</v>
      </c>
      <c r="AK4688" t="s">
        <v>361</v>
      </c>
    </row>
    <row r="4689" spans="1:37">
      <c r="A4689" t="s">
        <v>48</v>
      </c>
      <c r="B4689" t="s">
        <v>71</v>
      </c>
      <c r="C4689" t="s">
        <v>93</v>
      </c>
      <c r="D4689" t="s">
        <v>111</v>
      </c>
      <c r="E4689" t="s">
        <v>128</v>
      </c>
      <c r="F4689" t="s">
        <v>163</v>
      </c>
      <c r="G4689" t="s">
        <v>189</v>
      </c>
      <c r="H4689" t="s">
        <v>220</v>
      </c>
      <c r="I4689" t="s">
        <v>241</v>
      </c>
      <c r="J4689" t="s">
        <v>258</v>
      </c>
      <c r="K4689" t="s">
        <v>270</v>
      </c>
      <c r="AK4689" t="s">
        <v>361</v>
      </c>
    </row>
    <row r="4690" spans="1:37">
      <c r="B4690" t="s">
        <v>72</v>
      </c>
      <c r="C4690" t="s">
        <v>72</v>
      </c>
      <c r="D4690" t="s">
        <v>72</v>
      </c>
      <c r="E4690" t="s">
        <v>72</v>
      </c>
      <c r="F4690" t="s">
        <v>72</v>
      </c>
      <c r="G4690" t="s">
        <v>72</v>
      </c>
      <c r="H4690" t="s">
        <v>72</v>
      </c>
      <c r="I4690" t="s">
        <v>72</v>
      </c>
      <c r="J4690" t="s">
        <v>72</v>
      </c>
      <c r="K4690" t="s">
        <v>272</v>
      </c>
      <c r="AK4690" t="s">
        <v>361</v>
      </c>
    </row>
    <row r="4691" spans="1:37">
      <c r="A4691" t="s">
        <v>37</v>
      </c>
      <c r="B4691" t="s">
        <v>49</v>
      </c>
      <c r="C4691" t="s">
        <v>73</v>
      </c>
      <c r="D4691" t="s">
        <v>94</v>
      </c>
      <c r="E4691" t="s">
        <v>112</v>
      </c>
      <c r="F4691" t="s">
        <v>146</v>
      </c>
      <c r="G4691" t="s">
        <v>172</v>
      </c>
      <c r="H4691" t="s">
        <v>207</v>
      </c>
      <c r="I4691" t="s">
        <v>226</v>
      </c>
      <c r="J4691" t="s">
        <v>246</v>
      </c>
      <c r="K4691" t="s">
        <v>259</v>
      </c>
      <c r="AK4691" t="s">
        <v>361</v>
      </c>
    </row>
    <row r="4692" spans="1:37">
      <c r="A4692" t="s">
        <v>38</v>
      </c>
      <c r="B4692" t="s">
        <v>50</v>
      </c>
      <c r="C4692" t="s">
        <v>74</v>
      </c>
      <c r="D4692" t="s">
        <v>95</v>
      </c>
      <c r="E4692" t="s">
        <v>113</v>
      </c>
      <c r="F4692" t="s">
        <v>147</v>
      </c>
      <c r="G4692" t="s">
        <v>173</v>
      </c>
      <c r="H4692" t="s">
        <v>208</v>
      </c>
      <c r="I4692" t="s">
        <v>227</v>
      </c>
      <c r="J4692" t="s">
        <v>115</v>
      </c>
      <c r="K4692" t="s">
        <v>260</v>
      </c>
      <c r="L4692" t="s">
        <v>273</v>
      </c>
      <c r="M4692" t="s">
        <v>282</v>
      </c>
      <c r="N4692" t="s">
        <v>291</v>
      </c>
      <c r="AK4692" t="s">
        <v>361</v>
      </c>
    </row>
    <row r="4693" spans="1:37">
      <c r="B4693" t="s">
        <v>51</v>
      </c>
      <c r="C4693" t="s">
        <v>75</v>
      </c>
      <c r="D4693" t="s">
        <v>52</v>
      </c>
      <c r="E4693" t="s">
        <v>114</v>
      </c>
      <c r="F4693" t="s">
        <v>148</v>
      </c>
      <c r="G4693" t="s">
        <v>148</v>
      </c>
      <c r="H4693" t="s">
        <v>209</v>
      </c>
      <c r="I4693" t="s">
        <v>228</v>
      </c>
      <c r="J4693" t="s">
        <v>247</v>
      </c>
      <c r="K4693" t="s">
        <v>261</v>
      </c>
      <c r="L4693" t="s">
        <v>274</v>
      </c>
      <c r="M4693" t="s">
        <v>283</v>
      </c>
      <c r="N4693" t="s">
        <v>292</v>
      </c>
      <c r="O4693" t="s">
        <v>300</v>
      </c>
      <c r="AK4693" t="s">
        <v>361</v>
      </c>
    </row>
    <row r="4694" spans="1:37">
      <c r="B4694" t="s">
        <v>52</v>
      </c>
      <c r="C4694" t="s">
        <v>76</v>
      </c>
      <c r="D4694" t="s">
        <v>96</v>
      </c>
      <c r="E4694" t="s">
        <v>115</v>
      </c>
      <c r="F4694" t="s">
        <v>149</v>
      </c>
      <c r="G4694" t="s">
        <v>174</v>
      </c>
      <c r="H4694" t="s">
        <v>96</v>
      </c>
      <c r="I4694" t="s">
        <v>229</v>
      </c>
      <c r="J4694" t="s">
        <v>248</v>
      </c>
      <c r="K4694" t="s">
        <v>262</v>
      </c>
      <c r="L4694" t="s">
        <v>52</v>
      </c>
      <c r="M4694" t="s">
        <v>76</v>
      </c>
      <c r="N4694" t="s">
        <v>293</v>
      </c>
      <c r="O4694" t="s">
        <v>301</v>
      </c>
      <c r="P4694" t="s">
        <v>309</v>
      </c>
      <c r="Q4694" t="s">
        <v>315</v>
      </c>
      <c r="R4694" t="s">
        <v>228</v>
      </c>
      <c r="S4694" t="s">
        <v>328</v>
      </c>
      <c r="T4694" t="s">
        <v>149</v>
      </c>
      <c r="U4694" t="s">
        <v>337</v>
      </c>
      <c r="V4694" t="s">
        <v>341</v>
      </c>
      <c r="W4694" t="s">
        <v>345</v>
      </c>
      <c r="X4694" t="s">
        <v>350</v>
      </c>
      <c r="AK4694" t="s">
        <v>361</v>
      </c>
    </row>
    <row r="4695" spans="1:37">
      <c r="B4695" t="s">
        <v>53</v>
      </c>
      <c r="C4695" t="s">
        <v>77</v>
      </c>
      <c r="D4695" t="s">
        <v>97</v>
      </c>
      <c r="E4695" t="s">
        <v>116</v>
      </c>
      <c r="F4695" t="s">
        <v>150</v>
      </c>
      <c r="G4695" t="s">
        <v>175</v>
      </c>
      <c r="H4695" t="s">
        <v>210</v>
      </c>
      <c r="I4695" t="s">
        <v>230</v>
      </c>
      <c r="J4695" t="s">
        <v>249</v>
      </c>
      <c r="K4695" t="s">
        <v>263</v>
      </c>
      <c r="L4695" t="s">
        <v>275</v>
      </c>
      <c r="M4695" t="s">
        <v>284</v>
      </c>
      <c r="N4695" t="s">
        <v>294</v>
      </c>
      <c r="O4695" t="s">
        <v>302</v>
      </c>
      <c r="P4695" t="s">
        <v>310</v>
      </c>
      <c r="Q4695" t="s">
        <v>316</v>
      </c>
      <c r="R4695" t="s">
        <v>322</v>
      </c>
      <c r="S4695" t="s">
        <v>329</v>
      </c>
      <c r="AK4695" t="s">
        <v>361</v>
      </c>
    </row>
    <row r="4696" spans="1:37">
      <c r="A4696" t="s">
        <v>39</v>
      </c>
      <c r="B4696" t="s">
        <v>54</v>
      </c>
      <c r="C4696" t="s">
        <v>54</v>
      </c>
      <c r="D4696" t="s">
        <v>54</v>
      </c>
      <c r="E4696" t="s">
        <v>54</v>
      </c>
      <c r="F4696" t="s">
        <v>54</v>
      </c>
      <c r="G4696" t="s">
        <v>54</v>
      </c>
      <c r="H4696" t="s">
        <v>54</v>
      </c>
      <c r="I4696" t="s">
        <v>54</v>
      </c>
      <c r="J4696" t="s">
        <v>54</v>
      </c>
      <c r="K4696" t="s">
        <v>54</v>
      </c>
      <c r="L4696" t="s">
        <v>54</v>
      </c>
      <c r="M4696" t="s">
        <v>54</v>
      </c>
      <c r="N4696" t="s">
        <v>54</v>
      </c>
      <c r="O4696" t="s">
        <v>54</v>
      </c>
      <c r="P4696" t="s">
        <v>54</v>
      </c>
      <c r="Q4696" t="s">
        <v>54</v>
      </c>
      <c r="R4696" t="s">
        <v>323</v>
      </c>
      <c r="S4696" t="s">
        <v>330</v>
      </c>
      <c r="AK4696" t="s">
        <v>361</v>
      </c>
    </row>
    <row r="4697" spans="1:37">
      <c r="B4697" t="s">
        <v>55</v>
      </c>
      <c r="C4697" t="s">
        <v>78</v>
      </c>
      <c r="D4697" t="s">
        <v>55</v>
      </c>
      <c r="E4697" t="s">
        <v>78</v>
      </c>
      <c r="F4697" t="s">
        <v>55</v>
      </c>
      <c r="G4697" t="s">
        <v>78</v>
      </c>
      <c r="H4697" t="s">
        <v>55</v>
      </c>
      <c r="I4697" t="s">
        <v>78</v>
      </c>
      <c r="J4697" t="s">
        <v>55</v>
      </c>
      <c r="K4697" t="s">
        <v>78</v>
      </c>
      <c r="L4697" t="s">
        <v>55</v>
      </c>
      <c r="M4697" t="s">
        <v>78</v>
      </c>
      <c r="N4697" t="s">
        <v>55</v>
      </c>
      <c r="O4697" t="s">
        <v>78</v>
      </c>
      <c r="P4697" t="s">
        <v>55</v>
      </c>
      <c r="Q4697" t="s">
        <v>78</v>
      </c>
      <c r="R4697" t="s">
        <v>55</v>
      </c>
      <c r="S4697" t="s">
        <v>78</v>
      </c>
      <c r="T4697" t="s">
        <v>55</v>
      </c>
      <c r="U4697" t="s">
        <v>78</v>
      </c>
      <c r="V4697" t="s">
        <v>55</v>
      </c>
      <c r="W4697" t="s">
        <v>78</v>
      </c>
      <c r="X4697" t="s">
        <v>55</v>
      </c>
      <c r="Y4697" t="s">
        <v>78</v>
      </c>
      <c r="Z4697" t="s">
        <v>55</v>
      </c>
      <c r="AA4697" t="s">
        <v>78</v>
      </c>
      <c r="AB4697" t="s">
        <v>55</v>
      </c>
      <c r="AC4697" t="s">
        <v>78</v>
      </c>
      <c r="AD4697" t="s">
        <v>55</v>
      </c>
      <c r="AE4697" t="s">
        <v>78</v>
      </c>
      <c r="AF4697" t="s">
        <v>55</v>
      </c>
      <c r="AG4697" t="s">
        <v>78</v>
      </c>
      <c r="AH4697" t="s">
        <v>55</v>
      </c>
      <c r="AI4697" t="s">
        <v>78</v>
      </c>
      <c r="AK4697" t="s">
        <v>361</v>
      </c>
    </row>
    <row r="4698" spans="1:37">
      <c r="B4698" t="s">
        <v>56</v>
      </c>
      <c r="C4698" t="s">
        <v>56</v>
      </c>
      <c r="D4698" t="s">
        <v>56</v>
      </c>
      <c r="E4698" t="s">
        <v>56</v>
      </c>
      <c r="F4698" t="s">
        <v>56</v>
      </c>
      <c r="G4698" t="s">
        <v>176</v>
      </c>
      <c r="H4698" t="s">
        <v>211</v>
      </c>
      <c r="I4698" t="s">
        <v>231</v>
      </c>
      <c r="J4698" t="s">
        <v>250</v>
      </c>
      <c r="K4698" t="s">
        <v>264</v>
      </c>
      <c r="L4698" t="s">
        <v>276</v>
      </c>
      <c r="M4698" t="s">
        <v>285</v>
      </c>
      <c r="N4698" t="s">
        <v>295</v>
      </c>
      <c r="O4698" t="s">
        <v>303</v>
      </c>
      <c r="P4698" t="s">
        <v>56</v>
      </c>
      <c r="Q4698" t="s">
        <v>317</v>
      </c>
      <c r="R4698" t="s">
        <v>324</v>
      </c>
      <c r="S4698" t="s">
        <v>331</v>
      </c>
      <c r="T4698" t="s">
        <v>334</v>
      </c>
      <c r="U4698" t="s">
        <v>338</v>
      </c>
      <c r="V4698" t="s">
        <v>342</v>
      </c>
      <c r="W4698" t="s">
        <v>346</v>
      </c>
      <c r="X4698" t="s">
        <v>351</v>
      </c>
      <c r="AK4698" t="s">
        <v>361</v>
      </c>
    </row>
    <row r="4699" spans="1:37">
      <c r="B4699" t="s">
        <v>57</v>
      </c>
      <c r="C4699" t="s">
        <v>79</v>
      </c>
      <c r="D4699" t="s">
        <v>98</v>
      </c>
      <c r="E4699" t="s">
        <v>117</v>
      </c>
      <c r="F4699" t="s">
        <v>151</v>
      </c>
      <c r="G4699" t="s">
        <v>177</v>
      </c>
      <c r="H4699" t="s">
        <v>212</v>
      </c>
      <c r="I4699" t="s">
        <v>232</v>
      </c>
      <c r="J4699" t="s">
        <v>251</v>
      </c>
      <c r="K4699" t="s">
        <v>265</v>
      </c>
      <c r="L4699" t="s">
        <v>277</v>
      </c>
      <c r="M4699" t="s">
        <v>286</v>
      </c>
      <c r="N4699" t="s">
        <v>296</v>
      </c>
      <c r="O4699" t="s">
        <v>304</v>
      </c>
      <c r="P4699" t="s">
        <v>311</v>
      </c>
      <c r="Q4699" t="s">
        <v>318</v>
      </c>
      <c r="R4699" t="s">
        <v>185</v>
      </c>
      <c r="S4699" t="s">
        <v>159</v>
      </c>
      <c r="T4699" t="s">
        <v>185</v>
      </c>
      <c r="U4699" t="s">
        <v>339</v>
      </c>
      <c r="V4699" t="s">
        <v>72</v>
      </c>
      <c r="W4699" t="s">
        <v>347</v>
      </c>
      <c r="X4699" t="s">
        <v>72</v>
      </c>
      <c r="Y4699" t="s">
        <v>96</v>
      </c>
      <c r="AK4699" t="s">
        <v>361</v>
      </c>
    </row>
    <row r="4700" spans="1:37">
      <c r="B4700" t="s">
        <v>58</v>
      </c>
      <c r="C4700" t="s">
        <v>80</v>
      </c>
      <c r="D4700" t="s">
        <v>99</v>
      </c>
      <c r="E4700" t="s">
        <v>118</v>
      </c>
      <c r="F4700" t="s">
        <v>152</v>
      </c>
      <c r="G4700" t="s">
        <v>178</v>
      </c>
      <c r="H4700" t="s">
        <v>213</v>
      </c>
      <c r="I4700" t="s">
        <v>233</v>
      </c>
      <c r="J4700" t="s">
        <v>252</v>
      </c>
      <c r="K4700" t="s">
        <v>266</v>
      </c>
      <c r="L4700" t="s">
        <v>278</v>
      </c>
      <c r="M4700" t="s">
        <v>287</v>
      </c>
      <c r="N4700" t="s">
        <v>297</v>
      </c>
      <c r="O4700" t="s">
        <v>305</v>
      </c>
      <c r="P4700" t="s">
        <v>312</v>
      </c>
      <c r="Q4700" t="s">
        <v>319</v>
      </c>
      <c r="R4700">
        <f>&gt;10       ветра      3.0     18   4 11</f>
        <v>0</v>
      </c>
      <c r="AK4700" t="s">
        <v>361</v>
      </c>
    </row>
    <row r="4701" spans="1:37">
      <c r="A4701" t="s">
        <v>40</v>
      </c>
      <c r="B4701" t="s">
        <v>59</v>
      </c>
      <c r="C4701" t="s">
        <v>81</v>
      </c>
      <c r="D4701" t="s">
        <v>100</v>
      </c>
      <c r="E4701" t="s">
        <v>119</v>
      </c>
      <c r="F4701" t="s">
        <v>153</v>
      </c>
      <c r="G4701" t="s">
        <v>179</v>
      </c>
      <c r="H4701" t="s">
        <v>214</v>
      </c>
      <c r="I4701" t="s">
        <v>234</v>
      </c>
      <c r="AK4701" t="s">
        <v>361</v>
      </c>
    </row>
    <row r="4702" spans="1:37">
      <c r="A4702" t="s">
        <v>40</v>
      </c>
      <c r="B4702" t="s">
        <v>60</v>
      </c>
      <c r="C4702" t="s">
        <v>82</v>
      </c>
      <c r="D4702" t="s">
        <v>101</v>
      </c>
      <c r="E4702" t="s">
        <v>120</v>
      </c>
      <c r="F4702" t="s">
        <v>154</v>
      </c>
      <c r="G4702" t="s">
        <v>180</v>
      </c>
      <c r="H4702" t="s">
        <v>215</v>
      </c>
      <c r="I4702" t="s">
        <v>235</v>
      </c>
      <c r="J4702" t="s">
        <v>253</v>
      </c>
      <c r="K4702" t="s">
        <v>267</v>
      </c>
      <c r="L4702" t="s">
        <v>279</v>
      </c>
      <c r="M4702" t="s">
        <v>288</v>
      </c>
      <c r="N4702" t="s">
        <v>100</v>
      </c>
      <c r="O4702" t="s">
        <v>306</v>
      </c>
      <c r="P4702" t="s">
        <v>313</v>
      </c>
      <c r="Q4702" t="s">
        <v>320</v>
      </c>
      <c r="R4702" t="s">
        <v>325</v>
      </c>
      <c r="S4702" t="s">
        <v>332</v>
      </c>
      <c r="T4702" t="s">
        <v>119</v>
      </c>
      <c r="U4702" t="s">
        <v>234</v>
      </c>
      <c r="V4702" t="s">
        <v>343</v>
      </c>
      <c r="W4702" t="s">
        <v>348</v>
      </c>
      <c r="X4702" t="s">
        <v>352</v>
      </c>
      <c r="Y4702" t="s">
        <v>354</v>
      </c>
      <c r="AK4702" t="s">
        <v>361</v>
      </c>
    </row>
    <row r="4703" spans="1:37">
      <c r="A4703" t="s">
        <v>41</v>
      </c>
      <c r="B4703" t="s">
        <v>61</v>
      </c>
      <c r="C4703" t="s">
        <v>83</v>
      </c>
      <c r="D4703" t="s">
        <v>102</v>
      </c>
      <c r="E4703" t="s">
        <v>121</v>
      </c>
      <c r="F4703" t="s">
        <v>155</v>
      </c>
      <c r="G4703" t="s">
        <v>181</v>
      </c>
      <c r="H4703" t="s">
        <v>216</v>
      </c>
      <c r="I4703" t="s">
        <v>236</v>
      </c>
      <c r="AK4703" t="s">
        <v>361</v>
      </c>
    </row>
    <row r="4704" spans="1:37">
      <c r="A4704" t="s">
        <v>42</v>
      </c>
      <c r="B4704" t="s">
        <v>62</v>
      </c>
      <c r="C4704" t="s">
        <v>84</v>
      </c>
      <c r="D4704" t="s">
        <v>103</v>
      </c>
      <c r="E4704" t="s">
        <v>122</v>
      </c>
      <c r="F4704" t="s">
        <v>156</v>
      </c>
      <c r="G4704" t="s">
        <v>182</v>
      </c>
      <c r="H4704" t="s">
        <v>83</v>
      </c>
      <c r="I4704" t="s">
        <v>237</v>
      </c>
      <c r="J4704" t="s">
        <v>254</v>
      </c>
      <c r="K4704" t="s">
        <v>268</v>
      </c>
      <c r="L4704" t="s">
        <v>280</v>
      </c>
      <c r="M4704" t="s">
        <v>289</v>
      </c>
      <c r="N4704" t="s">
        <v>298</v>
      </c>
      <c r="O4704" t="s">
        <v>307</v>
      </c>
      <c r="P4704" t="s">
        <v>314</v>
      </c>
      <c r="Q4704" t="s">
        <v>216</v>
      </c>
      <c r="R4704" t="s">
        <v>326</v>
      </c>
      <c r="S4704" t="s">
        <v>333</v>
      </c>
      <c r="T4704" t="s">
        <v>335</v>
      </c>
      <c r="U4704" t="s">
        <v>340</v>
      </c>
      <c r="V4704" t="s">
        <v>344</v>
      </c>
      <c r="W4704" t="s">
        <v>349</v>
      </c>
      <c r="AK4704" t="s">
        <v>361</v>
      </c>
    </row>
    <row r="4705" spans="1:37">
      <c r="A4705" t="s">
        <v>43</v>
      </c>
      <c r="B4705" t="s">
        <v>63</v>
      </c>
      <c r="C4705" t="s">
        <v>85</v>
      </c>
      <c r="D4705" t="s">
        <v>104</v>
      </c>
      <c r="E4705" t="s">
        <v>123</v>
      </c>
      <c r="F4705" t="s">
        <v>157</v>
      </c>
      <c r="G4705" t="s">
        <v>183</v>
      </c>
      <c r="AK4705" t="s">
        <v>361</v>
      </c>
    </row>
    <row r="4706" spans="1:37">
      <c r="A4706" t="s">
        <v>44</v>
      </c>
      <c r="B4706" t="s">
        <v>64</v>
      </c>
      <c r="C4706" t="s">
        <v>86</v>
      </c>
      <c r="D4706" t="s">
        <v>105</v>
      </c>
      <c r="E4706" t="s">
        <v>124</v>
      </c>
      <c r="F4706" t="s">
        <v>158</v>
      </c>
      <c r="G4706" t="s">
        <v>184</v>
      </c>
      <c r="AK4706" t="s">
        <v>361</v>
      </c>
    </row>
    <row r="4707" spans="1:37">
      <c r="A4707" t="s">
        <v>45</v>
      </c>
      <c r="B4707" t="s">
        <v>65</v>
      </c>
      <c r="C4707" t="s">
        <v>87</v>
      </c>
      <c r="D4707" t="s">
        <v>106</v>
      </c>
      <c r="E4707" t="s">
        <v>125</v>
      </c>
      <c r="F4707" t="s">
        <v>159</v>
      </c>
      <c r="G4707" t="s">
        <v>185</v>
      </c>
      <c r="H4707" t="s">
        <v>159</v>
      </c>
      <c r="I4707" t="s">
        <v>185</v>
      </c>
      <c r="J4707" t="s">
        <v>255</v>
      </c>
      <c r="AK4707" t="s">
        <v>361</v>
      </c>
    </row>
    <row r="4708" spans="1:37">
      <c r="A4708" t="s">
        <v>46</v>
      </c>
      <c r="B4708" t="s">
        <v>66</v>
      </c>
      <c r="C4708" t="s">
        <v>88</v>
      </c>
      <c r="D4708" t="s">
        <v>76</v>
      </c>
      <c r="E4708" t="s">
        <v>126</v>
      </c>
      <c r="F4708" t="s">
        <v>160</v>
      </c>
      <c r="G4708" t="s">
        <v>186</v>
      </c>
      <c r="H4708" t="s">
        <v>217</v>
      </c>
      <c r="I4708" t="s">
        <v>238</v>
      </c>
      <c r="J4708" t="s">
        <v>256</v>
      </c>
      <c r="K4708" t="s">
        <v>265</v>
      </c>
      <c r="L4708" t="s">
        <v>281</v>
      </c>
      <c r="M4708" t="s">
        <v>290</v>
      </c>
      <c r="N4708" t="s">
        <v>299</v>
      </c>
      <c r="O4708" t="s">
        <v>308</v>
      </c>
      <c r="P4708" t="s">
        <v>228</v>
      </c>
      <c r="Q4708" t="s">
        <v>72</v>
      </c>
      <c r="R4708" t="s">
        <v>327</v>
      </c>
      <c r="S4708" t="s">
        <v>327</v>
      </c>
      <c r="T4708" t="s">
        <v>336</v>
      </c>
      <c r="U4708" t="s">
        <v>336</v>
      </c>
      <c r="V4708" t="s">
        <v>336</v>
      </c>
      <c r="W4708" t="s">
        <v>336</v>
      </c>
      <c r="X4708" t="s">
        <v>353</v>
      </c>
      <c r="AK4708" t="s">
        <v>361</v>
      </c>
    </row>
    <row r="4709" spans="1:37">
      <c r="B4709" t="s">
        <v>67</v>
      </c>
      <c r="C4709" t="s">
        <v>89</v>
      </c>
      <c r="D4709" t="s">
        <v>107</v>
      </c>
      <c r="AK4709" t="s">
        <v>361</v>
      </c>
    </row>
    <row r="4710" spans="1:37">
      <c r="B4710" t="s">
        <v>68</v>
      </c>
      <c r="C4710" t="s">
        <v>90</v>
      </c>
      <c r="D4710" t="s">
        <v>108</v>
      </c>
      <c r="AK4710" t="s">
        <v>361</v>
      </c>
    </row>
    <row r="4711" spans="1:37">
      <c r="A4711" t="s">
        <v>47</v>
      </c>
      <c r="B4711" t="s">
        <v>69</v>
      </c>
      <c r="C4711" t="s">
        <v>91</v>
      </c>
      <c r="D4711" t="s">
        <v>109</v>
      </c>
      <c r="E4711" t="s">
        <v>109</v>
      </c>
      <c r="F4711" t="s">
        <v>109</v>
      </c>
      <c r="G4711" t="s">
        <v>109</v>
      </c>
      <c r="H4711" t="s">
        <v>109</v>
      </c>
      <c r="I4711" t="s">
        <v>239</v>
      </c>
      <c r="AK4711" t="s">
        <v>361</v>
      </c>
    </row>
    <row r="4712" spans="1:37">
      <c r="B4712" t="s">
        <v>70</v>
      </c>
      <c r="C4712" t="s">
        <v>92</v>
      </c>
      <c r="D4712" t="s">
        <v>110</v>
      </c>
      <c r="E4712" t="s">
        <v>127</v>
      </c>
      <c r="F4712" t="s">
        <v>161</v>
      </c>
      <c r="G4712" t="s">
        <v>187</v>
      </c>
      <c r="H4712" t="s">
        <v>218</v>
      </c>
      <c r="AK4712" t="s">
        <v>361</v>
      </c>
    </row>
    <row r="4713" spans="1:37">
      <c r="B4713" t="s">
        <v>71</v>
      </c>
      <c r="C4713" t="s">
        <v>93</v>
      </c>
      <c r="D4713" t="s">
        <v>111</v>
      </c>
      <c r="E4713" t="s">
        <v>128</v>
      </c>
      <c r="F4713" t="s">
        <v>162</v>
      </c>
      <c r="G4713" t="s">
        <v>188</v>
      </c>
      <c r="H4713" t="s">
        <v>219</v>
      </c>
      <c r="I4713" t="s">
        <v>240</v>
      </c>
      <c r="J4713" t="s">
        <v>257</v>
      </c>
      <c r="K4713" t="s">
        <v>269</v>
      </c>
      <c r="L4713" t="s">
        <v>109</v>
      </c>
      <c r="M4713" t="s">
        <v>109</v>
      </c>
      <c r="N4713" t="s">
        <v>109</v>
      </c>
      <c r="O4713" t="s">
        <v>109</v>
      </c>
      <c r="P4713" t="s">
        <v>109</v>
      </c>
      <c r="Q4713" t="s">
        <v>321</v>
      </c>
      <c r="AK4713" t="s">
        <v>361</v>
      </c>
    </row>
    <row r="4714" spans="1:37">
      <c r="A4714" t="s">
        <v>48</v>
      </c>
      <c r="B4714" t="s">
        <v>71</v>
      </c>
      <c r="C4714" t="s">
        <v>93</v>
      </c>
      <c r="D4714" t="s">
        <v>111</v>
      </c>
      <c r="E4714" t="s">
        <v>128</v>
      </c>
      <c r="F4714" t="s">
        <v>163</v>
      </c>
      <c r="G4714" t="s">
        <v>189</v>
      </c>
      <c r="H4714" t="s">
        <v>220</v>
      </c>
      <c r="I4714" t="s">
        <v>241</v>
      </c>
      <c r="J4714" t="s">
        <v>258</v>
      </c>
      <c r="K4714" t="s">
        <v>270</v>
      </c>
      <c r="AK4714" t="s">
        <v>361</v>
      </c>
    </row>
    <row r="4715" spans="1:37">
      <c r="B4715" t="s">
        <v>72</v>
      </c>
      <c r="C4715" t="s">
        <v>72</v>
      </c>
      <c r="D4715" t="s">
        <v>72</v>
      </c>
      <c r="E4715" t="s">
        <v>72</v>
      </c>
      <c r="F4715" t="s">
        <v>72</v>
      </c>
      <c r="G4715" t="s">
        <v>72</v>
      </c>
      <c r="H4715" t="s">
        <v>72</v>
      </c>
      <c r="I4715" t="s">
        <v>72</v>
      </c>
      <c r="J4715" t="s">
        <v>72</v>
      </c>
      <c r="K4715" t="s">
        <v>272</v>
      </c>
      <c r="AK4715" t="s">
        <v>361</v>
      </c>
    </row>
    <row r="4716" spans="1:37">
      <c r="A4716" t="s">
        <v>37</v>
      </c>
      <c r="B4716" t="s">
        <v>49</v>
      </c>
      <c r="C4716" t="s">
        <v>73</v>
      </c>
      <c r="D4716" t="s">
        <v>94</v>
      </c>
      <c r="E4716" t="s">
        <v>112</v>
      </c>
      <c r="F4716" t="s">
        <v>146</v>
      </c>
      <c r="G4716" t="s">
        <v>172</v>
      </c>
      <c r="H4716" t="s">
        <v>207</v>
      </c>
      <c r="I4716" t="s">
        <v>226</v>
      </c>
      <c r="J4716" t="s">
        <v>246</v>
      </c>
      <c r="K4716" t="s">
        <v>259</v>
      </c>
      <c r="AK4716" t="s">
        <v>361</v>
      </c>
    </row>
    <row r="4717" spans="1:37">
      <c r="A4717" t="s">
        <v>38</v>
      </c>
      <c r="B4717" t="s">
        <v>50</v>
      </c>
      <c r="C4717" t="s">
        <v>74</v>
      </c>
      <c r="D4717" t="s">
        <v>95</v>
      </c>
      <c r="E4717" t="s">
        <v>113</v>
      </c>
      <c r="F4717" t="s">
        <v>147</v>
      </c>
      <c r="G4717" t="s">
        <v>173</v>
      </c>
      <c r="H4717" t="s">
        <v>208</v>
      </c>
      <c r="I4717" t="s">
        <v>227</v>
      </c>
      <c r="J4717" t="s">
        <v>115</v>
      </c>
      <c r="K4717" t="s">
        <v>260</v>
      </c>
      <c r="L4717" t="s">
        <v>273</v>
      </c>
      <c r="M4717" t="s">
        <v>282</v>
      </c>
      <c r="N4717" t="s">
        <v>291</v>
      </c>
      <c r="AK4717" t="s">
        <v>361</v>
      </c>
    </row>
    <row r="4718" spans="1:37">
      <c r="B4718" t="s">
        <v>51</v>
      </c>
      <c r="C4718" t="s">
        <v>75</v>
      </c>
      <c r="D4718" t="s">
        <v>52</v>
      </c>
      <c r="E4718" t="s">
        <v>114</v>
      </c>
      <c r="F4718" t="s">
        <v>148</v>
      </c>
      <c r="G4718" t="s">
        <v>148</v>
      </c>
      <c r="H4718" t="s">
        <v>209</v>
      </c>
      <c r="I4718" t="s">
        <v>228</v>
      </c>
      <c r="J4718" t="s">
        <v>247</v>
      </c>
      <c r="K4718" t="s">
        <v>261</v>
      </c>
      <c r="L4718" t="s">
        <v>274</v>
      </c>
      <c r="M4718" t="s">
        <v>283</v>
      </c>
      <c r="N4718" t="s">
        <v>292</v>
      </c>
      <c r="O4718" t="s">
        <v>300</v>
      </c>
      <c r="AK4718" t="s">
        <v>361</v>
      </c>
    </row>
    <row r="4719" spans="1:37">
      <c r="B4719" t="s">
        <v>52</v>
      </c>
      <c r="C4719" t="s">
        <v>76</v>
      </c>
      <c r="D4719" t="s">
        <v>96</v>
      </c>
      <c r="E4719" t="s">
        <v>115</v>
      </c>
      <c r="F4719" t="s">
        <v>149</v>
      </c>
      <c r="G4719" t="s">
        <v>174</v>
      </c>
      <c r="H4719" t="s">
        <v>96</v>
      </c>
      <c r="I4719" t="s">
        <v>229</v>
      </c>
      <c r="J4719" t="s">
        <v>248</v>
      </c>
      <c r="K4719" t="s">
        <v>262</v>
      </c>
      <c r="L4719" t="s">
        <v>52</v>
      </c>
      <c r="M4719" t="s">
        <v>76</v>
      </c>
      <c r="N4719" t="s">
        <v>293</v>
      </c>
      <c r="O4719" t="s">
        <v>301</v>
      </c>
      <c r="P4719" t="s">
        <v>309</v>
      </c>
      <c r="Q4719" t="s">
        <v>315</v>
      </c>
      <c r="R4719" t="s">
        <v>228</v>
      </c>
      <c r="S4719" t="s">
        <v>328</v>
      </c>
      <c r="T4719" t="s">
        <v>149</v>
      </c>
      <c r="U4719" t="s">
        <v>337</v>
      </c>
      <c r="V4719" t="s">
        <v>341</v>
      </c>
      <c r="W4719" t="s">
        <v>345</v>
      </c>
      <c r="X4719" t="s">
        <v>350</v>
      </c>
      <c r="AK4719" t="s">
        <v>361</v>
      </c>
    </row>
    <row r="4720" spans="1:37">
      <c r="B4720" t="s">
        <v>53</v>
      </c>
      <c r="C4720" t="s">
        <v>77</v>
      </c>
      <c r="D4720" t="s">
        <v>97</v>
      </c>
      <c r="E4720" t="s">
        <v>116</v>
      </c>
      <c r="F4720" t="s">
        <v>150</v>
      </c>
      <c r="G4720" t="s">
        <v>175</v>
      </c>
      <c r="H4720" t="s">
        <v>210</v>
      </c>
      <c r="I4720" t="s">
        <v>230</v>
      </c>
      <c r="J4720" t="s">
        <v>249</v>
      </c>
      <c r="K4720" t="s">
        <v>263</v>
      </c>
      <c r="L4720" t="s">
        <v>275</v>
      </c>
      <c r="M4720" t="s">
        <v>284</v>
      </c>
      <c r="N4720" t="s">
        <v>294</v>
      </c>
      <c r="O4720" t="s">
        <v>302</v>
      </c>
      <c r="P4720" t="s">
        <v>310</v>
      </c>
      <c r="Q4720" t="s">
        <v>316</v>
      </c>
      <c r="R4720" t="s">
        <v>322</v>
      </c>
      <c r="S4720" t="s">
        <v>329</v>
      </c>
      <c r="AK4720" t="s">
        <v>361</v>
      </c>
    </row>
    <row r="4721" spans="1:37">
      <c r="A4721" t="s">
        <v>39</v>
      </c>
      <c r="B4721" t="s">
        <v>54</v>
      </c>
      <c r="C4721" t="s">
        <v>54</v>
      </c>
      <c r="D4721" t="s">
        <v>54</v>
      </c>
      <c r="E4721" t="s">
        <v>54</v>
      </c>
      <c r="F4721" t="s">
        <v>54</v>
      </c>
      <c r="G4721" t="s">
        <v>54</v>
      </c>
      <c r="H4721" t="s">
        <v>54</v>
      </c>
      <c r="I4721" t="s">
        <v>54</v>
      </c>
      <c r="J4721" t="s">
        <v>54</v>
      </c>
      <c r="K4721" t="s">
        <v>54</v>
      </c>
      <c r="L4721" t="s">
        <v>54</v>
      </c>
      <c r="M4721" t="s">
        <v>54</v>
      </c>
      <c r="N4721" t="s">
        <v>54</v>
      </c>
      <c r="O4721" t="s">
        <v>54</v>
      </c>
      <c r="P4721" t="s">
        <v>54</v>
      </c>
      <c r="Q4721" t="s">
        <v>54</v>
      </c>
      <c r="R4721" t="s">
        <v>323</v>
      </c>
      <c r="S4721" t="s">
        <v>330</v>
      </c>
      <c r="AK4721" t="s">
        <v>361</v>
      </c>
    </row>
    <row r="4722" spans="1:37">
      <c r="B4722" t="s">
        <v>55</v>
      </c>
      <c r="C4722" t="s">
        <v>78</v>
      </c>
      <c r="D4722" t="s">
        <v>55</v>
      </c>
      <c r="E4722" t="s">
        <v>78</v>
      </c>
      <c r="F4722" t="s">
        <v>55</v>
      </c>
      <c r="G4722" t="s">
        <v>78</v>
      </c>
      <c r="H4722" t="s">
        <v>55</v>
      </c>
      <c r="I4722" t="s">
        <v>78</v>
      </c>
      <c r="J4722" t="s">
        <v>55</v>
      </c>
      <c r="K4722" t="s">
        <v>78</v>
      </c>
      <c r="L4722" t="s">
        <v>55</v>
      </c>
      <c r="M4722" t="s">
        <v>78</v>
      </c>
      <c r="N4722" t="s">
        <v>55</v>
      </c>
      <c r="O4722" t="s">
        <v>78</v>
      </c>
      <c r="P4722" t="s">
        <v>55</v>
      </c>
      <c r="Q4722" t="s">
        <v>78</v>
      </c>
      <c r="R4722" t="s">
        <v>55</v>
      </c>
      <c r="S4722" t="s">
        <v>78</v>
      </c>
      <c r="T4722" t="s">
        <v>55</v>
      </c>
      <c r="U4722" t="s">
        <v>78</v>
      </c>
      <c r="V4722" t="s">
        <v>55</v>
      </c>
      <c r="W4722" t="s">
        <v>78</v>
      </c>
      <c r="X4722" t="s">
        <v>55</v>
      </c>
      <c r="Y4722" t="s">
        <v>78</v>
      </c>
      <c r="Z4722" t="s">
        <v>55</v>
      </c>
      <c r="AA4722" t="s">
        <v>78</v>
      </c>
      <c r="AB4722" t="s">
        <v>55</v>
      </c>
      <c r="AC4722" t="s">
        <v>78</v>
      </c>
      <c r="AD4722" t="s">
        <v>55</v>
      </c>
      <c r="AE4722" t="s">
        <v>78</v>
      </c>
      <c r="AF4722" t="s">
        <v>55</v>
      </c>
      <c r="AG4722" t="s">
        <v>78</v>
      </c>
      <c r="AH4722" t="s">
        <v>55</v>
      </c>
      <c r="AI4722" t="s">
        <v>78</v>
      </c>
      <c r="AK4722" t="s">
        <v>361</v>
      </c>
    </row>
    <row r="4723" spans="1:37">
      <c r="B4723" t="s">
        <v>56</v>
      </c>
      <c r="C4723" t="s">
        <v>56</v>
      </c>
      <c r="D4723" t="s">
        <v>56</v>
      </c>
      <c r="E4723" t="s">
        <v>56</v>
      </c>
      <c r="F4723" t="s">
        <v>56</v>
      </c>
      <c r="G4723" t="s">
        <v>176</v>
      </c>
      <c r="H4723" t="s">
        <v>211</v>
      </c>
      <c r="I4723" t="s">
        <v>231</v>
      </c>
      <c r="J4723" t="s">
        <v>250</v>
      </c>
      <c r="K4723" t="s">
        <v>264</v>
      </c>
      <c r="L4723" t="s">
        <v>276</v>
      </c>
      <c r="M4723" t="s">
        <v>285</v>
      </c>
      <c r="N4723" t="s">
        <v>295</v>
      </c>
      <c r="O4723" t="s">
        <v>303</v>
      </c>
      <c r="P4723" t="s">
        <v>56</v>
      </c>
      <c r="Q4723" t="s">
        <v>317</v>
      </c>
      <c r="R4723" t="s">
        <v>324</v>
      </c>
      <c r="S4723" t="s">
        <v>331</v>
      </c>
      <c r="T4723" t="s">
        <v>334</v>
      </c>
      <c r="U4723" t="s">
        <v>338</v>
      </c>
      <c r="V4723" t="s">
        <v>342</v>
      </c>
      <c r="W4723" t="s">
        <v>346</v>
      </c>
      <c r="X4723" t="s">
        <v>351</v>
      </c>
      <c r="AK4723" t="s">
        <v>361</v>
      </c>
    </row>
    <row r="4724" spans="1:37">
      <c r="B4724" t="s">
        <v>57</v>
      </c>
      <c r="C4724" t="s">
        <v>79</v>
      </c>
      <c r="D4724" t="s">
        <v>98</v>
      </c>
      <c r="E4724" t="s">
        <v>117</v>
      </c>
      <c r="F4724" t="s">
        <v>151</v>
      </c>
      <c r="G4724" t="s">
        <v>177</v>
      </c>
      <c r="H4724" t="s">
        <v>212</v>
      </c>
      <c r="I4724" t="s">
        <v>232</v>
      </c>
      <c r="J4724" t="s">
        <v>251</v>
      </c>
      <c r="K4724" t="s">
        <v>265</v>
      </c>
      <c r="L4724" t="s">
        <v>277</v>
      </c>
      <c r="M4724" t="s">
        <v>286</v>
      </c>
      <c r="N4724" t="s">
        <v>296</v>
      </c>
      <c r="O4724" t="s">
        <v>304</v>
      </c>
      <c r="P4724" t="s">
        <v>311</v>
      </c>
      <c r="Q4724" t="s">
        <v>318</v>
      </c>
      <c r="R4724" t="s">
        <v>185</v>
      </c>
      <c r="S4724" t="s">
        <v>159</v>
      </c>
      <c r="T4724" t="s">
        <v>185</v>
      </c>
      <c r="U4724" t="s">
        <v>339</v>
      </c>
      <c r="V4724" t="s">
        <v>72</v>
      </c>
      <c r="W4724" t="s">
        <v>347</v>
      </c>
      <c r="X4724" t="s">
        <v>72</v>
      </c>
      <c r="Y4724" t="s">
        <v>96</v>
      </c>
      <c r="AK4724" t="s">
        <v>361</v>
      </c>
    </row>
    <row r="4725" spans="1:37">
      <c r="B4725" t="s">
        <v>58</v>
      </c>
      <c r="C4725" t="s">
        <v>80</v>
      </c>
      <c r="D4725" t="s">
        <v>99</v>
      </c>
      <c r="E4725" t="s">
        <v>118</v>
      </c>
      <c r="F4725" t="s">
        <v>152</v>
      </c>
      <c r="G4725" t="s">
        <v>178</v>
      </c>
      <c r="H4725" t="s">
        <v>213</v>
      </c>
      <c r="I4725" t="s">
        <v>233</v>
      </c>
      <c r="J4725" t="s">
        <v>252</v>
      </c>
      <c r="K4725" t="s">
        <v>266</v>
      </c>
      <c r="L4725" t="s">
        <v>278</v>
      </c>
      <c r="M4725" t="s">
        <v>287</v>
      </c>
      <c r="N4725" t="s">
        <v>297</v>
      </c>
      <c r="O4725" t="s">
        <v>305</v>
      </c>
      <c r="P4725" t="s">
        <v>312</v>
      </c>
      <c r="Q4725" t="s">
        <v>319</v>
      </c>
      <c r="R4725">
        <f>&gt;10       ветра      1.9     18  12</f>
        <v>0</v>
      </c>
      <c r="AK4725" t="s">
        <v>361</v>
      </c>
    </row>
    <row r="4726" spans="1:37">
      <c r="A4726" t="s">
        <v>40</v>
      </c>
      <c r="B4726" t="s">
        <v>59</v>
      </c>
      <c r="C4726" t="s">
        <v>81</v>
      </c>
      <c r="D4726" t="s">
        <v>100</v>
      </c>
      <c r="E4726" t="s">
        <v>119</v>
      </c>
      <c r="F4726" t="s">
        <v>153</v>
      </c>
      <c r="G4726" t="s">
        <v>179</v>
      </c>
      <c r="H4726" t="s">
        <v>214</v>
      </c>
      <c r="I4726" t="s">
        <v>234</v>
      </c>
      <c r="AK4726" t="s">
        <v>361</v>
      </c>
    </row>
    <row r="4727" spans="1:37">
      <c r="A4727" t="s">
        <v>40</v>
      </c>
      <c r="B4727" t="s">
        <v>60</v>
      </c>
      <c r="C4727" t="s">
        <v>82</v>
      </c>
      <c r="D4727" t="s">
        <v>101</v>
      </c>
      <c r="E4727" t="s">
        <v>120</v>
      </c>
      <c r="F4727" t="s">
        <v>154</v>
      </c>
      <c r="G4727" t="s">
        <v>180</v>
      </c>
      <c r="H4727" t="s">
        <v>215</v>
      </c>
      <c r="I4727" t="s">
        <v>235</v>
      </c>
      <c r="J4727" t="s">
        <v>253</v>
      </c>
      <c r="K4727" t="s">
        <v>267</v>
      </c>
      <c r="L4727" t="s">
        <v>279</v>
      </c>
      <c r="M4727" t="s">
        <v>288</v>
      </c>
      <c r="N4727" t="s">
        <v>100</v>
      </c>
      <c r="O4727" t="s">
        <v>306</v>
      </c>
      <c r="P4727" t="s">
        <v>313</v>
      </c>
      <c r="Q4727" t="s">
        <v>320</v>
      </c>
      <c r="R4727" t="s">
        <v>325</v>
      </c>
      <c r="S4727" t="s">
        <v>332</v>
      </c>
      <c r="T4727" t="s">
        <v>119</v>
      </c>
      <c r="U4727" t="s">
        <v>234</v>
      </c>
      <c r="V4727" t="s">
        <v>343</v>
      </c>
      <c r="W4727" t="s">
        <v>348</v>
      </c>
      <c r="X4727" t="s">
        <v>352</v>
      </c>
      <c r="Y4727" t="s">
        <v>354</v>
      </c>
      <c r="AK4727" t="s">
        <v>361</v>
      </c>
    </row>
    <row r="4728" spans="1:37">
      <c r="A4728" t="s">
        <v>41</v>
      </c>
      <c r="B4728" t="s">
        <v>61</v>
      </c>
      <c r="C4728" t="s">
        <v>83</v>
      </c>
      <c r="D4728" t="s">
        <v>102</v>
      </c>
      <c r="E4728" t="s">
        <v>121</v>
      </c>
      <c r="F4728" t="s">
        <v>155</v>
      </c>
      <c r="G4728" t="s">
        <v>181</v>
      </c>
      <c r="H4728" t="s">
        <v>216</v>
      </c>
      <c r="I4728" t="s">
        <v>236</v>
      </c>
      <c r="AK4728" t="s">
        <v>361</v>
      </c>
    </row>
    <row r="4729" spans="1:37">
      <c r="A4729" t="s">
        <v>42</v>
      </c>
      <c r="B4729" t="s">
        <v>62</v>
      </c>
      <c r="C4729" t="s">
        <v>84</v>
      </c>
      <c r="D4729" t="s">
        <v>103</v>
      </c>
      <c r="E4729" t="s">
        <v>122</v>
      </c>
      <c r="F4729" t="s">
        <v>156</v>
      </c>
      <c r="G4729" t="s">
        <v>182</v>
      </c>
      <c r="H4729" t="s">
        <v>83</v>
      </c>
      <c r="I4729" t="s">
        <v>237</v>
      </c>
      <c r="J4729" t="s">
        <v>254</v>
      </c>
      <c r="K4729" t="s">
        <v>268</v>
      </c>
      <c r="L4729" t="s">
        <v>280</v>
      </c>
      <c r="M4729" t="s">
        <v>289</v>
      </c>
      <c r="N4729" t="s">
        <v>298</v>
      </c>
      <c r="O4729" t="s">
        <v>307</v>
      </c>
      <c r="P4729" t="s">
        <v>314</v>
      </c>
      <c r="Q4729" t="s">
        <v>216</v>
      </c>
      <c r="R4729" t="s">
        <v>326</v>
      </c>
      <c r="S4729" t="s">
        <v>333</v>
      </c>
      <c r="T4729" t="s">
        <v>335</v>
      </c>
      <c r="U4729" t="s">
        <v>340</v>
      </c>
      <c r="V4729" t="s">
        <v>344</v>
      </c>
      <c r="W4729" t="s">
        <v>349</v>
      </c>
      <c r="AK4729" t="s">
        <v>361</v>
      </c>
    </row>
    <row r="4730" spans="1:37">
      <c r="A4730" t="s">
        <v>43</v>
      </c>
      <c r="B4730" t="s">
        <v>63</v>
      </c>
      <c r="C4730" t="s">
        <v>85</v>
      </c>
      <c r="D4730" t="s">
        <v>104</v>
      </c>
      <c r="E4730" t="s">
        <v>123</v>
      </c>
      <c r="F4730" t="s">
        <v>157</v>
      </c>
      <c r="G4730" t="s">
        <v>183</v>
      </c>
      <c r="AK4730" t="s">
        <v>361</v>
      </c>
    </row>
    <row r="4731" spans="1:37">
      <c r="A4731" t="s">
        <v>44</v>
      </c>
      <c r="B4731" t="s">
        <v>64</v>
      </c>
      <c r="C4731" t="s">
        <v>86</v>
      </c>
      <c r="D4731" t="s">
        <v>105</v>
      </c>
      <c r="E4731" t="s">
        <v>124</v>
      </c>
      <c r="F4731" t="s">
        <v>158</v>
      </c>
      <c r="G4731" t="s">
        <v>184</v>
      </c>
      <c r="AK4731" t="s">
        <v>361</v>
      </c>
    </row>
    <row r="4732" spans="1:37">
      <c r="A4732" t="s">
        <v>45</v>
      </c>
      <c r="B4732" t="s">
        <v>65</v>
      </c>
      <c r="C4732" t="s">
        <v>87</v>
      </c>
      <c r="D4732" t="s">
        <v>106</v>
      </c>
      <c r="E4732" t="s">
        <v>125</v>
      </c>
      <c r="F4732" t="s">
        <v>159</v>
      </c>
      <c r="G4732" t="s">
        <v>185</v>
      </c>
      <c r="H4732" t="s">
        <v>159</v>
      </c>
      <c r="I4732" t="s">
        <v>185</v>
      </c>
      <c r="J4732" t="s">
        <v>255</v>
      </c>
      <c r="AK4732" t="s">
        <v>361</v>
      </c>
    </row>
    <row r="4733" spans="1:37">
      <c r="A4733" t="s">
        <v>46</v>
      </c>
      <c r="B4733" t="s">
        <v>66</v>
      </c>
      <c r="C4733" t="s">
        <v>88</v>
      </c>
      <c r="D4733" t="s">
        <v>76</v>
      </c>
      <c r="E4733" t="s">
        <v>126</v>
      </c>
      <c r="F4733" t="s">
        <v>160</v>
      </c>
      <c r="G4733" t="s">
        <v>186</v>
      </c>
      <c r="H4733" t="s">
        <v>217</v>
      </c>
      <c r="I4733" t="s">
        <v>238</v>
      </c>
      <c r="J4733" t="s">
        <v>256</v>
      </c>
      <c r="K4733" t="s">
        <v>265</v>
      </c>
      <c r="L4733" t="s">
        <v>281</v>
      </c>
      <c r="M4733" t="s">
        <v>290</v>
      </c>
      <c r="N4733" t="s">
        <v>299</v>
      </c>
      <c r="O4733" t="s">
        <v>308</v>
      </c>
      <c r="P4733" t="s">
        <v>228</v>
      </c>
      <c r="Q4733" t="s">
        <v>72</v>
      </c>
      <c r="R4733" t="s">
        <v>327</v>
      </c>
      <c r="S4733" t="s">
        <v>327</v>
      </c>
      <c r="T4733" t="s">
        <v>336</v>
      </c>
      <c r="U4733" t="s">
        <v>336</v>
      </c>
      <c r="V4733" t="s">
        <v>336</v>
      </c>
      <c r="W4733" t="s">
        <v>336</v>
      </c>
      <c r="X4733" t="s">
        <v>353</v>
      </c>
      <c r="AK4733" t="s">
        <v>361</v>
      </c>
    </row>
    <row r="4734" spans="1:37">
      <c r="B4734" t="s">
        <v>67</v>
      </c>
      <c r="C4734" t="s">
        <v>89</v>
      </c>
      <c r="D4734" t="s">
        <v>107</v>
      </c>
      <c r="AK4734" t="s">
        <v>361</v>
      </c>
    </row>
    <row r="4735" spans="1:37">
      <c r="B4735" t="s">
        <v>68</v>
      </c>
      <c r="C4735" t="s">
        <v>90</v>
      </c>
      <c r="D4735" t="s">
        <v>108</v>
      </c>
      <c r="AK4735" t="s">
        <v>361</v>
      </c>
    </row>
    <row r="4736" spans="1:37">
      <c r="A4736" t="s">
        <v>47</v>
      </c>
      <c r="B4736" t="s">
        <v>69</v>
      </c>
      <c r="C4736" t="s">
        <v>91</v>
      </c>
      <c r="D4736" t="s">
        <v>109</v>
      </c>
      <c r="E4736" t="s">
        <v>109</v>
      </c>
      <c r="F4736" t="s">
        <v>109</v>
      </c>
      <c r="G4736" t="s">
        <v>109</v>
      </c>
      <c r="H4736" t="s">
        <v>109</v>
      </c>
      <c r="I4736" t="s">
        <v>239</v>
      </c>
      <c r="AK4736" t="s">
        <v>361</v>
      </c>
    </row>
    <row r="4737" spans="1:37">
      <c r="B4737" t="s">
        <v>70</v>
      </c>
      <c r="C4737" t="s">
        <v>92</v>
      </c>
      <c r="D4737" t="s">
        <v>110</v>
      </c>
      <c r="E4737" t="s">
        <v>127</v>
      </c>
      <c r="F4737" t="s">
        <v>161</v>
      </c>
      <c r="G4737" t="s">
        <v>187</v>
      </c>
      <c r="H4737" t="s">
        <v>218</v>
      </c>
      <c r="AK4737" t="s">
        <v>361</v>
      </c>
    </row>
    <row r="4738" spans="1:37">
      <c r="B4738" t="s">
        <v>71</v>
      </c>
      <c r="C4738" t="s">
        <v>93</v>
      </c>
      <c r="D4738" t="s">
        <v>111</v>
      </c>
      <c r="E4738" t="s">
        <v>128</v>
      </c>
      <c r="F4738" t="s">
        <v>162</v>
      </c>
      <c r="G4738" t="s">
        <v>188</v>
      </c>
      <c r="H4738" t="s">
        <v>219</v>
      </c>
      <c r="I4738" t="s">
        <v>240</v>
      </c>
      <c r="J4738" t="s">
        <v>257</v>
      </c>
      <c r="K4738" t="s">
        <v>269</v>
      </c>
      <c r="L4738" t="s">
        <v>109</v>
      </c>
      <c r="M4738" t="s">
        <v>109</v>
      </c>
      <c r="N4738" t="s">
        <v>109</v>
      </c>
      <c r="O4738" t="s">
        <v>109</v>
      </c>
      <c r="P4738" t="s">
        <v>109</v>
      </c>
      <c r="Q4738" t="s">
        <v>321</v>
      </c>
      <c r="AK4738" t="s">
        <v>361</v>
      </c>
    </row>
    <row r="4739" spans="1:37">
      <c r="A4739" t="s">
        <v>48</v>
      </c>
      <c r="B4739" t="s">
        <v>71</v>
      </c>
      <c r="C4739" t="s">
        <v>93</v>
      </c>
      <c r="D4739" t="s">
        <v>111</v>
      </c>
      <c r="E4739" t="s">
        <v>128</v>
      </c>
      <c r="F4739" t="s">
        <v>163</v>
      </c>
      <c r="G4739" t="s">
        <v>189</v>
      </c>
      <c r="H4739" t="s">
        <v>220</v>
      </c>
      <c r="I4739" t="s">
        <v>241</v>
      </c>
      <c r="J4739" t="s">
        <v>258</v>
      </c>
      <c r="K4739" t="s">
        <v>270</v>
      </c>
      <c r="AK4739" t="s">
        <v>361</v>
      </c>
    </row>
    <row r="4740" spans="1:37">
      <c r="B4740" t="s">
        <v>72</v>
      </c>
      <c r="C4740" t="s">
        <v>72</v>
      </c>
      <c r="D4740" t="s">
        <v>72</v>
      </c>
      <c r="E4740" t="s">
        <v>72</v>
      </c>
      <c r="F4740" t="s">
        <v>72</v>
      </c>
      <c r="G4740" t="s">
        <v>72</v>
      </c>
      <c r="H4740" t="s">
        <v>72</v>
      </c>
      <c r="I4740" t="s">
        <v>72</v>
      </c>
      <c r="J4740" t="s">
        <v>72</v>
      </c>
      <c r="K4740" t="s">
        <v>272</v>
      </c>
      <c r="AK4740" t="s">
        <v>361</v>
      </c>
    </row>
    <row r="4741" spans="1:37">
      <c r="A4741" t="s">
        <v>37</v>
      </c>
      <c r="B4741" t="s">
        <v>49</v>
      </c>
      <c r="C4741" t="s">
        <v>73</v>
      </c>
      <c r="D4741" t="s">
        <v>94</v>
      </c>
      <c r="E4741" t="s">
        <v>112</v>
      </c>
      <c r="F4741" t="s">
        <v>146</v>
      </c>
      <c r="G4741" t="s">
        <v>172</v>
      </c>
      <c r="H4741" t="s">
        <v>207</v>
      </c>
      <c r="I4741" t="s">
        <v>226</v>
      </c>
      <c r="J4741" t="s">
        <v>246</v>
      </c>
      <c r="K4741" t="s">
        <v>259</v>
      </c>
      <c r="AK4741" t="s">
        <v>361</v>
      </c>
    </row>
    <row r="4742" spans="1:37">
      <c r="A4742" t="s">
        <v>38</v>
      </c>
      <c r="B4742" t="s">
        <v>50</v>
      </c>
      <c r="C4742" t="s">
        <v>74</v>
      </c>
      <c r="D4742" t="s">
        <v>95</v>
      </c>
      <c r="E4742" t="s">
        <v>113</v>
      </c>
      <c r="F4742" t="s">
        <v>147</v>
      </c>
      <c r="G4742" t="s">
        <v>173</v>
      </c>
      <c r="H4742" t="s">
        <v>208</v>
      </c>
      <c r="I4742" t="s">
        <v>227</v>
      </c>
      <c r="J4742" t="s">
        <v>115</v>
      </c>
      <c r="K4742" t="s">
        <v>260</v>
      </c>
      <c r="L4742" t="s">
        <v>273</v>
      </c>
      <c r="M4742" t="s">
        <v>282</v>
      </c>
      <c r="N4742" t="s">
        <v>291</v>
      </c>
      <c r="AK4742" t="s">
        <v>361</v>
      </c>
    </row>
    <row r="4743" spans="1:37">
      <c r="B4743" t="s">
        <v>51</v>
      </c>
      <c r="C4743" t="s">
        <v>75</v>
      </c>
      <c r="D4743" t="s">
        <v>52</v>
      </c>
      <c r="E4743" t="s">
        <v>114</v>
      </c>
      <c r="F4743" t="s">
        <v>148</v>
      </c>
      <c r="G4743" t="s">
        <v>148</v>
      </c>
      <c r="H4743" t="s">
        <v>209</v>
      </c>
      <c r="I4743" t="s">
        <v>228</v>
      </c>
      <c r="J4743" t="s">
        <v>247</v>
      </c>
      <c r="K4743" t="s">
        <v>261</v>
      </c>
      <c r="L4743" t="s">
        <v>274</v>
      </c>
      <c r="M4743" t="s">
        <v>283</v>
      </c>
      <c r="N4743" t="s">
        <v>292</v>
      </c>
      <c r="O4743" t="s">
        <v>300</v>
      </c>
      <c r="AK4743" t="s">
        <v>361</v>
      </c>
    </row>
    <row r="4744" spans="1:37">
      <c r="B4744" t="s">
        <v>52</v>
      </c>
      <c r="C4744" t="s">
        <v>76</v>
      </c>
      <c r="D4744" t="s">
        <v>96</v>
      </c>
      <c r="E4744" t="s">
        <v>115</v>
      </c>
      <c r="F4744" t="s">
        <v>149</v>
      </c>
      <c r="G4744" t="s">
        <v>174</v>
      </c>
      <c r="H4744" t="s">
        <v>96</v>
      </c>
      <c r="I4744" t="s">
        <v>229</v>
      </c>
      <c r="J4744" t="s">
        <v>248</v>
      </c>
      <c r="K4744" t="s">
        <v>262</v>
      </c>
      <c r="L4744" t="s">
        <v>52</v>
      </c>
      <c r="M4744" t="s">
        <v>76</v>
      </c>
      <c r="N4744" t="s">
        <v>293</v>
      </c>
      <c r="O4744" t="s">
        <v>301</v>
      </c>
      <c r="P4744" t="s">
        <v>309</v>
      </c>
      <c r="Q4744" t="s">
        <v>315</v>
      </c>
      <c r="R4744" t="s">
        <v>228</v>
      </c>
      <c r="S4744" t="s">
        <v>328</v>
      </c>
      <c r="T4744" t="s">
        <v>149</v>
      </c>
      <c r="U4744" t="s">
        <v>337</v>
      </c>
      <c r="V4744" t="s">
        <v>341</v>
      </c>
      <c r="W4744" t="s">
        <v>345</v>
      </c>
      <c r="X4744" t="s">
        <v>350</v>
      </c>
      <c r="AK4744" t="s">
        <v>361</v>
      </c>
    </row>
    <row r="4745" spans="1:37">
      <c r="B4745" t="s">
        <v>53</v>
      </c>
      <c r="C4745" t="s">
        <v>77</v>
      </c>
      <c r="D4745" t="s">
        <v>97</v>
      </c>
      <c r="E4745" t="s">
        <v>116</v>
      </c>
      <c r="F4745" t="s">
        <v>150</v>
      </c>
      <c r="G4745" t="s">
        <v>175</v>
      </c>
      <c r="H4745" t="s">
        <v>210</v>
      </c>
      <c r="I4745" t="s">
        <v>230</v>
      </c>
      <c r="J4745" t="s">
        <v>249</v>
      </c>
      <c r="K4745" t="s">
        <v>263</v>
      </c>
      <c r="L4745" t="s">
        <v>275</v>
      </c>
      <c r="M4745" t="s">
        <v>284</v>
      </c>
      <c r="N4745" t="s">
        <v>294</v>
      </c>
      <c r="O4745" t="s">
        <v>302</v>
      </c>
      <c r="P4745" t="s">
        <v>310</v>
      </c>
      <c r="Q4745" t="s">
        <v>316</v>
      </c>
      <c r="R4745" t="s">
        <v>322</v>
      </c>
      <c r="S4745" t="s">
        <v>329</v>
      </c>
      <c r="AK4745" t="s">
        <v>361</v>
      </c>
    </row>
    <row r="4746" spans="1:37">
      <c r="A4746" t="s">
        <v>39</v>
      </c>
      <c r="B4746" t="s">
        <v>54</v>
      </c>
      <c r="C4746" t="s">
        <v>54</v>
      </c>
      <c r="D4746" t="s">
        <v>54</v>
      </c>
      <c r="E4746" t="s">
        <v>54</v>
      </c>
      <c r="F4746" t="s">
        <v>54</v>
      </c>
      <c r="G4746" t="s">
        <v>54</v>
      </c>
      <c r="H4746" t="s">
        <v>54</v>
      </c>
      <c r="I4746" t="s">
        <v>54</v>
      </c>
      <c r="J4746" t="s">
        <v>54</v>
      </c>
      <c r="K4746" t="s">
        <v>54</v>
      </c>
      <c r="L4746" t="s">
        <v>54</v>
      </c>
      <c r="M4746" t="s">
        <v>54</v>
      </c>
      <c r="N4746" t="s">
        <v>54</v>
      </c>
      <c r="O4746" t="s">
        <v>54</v>
      </c>
      <c r="P4746" t="s">
        <v>54</v>
      </c>
      <c r="Q4746" t="s">
        <v>54</v>
      </c>
      <c r="R4746" t="s">
        <v>323</v>
      </c>
      <c r="S4746" t="s">
        <v>330</v>
      </c>
      <c r="AK4746" t="s">
        <v>361</v>
      </c>
    </row>
    <row r="4747" spans="1:37">
      <c r="B4747" t="s">
        <v>55</v>
      </c>
      <c r="C4747" t="s">
        <v>78</v>
      </c>
      <c r="D4747" t="s">
        <v>55</v>
      </c>
      <c r="E4747" t="s">
        <v>78</v>
      </c>
      <c r="F4747" t="s">
        <v>55</v>
      </c>
      <c r="G4747" t="s">
        <v>78</v>
      </c>
      <c r="H4747" t="s">
        <v>55</v>
      </c>
      <c r="I4747" t="s">
        <v>78</v>
      </c>
      <c r="J4747" t="s">
        <v>55</v>
      </c>
      <c r="K4747" t="s">
        <v>78</v>
      </c>
      <c r="L4747" t="s">
        <v>55</v>
      </c>
      <c r="M4747" t="s">
        <v>78</v>
      </c>
      <c r="N4747" t="s">
        <v>55</v>
      </c>
      <c r="O4747" t="s">
        <v>78</v>
      </c>
      <c r="P4747" t="s">
        <v>55</v>
      </c>
      <c r="Q4747" t="s">
        <v>78</v>
      </c>
      <c r="R4747" t="s">
        <v>55</v>
      </c>
      <c r="S4747" t="s">
        <v>78</v>
      </c>
      <c r="T4747" t="s">
        <v>55</v>
      </c>
      <c r="U4747" t="s">
        <v>78</v>
      </c>
      <c r="V4747" t="s">
        <v>55</v>
      </c>
      <c r="W4747" t="s">
        <v>78</v>
      </c>
      <c r="X4747" t="s">
        <v>55</v>
      </c>
      <c r="Y4747" t="s">
        <v>78</v>
      </c>
      <c r="Z4747" t="s">
        <v>55</v>
      </c>
      <c r="AA4747" t="s">
        <v>78</v>
      </c>
      <c r="AB4747" t="s">
        <v>55</v>
      </c>
      <c r="AC4747" t="s">
        <v>78</v>
      </c>
      <c r="AD4747" t="s">
        <v>55</v>
      </c>
      <c r="AE4747" t="s">
        <v>78</v>
      </c>
      <c r="AF4747" t="s">
        <v>55</v>
      </c>
      <c r="AG4747" t="s">
        <v>78</v>
      </c>
      <c r="AH4747" t="s">
        <v>55</v>
      </c>
      <c r="AI4747" t="s">
        <v>78</v>
      </c>
      <c r="AK4747" t="s">
        <v>361</v>
      </c>
    </row>
    <row r="4748" spans="1:37">
      <c r="B4748" t="s">
        <v>56</v>
      </c>
      <c r="C4748" t="s">
        <v>56</v>
      </c>
      <c r="D4748" t="s">
        <v>56</v>
      </c>
      <c r="E4748" t="s">
        <v>56</v>
      </c>
      <c r="F4748" t="s">
        <v>56</v>
      </c>
      <c r="G4748" t="s">
        <v>176</v>
      </c>
      <c r="H4748" t="s">
        <v>211</v>
      </c>
      <c r="I4748" t="s">
        <v>231</v>
      </c>
      <c r="J4748" t="s">
        <v>250</v>
      </c>
      <c r="K4748" t="s">
        <v>264</v>
      </c>
      <c r="L4748" t="s">
        <v>276</v>
      </c>
      <c r="M4748" t="s">
        <v>285</v>
      </c>
      <c r="N4748" t="s">
        <v>295</v>
      </c>
      <c r="O4748" t="s">
        <v>303</v>
      </c>
      <c r="P4748" t="s">
        <v>56</v>
      </c>
      <c r="Q4748" t="s">
        <v>317</v>
      </c>
      <c r="R4748" t="s">
        <v>324</v>
      </c>
      <c r="S4748" t="s">
        <v>331</v>
      </c>
      <c r="T4748" t="s">
        <v>334</v>
      </c>
      <c r="U4748" t="s">
        <v>338</v>
      </c>
      <c r="V4748" t="s">
        <v>342</v>
      </c>
      <c r="W4748" t="s">
        <v>346</v>
      </c>
      <c r="X4748" t="s">
        <v>351</v>
      </c>
      <c r="AK4748" t="s">
        <v>361</v>
      </c>
    </row>
    <row r="4749" spans="1:37">
      <c r="B4749" t="s">
        <v>57</v>
      </c>
      <c r="C4749" t="s">
        <v>79</v>
      </c>
      <c r="D4749" t="s">
        <v>98</v>
      </c>
      <c r="E4749" t="s">
        <v>117</v>
      </c>
      <c r="F4749" t="s">
        <v>151</v>
      </c>
      <c r="G4749" t="s">
        <v>177</v>
      </c>
      <c r="H4749" t="s">
        <v>212</v>
      </c>
      <c r="I4749" t="s">
        <v>232</v>
      </c>
      <c r="J4749" t="s">
        <v>251</v>
      </c>
      <c r="K4749" t="s">
        <v>265</v>
      </c>
      <c r="L4749" t="s">
        <v>277</v>
      </c>
      <c r="M4749" t="s">
        <v>286</v>
      </c>
      <c r="N4749" t="s">
        <v>296</v>
      </c>
      <c r="O4749" t="s">
        <v>304</v>
      </c>
      <c r="P4749" t="s">
        <v>311</v>
      </c>
      <c r="Q4749" t="s">
        <v>318</v>
      </c>
      <c r="R4749" t="s">
        <v>185</v>
      </c>
      <c r="S4749" t="s">
        <v>159</v>
      </c>
      <c r="T4749" t="s">
        <v>185</v>
      </c>
      <c r="U4749" t="s">
        <v>339</v>
      </c>
      <c r="V4749" t="s">
        <v>72</v>
      </c>
      <c r="W4749" t="s">
        <v>347</v>
      </c>
      <c r="X4749" t="s">
        <v>72</v>
      </c>
      <c r="Y4749" t="s">
        <v>96</v>
      </c>
      <c r="AK4749" t="s">
        <v>361</v>
      </c>
    </row>
    <row r="4750" spans="1:37">
      <c r="B4750" t="s">
        <v>58</v>
      </c>
      <c r="C4750" t="s">
        <v>80</v>
      </c>
      <c r="D4750" t="s">
        <v>99</v>
      </c>
      <c r="E4750" t="s">
        <v>118</v>
      </c>
      <c r="F4750" t="s">
        <v>152</v>
      </c>
      <c r="G4750" t="s">
        <v>178</v>
      </c>
      <c r="H4750" t="s">
        <v>213</v>
      </c>
      <c r="I4750" t="s">
        <v>233</v>
      </c>
      <c r="J4750" t="s">
        <v>252</v>
      </c>
      <c r="K4750" t="s">
        <v>266</v>
      </c>
      <c r="L4750" t="s">
        <v>278</v>
      </c>
      <c r="M4750" t="s">
        <v>287</v>
      </c>
      <c r="N4750" t="s">
        <v>297</v>
      </c>
      <c r="O4750" t="s">
        <v>305</v>
      </c>
      <c r="P4750" t="s">
        <v>312</v>
      </c>
      <c r="Q4750" t="s">
        <v>319</v>
      </c>
      <c r="R4750">
        <f>&gt;10       ветра      1.0     18   5</f>
        <v>0</v>
      </c>
      <c r="AK4750" t="s">
        <v>361</v>
      </c>
    </row>
    <row r="4751" spans="1:37">
      <c r="A4751" t="s">
        <v>40</v>
      </c>
      <c r="B4751" t="s">
        <v>59</v>
      </c>
      <c r="C4751" t="s">
        <v>81</v>
      </c>
      <c r="D4751" t="s">
        <v>100</v>
      </c>
      <c r="E4751" t="s">
        <v>119</v>
      </c>
      <c r="F4751" t="s">
        <v>153</v>
      </c>
      <c r="G4751" t="s">
        <v>179</v>
      </c>
      <c r="H4751" t="s">
        <v>214</v>
      </c>
      <c r="I4751" t="s">
        <v>234</v>
      </c>
      <c r="AK4751" t="s">
        <v>361</v>
      </c>
    </row>
    <row r="4752" spans="1:37">
      <c r="A4752" t="s">
        <v>40</v>
      </c>
      <c r="B4752" t="s">
        <v>60</v>
      </c>
      <c r="C4752" t="s">
        <v>82</v>
      </c>
      <c r="D4752" t="s">
        <v>101</v>
      </c>
      <c r="E4752" t="s">
        <v>120</v>
      </c>
      <c r="F4752" t="s">
        <v>154</v>
      </c>
      <c r="G4752" t="s">
        <v>180</v>
      </c>
      <c r="H4752" t="s">
        <v>215</v>
      </c>
      <c r="I4752" t="s">
        <v>235</v>
      </c>
      <c r="J4752" t="s">
        <v>253</v>
      </c>
      <c r="K4752" t="s">
        <v>267</v>
      </c>
      <c r="L4752" t="s">
        <v>279</v>
      </c>
      <c r="M4752" t="s">
        <v>288</v>
      </c>
      <c r="N4752" t="s">
        <v>100</v>
      </c>
      <c r="O4752" t="s">
        <v>306</v>
      </c>
      <c r="P4752" t="s">
        <v>313</v>
      </c>
      <c r="Q4752" t="s">
        <v>320</v>
      </c>
      <c r="R4752" t="s">
        <v>325</v>
      </c>
      <c r="S4752" t="s">
        <v>332</v>
      </c>
      <c r="T4752" t="s">
        <v>119</v>
      </c>
      <c r="U4752" t="s">
        <v>234</v>
      </c>
      <c r="V4752" t="s">
        <v>343</v>
      </c>
      <c r="W4752" t="s">
        <v>348</v>
      </c>
      <c r="X4752" t="s">
        <v>352</v>
      </c>
      <c r="Y4752" t="s">
        <v>354</v>
      </c>
      <c r="AK4752" t="s">
        <v>361</v>
      </c>
    </row>
    <row r="4753" spans="1:37">
      <c r="A4753" t="s">
        <v>41</v>
      </c>
      <c r="B4753" t="s">
        <v>61</v>
      </c>
      <c r="C4753" t="s">
        <v>83</v>
      </c>
      <c r="D4753" t="s">
        <v>102</v>
      </c>
      <c r="E4753" t="s">
        <v>121</v>
      </c>
      <c r="F4753" t="s">
        <v>155</v>
      </c>
      <c r="G4753" t="s">
        <v>181</v>
      </c>
      <c r="H4753" t="s">
        <v>216</v>
      </c>
      <c r="I4753" t="s">
        <v>236</v>
      </c>
      <c r="AK4753" t="s">
        <v>361</v>
      </c>
    </row>
    <row r="4754" spans="1:37">
      <c r="A4754" t="s">
        <v>42</v>
      </c>
      <c r="B4754" t="s">
        <v>62</v>
      </c>
      <c r="C4754" t="s">
        <v>84</v>
      </c>
      <c r="D4754" t="s">
        <v>103</v>
      </c>
      <c r="E4754" t="s">
        <v>122</v>
      </c>
      <c r="F4754" t="s">
        <v>156</v>
      </c>
      <c r="G4754" t="s">
        <v>182</v>
      </c>
      <c r="H4754" t="s">
        <v>83</v>
      </c>
      <c r="I4754" t="s">
        <v>237</v>
      </c>
      <c r="J4754" t="s">
        <v>254</v>
      </c>
      <c r="K4754" t="s">
        <v>268</v>
      </c>
      <c r="L4754" t="s">
        <v>280</v>
      </c>
      <c r="M4754" t="s">
        <v>289</v>
      </c>
      <c r="N4754" t="s">
        <v>298</v>
      </c>
      <c r="O4754" t="s">
        <v>307</v>
      </c>
      <c r="P4754" t="s">
        <v>314</v>
      </c>
      <c r="Q4754" t="s">
        <v>216</v>
      </c>
      <c r="R4754" t="s">
        <v>326</v>
      </c>
      <c r="S4754" t="s">
        <v>333</v>
      </c>
      <c r="T4754" t="s">
        <v>335</v>
      </c>
      <c r="U4754" t="s">
        <v>340</v>
      </c>
      <c r="V4754" t="s">
        <v>344</v>
      </c>
      <c r="W4754" t="s">
        <v>349</v>
      </c>
      <c r="AK4754" t="s">
        <v>361</v>
      </c>
    </row>
    <row r="4755" spans="1:37">
      <c r="A4755" t="s">
        <v>43</v>
      </c>
      <c r="B4755" t="s">
        <v>63</v>
      </c>
      <c r="C4755" t="s">
        <v>85</v>
      </c>
      <c r="D4755" t="s">
        <v>104</v>
      </c>
      <c r="E4755" t="s">
        <v>123</v>
      </c>
      <c r="F4755" t="s">
        <v>157</v>
      </c>
      <c r="G4755" t="s">
        <v>183</v>
      </c>
      <c r="AK4755" t="s">
        <v>361</v>
      </c>
    </row>
    <row r="4756" spans="1:37">
      <c r="A4756" t="s">
        <v>44</v>
      </c>
      <c r="B4756" t="s">
        <v>64</v>
      </c>
      <c r="C4756" t="s">
        <v>86</v>
      </c>
      <c r="D4756" t="s">
        <v>105</v>
      </c>
      <c r="E4756" t="s">
        <v>124</v>
      </c>
      <c r="F4756" t="s">
        <v>158</v>
      </c>
      <c r="G4756" t="s">
        <v>184</v>
      </c>
      <c r="AK4756" t="s">
        <v>361</v>
      </c>
    </row>
    <row r="4757" spans="1:37">
      <c r="A4757" t="s">
        <v>45</v>
      </c>
      <c r="B4757" t="s">
        <v>65</v>
      </c>
      <c r="C4757" t="s">
        <v>87</v>
      </c>
      <c r="D4757" t="s">
        <v>106</v>
      </c>
      <c r="E4757" t="s">
        <v>125</v>
      </c>
      <c r="F4757" t="s">
        <v>159</v>
      </c>
      <c r="G4757" t="s">
        <v>185</v>
      </c>
      <c r="H4757" t="s">
        <v>159</v>
      </c>
      <c r="I4757" t="s">
        <v>185</v>
      </c>
      <c r="J4757" t="s">
        <v>255</v>
      </c>
      <c r="AK4757" t="s">
        <v>361</v>
      </c>
    </row>
    <row r="4758" spans="1:37">
      <c r="A4758" t="s">
        <v>46</v>
      </c>
      <c r="B4758" t="s">
        <v>66</v>
      </c>
      <c r="C4758" t="s">
        <v>88</v>
      </c>
      <c r="D4758" t="s">
        <v>76</v>
      </c>
      <c r="E4758" t="s">
        <v>126</v>
      </c>
      <c r="F4758" t="s">
        <v>160</v>
      </c>
      <c r="G4758" t="s">
        <v>186</v>
      </c>
      <c r="H4758" t="s">
        <v>217</v>
      </c>
      <c r="I4758" t="s">
        <v>238</v>
      </c>
      <c r="J4758" t="s">
        <v>256</v>
      </c>
      <c r="K4758" t="s">
        <v>265</v>
      </c>
      <c r="L4758" t="s">
        <v>281</v>
      </c>
      <c r="M4758" t="s">
        <v>290</v>
      </c>
      <c r="N4758" t="s">
        <v>299</v>
      </c>
      <c r="O4758" t="s">
        <v>308</v>
      </c>
      <c r="P4758" t="s">
        <v>228</v>
      </c>
      <c r="Q4758" t="s">
        <v>72</v>
      </c>
      <c r="R4758" t="s">
        <v>327</v>
      </c>
      <c r="S4758" t="s">
        <v>327</v>
      </c>
      <c r="T4758" t="s">
        <v>336</v>
      </c>
      <c r="U4758" t="s">
        <v>336</v>
      </c>
      <c r="V4758" t="s">
        <v>336</v>
      </c>
      <c r="W4758" t="s">
        <v>336</v>
      </c>
      <c r="X4758" t="s">
        <v>353</v>
      </c>
      <c r="AK4758" t="s">
        <v>361</v>
      </c>
    </row>
    <row r="4759" spans="1:37">
      <c r="B4759" t="s">
        <v>67</v>
      </c>
      <c r="C4759" t="s">
        <v>89</v>
      </c>
      <c r="D4759" t="s">
        <v>107</v>
      </c>
      <c r="AK4759" t="s">
        <v>361</v>
      </c>
    </row>
    <row r="4760" spans="1:37">
      <c r="B4760" t="s">
        <v>68</v>
      </c>
      <c r="C4760" t="s">
        <v>90</v>
      </c>
      <c r="D4760" t="s">
        <v>108</v>
      </c>
      <c r="AK4760" t="s">
        <v>361</v>
      </c>
    </row>
    <row r="4761" spans="1:37">
      <c r="A4761" t="s">
        <v>47</v>
      </c>
      <c r="B4761" t="s">
        <v>69</v>
      </c>
      <c r="C4761" t="s">
        <v>91</v>
      </c>
      <c r="D4761" t="s">
        <v>109</v>
      </c>
      <c r="E4761" t="s">
        <v>109</v>
      </c>
      <c r="F4761" t="s">
        <v>109</v>
      </c>
      <c r="G4761" t="s">
        <v>109</v>
      </c>
      <c r="H4761" t="s">
        <v>109</v>
      </c>
      <c r="I4761" t="s">
        <v>239</v>
      </c>
      <c r="AK4761" t="s">
        <v>361</v>
      </c>
    </row>
    <row r="4762" spans="1:37">
      <c r="B4762" t="s">
        <v>70</v>
      </c>
      <c r="C4762" t="s">
        <v>92</v>
      </c>
      <c r="D4762" t="s">
        <v>110</v>
      </c>
      <c r="E4762" t="s">
        <v>127</v>
      </c>
      <c r="F4762" t="s">
        <v>161</v>
      </c>
      <c r="G4762" t="s">
        <v>187</v>
      </c>
      <c r="H4762" t="s">
        <v>218</v>
      </c>
      <c r="AK4762" t="s">
        <v>361</v>
      </c>
    </row>
    <row r="4763" spans="1:37">
      <c r="B4763" t="s">
        <v>71</v>
      </c>
      <c r="C4763" t="s">
        <v>93</v>
      </c>
      <c r="D4763" t="s">
        <v>111</v>
      </c>
      <c r="E4763" t="s">
        <v>128</v>
      </c>
      <c r="F4763" t="s">
        <v>162</v>
      </c>
      <c r="G4763" t="s">
        <v>188</v>
      </c>
      <c r="H4763" t="s">
        <v>219</v>
      </c>
      <c r="I4763" t="s">
        <v>240</v>
      </c>
      <c r="J4763" t="s">
        <v>257</v>
      </c>
      <c r="K4763" t="s">
        <v>269</v>
      </c>
      <c r="L4763" t="s">
        <v>109</v>
      </c>
      <c r="M4763" t="s">
        <v>109</v>
      </c>
      <c r="N4763" t="s">
        <v>109</v>
      </c>
      <c r="O4763" t="s">
        <v>109</v>
      </c>
      <c r="P4763" t="s">
        <v>109</v>
      </c>
      <c r="Q4763" t="s">
        <v>321</v>
      </c>
      <c r="AK4763" t="s">
        <v>361</v>
      </c>
    </row>
    <row r="4764" spans="1:37">
      <c r="A4764" t="s">
        <v>48</v>
      </c>
      <c r="B4764" t="s">
        <v>71</v>
      </c>
      <c r="C4764" t="s">
        <v>93</v>
      </c>
      <c r="D4764" t="s">
        <v>111</v>
      </c>
      <c r="E4764" t="s">
        <v>128</v>
      </c>
      <c r="F4764" t="s">
        <v>163</v>
      </c>
      <c r="G4764" t="s">
        <v>189</v>
      </c>
      <c r="H4764" t="s">
        <v>220</v>
      </c>
      <c r="I4764" t="s">
        <v>241</v>
      </c>
      <c r="J4764" t="s">
        <v>258</v>
      </c>
      <c r="K4764" t="s">
        <v>270</v>
      </c>
      <c r="AK4764" t="s">
        <v>361</v>
      </c>
    </row>
    <row r="4765" spans="1:37">
      <c r="B4765" t="s">
        <v>72</v>
      </c>
      <c r="C4765" t="s">
        <v>72</v>
      </c>
      <c r="D4765" t="s">
        <v>72</v>
      </c>
      <c r="E4765" t="s">
        <v>72</v>
      </c>
      <c r="F4765" t="s">
        <v>72</v>
      </c>
      <c r="G4765" t="s">
        <v>72</v>
      </c>
      <c r="H4765" t="s">
        <v>72</v>
      </c>
      <c r="I4765" t="s">
        <v>72</v>
      </c>
      <c r="J4765" t="s">
        <v>72</v>
      </c>
      <c r="K4765" t="s">
        <v>272</v>
      </c>
      <c r="AK4765" t="s">
        <v>361</v>
      </c>
    </row>
    <row r="4766" spans="1:37">
      <c r="A4766" t="s">
        <v>37</v>
      </c>
      <c r="B4766" t="s">
        <v>49</v>
      </c>
      <c r="C4766" t="s">
        <v>73</v>
      </c>
      <c r="D4766" t="s">
        <v>94</v>
      </c>
      <c r="E4766" t="s">
        <v>112</v>
      </c>
      <c r="F4766" t="s">
        <v>146</v>
      </c>
      <c r="G4766" t="s">
        <v>172</v>
      </c>
      <c r="H4766" t="s">
        <v>207</v>
      </c>
      <c r="I4766" t="s">
        <v>226</v>
      </c>
      <c r="J4766" t="s">
        <v>246</v>
      </c>
      <c r="K4766" t="s">
        <v>259</v>
      </c>
      <c r="AK4766" t="s">
        <v>361</v>
      </c>
    </row>
    <row r="4767" spans="1:37">
      <c r="A4767" t="s">
        <v>38</v>
      </c>
      <c r="B4767" t="s">
        <v>50</v>
      </c>
      <c r="C4767" t="s">
        <v>74</v>
      </c>
      <c r="D4767" t="s">
        <v>95</v>
      </c>
      <c r="E4767" t="s">
        <v>113</v>
      </c>
      <c r="F4767" t="s">
        <v>147</v>
      </c>
      <c r="G4767" t="s">
        <v>173</v>
      </c>
      <c r="H4767" t="s">
        <v>208</v>
      </c>
      <c r="I4767" t="s">
        <v>227</v>
      </c>
      <c r="J4767" t="s">
        <v>115</v>
      </c>
      <c r="K4767" t="s">
        <v>260</v>
      </c>
      <c r="L4767" t="s">
        <v>273</v>
      </c>
      <c r="M4767" t="s">
        <v>282</v>
      </c>
      <c r="N4767" t="s">
        <v>291</v>
      </c>
      <c r="AK4767" t="s">
        <v>361</v>
      </c>
    </row>
    <row r="4768" spans="1:37">
      <c r="B4768" t="s">
        <v>51</v>
      </c>
      <c r="C4768" t="s">
        <v>75</v>
      </c>
      <c r="D4768" t="s">
        <v>52</v>
      </c>
      <c r="E4768" t="s">
        <v>114</v>
      </c>
      <c r="F4768" t="s">
        <v>148</v>
      </c>
      <c r="G4768" t="s">
        <v>148</v>
      </c>
      <c r="H4768" t="s">
        <v>209</v>
      </c>
      <c r="I4768" t="s">
        <v>228</v>
      </c>
      <c r="J4768" t="s">
        <v>247</v>
      </c>
      <c r="K4768" t="s">
        <v>261</v>
      </c>
      <c r="L4768" t="s">
        <v>274</v>
      </c>
      <c r="M4768" t="s">
        <v>283</v>
      </c>
      <c r="N4768" t="s">
        <v>292</v>
      </c>
      <c r="O4768" t="s">
        <v>300</v>
      </c>
      <c r="AK4768" t="s">
        <v>361</v>
      </c>
    </row>
    <row r="4769" spans="1:37">
      <c r="B4769" t="s">
        <v>52</v>
      </c>
      <c r="C4769" t="s">
        <v>76</v>
      </c>
      <c r="D4769" t="s">
        <v>96</v>
      </c>
      <c r="E4769" t="s">
        <v>115</v>
      </c>
      <c r="F4769" t="s">
        <v>149</v>
      </c>
      <c r="G4769" t="s">
        <v>174</v>
      </c>
      <c r="H4769" t="s">
        <v>96</v>
      </c>
      <c r="I4769" t="s">
        <v>229</v>
      </c>
      <c r="J4769" t="s">
        <v>248</v>
      </c>
      <c r="K4769" t="s">
        <v>262</v>
      </c>
      <c r="L4769" t="s">
        <v>52</v>
      </c>
      <c r="M4769" t="s">
        <v>76</v>
      </c>
      <c r="N4769" t="s">
        <v>293</v>
      </c>
      <c r="O4769" t="s">
        <v>301</v>
      </c>
      <c r="P4769" t="s">
        <v>309</v>
      </c>
      <c r="Q4769" t="s">
        <v>315</v>
      </c>
      <c r="R4769" t="s">
        <v>228</v>
      </c>
      <c r="S4769" t="s">
        <v>328</v>
      </c>
      <c r="T4769" t="s">
        <v>149</v>
      </c>
      <c r="U4769" t="s">
        <v>337</v>
      </c>
      <c r="V4769" t="s">
        <v>341</v>
      </c>
      <c r="W4769" t="s">
        <v>345</v>
      </c>
      <c r="X4769" t="s">
        <v>350</v>
      </c>
      <c r="AK4769" t="s">
        <v>361</v>
      </c>
    </row>
    <row r="4770" spans="1:37">
      <c r="B4770" t="s">
        <v>53</v>
      </c>
      <c r="C4770" t="s">
        <v>77</v>
      </c>
      <c r="D4770" t="s">
        <v>97</v>
      </c>
      <c r="E4770" t="s">
        <v>116</v>
      </c>
      <c r="F4770" t="s">
        <v>150</v>
      </c>
      <c r="G4770" t="s">
        <v>175</v>
      </c>
      <c r="H4770" t="s">
        <v>210</v>
      </c>
      <c r="I4770" t="s">
        <v>230</v>
      </c>
      <c r="J4770" t="s">
        <v>249</v>
      </c>
      <c r="K4770" t="s">
        <v>263</v>
      </c>
      <c r="L4770" t="s">
        <v>275</v>
      </c>
      <c r="M4770" t="s">
        <v>284</v>
      </c>
      <c r="N4770" t="s">
        <v>294</v>
      </c>
      <c r="O4770" t="s">
        <v>302</v>
      </c>
      <c r="P4770" t="s">
        <v>310</v>
      </c>
      <c r="Q4770" t="s">
        <v>316</v>
      </c>
      <c r="R4770" t="s">
        <v>322</v>
      </c>
      <c r="S4770" t="s">
        <v>329</v>
      </c>
      <c r="AK4770" t="s">
        <v>361</v>
      </c>
    </row>
    <row r="4771" spans="1:37">
      <c r="A4771" t="s">
        <v>39</v>
      </c>
      <c r="B4771" t="s">
        <v>54</v>
      </c>
      <c r="C4771" t="s">
        <v>54</v>
      </c>
      <c r="D4771" t="s">
        <v>54</v>
      </c>
      <c r="E4771" t="s">
        <v>54</v>
      </c>
      <c r="F4771" t="s">
        <v>54</v>
      </c>
      <c r="G4771" t="s">
        <v>54</v>
      </c>
      <c r="H4771" t="s">
        <v>54</v>
      </c>
      <c r="I4771" t="s">
        <v>54</v>
      </c>
      <c r="J4771" t="s">
        <v>54</v>
      </c>
      <c r="K4771" t="s">
        <v>54</v>
      </c>
      <c r="L4771" t="s">
        <v>54</v>
      </c>
      <c r="M4771" t="s">
        <v>54</v>
      </c>
      <c r="N4771" t="s">
        <v>54</v>
      </c>
      <c r="O4771" t="s">
        <v>54</v>
      </c>
      <c r="P4771" t="s">
        <v>54</v>
      </c>
      <c r="Q4771" t="s">
        <v>54</v>
      </c>
      <c r="R4771" t="s">
        <v>323</v>
      </c>
      <c r="S4771" t="s">
        <v>330</v>
      </c>
      <c r="AK4771" t="s">
        <v>361</v>
      </c>
    </row>
    <row r="4772" spans="1:37">
      <c r="B4772" t="s">
        <v>55</v>
      </c>
      <c r="C4772" t="s">
        <v>78</v>
      </c>
      <c r="D4772" t="s">
        <v>55</v>
      </c>
      <c r="E4772" t="s">
        <v>78</v>
      </c>
      <c r="F4772" t="s">
        <v>55</v>
      </c>
      <c r="G4772" t="s">
        <v>78</v>
      </c>
      <c r="H4772" t="s">
        <v>55</v>
      </c>
      <c r="I4772" t="s">
        <v>78</v>
      </c>
      <c r="J4772" t="s">
        <v>55</v>
      </c>
      <c r="K4772" t="s">
        <v>78</v>
      </c>
      <c r="L4772" t="s">
        <v>55</v>
      </c>
      <c r="M4772" t="s">
        <v>78</v>
      </c>
      <c r="N4772" t="s">
        <v>55</v>
      </c>
      <c r="O4772" t="s">
        <v>78</v>
      </c>
      <c r="P4772" t="s">
        <v>55</v>
      </c>
      <c r="Q4772" t="s">
        <v>78</v>
      </c>
      <c r="R4772" t="s">
        <v>55</v>
      </c>
      <c r="S4772" t="s">
        <v>78</v>
      </c>
      <c r="T4772" t="s">
        <v>55</v>
      </c>
      <c r="U4772" t="s">
        <v>78</v>
      </c>
      <c r="V4772" t="s">
        <v>55</v>
      </c>
      <c r="W4772" t="s">
        <v>78</v>
      </c>
      <c r="X4772" t="s">
        <v>55</v>
      </c>
      <c r="Y4772" t="s">
        <v>78</v>
      </c>
      <c r="Z4772" t="s">
        <v>55</v>
      </c>
      <c r="AA4772" t="s">
        <v>78</v>
      </c>
      <c r="AB4772" t="s">
        <v>55</v>
      </c>
      <c r="AC4772" t="s">
        <v>78</v>
      </c>
      <c r="AD4772" t="s">
        <v>55</v>
      </c>
      <c r="AE4772" t="s">
        <v>78</v>
      </c>
      <c r="AF4772" t="s">
        <v>55</v>
      </c>
      <c r="AG4772" t="s">
        <v>78</v>
      </c>
      <c r="AH4772" t="s">
        <v>55</v>
      </c>
      <c r="AI4772" t="s">
        <v>78</v>
      </c>
      <c r="AK4772" t="s">
        <v>361</v>
      </c>
    </row>
    <row r="4773" spans="1:37">
      <c r="B4773" t="s">
        <v>56</v>
      </c>
      <c r="C4773" t="s">
        <v>56</v>
      </c>
      <c r="D4773" t="s">
        <v>56</v>
      </c>
      <c r="E4773" t="s">
        <v>56</v>
      </c>
      <c r="F4773" t="s">
        <v>56</v>
      </c>
      <c r="G4773" t="s">
        <v>176</v>
      </c>
      <c r="H4773" t="s">
        <v>211</v>
      </c>
      <c r="I4773" t="s">
        <v>231</v>
      </c>
      <c r="J4773" t="s">
        <v>250</v>
      </c>
      <c r="K4773" t="s">
        <v>264</v>
      </c>
      <c r="L4773" t="s">
        <v>276</v>
      </c>
      <c r="M4773" t="s">
        <v>285</v>
      </c>
      <c r="N4773" t="s">
        <v>295</v>
      </c>
      <c r="O4773" t="s">
        <v>303</v>
      </c>
      <c r="P4773" t="s">
        <v>56</v>
      </c>
      <c r="Q4773" t="s">
        <v>317</v>
      </c>
      <c r="R4773" t="s">
        <v>324</v>
      </c>
      <c r="S4773" t="s">
        <v>331</v>
      </c>
      <c r="T4773" t="s">
        <v>334</v>
      </c>
      <c r="U4773" t="s">
        <v>338</v>
      </c>
      <c r="V4773" t="s">
        <v>342</v>
      </c>
      <c r="W4773" t="s">
        <v>346</v>
      </c>
      <c r="X4773" t="s">
        <v>351</v>
      </c>
      <c r="AK4773" t="s">
        <v>361</v>
      </c>
    </row>
    <row r="4774" spans="1:37">
      <c r="B4774" t="s">
        <v>57</v>
      </c>
      <c r="C4774" t="s">
        <v>79</v>
      </c>
      <c r="D4774" t="s">
        <v>98</v>
      </c>
      <c r="E4774" t="s">
        <v>117</v>
      </c>
      <c r="F4774" t="s">
        <v>151</v>
      </c>
      <c r="G4774" t="s">
        <v>177</v>
      </c>
      <c r="H4774" t="s">
        <v>212</v>
      </c>
      <c r="I4774" t="s">
        <v>232</v>
      </c>
      <c r="J4774" t="s">
        <v>251</v>
      </c>
      <c r="K4774" t="s">
        <v>265</v>
      </c>
      <c r="L4774" t="s">
        <v>277</v>
      </c>
      <c r="M4774" t="s">
        <v>286</v>
      </c>
      <c r="N4774" t="s">
        <v>296</v>
      </c>
      <c r="O4774" t="s">
        <v>304</v>
      </c>
      <c r="P4774" t="s">
        <v>311</v>
      </c>
      <c r="Q4774" t="s">
        <v>318</v>
      </c>
      <c r="R4774" t="s">
        <v>185</v>
      </c>
      <c r="S4774" t="s">
        <v>159</v>
      </c>
      <c r="T4774" t="s">
        <v>185</v>
      </c>
      <c r="U4774" t="s">
        <v>339</v>
      </c>
      <c r="V4774" t="s">
        <v>72</v>
      </c>
      <c r="W4774" t="s">
        <v>347</v>
      </c>
      <c r="X4774" t="s">
        <v>72</v>
      </c>
      <c r="Y4774" t="s">
        <v>96</v>
      </c>
      <c r="AK4774" t="s">
        <v>361</v>
      </c>
    </row>
    <row r="4775" spans="1:37">
      <c r="B4775" t="s">
        <v>58</v>
      </c>
      <c r="C4775" t="s">
        <v>80</v>
      </c>
      <c r="D4775" t="s">
        <v>99</v>
      </c>
      <c r="E4775" t="s">
        <v>118</v>
      </c>
      <c r="F4775" t="s">
        <v>152</v>
      </c>
      <c r="G4775" t="s">
        <v>178</v>
      </c>
      <c r="H4775" t="s">
        <v>213</v>
      </c>
      <c r="I4775" t="s">
        <v>233</v>
      </c>
      <c r="J4775" t="s">
        <v>252</v>
      </c>
      <c r="K4775" t="s">
        <v>266</v>
      </c>
      <c r="L4775" t="s">
        <v>278</v>
      </c>
      <c r="M4775" t="s">
        <v>287</v>
      </c>
      <c r="N4775" t="s">
        <v>297</v>
      </c>
      <c r="O4775" t="s">
        <v>305</v>
      </c>
      <c r="P4775" t="s">
        <v>312</v>
      </c>
      <c r="Q4775" t="s">
        <v>319</v>
      </c>
      <c r="R4775">
        <f>&gt;10       ветра      1.0     18   4</f>
        <v>0</v>
      </c>
      <c r="AK4775" t="s">
        <v>361</v>
      </c>
    </row>
    <row r="4776" spans="1:37">
      <c r="A4776" t="s">
        <v>40</v>
      </c>
      <c r="B4776" t="s">
        <v>59</v>
      </c>
      <c r="C4776" t="s">
        <v>81</v>
      </c>
      <c r="D4776" t="s">
        <v>100</v>
      </c>
      <c r="E4776" t="s">
        <v>119</v>
      </c>
      <c r="F4776" t="s">
        <v>153</v>
      </c>
      <c r="G4776" t="s">
        <v>179</v>
      </c>
      <c r="H4776" t="s">
        <v>214</v>
      </c>
      <c r="I4776" t="s">
        <v>234</v>
      </c>
      <c r="AK4776" t="s">
        <v>361</v>
      </c>
    </row>
    <row r="4777" spans="1:37">
      <c r="A4777" t="s">
        <v>40</v>
      </c>
      <c r="B4777" t="s">
        <v>60</v>
      </c>
      <c r="C4777" t="s">
        <v>82</v>
      </c>
      <c r="D4777" t="s">
        <v>101</v>
      </c>
      <c r="E4777" t="s">
        <v>120</v>
      </c>
      <c r="F4777" t="s">
        <v>154</v>
      </c>
      <c r="G4777" t="s">
        <v>180</v>
      </c>
      <c r="H4777" t="s">
        <v>215</v>
      </c>
      <c r="I4777" t="s">
        <v>235</v>
      </c>
      <c r="J4777" t="s">
        <v>253</v>
      </c>
      <c r="K4777" t="s">
        <v>267</v>
      </c>
      <c r="L4777" t="s">
        <v>279</v>
      </c>
      <c r="M4777" t="s">
        <v>288</v>
      </c>
      <c r="N4777" t="s">
        <v>100</v>
      </c>
      <c r="O4777" t="s">
        <v>306</v>
      </c>
      <c r="P4777" t="s">
        <v>313</v>
      </c>
      <c r="Q4777" t="s">
        <v>320</v>
      </c>
      <c r="R4777" t="s">
        <v>325</v>
      </c>
      <c r="S4777" t="s">
        <v>332</v>
      </c>
      <c r="T4777" t="s">
        <v>119</v>
      </c>
      <c r="U4777" t="s">
        <v>234</v>
      </c>
      <c r="V4777" t="s">
        <v>343</v>
      </c>
      <c r="W4777" t="s">
        <v>348</v>
      </c>
      <c r="X4777" t="s">
        <v>352</v>
      </c>
      <c r="Y4777" t="s">
        <v>354</v>
      </c>
      <c r="AK4777" t="s">
        <v>361</v>
      </c>
    </row>
    <row r="4778" spans="1:37">
      <c r="A4778" t="s">
        <v>41</v>
      </c>
      <c r="B4778" t="s">
        <v>61</v>
      </c>
      <c r="C4778" t="s">
        <v>83</v>
      </c>
      <c r="D4778" t="s">
        <v>102</v>
      </c>
      <c r="E4778" t="s">
        <v>121</v>
      </c>
      <c r="F4778" t="s">
        <v>155</v>
      </c>
      <c r="G4778" t="s">
        <v>181</v>
      </c>
      <c r="H4778" t="s">
        <v>216</v>
      </c>
      <c r="I4778" t="s">
        <v>236</v>
      </c>
      <c r="AK4778" t="s">
        <v>361</v>
      </c>
    </row>
    <row r="4779" spans="1:37">
      <c r="A4779" t="s">
        <v>42</v>
      </c>
      <c r="B4779" t="s">
        <v>62</v>
      </c>
      <c r="C4779" t="s">
        <v>84</v>
      </c>
      <c r="D4779" t="s">
        <v>103</v>
      </c>
      <c r="E4779" t="s">
        <v>122</v>
      </c>
      <c r="F4779" t="s">
        <v>156</v>
      </c>
      <c r="G4779" t="s">
        <v>182</v>
      </c>
      <c r="H4779" t="s">
        <v>83</v>
      </c>
      <c r="I4779" t="s">
        <v>237</v>
      </c>
      <c r="J4779" t="s">
        <v>254</v>
      </c>
      <c r="K4779" t="s">
        <v>268</v>
      </c>
      <c r="L4779" t="s">
        <v>280</v>
      </c>
      <c r="M4779" t="s">
        <v>289</v>
      </c>
      <c r="N4779" t="s">
        <v>298</v>
      </c>
      <c r="O4779" t="s">
        <v>307</v>
      </c>
      <c r="P4779" t="s">
        <v>314</v>
      </c>
      <c r="Q4779" t="s">
        <v>216</v>
      </c>
      <c r="R4779" t="s">
        <v>326</v>
      </c>
      <c r="S4779" t="s">
        <v>333</v>
      </c>
      <c r="T4779" t="s">
        <v>335</v>
      </c>
      <c r="U4779" t="s">
        <v>340</v>
      </c>
      <c r="V4779" t="s">
        <v>344</v>
      </c>
      <c r="W4779" t="s">
        <v>349</v>
      </c>
      <c r="AK4779" t="s">
        <v>361</v>
      </c>
    </row>
    <row r="4780" spans="1:37">
      <c r="A4780" t="s">
        <v>43</v>
      </c>
      <c r="B4780" t="s">
        <v>63</v>
      </c>
      <c r="C4780" t="s">
        <v>85</v>
      </c>
      <c r="D4780" t="s">
        <v>104</v>
      </c>
      <c r="E4780" t="s">
        <v>123</v>
      </c>
      <c r="F4780" t="s">
        <v>157</v>
      </c>
      <c r="G4780" t="s">
        <v>183</v>
      </c>
      <c r="AK4780" t="s">
        <v>361</v>
      </c>
    </row>
    <row r="4781" spans="1:37">
      <c r="A4781" t="s">
        <v>44</v>
      </c>
      <c r="B4781" t="s">
        <v>64</v>
      </c>
      <c r="C4781" t="s">
        <v>86</v>
      </c>
      <c r="D4781" t="s">
        <v>105</v>
      </c>
      <c r="E4781" t="s">
        <v>124</v>
      </c>
      <c r="F4781" t="s">
        <v>158</v>
      </c>
      <c r="G4781" t="s">
        <v>184</v>
      </c>
      <c r="AK4781" t="s">
        <v>361</v>
      </c>
    </row>
    <row r="4782" spans="1:37">
      <c r="A4782" t="s">
        <v>45</v>
      </c>
      <c r="B4782" t="s">
        <v>65</v>
      </c>
      <c r="C4782" t="s">
        <v>87</v>
      </c>
      <c r="D4782" t="s">
        <v>106</v>
      </c>
      <c r="E4782" t="s">
        <v>125</v>
      </c>
      <c r="F4782" t="s">
        <v>159</v>
      </c>
      <c r="G4782" t="s">
        <v>185</v>
      </c>
      <c r="H4782" t="s">
        <v>159</v>
      </c>
      <c r="I4782" t="s">
        <v>185</v>
      </c>
      <c r="J4782" t="s">
        <v>255</v>
      </c>
      <c r="AK4782" t="s">
        <v>361</v>
      </c>
    </row>
    <row r="4783" spans="1:37">
      <c r="A4783" t="s">
        <v>46</v>
      </c>
      <c r="B4783" t="s">
        <v>66</v>
      </c>
      <c r="C4783" t="s">
        <v>88</v>
      </c>
      <c r="D4783" t="s">
        <v>76</v>
      </c>
      <c r="E4783" t="s">
        <v>126</v>
      </c>
      <c r="F4783" t="s">
        <v>160</v>
      </c>
      <c r="G4783" t="s">
        <v>186</v>
      </c>
      <c r="H4783" t="s">
        <v>217</v>
      </c>
      <c r="I4783" t="s">
        <v>238</v>
      </c>
      <c r="J4783" t="s">
        <v>256</v>
      </c>
      <c r="K4783" t="s">
        <v>265</v>
      </c>
      <c r="L4783" t="s">
        <v>281</v>
      </c>
      <c r="M4783" t="s">
        <v>290</v>
      </c>
      <c r="N4783" t="s">
        <v>299</v>
      </c>
      <c r="O4783" t="s">
        <v>308</v>
      </c>
      <c r="P4783" t="s">
        <v>228</v>
      </c>
      <c r="Q4783" t="s">
        <v>72</v>
      </c>
      <c r="R4783" t="s">
        <v>327</v>
      </c>
      <c r="S4783" t="s">
        <v>327</v>
      </c>
      <c r="T4783" t="s">
        <v>336</v>
      </c>
      <c r="U4783" t="s">
        <v>336</v>
      </c>
      <c r="V4783" t="s">
        <v>336</v>
      </c>
      <c r="W4783" t="s">
        <v>336</v>
      </c>
      <c r="X4783" t="s">
        <v>353</v>
      </c>
      <c r="AK4783" t="s">
        <v>361</v>
      </c>
    </row>
    <row r="4784" spans="1:37">
      <c r="B4784" t="s">
        <v>67</v>
      </c>
      <c r="C4784" t="s">
        <v>89</v>
      </c>
      <c r="D4784" t="s">
        <v>107</v>
      </c>
      <c r="AK4784" t="s">
        <v>361</v>
      </c>
    </row>
    <row r="4785" spans="1:37">
      <c r="B4785" t="s">
        <v>68</v>
      </c>
      <c r="C4785" t="s">
        <v>90</v>
      </c>
      <c r="D4785" t="s">
        <v>108</v>
      </c>
      <c r="AK4785" t="s">
        <v>361</v>
      </c>
    </row>
    <row r="4786" spans="1:37">
      <c r="A4786" t="s">
        <v>47</v>
      </c>
      <c r="B4786" t="s">
        <v>69</v>
      </c>
      <c r="C4786" t="s">
        <v>91</v>
      </c>
      <c r="D4786" t="s">
        <v>109</v>
      </c>
      <c r="E4786" t="s">
        <v>109</v>
      </c>
      <c r="F4786" t="s">
        <v>109</v>
      </c>
      <c r="G4786" t="s">
        <v>109</v>
      </c>
      <c r="H4786" t="s">
        <v>109</v>
      </c>
      <c r="I4786" t="s">
        <v>239</v>
      </c>
      <c r="AK4786" t="s">
        <v>361</v>
      </c>
    </row>
    <row r="4787" spans="1:37">
      <c r="B4787" t="s">
        <v>70</v>
      </c>
      <c r="C4787" t="s">
        <v>92</v>
      </c>
      <c r="D4787" t="s">
        <v>110</v>
      </c>
      <c r="E4787" t="s">
        <v>127</v>
      </c>
      <c r="F4787" t="s">
        <v>161</v>
      </c>
      <c r="G4787" t="s">
        <v>187</v>
      </c>
      <c r="H4787" t="s">
        <v>218</v>
      </c>
      <c r="AK4787" t="s">
        <v>361</v>
      </c>
    </row>
    <row r="4788" spans="1:37">
      <c r="B4788" t="s">
        <v>71</v>
      </c>
      <c r="C4788" t="s">
        <v>93</v>
      </c>
      <c r="D4788" t="s">
        <v>111</v>
      </c>
      <c r="E4788" t="s">
        <v>128</v>
      </c>
      <c r="F4788" t="s">
        <v>162</v>
      </c>
      <c r="G4788" t="s">
        <v>188</v>
      </c>
      <c r="H4788" t="s">
        <v>219</v>
      </c>
      <c r="I4788" t="s">
        <v>240</v>
      </c>
      <c r="J4788" t="s">
        <v>257</v>
      </c>
      <c r="K4788" t="s">
        <v>269</v>
      </c>
      <c r="L4788" t="s">
        <v>109</v>
      </c>
      <c r="M4788" t="s">
        <v>109</v>
      </c>
      <c r="N4788" t="s">
        <v>109</v>
      </c>
      <c r="O4788" t="s">
        <v>109</v>
      </c>
      <c r="P4788" t="s">
        <v>109</v>
      </c>
      <c r="Q4788" t="s">
        <v>321</v>
      </c>
      <c r="AK4788" t="s">
        <v>361</v>
      </c>
    </row>
    <row r="4789" spans="1:37">
      <c r="A4789" t="s">
        <v>48</v>
      </c>
      <c r="B4789" t="s">
        <v>71</v>
      </c>
      <c r="C4789" t="s">
        <v>93</v>
      </c>
      <c r="D4789" t="s">
        <v>111</v>
      </c>
      <c r="E4789" t="s">
        <v>128</v>
      </c>
      <c r="F4789" t="s">
        <v>163</v>
      </c>
      <c r="G4789" t="s">
        <v>189</v>
      </c>
      <c r="H4789" t="s">
        <v>220</v>
      </c>
      <c r="I4789" t="s">
        <v>241</v>
      </c>
      <c r="J4789" t="s">
        <v>258</v>
      </c>
      <c r="K4789" t="s">
        <v>270</v>
      </c>
      <c r="AK4789" t="s">
        <v>361</v>
      </c>
    </row>
    <row r="4790" spans="1:37">
      <c r="B4790" t="s">
        <v>72</v>
      </c>
      <c r="C4790" t="s">
        <v>72</v>
      </c>
      <c r="D4790" t="s">
        <v>72</v>
      </c>
      <c r="E4790" t="s">
        <v>139</v>
      </c>
      <c r="F4790" t="s">
        <v>139</v>
      </c>
      <c r="G4790" t="s">
        <v>192</v>
      </c>
      <c r="H4790" t="s">
        <v>192</v>
      </c>
      <c r="I4790" t="s">
        <v>192</v>
      </c>
      <c r="J4790" t="s">
        <v>192</v>
      </c>
      <c r="K4790" t="s">
        <v>271</v>
      </c>
      <c r="AK4790" t="s">
        <v>361</v>
      </c>
    </row>
    <row r="4791" spans="1:37">
      <c r="A4791" t="s">
        <v>37</v>
      </c>
      <c r="B4791" t="s">
        <v>49</v>
      </c>
      <c r="C4791" t="s">
        <v>73</v>
      </c>
      <c r="D4791" t="s">
        <v>94</v>
      </c>
      <c r="E4791" t="s">
        <v>112</v>
      </c>
      <c r="F4791" t="s">
        <v>146</v>
      </c>
      <c r="G4791" t="s">
        <v>172</v>
      </c>
      <c r="H4791" t="s">
        <v>207</v>
      </c>
      <c r="I4791" t="s">
        <v>226</v>
      </c>
      <c r="J4791" t="s">
        <v>246</v>
      </c>
      <c r="K4791" t="s">
        <v>259</v>
      </c>
      <c r="AK4791" t="s">
        <v>361</v>
      </c>
    </row>
    <row r="4792" spans="1:37">
      <c r="A4792" t="s">
        <v>38</v>
      </c>
      <c r="B4792" t="s">
        <v>50</v>
      </c>
      <c r="C4792" t="s">
        <v>74</v>
      </c>
      <c r="D4792" t="s">
        <v>95</v>
      </c>
      <c r="E4792" t="s">
        <v>113</v>
      </c>
      <c r="F4792" t="s">
        <v>147</v>
      </c>
      <c r="G4792" t="s">
        <v>173</v>
      </c>
      <c r="H4792" t="s">
        <v>208</v>
      </c>
      <c r="I4792" t="s">
        <v>227</v>
      </c>
      <c r="J4792" t="s">
        <v>115</v>
      </c>
      <c r="K4792" t="s">
        <v>260</v>
      </c>
      <c r="L4792" t="s">
        <v>273</v>
      </c>
      <c r="M4792" t="s">
        <v>282</v>
      </c>
      <c r="N4792" t="s">
        <v>291</v>
      </c>
      <c r="AK4792" t="s">
        <v>361</v>
      </c>
    </row>
    <row r="4793" spans="1:37">
      <c r="B4793" t="s">
        <v>51</v>
      </c>
      <c r="C4793" t="s">
        <v>75</v>
      </c>
      <c r="D4793" t="s">
        <v>52</v>
      </c>
      <c r="E4793" t="s">
        <v>114</v>
      </c>
      <c r="F4793" t="s">
        <v>148</v>
      </c>
      <c r="G4793" t="s">
        <v>148</v>
      </c>
      <c r="H4793" t="s">
        <v>209</v>
      </c>
      <c r="I4793" t="s">
        <v>228</v>
      </c>
      <c r="J4793" t="s">
        <v>247</v>
      </c>
      <c r="K4793" t="s">
        <v>261</v>
      </c>
      <c r="L4793" t="s">
        <v>274</v>
      </c>
      <c r="M4793" t="s">
        <v>283</v>
      </c>
      <c r="N4793" t="s">
        <v>292</v>
      </c>
      <c r="O4793" t="s">
        <v>300</v>
      </c>
      <c r="AK4793" t="s">
        <v>361</v>
      </c>
    </row>
    <row r="4794" spans="1:37">
      <c r="B4794" t="s">
        <v>52</v>
      </c>
      <c r="C4794" t="s">
        <v>76</v>
      </c>
      <c r="D4794" t="s">
        <v>96</v>
      </c>
      <c r="E4794" t="s">
        <v>115</v>
      </c>
      <c r="F4794" t="s">
        <v>149</v>
      </c>
      <c r="G4794" t="s">
        <v>174</v>
      </c>
      <c r="H4794" t="s">
        <v>96</v>
      </c>
      <c r="I4794" t="s">
        <v>229</v>
      </c>
      <c r="J4794" t="s">
        <v>248</v>
      </c>
      <c r="K4794" t="s">
        <v>262</v>
      </c>
      <c r="L4794" t="s">
        <v>52</v>
      </c>
      <c r="M4794" t="s">
        <v>76</v>
      </c>
      <c r="N4794" t="s">
        <v>293</v>
      </c>
      <c r="O4794" t="s">
        <v>301</v>
      </c>
      <c r="P4794" t="s">
        <v>309</v>
      </c>
      <c r="Q4794" t="s">
        <v>315</v>
      </c>
      <c r="R4794" t="s">
        <v>228</v>
      </c>
      <c r="S4794" t="s">
        <v>328</v>
      </c>
      <c r="T4794" t="s">
        <v>149</v>
      </c>
      <c r="U4794" t="s">
        <v>337</v>
      </c>
      <c r="V4794" t="s">
        <v>341</v>
      </c>
      <c r="W4794" t="s">
        <v>345</v>
      </c>
      <c r="X4794" t="s">
        <v>350</v>
      </c>
      <c r="AK4794" t="s">
        <v>361</v>
      </c>
    </row>
    <row r="4795" spans="1:37">
      <c r="B4795" t="s">
        <v>53</v>
      </c>
      <c r="C4795" t="s">
        <v>77</v>
      </c>
      <c r="D4795" t="s">
        <v>97</v>
      </c>
      <c r="E4795" t="s">
        <v>116</v>
      </c>
      <c r="F4795" t="s">
        <v>150</v>
      </c>
      <c r="G4795" t="s">
        <v>175</v>
      </c>
      <c r="H4795" t="s">
        <v>210</v>
      </c>
      <c r="I4795" t="s">
        <v>230</v>
      </c>
      <c r="J4795" t="s">
        <v>249</v>
      </c>
      <c r="K4795" t="s">
        <v>263</v>
      </c>
      <c r="L4795" t="s">
        <v>275</v>
      </c>
      <c r="M4795" t="s">
        <v>284</v>
      </c>
      <c r="N4795" t="s">
        <v>294</v>
      </c>
      <c r="O4795" t="s">
        <v>302</v>
      </c>
      <c r="P4795" t="s">
        <v>310</v>
      </c>
      <c r="Q4795" t="s">
        <v>316</v>
      </c>
      <c r="R4795" t="s">
        <v>322</v>
      </c>
      <c r="S4795" t="s">
        <v>329</v>
      </c>
      <c r="AK4795" t="s">
        <v>361</v>
      </c>
    </row>
    <row r="4796" spans="1:37">
      <c r="A4796" t="s">
        <v>39</v>
      </c>
      <c r="B4796" t="s">
        <v>54</v>
      </c>
      <c r="C4796" t="s">
        <v>54</v>
      </c>
      <c r="D4796" t="s">
        <v>54</v>
      </c>
      <c r="E4796" t="s">
        <v>54</v>
      </c>
      <c r="F4796" t="s">
        <v>54</v>
      </c>
      <c r="G4796" t="s">
        <v>54</v>
      </c>
      <c r="H4796" t="s">
        <v>54</v>
      </c>
      <c r="I4796" t="s">
        <v>54</v>
      </c>
      <c r="J4796" t="s">
        <v>54</v>
      </c>
      <c r="K4796" t="s">
        <v>54</v>
      </c>
      <c r="L4796" t="s">
        <v>54</v>
      </c>
      <c r="M4796" t="s">
        <v>54</v>
      </c>
      <c r="N4796" t="s">
        <v>54</v>
      </c>
      <c r="O4796" t="s">
        <v>54</v>
      </c>
      <c r="P4796" t="s">
        <v>54</v>
      </c>
      <c r="Q4796" t="s">
        <v>54</v>
      </c>
      <c r="R4796" t="s">
        <v>323</v>
      </c>
      <c r="S4796" t="s">
        <v>330</v>
      </c>
      <c r="AK4796" t="s">
        <v>361</v>
      </c>
    </row>
    <row r="4797" spans="1:37">
      <c r="B4797" t="s">
        <v>55</v>
      </c>
      <c r="C4797" t="s">
        <v>78</v>
      </c>
      <c r="D4797" t="s">
        <v>55</v>
      </c>
      <c r="E4797" t="s">
        <v>78</v>
      </c>
      <c r="F4797" t="s">
        <v>55</v>
      </c>
      <c r="G4797" t="s">
        <v>78</v>
      </c>
      <c r="H4797" t="s">
        <v>55</v>
      </c>
      <c r="I4797" t="s">
        <v>78</v>
      </c>
      <c r="J4797" t="s">
        <v>55</v>
      </c>
      <c r="K4797" t="s">
        <v>78</v>
      </c>
      <c r="L4797" t="s">
        <v>55</v>
      </c>
      <c r="M4797" t="s">
        <v>78</v>
      </c>
      <c r="N4797" t="s">
        <v>55</v>
      </c>
      <c r="O4797" t="s">
        <v>78</v>
      </c>
      <c r="P4797" t="s">
        <v>55</v>
      </c>
      <c r="Q4797" t="s">
        <v>78</v>
      </c>
      <c r="R4797" t="s">
        <v>55</v>
      </c>
      <c r="S4797" t="s">
        <v>78</v>
      </c>
      <c r="T4797" t="s">
        <v>55</v>
      </c>
      <c r="U4797" t="s">
        <v>78</v>
      </c>
      <c r="V4797" t="s">
        <v>55</v>
      </c>
      <c r="W4797" t="s">
        <v>78</v>
      </c>
      <c r="X4797" t="s">
        <v>55</v>
      </c>
      <c r="Y4797" t="s">
        <v>78</v>
      </c>
      <c r="Z4797" t="s">
        <v>55</v>
      </c>
      <c r="AA4797" t="s">
        <v>78</v>
      </c>
      <c r="AB4797" t="s">
        <v>55</v>
      </c>
      <c r="AC4797" t="s">
        <v>78</v>
      </c>
      <c r="AD4797" t="s">
        <v>55</v>
      </c>
      <c r="AE4797" t="s">
        <v>78</v>
      </c>
      <c r="AF4797" t="s">
        <v>55</v>
      </c>
      <c r="AG4797" t="s">
        <v>78</v>
      </c>
      <c r="AH4797" t="s">
        <v>55</v>
      </c>
      <c r="AI4797" t="s">
        <v>78</v>
      </c>
      <c r="AK4797" t="s">
        <v>361</v>
      </c>
    </row>
    <row r="4798" spans="1:37">
      <c r="B4798" t="s">
        <v>56</v>
      </c>
      <c r="C4798" t="s">
        <v>56</v>
      </c>
      <c r="D4798" t="s">
        <v>56</v>
      </c>
      <c r="E4798" t="s">
        <v>56</v>
      </c>
      <c r="F4798" t="s">
        <v>56</v>
      </c>
      <c r="G4798" t="s">
        <v>176</v>
      </c>
      <c r="H4798" t="s">
        <v>211</v>
      </c>
      <c r="I4798" t="s">
        <v>231</v>
      </c>
      <c r="J4798" t="s">
        <v>250</v>
      </c>
      <c r="K4798" t="s">
        <v>264</v>
      </c>
      <c r="L4798" t="s">
        <v>276</v>
      </c>
      <c r="M4798" t="s">
        <v>285</v>
      </c>
      <c r="N4798" t="s">
        <v>295</v>
      </c>
      <c r="O4798" t="s">
        <v>303</v>
      </c>
      <c r="P4798" t="s">
        <v>56</v>
      </c>
      <c r="Q4798" t="s">
        <v>317</v>
      </c>
      <c r="R4798" t="s">
        <v>324</v>
      </c>
      <c r="S4798" t="s">
        <v>331</v>
      </c>
      <c r="T4798" t="s">
        <v>334</v>
      </c>
      <c r="U4798" t="s">
        <v>338</v>
      </c>
      <c r="V4798" t="s">
        <v>342</v>
      </c>
      <c r="W4798" t="s">
        <v>346</v>
      </c>
      <c r="X4798" t="s">
        <v>351</v>
      </c>
      <c r="AK4798" t="s">
        <v>361</v>
      </c>
    </row>
    <row r="4799" spans="1:37">
      <c r="B4799" t="s">
        <v>57</v>
      </c>
      <c r="C4799" t="s">
        <v>79</v>
      </c>
      <c r="D4799" t="s">
        <v>98</v>
      </c>
      <c r="E4799" t="s">
        <v>117</v>
      </c>
      <c r="F4799" t="s">
        <v>151</v>
      </c>
      <c r="G4799" t="s">
        <v>177</v>
      </c>
      <c r="H4799" t="s">
        <v>212</v>
      </c>
      <c r="I4799" t="s">
        <v>232</v>
      </c>
      <c r="J4799" t="s">
        <v>251</v>
      </c>
      <c r="K4799" t="s">
        <v>265</v>
      </c>
      <c r="L4799" t="s">
        <v>277</v>
      </c>
      <c r="M4799" t="s">
        <v>286</v>
      </c>
      <c r="N4799" t="s">
        <v>296</v>
      </c>
      <c r="O4799" t="s">
        <v>304</v>
      </c>
      <c r="P4799" t="s">
        <v>311</v>
      </c>
      <c r="Q4799" t="s">
        <v>318</v>
      </c>
      <c r="R4799" t="s">
        <v>185</v>
      </c>
      <c r="S4799" t="s">
        <v>159</v>
      </c>
      <c r="T4799" t="s">
        <v>185</v>
      </c>
      <c r="U4799" t="s">
        <v>339</v>
      </c>
      <c r="V4799" t="s">
        <v>72</v>
      </c>
      <c r="W4799" t="s">
        <v>347</v>
      </c>
      <c r="X4799" t="s">
        <v>72</v>
      </c>
      <c r="Y4799" t="s">
        <v>96</v>
      </c>
      <c r="AK4799" t="s">
        <v>361</v>
      </c>
    </row>
    <row r="4800" spans="1:37">
      <c r="B4800" t="s">
        <v>58</v>
      </c>
      <c r="C4800" t="s">
        <v>80</v>
      </c>
      <c r="D4800" t="s">
        <v>99</v>
      </c>
      <c r="E4800" t="s">
        <v>118</v>
      </c>
      <c r="F4800" t="s">
        <v>152</v>
      </c>
      <c r="G4800" t="s">
        <v>178</v>
      </c>
      <c r="H4800" t="s">
        <v>213</v>
      </c>
      <c r="I4800" t="s">
        <v>233</v>
      </c>
      <c r="J4800" t="s">
        <v>252</v>
      </c>
      <c r="K4800" t="s">
        <v>266</v>
      </c>
      <c r="L4800" t="s">
        <v>278</v>
      </c>
      <c r="M4800" t="s">
        <v>287</v>
      </c>
      <c r="N4800" t="s">
        <v>297</v>
      </c>
      <c r="O4800" t="s">
        <v>305</v>
      </c>
      <c r="P4800" t="s">
        <v>312</v>
      </c>
      <c r="Q4800" t="s">
        <v>319</v>
      </c>
      <c r="R4800">
        <f>&gt;10       ветра      3.0     20  12</f>
        <v>0</v>
      </c>
      <c r="AK4800" t="s">
        <v>361</v>
      </c>
    </row>
    <row r="4801" spans="1:37">
      <c r="A4801" t="s">
        <v>40</v>
      </c>
      <c r="B4801" t="s">
        <v>59</v>
      </c>
      <c r="C4801" t="s">
        <v>81</v>
      </c>
      <c r="D4801" t="s">
        <v>100</v>
      </c>
      <c r="E4801" t="s">
        <v>119</v>
      </c>
      <c r="F4801" t="s">
        <v>153</v>
      </c>
      <c r="G4801" t="s">
        <v>179</v>
      </c>
      <c r="H4801" t="s">
        <v>214</v>
      </c>
      <c r="I4801" t="s">
        <v>234</v>
      </c>
      <c r="AK4801" t="s">
        <v>361</v>
      </c>
    </row>
    <row r="4802" spans="1:37">
      <c r="A4802" t="s">
        <v>40</v>
      </c>
      <c r="B4802" t="s">
        <v>60</v>
      </c>
      <c r="C4802" t="s">
        <v>82</v>
      </c>
      <c r="D4802" t="s">
        <v>101</v>
      </c>
      <c r="E4802" t="s">
        <v>120</v>
      </c>
      <c r="F4802" t="s">
        <v>154</v>
      </c>
      <c r="G4802" t="s">
        <v>180</v>
      </c>
      <c r="H4802" t="s">
        <v>215</v>
      </c>
      <c r="I4802" t="s">
        <v>235</v>
      </c>
      <c r="J4802" t="s">
        <v>253</v>
      </c>
      <c r="K4802" t="s">
        <v>267</v>
      </c>
      <c r="L4802" t="s">
        <v>279</v>
      </c>
      <c r="M4802" t="s">
        <v>288</v>
      </c>
      <c r="N4802" t="s">
        <v>100</v>
      </c>
      <c r="O4802" t="s">
        <v>306</v>
      </c>
      <c r="P4802" t="s">
        <v>313</v>
      </c>
      <c r="Q4802" t="s">
        <v>320</v>
      </c>
      <c r="R4802" t="s">
        <v>325</v>
      </c>
      <c r="S4802" t="s">
        <v>332</v>
      </c>
      <c r="T4802" t="s">
        <v>119</v>
      </c>
      <c r="U4802" t="s">
        <v>234</v>
      </c>
      <c r="V4802" t="s">
        <v>343</v>
      </c>
      <c r="W4802" t="s">
        <v>348</v>
      </c>
      <c r="X4802" t="s">
        <v>352</v>
      </c>
      <c r="Y4802" t="s">
        <v>354</v>
      </c>
      <c r="AK4802" t="s">
        <v>361</v>
      </c>
    </row>
    <row r="4803" spans="1:37">
      <c r="A4803" t="s">
        <v>41</v>
      </c>
      <c r="B4803" t="s">
        <v>61</v>
      </c>
      <c r="C4803" t="s">
        <v>83</v>
      </c>
      <c r="D4803" t="s">
        <v>102</v>
      </c>
      <c r="E4803" t="s">
        <v>121</v>
      </c>
      <c r="F4803" t="s">
        <v>155</v>
      </c>
      <c r="G4803" t="s">
        <v>181</v>
      </c>
      <c r="H4803" t="s">
        <v>216</v>
      </c>
      <c r="I4803" t="s">
        <v>236</v>
      </c>
      <c r="AK4803" t="s">
        <v>361</v>
      </c>
    </row>
    <row r="4804" spans="1:37">
      <c r="A4804" t="s">
        <v>42</v>
      </c>
      <c r="B4804" t="s">
        <v>62</v>
      </c>
      <c r="C4804" t="s">
        <v>84</v>
      </c>
      <c r="D4804" t="s">
        <v>103</v>
      </c>
      <c r="E4804" t="s">
        <v>122</v>
      </c>
      <c r="F4804" t="s">
        <v>156</v>
      </c>
      <c r="G4804" t="s">
        <v>182</v>
      </c>
      <c r="H4804" t="s">
        <v>83</v>
      </c>
      <c r="I4804" t="s">
        <v>237</v>
      </c>
      <c r="J4804" t="s">
        <v>254</v>
      </c>
      <c r="K4804" t="s">
        <v>268</v>
      </c>
      <c r="L4804" t="s">
        <v>280</v>
      </c>
      <c r="M4804" t="s">
        <v>289</v>
      </c>
      <c r="N4804" t="s">
        <v>298</v>
      </c>
      <c r="O4804" t="s">
        <v>307</v>
      </c>
      <c r="P4804" t="s">
        <v>314</v>
      </c>
      <c r="Q4804" t="s">
        <v>216</v>
      </c>
      <c r="R4804" t="s">
        <v>326</v>
      </c>
      <c r="S4804" t="s">
        <v>333</v>
      </c>
      <c r="T4804" t="s">
        <v>335</v>
      </c>
      <c r="U4804" t="s">
        <v>340</v>
      </c>
      <c r="V4804" t="s">
        <v>344</v>
      </c>
      <c r="W4804" t="s">
        <v>349</v>
      </c>
      <c r="AK4804" t="s">
        <v>361</v>
      </c>
    </row>
    <row r="4805" spans="1:37">
      <c r="A4805" t="s">
        <v>43</v>
      </c>
      <c r="B4805" t="s">
        <v>63</v>
      </c>
      <c r="C4805" t="s">
        <v>85</v>
      </c>
      <c r="D4805" t="s">
        <v>104</v>
      </c>
      <c r="E4805" t="s">
        <v>123</v>
      </c>
      <c r="F4805" t="s">
        <v>157</v>
      </c>
      <c r="G4805" t="s">
        <v>183</v>
      </c>
      <c r="AK4805" t="s">
        <v>361</v>
      </c>
    </row>
    <row r="4806" spans="1:37">
      <c r="A4806" t="s">
        <v>44</v>
      </c>
      <c r="B4806" t="s">
        <v>64</v>
      </c>
      <c r="C4806" t="s">
        <v>86</v>
      </c>
      <c r="D4806" t="s">
        <v>105</v>
      </c>
      <c r="E4806" t="s">
        <v>124</v>
      </c>
      <c r="F4806" t="s">
        <v>158</v>
      </c>
      <c r="G4806" t="s">
        <v>184</v>
      </c>
      <c r="AK4806" t="s">
        <v>361</v>
      </c>
    </row>
    <row r="4807" spans="1:37">
      <c r="A4807" t="s">
        <v>45</v>
      </c>
      <c r="B4807" t="s">
        <v>65</v>
      </c>
      <c r="C4807" t="s">
        <v>87</v>
      </c>
      <c r="D4807" t="s">
        <v>106</v>
      </c>
      <c r="E4807" t="s">
        <v>125</v>
      </c>
      <c r="F4807" t="s">
        <v>159</v>
      </c>
      <c r="G4807" t="s">
        <v>185</v>
      </c>
      <c r="H4807" t="s">
        <v>159</v>
      </c>
      <c r="I4807" t="s">
        <v>185</v>
      </c>
      <c r="J4807" t="s">
        <v>255</v>
      </c>
      <c r="AK4807" t="s">
        <v>361</v>
      </c>
    </row>
    <row r="4808" spans="1:37">
      <c r="A4808" t="s">
        <v>46</v>
      </c>
      <c r="B4808" t="s">
        <v>66</v>
      </c>
      <c r="C4808" t="s">
        <v>88</v>
      </c>
      <c r="D4808" t="s">
        <v>76</v>
      </c>
      <c r="E4808" t="s">
        <v>126</v>
      </c>
      <c r="F4808" t="s">
        <v>160</v>
      </c>
      <c r="G4808" t="s">
        <v>186</v>
      </c>
      <c r="H4808" t="s">
        <v>217</v>
      </c>
      <c r="I4808" t="s">
        <v>238</v>
      </c>
      <c r="J4808" t="s">
        <v>256</v>
      </c>
      <c r="K4808" t="s">
        <v>265</v>
      </c>
      <c r="L4808" t="s">
        <v>281</v>
      </c>
      <c r="M4808" t="s">
        <v>290</v>
      </c>
      <c r="N4808" t="s">
        <v>299</v>
      </c>
      <c r="O4808" t="s">
        <v>308</v>
      </c>
      <c r="P4808" t="s">
        <v>228</v>
      </c>
      <c r="Q4808" t="s">
        <v>72</v>
      </c>
      <c r="R4808" t="s">
        <v>327</v>
      </c>
      <c r="S4808" t="s">
        <v>327</v>
      </c>
      <c r="T4808" t="s">
        <v>336</v>
      </c>
      <c r="U4808" t="s">
        <v>336</v>
      </c>
      <c r="V4808" t="s">
        <v>336</v>
      </c>
      <c r="W4808" t="s">
        <v>336</v>
      </c>
      <c r="X4808" t="s">
        <v>353</v>
      </c>
      <c r="AK4808" t="s">
        <v>361</v>
      </c>
    </row>
    <row r="4809" spans="1:37">
      <c r="B4809" t="s">
        <v>67</v>
      </c>
      <c r="C4809" t="s">
        <v>89</v>
      </c>
      <c r="D4809" t="s">
        <v>107</v>
      </c>
      <c r="AK4809" t="s">
        <v>361</v>
      </c>
    </row>
    <row r="4810" spans="1:37">
      <c r="B4810" t="s">
        <v>68</v>
      </c>
      <c r="C4810" t="s">
        <v>90</v>
      </c>
      <c r="D4810" t="s">
        <v>108</v>
      </c>
      <c r="AK4810" t="s">
        <v>361</v>
      </c>
    </row>
    <row r="4811" spans="1:37">
      <c r="A4811" t="s">
        <v>47</v>
      </c>
      <c r="B4811" t="s">
        <v>69</v>
      </c>
      <c r="C4811" t="s">
        <v>91</v>
      </c>
      <c r="D4811" t="s">
        <v>109</v>
      </c>
      <c r="E4811" t="s">
        <v>109</v>
      </c>
      <c r="F4811" t="s">
        <v>109</v>
      </c>
      <c r="G4811" t="s">
        <v>109</v>
      </c>
      <c r="H4811" t="s">
        <v>109</v>
      </c>
      <c r="I4811" t="s">
        <v>239</v>
      </c>
      <c r="AK4811" t="s">
        <v>361</v>
      </c>
    </row>
    <row r="4812" spans="1:37">
      <c r="B4812" t="s">
        <v>70</v>
      </c>
      <c r="C4812" t="s">
        <v>92</v>
      </c>
      <c r="D4812" t="s">
        <v>110</v>
      </c>
      <c r="E4812" t="s">
        <v>127</v>
      </c>
      <c r="F4812" t="s">
        <v>161</v>
      </c>
      <c r="G4812" t="s">
        <v>187</v>
      </c>
      <c r="H4812" t="s">
        <v>218</v>
      </c>
      <c r="AK4812" t="s">
        <v>361</v>
      </c>
    </row>
    <row r="4813" spans="1:37">
      <c r="B4813" t="s">
        <v>71</v>
      </c>
      <c r="C4813" t="s">
        <v>93</v>
      </c>
      <c r="D4813" t="s">
        <v>111</v>
      </c>
      <c r="E4813" t="s">
        <v>128</v>
      </c>
      <c r="F4813" t="s">
        <v>162</v>
      </c>
      <c r="G4813" t="s">
        <v>188</v>
      </c>
      <c r="H4813" t="s">
        <v>219</v>
      </c>
      <c r="I4813" t="s">
        <v>240</v>
      </c>
      <c r="J4813" t="s">
        <v>257</v>
      </c>
      <c r="K4813" t="s">
        <v>269</v>
      </c>
      <c r="L4813" t="s">
        <v>109</v>
      </c>
      <c r="M4813" t="s">
        <v>109</v>
      </c>
      <c r="N4813" t="s">
        <v>109</v>
      </c>
      <c r="O4813" t="s">
        <v>109</v>
      </c>
      <c r="P4813" t="s">
        <v>109</v>
      </c>
      <c r="Q4813" t="s">
        <v>321</v>
      </c>
      <c r="AK4813" t="s">
        <v>361</v>
      </c>
    </row>
    <row r="4814" spans="1:37">
      <c r="A4814" t="s">
        <v>48</v>
      </c>
      <c r="B4814" t="s">
        <v>71</v>
      </c>
      <c r="C4814" t="s">
        <v>93</v>
      </c>
      <c r="D4814" t="s">
        <v>111</v>
      </c>
      <c r="E4814" t="s">
        <v>128</v>
      </c>
      <c r="F4814" t="s">
        <v>163</v>
      </c>
      <c r="G4814" t="s">
        <v>189</v>
      </c>
      <c r="H4814" t="s">
        <v>220</v>
      </c>
      <c r="I4814" t="s">
        <v>241</v>
      </c>
      <c r="J4814" t="s">
        <v>258</v>
      </c>
      <c r="K4814" t="s">
        <v>270</v>
      </c>
      <c r="AK4814" t="s">
        <v>361</v>
      </c>
    </row>
    <row r="4815" spans="1:37">
      <c r="B4815" t="s">
        <v>72</v>
      </c>
      <c r="C4815" t="s">
        <v>72</v>
      </c>
      <c r="D4815" t="s">
        <v>72</v>
      </c>
      <c r="E4815" t="s">
        <v>139</v>
      </c>
      <c r="F4815" t="s">
        <v>139</v>
      </c>
      <c r="G4815" t="s">
        <v>192</v>
      </c>
      <c r="H4815" t="s">
        <v>192</v>
      </c>
      <c r="I4815" t="s">
        <v>192</v>
      </c>
      <c r="J4815" t="s">
        <v>192</v>
      </c>
      <c r="K4815" t="s">
        <v>271</v>
      </c>
      <c r="AK4815" t="s">
        <v>361</v>
      </c>
    </row>
    <row r="4816" spans="1:37">
      <c r="A4816" t="s">
        <v>37</v>
      </c>
      <c r="B4816" t="s">
        <v>49</v>
      </c>
      <c r="C4816" t="s">
        <v>73</v>
      </c>
      <c r="D4816" t="s">
        <v>94</v>
      </c>
      <c r="E4816" t="s">
        <v>112</v>
      </c>
      <c r="F4816" t="s">
        <v>146</v>
      </c>
      <c r="G4816" t="s">
        <v>172</v>
      </c>
      <c r="H4816" t="s">
        <v>207</v>
      </c>
      <c r="I4816" t="s">
        <v>226</v>
      </c>
      <c r="J4816" t="s">
        <v>246</v>
      </c>
      <c r="K4816" t="s">
        <v>259</v>
      </c>
      <c r="AK4816" t="s">
        <v>361</v>
      </c>
    </row>
    <row r="4817" spans="1:37">
      <c r="A4817" t="s">
        <v>38</v>
      </c>
      <c r="B4817" t="s">
        <v>50</v>
      </c>
      <c r="C4817" t="s">
        <v>74</v>
      </c>
      <c r="D4817" t="s">
        <v>95</v>
      </c>
      <c r="E4817" t="s">
        <v>113</v>
      </c>
      <c r="F4817" t="s">
        <v>147</v>
      </c>
      <c r="G4817" t="s">
        <v>173</v>
      </c>
      <c r="H4817" t="s">
        <v>208</v>
      </c>
      <c r="I4817" t="s">
        <v>227</v>
      </c>
      <c r="J4817" t="s">
        <v>115</v>
      </c>
      <c r="K4817" t="s">
        <v>260</v>
      </c>
      <c r="L4817" t="s">
        <v>273</v>
      </c>
      <c r="M4817" t="s">
        <v>282</v>
      </c>
      <c r="N4817" t="s">
        <v>291</v>
      </c>
      <c r="AK4817" t="s">
        <v>361</v>
      </c>
    </row>
    <row r="4818" spans="1:37">
      <c r="B4818" t="s">
        <v>51</v>
      </c>
      <c r="C4818" t="s">
        <v>75</v>
      </c>
      <c r="D4818" t="s">
        <v>52</v>
      </c>
      <c r="E4818" t="s">
        <v>114</v>
      </c>
      <c r="F4818" t="s">
        <v>148</v>
      </c>
      <c r="G4818" t="s">
        <v>148</v>
      </c>
      <c r="H4818" t="s">
        <v>209</v>
      </c>
      <c r="I4818" t="s">
        <v>228</v>
      </c>
      <c r="J4818" t="s">
        <v>247</v>
      </c>
      <c r="K4818" t="s">
        <v>261</v>
      </c>
      <c r="L4818" t="s">
        <v>274</v>
      </c>
      <c r="M4818" t="s">
        <v>283</v>
      </c>
      <c r="N4818" t="s">
        <v>292</v>
      </c>
      <c r="O4818" t="s">
        <v>300</v>
      </c>
      <c r="AK4818" t="s">
        <v>361</v>
      </c>
    </row>
    <row r="4819" spans="1:37">
      <c r="B4819" t="s">
        <v>52</v>
      </c>
      <c r="C4819" t="s">
        <v>76</v>
      </c>
      <c r="D4819" t="s">
        <v>96</v>
      </c>
      <c r="E4819" t="s">
        <v>115</v>
      </c>
      <c r="F4819" t="s">
        <v>149</v>
      </c>
      <c r="G4819" t="s">
        <v>174</v>
      </c>
      <c r="H4819" t="s">
        <v>96</v>
      </c>
      <c r="I4819" t="s">
        <v>229</v>
      </c>
      <c r="J4819" t="s">
        <v>248</v>
      </c>
      <c r="K4819" t="s">
        <v>262</v>
      </c>
      <c r="L4819" t="s">
        <v>52</v>
      </c>
      <c r="M4819" t="s">
        <v>76</v>
      </c>
      <c r="N4819" t="s">
        <v>293</v>
      </c>
      <c r="O4819" t="s">
        <v>301</v>
      </c>
      <c r="P4819" t="s">
        <v>309</v>
      </c>
      <c r="Q4819" t="s">
        <v>315</v>
      </c>
      <c r="R4819" t="s">
        <v>228</v>
      </c>
      <c r="S4819" t="s">
        <v>328</v>
      </c>
      <c r="T4819" t="s">
        <v>149</v>
      </c>
      <c r="U4819" t="s">
        <v>337</v>
      </c>
      <c r="V4819" t="s">
        <v>341</v>
      </c>
      <c r="W4819" t="s">
        <v>345</v>
      </c>
      <c r="X4819" t="s">
        <v>350</v>
      </c>
      <c r="AK4819" t="s">
        <v>361</v>
      </c>
    </row>
    <row r="4820" spans="1:37">
      <c r="B4820" t="s">
        <v>53</v>
      </c>
      <c r="C4820" t="s">
        <v>77</v>
      </c>
      <c r="D4820" t="s">
        <v>97</v>
      </c>
      <c r="E4820" t="s">
        <v>116</v>
      </c>
      <c r="F4820" t="s">
        <v>150</v>
      </c>
      <c r="G4820" t="s">
        <v>175</v>
      </c>
      <c r="H4820" t="s">
        <v>210</v>
      </c>
      <c r="I4820" t="s">
        <v>230</v>
      </c>
      <c r="J4820" t="s">
        <v>249</v>
      </c>
      <c r="K4820" t="s">
        <v>263</v>
      </c>
      <c r="L4820" t="s">
        <v>275</v>
      </c>
      <c r="M4820" t="s">
        <v>284</v>
      </c>
      <c r="N4820" t="s">
        <v>294</v>
      </c>
      <c r="O4820" t="s">
        <v>302</v>
      </c>
      <c r="P4820" t="s">
        <v>310</v>
      </c>
      <c r="Q4820" t="s">
        <v>316</v>
      </c>
      <c r="R4820" t="s">
        <v>322</v>
      </c>
      <c r="S4820" t="s">
        <v>329</v>
      </c>
      <c r="AK4820" t="s">
        <v>361</v>
      </c>
    </row>
    <row r="4821" spans="1:37">
      <c r="A4821" t="s">
        <v>39</v>
      </c>
      <c r="B4821" t="s">
        <v>54</v>
      </c>
      <c r="C4821" t="s">
        <v>54</v>
      </c>
      <c r="D4821" t="s">
        <v>54</v>
      </c>
      <c r="E4821" t="s">
        <v>54</v>
      </c>
      <c r="F4821" t="s">
        <v>54</v>
      </c>
      <c r="G4821" t="s">
        <v>54</v>
      </c>
      <c r="H4821" t="s">
        <v>54</v>
      </c>
      <c r="I4821" t="s">
        <v>54</v>
      </c>
      <c r="J4821" t="s">
        <v>54</v>
      </c>
      <c r="K4821" t="s">
        <v>54</v>
      </c>
      <c r="L4821" t="s">
        <v>54</v>
      </c>
      <c r="M4821" t="s">
        <v>54</v>
      </c>
      <c r="N4821" t="s">
        <v>54</v>
      </c>
      <c r="O4821" t="s">
        <v>54</v>
      </c>
      <c r="P4821" t="s">
        <v>54</v>
      </c>
      <c r="Q4821" t="s">
        <v>54</v>
      </c>
      <c r="R4821" t="s">
        <v>323</v>
      </c>
      <c r="S4821" t="s">
        <v>330</v>
      </c>
      <c r="AK4821" t="s">
        <v>361</v>
      </c>
    </row>
    <row r="4822" spans="1:37">
      <c r="B4822" t="s">
        <v>55</v>
      </c>
      <c r="C4822" t="s">
        <v>78</v>
      </c>
      <c r="D4822" t="s">
        <v>55</v>
      </c>
      <c r="E4822" t="s">
        <v>78</v>
      </c>
      <c r="F4822" t="s">
        <v>55</v>
      </c>
      <c r="G4822" t="s">
        <v>78</v>
      </c>
      <c r="H4822" t="s">
        <v>55</v>
      </c>
      <c r="I4822" t="s">
        <v>78</v>
      </c>
      <c r="J4822" t="s">
        <v>55</v>
      </c>
      <c r="K4822" t="s">
        <v>78</v>
      </c>
      <c r="L4822" t="s">
        <v>55</v>
      </c>
      <c r="M4822" t="s">
        <v>78</v>
      </c>
      <c r="N4822" t="s">
        <v>55</v>
      </c>
      <c r="O4822" t="s">
        <v>78</v>
      </c>
      <c r="P4822" t="s">
        <v>55</v>
      </c>
      <c r="Q4822" t="s">
        <v>78</v>
      </c>
      <c r="R4822" t="s">
        <v>55</v>
      </c>
      <c r="S4822" t="s">
        <v>78</v>
      </c>
      <c r="T4822" t="s">
        <v>55</v>
      </c>
      <c r="U4822" t="s">
        <v>78</v>
      </c>
      <c r="V4822" t="s">
        <v>55</v>
      </c>
      <c r="W4822" t="s">
        <v>78</v>
      </c>
      <c r="X4822" t="s">
        <v>55</v>
      </c>
      <c r="Y4822" t="s">
        <v>78</v>
      </c>
      <c r="Z4822" t="s">
        <v>55</v>
      </c>
      <c r="AA4822" t="s">
        <v>78</v>
      </c>
      <c r="AB4822" t="s">
        <v>55</v>
      </c>
      <c r="AC4822" t="s">
        <v>78</v>
      </c>
      <c r="AD4822" t="s">
        <v>55</v>
      </c>
      <c r="AE4822" t="s">
        <v>78</v>
      </c>
      <c r="AF4822" t="s">
        <v>55</v>
      </c>
      <c r="AG4822" t="s">
        <v>78</v>
      </c>
      <c r="AH4822" t="s">
        <v>55</v>
      </c>
      <c r="AI4822" t="s">
        <v>78</v>
      </c>
      <c r="AK4822" t="s">
        <v>361</v>
      </c>
    </row>
    <row r="4823" spans="1:37">
      <c r="B4823" t="s">
        <v>56</v>
      </c>
      <c r="C4823" t="s">
        <v>56</v>
      </c>
      <c r="D4823" t="s">
        <v>56</v>
      </c>
      <c r="E4823" t="s">
        <v>56</v>
      </c>
      <c r="F4823" t="s">
        <v>56</v>
      </c>
      <c r="G4823" t="s">
        <v>176</v>
      </c>
      <c r="H4823" t="s">
        <v>211</v>
      </c>
      <c r="I4823" t="s">
        <v>231</v>
      </c>
      <c r="J4823" t="s">
        <v>250</v>
      </c>
      <c r="K4823" t="s">
        <v>264</v>
      </c>
      <c r="L4823" t="s">
        <v>276</v>
      </c>
      <c r="M4823" t="s">
        <v>285</v>
      </c>
      <c r="N4823" t="s">
        <v>295</v>
      </c>
      <c r="O4823" t="s">
        <v>303</v>
      </c>
      <c r="P4823" t="s">
        <v>56</v>
      </c>
      <c r="Q4823" t="s">
        <v>317</v>
      </c>
      <c r="R4823" t="s">
        <v>324</v>
      </c>
      <c r="S4823" t="s">
        <v>331</v>
      </c>
      <c r="T4823" t="s">
        <v>334</v>
      </c>
      <c r="U4823" t="s">
        <v>338</v>
      </c>
      <c r="V4823" t="s">
        <v>342</v>
      </c>
      <c r="W4823" t="s">
        <v>346</v>
      </c>
      <c r="X4823" t="s">
        <v>351</v>
      </c>
      <c r="AK4823" t="s">
        <v>361</v>
      </c>
    </row>
    <row r="4824" spans="1:37">
      <c r="B4824" t="s">
        <v>57</v>
      </c>
      <c r="C4824" t="s">
        <v>79</v>
      </c>
      <c r="D4824" t="s">
        <v>98</v>
      </c>
      <c r="E4824" t="s">
        <v>117</v>
      </c>
      <c r="F4824" t="s">
        <v>151</v>
      </c>
      <c r="G4824" t="s">
        <v>177</v>
      </c>
      <c r="H4824" t="s">
        <v>212</v>
      </c>
      <c r="I4824" t="s">
        <v>232</v>
      </c>
      <c r="J4824" t="s">
        <v>251</v>
      </c>
      <c r="K4824" t="s">
        <v>265</v>
      </c>
      <c r="L4824" t="s">
        <v>277</v>
      </c>
      <c r="M4824" t="s">
        <v>286</v>
      </c>
      <c r="N4824" t="s">
        <v>296</v>
      </c>
      <c r="O4824" t="s">
        <v>304</v>
      </c>
      <c r="P4824" t="s">
        <v>311</v>
      </c>
      <c r="Q4824" t="s">
        <v>318</v>
      </c>
      <c r="R4824" t="s">
        <v>185</v>
      </c>
      <c r="S4824" t="s">
        <v>159</v>
      </c>
      <c r="T4824" t="s">
        <v>185</v>
      </c>
      <c r="U4824" t="s">
        <v>339</v>
      </c>
      <c r="V4824" t="s">
        <v>72</v>
      </c>
      <c r="W4824" t="s">
        <v>347</v>
      </c>
      <c r="X4824" t="s">
        <v>72</v>
      </c>
      <c r="Y4824" t="s">
        <v>96</v>
      </c>
      <c r="AK4824" t="s">
        <v>361</v>
      </c>
    </row>
    <row r="4825" spans="1:37">
      <c r="B4825" t="s">
        <v>58</v>
      </c>
      <c r="C4825" t="s">
        <v>80</v>
      </c>
      <c r="D4825" t="s">
        <v>99</v>
      </c>
      <c r="E4825" t="s">
        <v>118</v>
      </c>
      <c r="F4825" t="s">
        <v>152</v>
      </c>
      <c r="G4825" t="s">
        <v>178</v>
      </c>
      <c r="H4825" t="s">
        <v>213</v>
      </c>
      <c r="I4825" t="s">
        <v>233</v>
      </c>
      <c r="J4825" t="s">
        <v>252</v>
      </c>
      <c r="K4825" t="s">
        <v>266</v>
      </c>
      <c r="L4825" t="s">
        <v>278</v>
      </c>
      <c r="M4825" t="s">
        <v>287</v>
      </c>
      <c r="N4825" t="s">
        <v>297</v>
      </c>
      <c r="O4825" t="s">
        <v>305</v>
      </c>
      <c r="P4825" t="s">
        <v>312</v>
      </c>
      <c r="Q4825" t="s">
        <v>319</v>
      </c>
      <c r="R4825">
        <f>&gt;10       ветра      2.9     22   3  4</f>
        <v>0</v>
      </c>
      <c r="AK4825" t="s">
        <v>361</v>
      </c>
    </row>
    <row r="4826" spans="1:37">
      <c r="A4826" t="s">
        <v>40</v>
      </c>
      <c r="B4826" t="s">
        <v>59</v>
      </c>
      <c r="C4826" t="s">
        <v>81</v>
      </c>
      <c r="D4826" t="s">
        <v>100</v>
      </c>
      <c r="E4826" t="s">
        <v>119</v>
      </c>
      <c r="F4826" t="s">
        <v>153</v>
      </c>
      <c r="G4826" t="s">
        <v>179</v>
      </c>
      <c r="H4826" t="s">
        <v>214</v>
      </c>
      <c r="I4826" t="s">
        <v>234</v>
      </c>
      <c r="AK4826" t="s">
        <v>361</v>
      </c>
    </row>
    <row r="4827" spans="1:37">
      <c r="A4827" t="s">
        <v>40</v>
      </c>
      <c r="B4827" t="s">
        <v>60</v>
      </c>
      <c r="C4827" t="s">
        <v>82</v>
      </c>
      <c r="D4827" t="s">
        <v>101</v>
      </c>
      <c r="E4827" t="s">
        <v>120</v>
      </c>
      <c r="F4827" t="s">
        <v>154</v>
      </c>
      <c r="G4827" t="s">
        <v>180</v>
      </c>
      <c r="H4827" t="s">
        <v>215</v>
      </c>
      <c r="I4827" t="s">
        <v>235</v>
      </c>
      <c r="J4827" t="s">
        <v>253</v>
      </c>
      <c r="K4827" t="s">
        <v>267</v>
      </c>
      <c r="L4827" t="s">
        <v>279</v>
      </c>
      <c r="M4827" t="s">
        <v>288</v>
      </c>
      <c r="N4827" t="s">
        <v>100</v>
      </c>
      <c r="O4827" t="s">
        <v>306</v>
      </c>
      <c r="P4827" t="s">
        <v>313</v>
      </c>
      <c r="Q4827" t="s">
        <v>320</v>
      </c>
      <c r="R4827" t="s">
        <v>325</v>
      </c>
      <c r="S4827" t="s">
        <v>332</v>
      </c>
      <c r="T4827" t="s">
        <v>119</v>
      </c>
      <c r="U4827" t="s">
        <v>234</v>
      </c>
      <c r="V4827" t="s">
        <v>343</v>
      </c>
      <c r="W4827" t="s">
        <v>348</v>
      </c>
      <c r="X4827" t="s">
        <v>352</v>
      </c>
      <c r="Y4827" t="s">
        <v>354</v>
      </c>
      <c r="AK4827" t="s">
        <v>361</v>
      </c>
    </row>
    <row r="4828" spans="1:37">
      <c r="A4828" t="s">
        <v>41</v>
      </c>
      <c r="B4828" t="s">
        <v>61</v>
      </c>
      <c r="C4828" t="s">
        <v>83</v>
      </c>
      <c r="D4828" t="s">
        <v>102</v>
      </c>
      <c r="E4828" t="s">
        <v>121</v>
      </c>
      <c r="F4828" t="s">
        <v>155</v>
      </c>
      <c r="G4828" t="s">
        <v>181</v>
      </c>
      <c r="H4828" t="s">
        <v>216</v>
      </c>
      <c r="I4828" t="s">
        <v>236</v>
      </c>
      <c r="AK4828" t="s">
        <v>361</v>
      </c>
    </row>
    <row r="4829" spans="1:37">
      <c r="A4829" t="s">
        <v>42</v>
      </c>
      <c r="B4829" t="s">
        <v>62</v>
      </c>
      <c r="C4829" t="s">
        <v>84</v>
      </c>
      <c r="D4829" t="s">
        <v>103</v>
      </c>
      <c r="E4829" t="s">
        <v>122</v>
      </c>
      <c r="F4829" t="s">
        <v>156</v>
      </c>
      <c r="G4829" t="s">
        <v>182</v>
      </c>
      <c r="H4829" t="s">
        <v>83</v>
      </c>
      <c r="I4829" t="s">
        <v>237</v>
      </c>
      <c r="J4829" t="s">
        <v>254</v>
      </c>
      <c r="K4829" t="s">
        <v>268</v>
      </c>
      <c r="L4829" t="s">
        <v>280</v>
      </c>
      <c r="M4829" t="s">
        <v>289</v>
      </c>
      <c r="N4829" t="s">
        <v>298</v>
      </c>
      <c r="O4829" t="s">
        <v>307</v>
      </c>
      <c r="P4829" t="s">
        <v>314</v>
      </c>
      <c r="Q4829" t="s">
        <v>216</v>
      </c>
      <c r="R4829" t="s">
        <v>326</v>
      </c>
      <c r="S4829" t="s">
        <v>333</v>
      </c>
      <c r="T4829" t="s">
        <v>335</v>
      </c>
      <c r="U4829" t="s">
        <v>340</v>
      </c>
      <c r="V4829" t="s">
        <v>344</v>
      </c>
      <c r="W4829" t="s">
        <v>349</v>
      </c>
      <c r="AK4829" t="s">
        <v>361</v>
      </c>
    </row>
    <row r="4830" spans="1:37">
      <c r="A4830" t="s">
        <v>43</v>
      </c>
      <c r="B4830" t="s">
        <v>63</v>
      </c>
      <c r="C4830" t="s">
        <v>85</v>
      </c>
      <c r="D4830" t="s">
        <v>104</v>
      </c>
      <c r="E4830" t="s">
        <v>123</v>
      </c>
      <c r="F4830" t="s">
        <v>157</v>
      </c>
      <c r="G4830" t="s">
        <v>183</v>
      </c>
      <c r="AK4830" t="s">
        <v>361</v>
      </c>
    </row>
    <row r="4831" spans="1:37">
      <c r="A4831" t="s">
        <v>44</v>
      </c>
      <c r="B4831" t="s">
        <v>64</v>
      </c>
      <c r="C4831" t="s">
        <v>86</v>
      </c>
      <c r="D4831" t="s">
        <v>105</v>
      </c>
      <c r="E4831" t="s">
        <v>124</v>
      </c>
      <c r="F4831" t="s">
        <v>158</v>
      </c>
      <c r="G4831" t="s">
        <v>184</v>
      </c>
      <c r="AK4831" t="s">
        <v>361</v>
      </c>
    </row>
    <row r="4832" spans="1:37">
      <c r="A4832" t="s">
        <v>45</v>
      </c>
      <c r="B4832" t="s">
        <v>65</v>
      </c>
      <c r="C4832" t="s">
        <v>87</v>
      </c>
      <c r="D4832" t="s">
        <v>106</v>
      </c>
      <c r="E4832" t="s">
        <v>125</v>
      </c>
      <c r="F4832" t="s">
        <v>159</v>
      </c>
      <c r="G4832" t="s">
        <v>185</v>
      </c>
      <c r="H4832" t="s">
        <v>159</v>
      </c>
      <c r="I4832" t="s">
        <v>185</v>
      </c>
      <c r="J4832" t="s">
        <v>255</v>
      </c>
      <c r="AK4832" t="s">
        <v>361</v>
      </c>
    </row>
    <row r="4833" spans="1:37">
      <c r="A4833" t="s">
        <v>46</v>
      </c>
      <c r="B4833" t="s">
        <v>66</v>
      </c>
      <c r="C4833" t="s">
        <v>88</v>
      </c>
      <c r="D4833" t="s">
        <v>76</v>
      </c>
      <c r="E4833" t="s">
        <v>126</v>
      </c>
      <c r="F4833" t="s">
        <v>160</v>
      </c>
      <c r="G4833" t="s">
        <v>186</v>
      </c>
      <c r="H4833" t="s">
        <v>217</v>
      </c>
      <c r="I4833" t="s">
        <v>238</v>
      </c>
      <c r="J4833" t="s">
        <v>256</v>
      </c>
      <c r="K4833" t="s">
        <v>265</v>
      </c>
      <c r="L4833" t="s">
        <v>281</v>
      </c>
      <c r="M4833" t="s">
        <v>290</v>
      </c>
      <c r="N4833" t="s">
        <v>299</v>
      </c>
      <c r="O4833" t="s">
        <v>308</v>
      </c>
      <c r="P4833" t="s">
        <v>228</v>
      </c>
      <c r="Q4833" t="s">
        <v>72</v>
      </c>
      <c r="R4833" t="s">
        <v>327</v>
      </c>
      <c r="S4833" t="s">
        <v>327</v>
      </c>
      <c r="T4833" t="s">
        <v>336</v>
      </c>
      <c r="U4833" t="s">
        <v>336</v>
      </c>
      <c r="V4833" t="s">
        <v>336</v>
      </c>
      <c r="W4833" t="s">
        <v>336</v>
      </c>
      <c r="X4833" t="s">
        <v>353</v>
      </c>
      <c r="AK4833" t="s">
        <v>361</v>
      </c>
    </row>
    <row r="4834" spans="1:37">
      <c r="B4834" t="s">
        <v>67</v>
      </c>
      <c r="C4834" t="s">
        <v>89</v>
      </c>
      <c r="D4834" t="s">
        <v>107</v>
      </c>
      <c r="AK4834" t="s">
        <v>361</v>
      </c>
    </row>
    <row r="4835" spans="1:37">
      <c r="B4835" t="s">
        <v>68</v>
      </c>
      <c r="C4835" t="s">
        <v>90</v>
      </c>
      <c r="D4835" t="s">
        <v>108</v>
      </c>
      <c r="AK4835" t="s">
        <v>361</v>
      </c>
    </row>
    <row r="4836" spans="1:37">
      <c r="A4836" t="s">
        <v>47</v>
      </c>
      <c r="B4836" t="s">
        <v>69</v>
      </c>
      <c r="C4836" t="s">
        <v>91</v>
      </c>
      <c r="D4836" t="s">
        <v>109</v>
      </c>
      <c r="E4836" t="s">
        <v>109</v>
      </c>
      <c r="F4836" t="s">
        <v>109</v>
      </c>
      <c r="G4836" t="s">
        <v>109</v>
      </c>
      <c r="H4836" t="s">
        <v>109</v>
      </c>
      <c r="I4836" t="s">
        <v>239</v>
      </c>
      <c r="AK4836" t="s">
        <v>361</v>
      </c>
    </row>
    <row r="4837" spans="1:37">
      <c r="B4837" t="s">
        <v>70</v>
      </c>
      <c r="C4837" t="s">
        <v>92</v>
      </c>
      <c r="D4837" t="s">
        <v>110</v>
      </c>
      <c r="E4837" t="s">
        <v>127</v>
      </c>
      <c r="F4837" t="s">
        <v>161</v>
      </c>
      <c r="G4837" t="s">
        <v>187</v>
      </c>
      <c r="H4837" t="s">
        <v>218</v>
      </c>
      <c r="AK4837" t="s">
        <v>361</v>
      </c>
    </row>
    <row r="4838" spans="1:37">
      <c r="B4838" t="s">
        <v>71</v>
      </c>
      <c r="C4838" t="s">
        <v>93</v>
      </c>
      <c r="D4838" t="s">
        <v>111</v>
      </c>
      <c r="E4838" t="s">
        <v>128</v>
      </c>
      <c r="F4838" t="s">
        <v>162</v>
      </c>
      <c r="G4838" t="s">
        <v>188</v>
      </c>
      <c r="H4838" t="s">
        <v>219</v>
      </c>
      <c r="I4838" t="s">
        <v>240</v>
      </c>
      <c r="J4838" t="s">
        <v>257</v>
      </c>
      <c r="K4838" t="s">
        <v>269</v>
      </c>
      <c r="L4838" t="s">
        <v>109</v>
      </c>
      <c r="M4838" t="s">
        <v>109</v>
      </c>
      <c r="N4838" t="s">
        <v>109</v>
      </c>
      <c r="O4838" t="s">
        <v>109</v>
      </c>
      <c r="P4838" t="s">
        <v>109</v>
      </c>
      <c r="Q4838" t="s">
        <v>321</v>
      </c>
      <c r="AK4838" t="s">
        <v>361</v>
      </c>
    </row>
    <row r="4839" spans="1:37">
      <c r="A4839" t="s">
        <v>48</v>
      </c>
      <c r="B4839" t="s">
        <v>71</v>
      </c>
      <c r="C4839" t="s">
        <v>93</v>
      </c>
      <c r="D4839" t="s">
        <v>111</v>
      </c>
      <c r="E4839" t="s">
        <v>128</v>
      </c>
      <c r="F4839" t="s">
        <v>163</v>
      </c>
      <c r="G4839" t="s">
        <v>189</v>
      </c>
      <c r="H4839" t="s">
        <v>220</v>
      </c>
      <c r="I4839" t="s">
        <v>241</v>
      </c>
      <c r="J4839" t="s">
        <v>258</v>
      </c>
      <c r="K4839" t="s">
        <v>270</v>
      </c>
      <c r="AK4839" t="s">
        <v>361</v>
      </c>
    </row>
    <row r="4840" spans="1:37">
      <c r="B4840" t="s">
        <v>72</v>
      </c>
      <c r="C4840" t="s">
        <v>72</v>
      </c>
      <c r="D4840" t="s">
        <v>72</v>
      </c>
      <c r="E4840" t="s">
        <v>72</v>
      </c>
      <c r="F4840" t="s">
        <v>72</v>
      </c>
      <c r="G4840" t="s">
        <v>72</v>
      </c>
      <c r="H4840" t="s">
        <v>72</v>
      </c>
      <c r="I4840" t="s">
        <v>72</v>
      </c>
      <c r="J4840" t="s">
        <v>72</v>
      </c>
      <c r="K4840" t="s">
        <v>272</v>
      </c>
      <c r="AK4840" t="s">
        <v>361</v>
      </c>
    </row>
    <row r="4841" spans="1:37">
      <c r="A4841" t="s">
        <v>37</v>
      </c>
      <c r="B4841" t="s">
        <v>49</v>
      </c>
      <c r="C4841" t="s">
        <v>73</v>
      </c>
      <c r="D4841" t="s">
        <v>94</v>
      </c>
      <c r="E4841" t="s">
        <v>112</v>
      </c>
      <c r="F4841" t="s">
        <v>146</v>
      </c>
      <c r="G4841" t="s">
        <v>172</v>
      </c>
      <c r="H4841" t="s">
        <v>207</v>
      </c>
      <c r="I4841" t="s">
        <v>226</v>
      </c>
      <c r="J4841" t="s">
        <v>246</v>
      </c>
      <c r="K4841" t="s">
        <v>259</v>
      </c>
      <c r="AK4841" t="s">
        <v>361</v>
      </c>
    </row>
    <row r="4842" spans="1:37">
      <c r="A4842" t="s">
        <v>38</v>
      </c>
      <c r="B4842" t="s">
        <v>50</v>
      </c>
      <c r="C4842" t="s">
        <v>74</v>
      </c>
      <c r="D4842" t="s">
        <v>95</v>
      </c>
      <c r="E4842" t="s">
        <v>113</v>
      </c>
      <c r="F4842" t="s">
        <v>147</v>
      </c>
      <c r="G4842" t="s">
        <v>173</v>
      </c>
      <c r="H4842" t="s">
        <v>208</v>
      </c>
      <c r="I4842" t="s">
        <v>227</v>
      </c>
      <c r="J4842" t="s">
        <v>115</v>
      </c>
      <c r="K4842" t="s">
        <v>260</v>
      </c>
      <c r="L4842" t="s">
        <v>273</v>
      </c>
      <c r="M4842" t="s">
        <v>282</v>
      </c>
      <c r="N4842" t="s">
        <v>291</v>
      </c>
      <c r="AK4842" t="s">
        <v>361</v>
      </c>
    </row>
    <row r="4843" spans="1:37">
      <c r="B4843" t="s">
        <v>51</v>
      </c>
      <c r="C4843" t="s">
        <v>75</v>
      </c>
      <c r="D4843" t="s">
        <v>52</v>
      </c>
      <c r="E4843" t="s">
        <v>114</v>
      </c>
      <c r="F4843" t="s">
        <v>148</v>
      </c>
      <c r="G4843" t="s">
        <v>148</v>
      </c>
      <c r="H4843" t="s">
        <v>209</v>
      </c>
      <c r="I4843" t="s">
        <v>228</v>
      </c>
      <c r="J4843" t="s">
        <v>247</v>
      </c>
      <c r="K4843" t="s">
        <v>261</v>
      </c>
      <c r="L4843" t="s">
        <v>274</v>
      </c>
      <c r="M4843" t="s">
        <v>283</v>
      </c>
      <c r="N4843" t="s">
        <v>292</v>
      </c>
      <c r="O4843" t="s">
        <v>300</v>
      </c>
      <c r="AK4843" t="s">
        <v>361</v>
      </c>
    </row>
    <row r="4844" spans="1:37">
      <c r="B4844" t="s">
        <v>52</v>
      </c>
      <c r="C4844" t="s">
        <v>76</v>
      </c>
      <c r="D4844" t="s">
        <v>96</v>
      </c>
      <c r="E4844" t="s">
        <v>115</v>
      </c>
      <c r="F4844" t="s">
        <v>149</v>
      </c>
      <c r="G4844" t="s">
        <v>174</v>
      </c>
      <c r="H4844" t="s">
        <v>96</v>
      </c>
      <c r="I4844" t="s">
        <v>229</v>
      </c>
      <c r="J4844" t="s">
        <v>248</v>
      </c>
      <c r="K4844" t="s">
        <v>262</v>
      </c>
      <c r="L4844" t="s">
        <v>52</v>
      </c>
      <c r="M4844" t="s">
        <v>76</v>
      </c>
      <c r="N4844" t="s">
        <v>293</v>
      </c>
      <c r="O4844" t="s">
        <v>301</v>
      </c>
      <c r="P4844" t="s">
        <v>309</v>
      </c>
      <c r="Q4844" t="s">
        <v>315</v>
      </c>
      <c r="R4844" t="s">
        <v>228</v>
      </c>
      <c r="S4844" t="s">
        <v>328</v>
      </c>
      <c r="T4844" t="s">
        <v>149</v>
      </c>
      <c r="U4844" t="s">
        <v>337</v>
      </c>
      <c r="V4844" t="s">
        <v>341</v>
      </c>
      <c r="W4844" t="s">
        <v>345</v>
      </c>
      <c r="X4844" t="s">
        <v>350</v>
      </c>
      <c r="AK4844" t="s">
        <v>361</v>
      </c>
    </row>
    <row r="4845" spans="1:37">
      <c r="B4845" t="s">
        <v>53</v>
      </c>
      <c r="C4845" t="s">
        <v>77</v>
      </c>
      <c r="D4845" t="s">
        <v>97</v>
      </c>
      <c r="E4845" t="s">
        <v>116</v>
      </c>
      <c r="F4845" t="s">
        <v>150</v>
      </c>
      <c r="G4845" t="s">
        <v>175</v>
      </c>
      <c r="H4845" t="s">
        <v>210</v>
      </c>
      <c r="I4845" t="s">
        <v>230</v>
      </c>
      <c r="J4845" t="s">
        <v>249</v>
      </c>
      <c r="K4845" t="s">
        <v>263</v>
      </c>
      <c r="L4845" t="s">
        <v>275</v>
      </c>
      <c r="M4845" t="s">
        <v>284</v>
      </c>
      <c r="N4845" t="s">
        <v>294</v>
      </c>
      <c r="O4845" t="s">
        <v>302</v>
      </c>
      <c r="P4845" t="s">
        <v>310</v>
      </c>
      <c r="Q4845" t="s">
        <v>316</v>
      </c>
      <c r="R4845" t="s">
        <v>322</v>
      </c>
      <c r="S4845" t="s">
        <v>329</v>
      </c>
      <c r="AK4845" t="s">
        <v>361</v>
      </c>
    </row>
    <row r="4846" spans="1:37">
      <c r="A4846" t="s">
        <v>39</v>
      </c>
      <c r="B4846" t="s">
        <v>54</v>
      </c>
      <c r="C4846" t="s">
        <v>54</v>
      </c>
      <c r="D4846" t="s">
        <v>54</v>
      </c>
      <c r="E4846" t="s">
        <v>54</v>
      </c>
      <c r="F4846" t="s">
        <v>54</v>
      </c>
      <c r="G4846" t="s">
        <v>54</v>
      </c>
      <c r="H4846" t="s">
        <v>54</v>
      </c>
      <c r="I4846" t="s">
        <v>54</v>
      </c>
      <c r="J4846" t="s">
        <v>54</v>
      </c>
      <c r="K4846" t="s">
        <v>54</v>
      </c>
      <c r="L4846" t="s">
        <v>54</v>
      </c>
      <c r="M4846" t="s">
        <v>54</v>
      </c>
      <c r="N4846" t="s">
        <v>54</v>
      </c>
      <c r="O4846" t="s">
        <v>54</v>
      </c>
      <c r="P4846" t="s">
        <v>54</v>
      </c>
      <c r="Q4846" t="s">
        <v>54</v>
      </c>
      <c r="R4846" t="s">
        <v>323</v>
      </c>
      <c r="S4846" t="s">
        <v>330</v>
      </c>
      <c r="AK4846" t="s">
        <v>361</v>
      </c>
    </row>
    <row r="4847" spans="1:37">
      <c r="B4847" t="s">
        <v>55</v>
      </c>
      <c r="C4847" t="s">
        <v>78</v>
      </c>
      <c r="D4847" t="s">
        <v>55</v>
      </c>
      <c r="E4847" t="s">
        <v>78</v>
      </c>
      <c r="F4847" t="s">
        <v>55</v>
      </c>
      <c r="G4847" t="s">
        <v>78</v>
      </c>
      <c r="H4847" t="s">
        <v>55</v>
      </c>
      <c r="I4847" t="s">
        <v>78</v>
      </c>
      <c r="J4847" t="s">
        <v>55</v>
      </c>
      <c r="K4847" t="s">
        <v>78</v>
      </c>
      <c r="L4847" t="s">
        <v>55</v>
      </c>
      <c r="M4847" t="s">
        <v>78</v>
      </c>
      <c r="N4847" t="s">
        <v>55</v>
      </c>
      <c r="O4847" t="s">
        <v>78</v>
      </c>
      <c r="P4847" t="s">
        <v>55</v>
      </c>
      <c r="Q4847" t="s">
        <v>78</v>
      </c>
      <c r="R4847" t="s">
        <v>55</v>
      </c>
      <c r="S4847" t="s">
        <v>78</v>
      </c>
      <c r="T4847" t="s">
        <v>55</v>
      </c>
      <c r="U4847" t="s">
        <v>78</v>
      </c>
      <c r="V4847" t="s">
        <v>55</v>
      </c>
      <c r="W4847" t="s">
        <v>78</v>
      </c>
      <c r="X4847" t="s">
        <v>55</v>
      </c>
      <c r="Y4847" t="s">
        <v>78</v>
      </c>
      <c r="Z4847" t="s">
        <v>55</v>
      </c>
      <c r="AA4847" t="s">
        <v>78</v>
      </c>
      <c r="AB4847" t="s">
        <v>55</v>
      </c>
      <c r="AC4847" t="s">
        <v>78</v>
      </c>
      <c r="AD4847" t="s">
        <v>55</v>
      </c>
      <c r="AE4847" t="s">
        <v>78</v>
      </c>
      <c r="AF4847" t="s">
        <v>55</v>
      </c>
      <c r="AG4847" t="s">
        <v>78</v>
      </c>
      <c r="AH4847" t="s">
        <v>55</v>
      </c>
      <c r="AI4847" t="s">
        <v>78</v>
      </c>
      <c r="AK4847" t="s">
        <v>361</v>
      </c>
    </row>
    <row r="4848" spans="1:37">
      <c r="B4848" t="s">
        <v>56</v>
      </c>
      <c r="C4848" t="s">
        <v>56</v>
      </c>
      <c r="D4848" t="s">
        <v>56</v>
      </c>
      <c r="E4848" t="s">
        <v>56</v>
      </c>
      <c r="F4848" t="s">
        <v>56</v>
      </c>
      <c r="G4848" t="s">
        <v>176</v>
      </c>
      <c r="H4848" t="s">
        <v>211</v>
      </c>
      <c r="I4848" t="s">
        <v>231</v>
      </c>
      <c r="J4848" t="s">
        <v>250</v>
      </c>
      <c r="K4848" t="s">
        <v>264</v>
      </c>
      <c r="L4848" t="s">
        <v>276</v>
      </c>
      <c r="M4848" t="s">
        <v>285</v>
      </c>
      <c r="N4848" t="s">
        <v>295</v>
      </c>
      <c r="O4848" t="s">
        <v>303</v>
      </c>
      <c r="P4848" t="s">
        <v>56</v>
      </c>
      <c r="Q4848" t="s">
        <v>317</v>
      </c>
      <c r="R4848" t="s">
        <v>324</v>
      </c>
      <c r="S4848" t="s">
        <v>331</v>
      </c>
      <c r="T4848" t="s">
        <v>334</v>
      </c>
      <c r="U4848" t="s">
        <v>338</v>
      </c>
      <c r="V4848" t="s">
        <v>342</v>
      </c>
      <c r="W4848" t="s">
        <v>346</v>
      </c>
      <c r="X4848" t="s">
        <v>351</v>
      </c>
      <c r="AK4848" t="s">
        <v>361</v>
      </c>
    </row>
    <row r="4849" spans="1:37">
      <c r="B4849" t="s">
        <v>57</v>
      </c>
      <c r="C4849" t="s">
        <v>79</v>
      </c>
      <c r="D4849" t="s">
        <v>98</v>
      </c>
      <c r="E4849" t="s">
        <v>117</v>
      </c>
      <c r="F4849" t="s">
        <v>151</v>
      </c>
      <c r="G4849" t="s">
        <v>177</v>
      </c>
      <c r="H4849" t="s">
        <v>212</v>
      </c>
      <c r="I4849" t="s">
        <v>232</v>
      </c>
      <c r="J4849" t="s">
        <v>251</v>
      </c>
      <c r="K4849" t="s">
        <v>265</v>
      </c>
      <c r="L4849" t="s">
        <v>277</v>
      </c>
      <c r="M4849" t="s">
        <v>286</v>
      </c>
      <c r="N4849" t="s">
        <v>296</v>
      </c>
      <c r="O4849" t="s">
        <v>304</v>
      </c>
      <c r="P4849" t="s">
        <v>311</v>
      </c>
      <c r="Q4849" t="s">
        <v>318</v>
      </c>
      <c r="R4849" t="s">
        <v>185</v>
      </c>
      <c r="S4849" t="s">
        <v>159</v>
      </c>
      <c r="T4849" t="s">
        <v>185</v>
      </c>
      <c r="U4849" t="s">
        <v>339</v>
      </c>
      <c r="V4849" t="s">
        <v>72</v>
      </c>
      <c r="W4849" t="s">
        <v>347</v>
      </c>
      <c r="X4849" t="s">
        <v>72</v>
      </c>
      <c r="Y4849" t="s">
        <v>96</v>
      </c>
      <c r="AK4849" t="s">
        <v>361</v>
      </c>
    </row>
    <row r="4850" spans="1:37">
      <c r="B4850" t="s">
        <v>58</v>
      </c>
      <c r="C4850" t="s">
        <v>80</v>
      </c>
      <c r="D4850" t="s">
        <v>99</v>
      </c>
      <c r="E4850" t="s">
        <v>118</v>
      </c>
      <c r="F4850" t="s">
        <v>152</v>
      </c>
      <c r="G4850" t="s">
        <v>178</v>
      </c>
      <c r="H4850" t="s">
        <v>213</v>
      </c>
      <c r="I4850" t="s">
        <v>233</v>
      </c>
      <c r="J4850" t="s">
        <v>252</v>
      </c>
      <c r="K4850" t="s">
        <v>266</v>
      </c>
      <c r="L4850" t="s">
        <v>278</v>
      </c>
      <c r="M4850" t="s">
        <v>287</v>
      </c>
      <c r="N4850" t="s">
        <v>297</v>
      </c>
      <c r="O4850" t="s">
        <v>305</v>
      </c>
      <c r="P4850" t="s">
        <v>312</v>
      </c>
      <c r="Q4850" t="s">
        <v>319</v>
      </c>
      <c r="R4850">
        <f>&gt;10       ветра      0.9     16   4</f>
        <v>0</v>
      </c>
      <c r="AK4850" t="s">
        <v>361</v>
      </c>
    </row>
    <row r="4851" spans="1:37">
      <c r="A4851" t="s">
        <v>40</v>
      </c>
      <c r="B4851" t="s">
        <v>59</v>
      </c>
      <c r="C4851" t="s">
        <v>81</v>
      </c>
      <c r="D4851" t="s">
        <v>100</v>
      </c>
      <c r="E4851" t="s">
        <v>119</v>
      </c>
      <c r="F4851" t="s">
        <v>153</v>
      </c>
      <c r="G4851" t="s">
        <v>179</v>
      </c>
      <c r="H4851" t="s">
        <v>214</v>
      </c>
      <c r="I4851" t="s">
        <v>234</v>
      </c>
      <c r="AK4851" t="s">
        <v>361</v>
      </c>
    </row>
    <row r="4852" spans="1:37">
      <c r="A4852" t="s">
        <v>40</v>
      </c>
      <c r="B4852" t="s">
        <v>60</v>
      </c>
      <c r="C4852" t="s">
        <v>82</v>
      </c>
      <c r="D4852" t="s">
        <v>101</v>
      </c>
      <c r="E4852" t="s">
        <v>120</v>
      </c>
      <c r="F4852" t="s">
        <v>154</v>
      </c>
      <c r="G4852" t="s">
        <v>180</v>
      </c>
      <c r="H4852" t="s">
        <v>215</v>
      </c>
      <c r="I4852" t="s">
        <v>235</v>
      </c>
      <c r="J4852" t="s">
        <v>253</v>
      </c>
      <c r="K4852" t="s">
        <v>267</v>
      </c>
      <c r="L4852" t="s">
        <v>279</v>
      </c>
      <c r="M4852" t="s">
        <v>288</v>
      </c>
      <c r="N4852" t="s">
        <v>100</v>
      </c>
      <c r="O4852" t="s">
        <v>306</v>
      </c>
      <c r="P4852" t="s">
        <v>313</v>
      </c>
      <c r="Q4852" t="s">
        <v>320</v>
      </c>
      <c r="R4852" t="s">
        <v>325</v>
      </c>
      <c r="S4852" t="s">
        <v>332</v>
      </c>
      <c r="T4852" t="s">
        <v>119</v>
      </c>
      <c r="U4852" t="s">
        <v>234</v>
      </c>
      <c r="V4852" t="s">
        <v>343</v>
      </c>
      <c r="W4852" t="s">
        <v>348</v>
      </c>
      <c r="X4852" t="s">
        <v>352</v>
      </c>
      <c r="Y4852" t="s">
        <v>354</v>
      </c>
      <c r="AK4852" t="s">
        <v>361</v>
      </c>
    </row>
    <row r="4853" spans="1:37">
      <c r="A4853" t="s">
        <v>41</v>
      </c>
      <c r="B4853" t="s">
        <v>61</v>
      </c>
      <c r="C4853" t="s">
        <v>83</v>
      </c>
      <c r="D4853" t="s">
        <v>102</v>
      </c>
      <c r="E4853" t="s">
        <v>121</v>
      </c>
      <c r="F4853" t="s">
        <v>155</v>
      </c>
      <c r="G4853" t="s">
        <v>181</v>
      </c>
      <c r="H4853" t="s">
        <v>216</v>
      </c>
      <c r="I4853" t="s">
        <v>236</v>
      </c>
      <c r="AK4853" t="s">
        <v>361</v>
      </c>
    </row>
    <row r="4854" spans="1:37">
      <c r="A4854" t="s">
        <v>42</v>
      </c>
      <c r="B4854" t="s">
        <v>62</v>
      </c>
      <c r="C4854" t="s">
        <v>84</v>
      </c>
      <c r="D4854" t="s">
        <v>103</v>
      </c>
      <c r="E4854" t="s">
        <v>122</v>
      </c>
      <c r="F4854" t="s">
        <v>156</v>
      </c>
      <c r="G4854" t="s">
        <v>182</v>
      </c>
      <c r="H4854" t="s">
        <v>83</v>
      </c>
      <c r="I4854" t="s">
        <v>237</v>
      </c>
      <c r="J4854" t="s">
        <v>254</v>
      </c>
      <c r="K4854" t="s">
        <v>268</v>
      </c>
      <c r="L4854" t="s">
        <v>280</v>
      </c>
      <c r="M4854" t="s">
        <v>289</v>
      </c>
      <c r="N4854" t="s">
        <v>298</v>
      </c>
      <c r="O4854" t="s">
        <v>307</v>
      </c>
      <c r="P4854" t="s">
        <v>314</v>
      </c>
      <c r="Q4854" t="s">
        <v>216</v>
      </c>
      <c r="R4854" t="s">
        <v>326</v>
      </c>
      <c r="S4854" t="s">
        <v>333</v>
      </c>
      <c r="T4854" t="s">
        <v>335</v>
      </c>
      <c r="U4854" t="s">
        <v>340</v>
      </c>
      <c r="V4854" t="s">
        <v>344</v>
      </c>
      <c r="W4854" t="s">
        <v>349</v>
      </c>
      <c r="AK4854" t="s">
        <v>361</v>
      </c>
    </row>
    <row r="4855" spans="1:37">
      <c r="A4855" t="s">
        <v>43</v>
      </c>
      <c r="B4855" t="s">
        <v>63</v>
      </c>
      <c r="C4855" t="s">
        <v>85</v>
      </c>
      <c r="D4855" t="s">
        <v>104</v>
      </c>
      <c r="E4855" t="s">
        <v>123</v>
      </c>
      <c r="F4855" t="s">
        <v>157</v>
      </c>
      <c r="G4855" t="s">
        <v>183</v>
      </c>
      <c r="AK4855" t="s">
        <v>361</v>
      </c>
    </row>
    <row r="4856" spans="1:37">
      <c r="A4856" t="s">
        <v>44</v>
      </c>
      <c r="B4856" t="s">
        <v>64</v>
      </c>
      <c r="C4856" t="s">
        <v>86</v>
      </c>
      <c r="D4856" t="s">
        <v>105</v>
      </c>
      <c r="E4856" t="s">
        <v>124</v>
      </c>
      <c r="F4856" t="s">
        <v>158</v>
      </c>
      <c r="G4856" t="s">
        <v>184</v>
      </c>
      <c r="AK4856" t="s">
        <v>361</v>
      </c>
    </row>
    <row r="4857" spans="1:37">
      <c r="A4857" t="s">
        <v>45</v>
      </c>
      <c r="B4857" t="s">
        <v>65</v>
      </c>
      <c r="C4857" t="s">
        <v>87</v>
      </c>
      <c r="D4857" t="s">
        <v>106</v>
      </c>
      <c r="E4857" t="s">
        <v>125</v>
      </c>
      <c r="F4857" t="s">
        <v>159</v>
      </c>
      <c r="G4857" t="s">
        <v>185</v>
      </c>
      <c r="H4857" t="s">
        <v>159</v>
      </c>
      <c r="I4857" t="s">
        <v>185</v>
      </c>
      <c r="J4857" t="s">
        <v>255</v>
      </c>
      <c r="AK4857" t="s">
        <v>361</v>
      </c>
    </row>
    <row r="4858" spans="1:37">
      <c r="A4858" t="s">
        <v>46</v>
      </c>
      <c r="B4858" t="s">
        <v>66</v>
      </c>
      <c r="C4858" t="s">
        <v>88</v>
      </c>
      <c r="D4858" t="s">
        <v>76</v>
      </c>
      <c r="E4858" t="s">
        <v>126</v>
      </c>
      <c r="F4858" t="s">
        <v>160</v>
      </c>
      <c r="G4858" t="s">
        <v>186</v>
      </c>
      <c r="H4858" t="s">
        <v>217</v>
      </c>
      <c r="I4858" t="s">
        <v>238</v>
      </c>
      <c r="J4858" t="s">
        <v>256</v>
      </c>
      <c r="K4858" t="s">
        <v>265</v>
      </c>
      <c r="L4858" t="s">
        <v>281</v>
      </c>
      <c r="M4858" t="s">
        <v>290</v>
      </c>
      <c r="N4858" t="s">
        <v>299</v>
      </c>
      <c r="O4858" t="s">
        <v>308</v>
      </c>
      <c r="P4858" t="s">
        <v>228</v>
      </c>
      <c r="Q4858" t="s">
        <v>72</v>
      </c>
      <c r="R4858" t="s">
        <v>327</v>
      </c>
      <c r="S4858" t="s">
        <v>327</v>
      </c>
      <c r="T4858" t="s">
        <v>336</v>
      </c>
      <c r="U4858" t="s">
        <v>336</v>
      </c>
      <c r="V4858" t="s">
        <v>336</v>
      </c>
      <c r="W4858" t="s">
        <v>336</v>
      </c>
      <c r="X4858" t="s">
        <v>353</v>
      </c>
      <c r="AK4858" t="s">
        <v>361</v>
      </c>
    </row>
    <row r="4859" spans="1:37">
      <c r="B4859" t="s">
        <v>67</v>
      </c>
      <c r="C4859" t="s">
        <v>89</v>
      </c>
      <c r="D4859" t="s">
        <v>107</v>
      </c>
      <c r="AK4859" t="s">
        <v>361</v>
      </c>
    </row>
    <row r="4860" spans="1:37">
      <c r="B4860" t="s">
        <v>68</v>
      </c>
      <c r="C4860" t="s">
        <v>90</v>
      </c>
      <c r="D4860" t="s">
        <v>108</v>
      </c>
      <c r="AK4860" t="s">
        <v>361</v>
      </c>
    </row>
    <row r="4861" spans="1:37">
      <c r="A4861" t="s">
        <v>47</v>
      </c>
      <c r="B4861" t="s">
        <v>69</v>
      </c>
      <c r="C4861" t="s">
        <v>91</v>
      </c>
      <c r="D4861" t="s">
        <v>109</v>
      </c>
      <c r="E4861" t="s">
        <v>109</v>
      </c>
      <c r="F4861" t="s">
        <v>109</v>
      </c>
      <c r="G4861" t="s">
        <v>109</v>
      </c>
      <c r="H4861" t="s">
        <v>109</v>
      </c>
      <c r="I4861" t="s">
        <v>239</v>
      </c>
      <c r="AK4861" t="s">
        <v>361</v>
      </c>
    </row>
    <row r="4862" spans="1:37">
      <c r="B4862" t="s">
        <v>70</v>
      </c>
      <c r="C4862" t="s">
        <v>92</v>
      </c>
      <c r="D4862" t="s">
        <v>110</v>
      </c>
      <c r="E4862" t="s">
        <v>127</v>
      </c>
      <c r="F4862" t="s">
        <v>161</v>
      </c>
      <c r="G4862" t="s">
        <v>187</v>
      </c>
      <c r="H4862" t="s">
        <v>218</v>
      </c>
      <c r="AK4862" t="s">
        <v>361</v>
      </c>
    </row>
    <row r="4863" spans="1:37">
      <c r="B4863" t="s">
        <v>71</v>
      </c>
      <c r="C4863" t="s">
        <v>93</v>
      </c>
      <c r="D4863" t="s">
        <v>111</v>
      </c>
      <c r="E4863" t="s">
        <v>128</v>
      </c>
      <c r="F4863" t="s">
        <v>162</v>
      </c>
      <c r="G4863" t="s">
        <v>188</v>
      </c>
      <c r="H4863" t="s">
        <v>219</v>
      </c>
      <c r="I4863" t="s">
        <v>240</v>
      </c>
      <c r="J4863" t="s">
        <v>257</v>
      </c>
      <c r="K4863" t="s">
        <v>269</v>
      </c>
      <c r="L4863" t="s">
        <v>109</v>
      </c>
      <c r="M4863" t="s">
        <v>109</v>
      </c>
      <c r="N4863" t="s">
        <v>109</v>
      </c>
      <c r="O4863" t="s">
        <v>109</v>
      </c>
      <c r="P4863" t="s">
        <v>109</v>
      </c>
      <c r="Q4863" t="s">
        <v>321</v>
      </c>
      <c r="AK4863" t="s">
        <v>361</v>
      </c>
    </row>
    <row r="4864" spans="1:37">
      <c r="A4864" t="s">
        <v>48</v>
      </c>
      <c r="B4864" t="s">
        <v>71</v>
      </c>
      <c r="C4864" t="s">
        <v>93</v>
      </c>
      <c r="D4864" t="s">
        <v>111</v>
      </c>
      <c r="E4864" t="s">
        <v>128</v>
      </c>
      <c r="F4864" t="s">
        <v>163</v>
      </c>
      <c r="G4864" t="s">
        <v>189</v>
      </c>
      <c r="H4864" t="s">
        <v>220</v>
      </c>
      <c r="I4864" t="s">
        <v>241</v>
      </c>
      <c r="J4864" t="s">
        <v>258</v>
      </c>
      <c r="K4864" t="s">
        <v>270</v>
      </c>
      <c r="AK4864" t="s">
        <v>361</v>
      </c>
    </row>
    <row r="4865" spans="1:37">
      <c r="B4865" t="s">
        <v>72</v>
      </c>
      <c r="C4865" t="s">
        <v>72</v>
      </c>
      <c r="D4865" t="s">
        <v>72</v>
      </c>
      <c r="E4865" t="s">
        <v>72</v>
      </c>
      <c r="F4865" t="s">
        <v>72</v>
      </c>
      <c r="G4865" t="s">
        <v>72</v>
      </c>
      <c r="H4865" t="s">
        <v>72</v>
      </c>
      <c r="I4865" t="s">
        <v>72</v>
      </c>
      <c r="J4865" t="s">
        <v>72</v>
      </c>
      <c r="K4865" t="s">
        <v>272</v>
      </c>
      <c r="AK4865" t="s">
        <v>361</v>
      </c>
    </row>
    <row r="4866" spans="1:37">
      <c r="A4866" t="s">
        <v>37</v>
      </c>
      <c r="B4866" t="s">
        <v>49</v>
      </c>
      <c r="C4866" t="s">
        <v>73</v>
      </c>
      <c r="D4866" t="s">
        <v>94</v>
      </c>
      <c r="E4866" t="s">
        <v>112</v>
      </c>
      <c r="F4866" t="s">
        <v>146</v>
      </c>
      <c r="G4866" t="s">
        <v>172</v>
      </c>
      <c r="H4866" t="s">
        <v>207</v>
      </c>
      <c r="I4866" t="s">
        <v>226</v>
      </c>
      <c r="J4866" t="s">
        <v>246</v>
      </c>
      <c r="K4866" t="s">
        <v>259</v>
      </c>
      <c r="AK4866" t="s">
        <v>361</v>
      </c>
    </row>
    <row r="4867" spans="1:37">
      <c r="A4867" t="s">
        <v>38</v>
      </c>
      <c r="B4867" t="s">
        <v>50</v>
      </c>
      <c r="C4867" t="s">
        <v>74</v>
      </c>
      <c r="D4867" t="s">
        <v>95</v>
      </c>
      <c r="E4867" t="s">
        <v>113</v>
      </c>
      <c r="F4867" t="s">
        <v>147</v>
      </c>
      <c r="G4867" t="s">
        <v>173</v>
      </c>
      <c r="H4867" t="s">
        <v>208</v>
      </c>
      <c r="I4867" t="s">
        <v>227</v>
      </c>
      <c r="J4867" t="s">
        <v>115</v>
      </c>
      <c r="K4867" t="s">
        <v>260</v>
      </c>
      <c r="L4867" t="s">
        <v>273</v>
      </c>
      <c r="M4867" t="s">
        <v>282</v>
      </c>
      <c r="N4867" t="s">
        <v>291</v>
      </c>
      <c r="AK4867" t="s">
        <v>361</v>
      </c>
    </row>
    <row r="4868" spans="1:37">
      <c r="B4868" t="s">
        <v>51</v>
      </c>
      <c r="C4868" t="s">
        <v>75</v>
      </c>
      <c r="D4868" t="s">
        <v>52</v>
      </c>
      <c r="E4868" t="s">
        <v>114</v>
      </c>
      <c r="F4868" t="s">
        <v>148</v>
      </c>
      <c r="G4868" t="s">
        <v>148</v>
      </c>
      <c r="H4868" t="s">
        <v>209</v>
      </c>
      <c r="I4868" t="s">
        <v>228</v>
      </c>
      <c r="J4868" t="s">
        <v>247</v>
      </c>
      <c r="K4868" t="s">
        <v>261</v>
      </c>
      <c r="L4868" t="s">
        <v>274</v>
      </c>
      <c r="M4868" t="s">
        <v>283</v>
      </c>
      <c r="N4868" t="s">
        <v>292</v>
      </c>
      <c r="O4868" t="s">
        <v>300</v>
      </c>
      <c r="AK4868" t="s">
        <v>361</v>
      </c>
    </row>
    <row r="4869" spans="1:37">
      <c r="B4869" t="s">
        <v>52</v>
      </c>
      <c r="C4869" t="s">
        <v>76</v>
      </c>
      <c r="D4869" t="s">
        <v>96</v>
      </c>
      <c r="E4869" t="s">
        <v>115</v>
      </c>
      <c r="F4869" t="s">
        <v>149</v>
      </c>
      <c r="G4869" t="s">
        <v>174</v>
      </c>
      <c r="H4869" t="s">
        <v>96</v>
      </c>
      <c r="I4869" t="s">
        <v>229</v>
      </c>
      <c r="J4869" t="s">
        <v>248</v>
      </c>
      <c r="K4869" t="s">
        <v>262</v>
      </c>
      <c r="L4869" t="s">
        <v>52</v>
      </c>
      <c r="M4869" t="s">
        <v>76</v>
      </c>
      <c r="N4869" t="s">
        <v>293</v>
      </c>
      <c r="O4869" t="s">
        <v>301</v>
      </c>
      <c r="P4869" t="s">
        <v>309</v>
      </c>
      <c r="Q4869" t="s">
        <v>315</v>
      </c>
      <c r="R4869" t="s">
        <v>228</v>
      </c>
      <c r="S4869" t="s">
        <v>328</v>
      </c>
      <c r="T4869" t="s">
        <v>149</v>
      </c>
      <c r="U4869" t="s">
        <v>337</v>
      </c>
      <c r="V4869" t="s">
        <v>341</v>
      </c>
      <c r="W4869" t="s">
        <v>345</v>
      </c>
      <c r="X4869" t="s">
        <v>350</v>
      </c>
      <c r="AK4869" t="s">
        <v>361</v>
      </c>
    </row>
    <row r="4870" spans="1:37">
      <c r="B4870" t="s">
        <v>53</v>
      </c>
      <c r="C4870" t="s">
        <v>77</v>
      </c>
      <c r="D4870" t="s">
        <v>97</v>
      </c>
      <c r="E4870" t="s">
        <v>116</v>
      </c>
      <c r="F4870" t="s">
        <v>150</v>
      </c>
      <c r="G4870" t="s">
        <v>175</v>
      </c>
      <c r="H4870" t="s">
        <v>210</v>
      </c>
      <c r="I4870" t="s">
        <v>230</v>
      </c>
      <c r="J4870" t="s">
        <v>249</v>
      </c>
      <c r="K4870" t="s">
        <v>263</v>
      </c>
      <c r="L4870" t="s">
        <v>275</v>
      </c>
      <c r="M4870" t="s">
        <v>284</v>
      </c>
      <c r="N4870" t="s">
        <v>294</v>
      </c>
      <c r="O4870" t="s">
        <v>302</v>
      </c>
      <c r="P4870" t="s">
        <v>310</v>
      </c>
      <c r="Q4870" t="s">
        <v>316</v>
      </c>
      <c r="R4870" t="s">
        <v>322</v>
      </c>
      <c r="S4870" t="s">
        <v>329</v>
      </c>
      <c r="AK4870" t="s">
        <v>361</v>
      </c>
    </row>
    <row r="4871" spans="1:37">
      <c r="A4871" t="s">
        <v>39</v>
      </c>
      <c r="B4871" t="s">
        <v>54</v>
      </c>
      <c r="C4871" t="s">
        <v>54</v>
      </c>
      <c r="D4871" t="s">
        <v>54</v>
      </c>
      <c r="E4871" t="s">
        <v>54</v>
      </c>
      <c r="F4871" t="s">
        <v>54</v>
      </c>
      <c r="G4871" t="s">
        <v>54</v>
      </c>
      <c r="H4871" t="s">
        <v>54</v>
      </c>
      <c r="I4871" t="s">
        <v>54</v>
      </c>
      <c r="J4871" t="s">
        <v>54</v>
      </c>
      <c r="K4871" t="s">
        <v>54</v>
      </c>
      <c r="L4871" t="s">
        <v>54</v>
      </c>
      <c r="M4871" t="s">
        <v>54</v>
      </c>
      <c r="N4871" t="s">
        <v>54</v>
      </c>
      <c r="O4871" t="s">
        <v>54</v>
      </c>
      <c r="P4871" t="s">
        <v>54</v>
      </c>
      <c r="Q4871" t="s">
        <v>54</v>
      </c>
      <c r="R4871" t="s">
        <v>323</v>
      </c>
      <c r="S4871" t="s">
        <v>330</v>
      </c>
      <c r="AK4871" t="s">
        <v>361</v>
      </c>
    </row>
    <row r="4872" spans="1:37">
      <c r="B4872" t="s">
        <v>55</v>
      </c>
      <c r="C4872" t="s">
        <v>78</v>
      </c>
      <c r="D4872" t="s">
        <v>55</v>
      </c>
      <c r="E4872" t="s">
        <v>78</v>
      </c>
      <c r="F4872" t="s">
        <v>55</v>
      </c>
      <c r="G4872" t="s">
        <v>78</v>
      </c>
      <c r="H4872" t="s">
        <v>55</v>
      </c>
      <c r="I4872" t="s">
        <v>78</v>
      </c>
      <c r="J4872" t="s">
        <v>55</v>
      </c>
      <c r="K4872" t="s">
        <v>78</v>
      </c>
      <c r="L4872" t="s">
        <v>55</v>
      </c>
      <c r="M4872" t="s">
        <v>78</v>
      </c>
      <c r="N4872" t="s">
        <v>55</v>
      </c>
      <c r="O4872" t="s">
        <v>78</v>
      </c>
      <c r="P4872" t="s">
        <v>55</v>
      </c>
      <c r="Q4872" t="s">
        <v>78</v>
      </c>
      <c r="R4872" t="s">
        <v>55</v>
      </c>
      <c r="S4872" t="s">
        <v>78</v>
      </c>
      <c r="T4872" t="s">
        <v>55</v>
      </c>
      <c r="U4872" t="s">
        <v>78</v>
      </c>
      <c r="V4872" t="s">
        <v>55</v>
      </c>
      <c r="W4872" t="s">
        <v>78</v>
      </c>
      <c r="X4872" t="s">
        <v>55</v>
      </c>
      <c r="Y4872" t="s">
        <v>78</v>
      </c>
      <c r="Z4872" t="s">
        <v>55</v>
      </c>
      <c r="AA4872" t="s">
        <v>78</v>
      </c>
      <c r="AB4872" t="s">
        <v>55</v>
      </c>
      <c r="AC4872" t="s">
        <v>78</v>
      </c>
      <c r="AD4872" t="s">
        <v>55</v>
      </c>
      <c r="AE4872" t="s">
        <v>78</v>
      </c>
      <c r="AF4872" t="s">
        <v>55</v>
      </c>
      <c r="AG4872" t="s">
        <v>78</v>
      </c>
      <c r="AH4872" t="s">
        <v>55</v>
      </c>
      <c r="AI4872" t="s">
        <v>78</v>
      </c>
      <c r="AK4872" t="s">
        <v>361</v>
      </c>
    </row>
    <row r="4873" spans="1:37">
      <c r="B4873" t="s">
        <v>56</v>
      </c>
      <c r="C4873" t="s">
        <v>56</v>
      </c>
      <c r="D4873" t="s">
        <v>56</v>
      </c>
      <c r="E4873" t="s">
        <v>56</v>
      </c>
      <c r="F4873" t="s">
        <v>56</v>
      </c>
      <c r="G4873" t="s">
        <v>176</v>
      </c>
      <c r="H4873" t="s">
        <v>211</v>
      </c>
      <c r="I4873" t="s">
        <v>231</v>
      </c>
      <c r="J4873" t="s">
        <v>250</v>
      </c>
      <c r="K4873" t="s">
        <v>264</v>
      </c>
      <c r="L4873" t="s">
        <v>276</v>
      </c>
      <c r="M4873" t="s">
        <v>285</v>
      </c>
      <c r="N4873" t="s">
        <v>295</v>
      </c>
      <c r="O4873" t="s">
        <v>303</v>
      </c>
      <c r="P4873" t="s">
        <v>56</v>
      </c>
      <c r="Q4873" t="s">
        <v>317</v>
      </c>
      <c r="R4873" t="s">
        <v>324</v>
      </c>
      <c r="S4873" t="s">
        <v>331</v>
      </c>
      <c r="T4873" t="s">
        <v>334</v>
      </c>
      <c r="U4873" t="s">
        <v>338</v>
      </c>
      <c r="V4873" t="s">
        <v>342</v>
      </c>
      <c r="W4873" t="s">
        <v>346</v>
      </c>
      <c r="X4873" t="s">
        <v>351</v>
      </c>
      <c r="AK4873" t="s">
        <v>361</v>
      </c>
    </row>
    <row r="4874" spans="1:37">
      <c r="B4874" t="s">
        <v>57</v>
      </c>
      <c r="C4874" t="s">
        <v>79</v>
      </c>
      <c r="D4874" t="s">
        <v>98</v>
      </c>
      <c r="E4874" t="s">
        <v>117</v>
      </c>
      <c r="F4874" t="s">
        <v>151</v>
      </c>
      <c r="G4874" t="s">
        <v>177</v>
      </c>
      <c r="H4874" t="s">
        <v>212</v>
      </c>
      <c r="I4874" t="s">
        <v>232</v>
      </c>
      <c r="J4874" t="s">
        <v>251</v>
      </c>
      <c r="K4874" t="s">
        <v>265</v>
      </c>
      <c r="L4874" t="s">
        <v>277</v>
      </c>
      <c r="M4874" t="s">
        <v>286</v>
      </c>
      <c r="N4874" t="s">
        <v>296</v>
      </c>
      <c r="O4874" t="s">
        <v>304</v>
      </c>
      <c r="P4874" t="s">
        <v>311</v>
      </c>
      <c r="Q4874" t="s">
        <v>318</v>
      </c>
      <c r="R4874" t="s">
        <v>185</v>
      </c>
      <c r="S4874" t="s">
        <v>159</v>
      </c>
      <c r="T4874" t="s">
        <v>185</v>
      </c>
      <c r="U4874" t="s">
        <v>339</v>
      </c>
      <c r="V4874" t="s">
        <v>72</v>
      </c>
      <c r="W4874" t="s">
        <v>347</v>
      </c>
      <c r="X4874" t="s">
        <v>72</v>
      </c>
      <c r="Y4874" t="s">
        <v>96</v>
      </c>
      <c r="AK4874" t="s">
        <v>361</v>
      </c>
    </row>
    <row r="4875" spans="1:37">
      <c r="B4875" t="s">
        <v>58</v>
      </c>
      <c r="C4875" t="s">
        <v>80</v>
      </c>
      <c r="D4875" t="s">
        <v>99</v>
      </c>
      <c r="E4875" t="s">
        <v>118</v>
      </c>
      <c r="F4875" t="s">
        <v>152</v>
      </c>
      <c r="G4875" t="s">
        <v>178</v>
      </c>
      <c r="H4875" t="s">
        <v>213</v>
      </c>
      <c r="I4875" t="s">
        <v>233</v>
      </c>
      <c r="J4875" t="s">
        <v>252</v>
      </c>
      <c r="K4875" t="s">
        <v>266</v>
      </c>
      <c r="L4875" t="s">
        <v>278</v>
      </c>
      <c r="M4875" t="s">
        <v>287</v>
      </c>
      <c r="N4875" t="s">
        <v>297</v>
      </c>
      <c r="O4875" t="s">
        <v>305</v>
      </c>
      <c r="P4875" t="s">
        <v>312</v>
      </c>
      <c r="Q4875" t="s">
        <v>319</v>
      </c>
      <c r="R4875">
        <f>&gt;10       ветра      1.4     18   5</f>
        <v>0</v>
      </c>
      <c r="AK4875" t="s">
        <v>361</v>
      </c>
    </row>
    <row r="4876" spans="1:37">
      <c r="A4876" t="s">
        <v>40</v>
      </c>
      <c r="B4876" t="s">
        <v>59</v>
      </c>
      <c r="C4876" t="s">
        <v>81</v>
      </c>
      <c r="D4876" t="s">
        <v>100</v>
      </c>
      <c r="E4876" t="s">
        <v>119</v>
      </c>
      <c r="F4876" t="s">
        <v>153</v>
      </c>
      <c r="G4876" t="s">
        <v>179</v>
      </c>
      <c r="H4876" t="s">
        <v>214</v>
      </c>
      <c r="I4876" t="s">
        <v>234</v>
      </c>
      <c r="AK4876" t="s">
        <v>361</v>
      </c>
    </row>
    <row r="4877" spans="1:37">
      <c r="A4877" t="s">
        <v>40</v>
      </c>
      <c r="B4877" t="s">
        <v>60</v>
      </c>
      <c r="C4877" t="s">
        <v>82</v>
      </c>
      <c r="D4877" t="s">
        <v>101</v>
      </c>
      <c r="E4877" t="s">
        <v>120</v>
      </c>
      <c r="F4877" t="s">
        <v>154</v>
      </c>
      <c r="G4877" t="s">
        <v>180</v>
      </c>
      <c r="H4877" t="s">
        <v>215</v>
      </c>
      <c r="I4877" t="s">
        <v>235</v>
      </c>
      <c r="J4877" t="s">
        <v>253</v>
      </c>
      <c r="K4877" t="s">
        <v>267</v>
      </c>
      <c r="L4877" t="s">
        <v>279</v>
      </c>
      <c r="M4877" t="s">
        <v>288</v>
      </c>
      <c r="N4877" t="s">
        <v>100</v>
      </c>
      <c r="O4877" t="s">
        <v>306</v>
      </c>
      <c r="P4877" t="s">
        <v>313</v>
      </c>
      <c r="Q4877" t="s">
        <v>320</v>
      </c>
      <c r="R4877" t="s">
        <v>325</v>
      </c>
      <c r="S4877" t="s">
        <v>332</v>
      </c>
      <c r="T4877" t="s">
        <v>119</v>
      </c>
      <c r="U4877" t="s">
        <v>234</v>
      </c>
      <c r="V4877" t="s">
        <v>343</v>
      </c>
      <c r="W4877" t="s">
        <v>348</v>
      </c>
      <c r="X4877" t="s">
        <v>352</v>
      </c>
      <c r="Y4877" t="s">
        <v>354</v>
      </c>
      <c r="AK4877" t="s">
        <v>361</v>
      </c>
    </row>
    <row r="4878" spans="1:37">
      <c r="A4878" t="s">
        <v>41</v>
      </c>
      <c r="B4878" t="s">
        <v>61</v>
      </c>
      <c r="C4878" t="s">
        <v>83</v>
      </c>
      <c r="D4878" t="s">
        <v>102</v>
      </c>
      <c r="E4878" t="s">
        <v>121</v>
      </c>
      <c r="F4878" t="s">
        <v>155</v>
      </c>
      <c r="G4878" t="s">
        <v>181</v>
      </c>
      <c r="H4878" t="s">
        <v>216</v>
      </c>
      <c r="I4878" t="s">
        <v>236</v>
      </c>
      <c r="AK4878" t="s">
        <v>361</v>
      </c>
    </row>
    <row r="4879" spans="1:37">
      <c r="A4879" t="s">
        <v>42</v>
      </c>
      <c r="B4879" t="s">
        <v>62</v>
      </c>
      <c r="C4879" t="s">
        <v>84</v>
      </c>
      <c r="D4879" t="s">
        <v>103</v>
      </c>
      <c r="E4879" t="s">
        <v>122</v>
      </c>
      <c r="F4879" t="s">
        <v>156</v>
      </c>
      <c r="G4879" t="s">
        <v>182</v>
      </c>
      <c r="H4879" t="s">
        <v>83</v>
      </c>
      <c r="I4879" t="s">
        <v>237</v>
      </c>
      <c r="J4879" t="s">
        <v>254</v>
      </c>
      <c r="K4879" t="s">
        <v>268</v>
      </c>
      <c r="L4879" t="s">
        <v>280</v>
      </c>
      <c r="M4879" t="s">
        <v>289</v>
      </c>
      <c r="N4879" t="s">
        <v>298</v>
      </c>
      <c r="O4879" t="s">
        <v>307</v>
      </c>
      <c r="P4879" t="s">
        <v>314</v>
      </c>
      <c r="Q4879" t="s">
        <v>216</v>
      </c>
      <c r="R4879" t="s">
        <v>326</v>
      </c>
      <c r="S4879" t="s">
        <v>333</v>
      </c>
      <c r="T4879" t="s">
        <v>335</v>
      </c>
      <c r="U4879" t="s">
        <v>340</v>
      </c>
      <c r="V4879" t="s">
        <v>344</v>
      </c>
      <c r="W4879" t="s">
        <v>349</v>
      </c>
      <c r="AK4879" t="s">
        <v>361</v>
      </c>
    </row>
    <row r="4880" spans="1:37">
      <c r="A4880" t="s">
        <v>43</v>
      </c>
      <c r="B4880" t="s">
        <v>63</v>
      </c>
      <c r="C4880" t="s">
        <v>85</v>
      </c>
      <c r="D4880" t="s">
        <v>104</v>
      </c>
      <c r="E4880" t="s">
        <v>123</v>
      </c>
      <c r="F4880" t="s">
        <v>157</v>
      </c>
      <c r="G4880" t="s">
        <v>183</v>
      </c>
      <c r="AK4880" t="s">
        <v>361</v>
      </c>
    </row>
    <row r="4881" spans="1:37">
      <c r="A4881" t="s">
        <v>44</v>
      </c>
      <c r="B4881" t="s">
        <v>64</v>
      </c>
      <c r="C4881" t="s">
        <v>86</v>
      </c>
      <c r="D4881" t="s">
        <v>105</v>
      </c>
      <c r="E4881" t="s">
        <v>124</v>
      </c>
      <c r="F4881" t="s">
        <v>158</v>
      </c>
      <c r="G4881" t="s">
        <v>184</v>
      </c>
      <c r="AK4881" t="s">
        <v>361</v>
      </c>
    </row>
    <row r="4882" spans="1:37">
      <c r="A4882" t="s">
        <v>45</v>
      </c>
      <c r="B4882" t="s">
        <v>65</v>
      </c>
      <c r="C4882" t="s">
        <v>87</v>
      </c>
      <c r="D4882" t="s">
        <v>106</v>
      </c>
      <c r="E4882" t="s">
        <v>125</v>
      </c>
      <c r="F4882" t="s">
        <v>159</v>
      </c>
      <c r="G4882" t="s">
        <v>185</v>
      </c>
      <c r="H4882" t="s">
        <v>159</v>
      </c>
      <c r="I4882" t="s">
        <v>185</v>
      </c>
      <c r="J4882" t="s">
        <v>255</v>
      </c>
      <c r="AK4882" t="s">
        <v>361</v>
      </c>
    </row>
    <row r="4883" spans="1:37">
      <c r="A4883" t="s">
        <v>46</v>
      </c>
      <c r="B4883" t="s">
        <v>66</v>
      </c>
      <c r="C4883" t="s">
        <v>88</v>
      </c>
      <c r="D4883" t="s">
        <v>76</v>
      </c>
      <c r="E4883" t="s">
        <v>126</v>
      </c>
      <c r="F4883" t="s">
        <v>160</v>
      </c>
      <c r="G4883" t="s">
        <v>186</v>
      </c>
      <c r="H4883" t="s">
        <v>217</v>
      </c>
      <c r="I4883" t="s">
        <v>238</v>
      </c>
      <c r="J4883" t="s">
        <v>256</v>
      </c>
      <c r="K4883" t="s">
        <v>265</v>
      </c>
      <c r="L4883" t="s">
        <v>281</v>
      </c>
      <c r="M4883" t="s">
        <v>290</v>
      </c>
      <c r="N4883" t="s">
        <v>299</v>
      </c>
      <c r="O4883" t="s">
        <v>308</v>
      </c>
      <c r="P4883" t="s">
        <v>228</v>
      </c>
      <c r="Q4883" t="s">
        <v>72</v>
      </c>
      <c r="R4883" t="s">
        <v>327</v>
      </c>
      <c r="S4883" t="s">
        <v>327</v>
      </c>
      <c r="T4883" t="s">
        <v>336</v>
      </c>
      <c r="U4883" t="s">
        <v>336</v>
      </c>
      <c r="V4883" t="s">
        <v>336</v>
      </c>
      <c r="W4883" t="s">
        <v>336</v>
      </c>
      <c r="X4883" t="s">
        <v>353</v>
      </c>
      <c r="AK4883" t="s">
        <v>361</v>
      </c>
    </row>
    <row r="4884" spans="1:37">
      <c r="B4884" t="s">
        <v>67</v>
      </c>
      <c r="C4884" t="s">
        <v>89</v>
      </c>
      <c r="D4884" t="s">
        <v>107</v>
      </c>
      <c r="AK4884" t="s">
        <v>361</v>
      </c>
    </row>
    <row r="4885" spans="1:37">
      <c r="B4885" t="s">
        <v>68</v>
      </c>
      <c r="C4885" t="s">
        <v>90</v>
      </c>
      <c r="D4885" t="s">
        <v>108</v>
      </c>
      <c r="AK4885" t="s">
        <v>361</v>
      </c>
    </row>
    <row r="4886" spans="1:37">
      <c r="A4886" t="s">
        <v>47</v>
      </c>
      <c r="B4886" t="s">
        <v>69</v>
      </c>
      <c r="C4886" t="s">
        <v>91</v>
      </c>
      <c r="D4886" t="s">
        <v>109</v>
      </c>
      <c r="E4886" t="s">
        <v>109</v>
      </c>
      <c r="F4886" t="s">
        <v>109</v>
      </c>
      <c r="G4886" t="s">
        <v>109</v>
      </c>
      <c r="H4886" t="s">
        <v>109</v>
      </c>
      <c r="I4886" t="s">
        <v>239</v>
      </c>
      <c r="AK4886" t="s">
        <v>361</v>
      </c>
    </row>
    <row r="4887" spans="1:37">
      <c r="B4887" t="s">
        <v>70</v>
      </c>
      <c r="C4887" t="s">
        <v>92</v>
      </c>
      <c r="D4887" t="s">
        <v>110</v>
      </c>
      <c r="E4887" t="s">
        <v>127</v>
      </c>
      <c r="F4887" t="s">
        <v>161</v>
      </c>
      <c r="G4887" t="s">
        <v>187</v>
      </c>
      <c r="H4887" t="s">
        <v>218</v>
      </c>
      <c r="AK4887" t="s">
        <v>361</v>
      </c>
    </row>
    <row r="4888" spans="1:37">
      <c r="B4888" t="s">
        <v>71</v>
      </c>
      <c r="C4888" t="s">
        <v>93</v>
      </c>
      <c r="D4888" t="s">
        <v>111</v>
      </c>
      <c r="E4888" t="s">
        <v>128</v>
      </c>
      <c r="F4888" t="s">
        <v>162</v>
      </c>
      <c r="G4888" t="s">
        <v>188</v>
      </c>
      <c r="H4888" t="s">
        <v>219</v>
      </c>
      <c r="I4888" t="s">
        <v>240</v>
      </c>
      <c r="J4888" t="s">
        <v>257</v>
      </c>
      <c r="K4888" t="s">
        <v>269</v>
      </c>
      <c r="L4888" t="s">
        <v>109</v>
      </c>
      <c r="M4888" t="s">
        <v>109</v>
      </c>
      <c r="N4888" t="s">
        <v>109</v>
      </c>
      <c r="O4888" t="s">
        <v>109</v>
      </c>
      <c r="P4888" t="s">
        <v>109</v>
      </c>
      <c r="Q4888" t="s">
        <v>321</v>
      </c>
      <c r="AK4888" t="s">
        <v>361</v>
      </c>
    </row>
    <row r="4889" spans="1:37">
      <c r="A4889" t="s">
        <v>48</v>
      </c>
      <c r="B4889" t="s">
        <v>71</v>
      </c>
      <c r="C4889" t="s">
        <v>93</v>
      </c>
      <c r="D4889" t="s">
        <v>111</v>
      </c>
      <c r="E4889" t="s">
        <v>128</v>
      </c>
      <c r="F4889" t="s">
        <v>163</v>
      </c>
      <c r="G4889" t="s">
        <v>189</v>
      </c>
      <c r="H4889" t="s">
        <v>220</v>
      </c>
      <c r="I4889" t="s">
        <v>241</v>
      </c>
      <c r="J4889" t="s">
        <v>258</v>
      </c>
      <c r="K4889" t="s">
        <v>270</v>
      </c>
      <c r="AK4889" t="s">
        <v>361</v>
      </c>
    </row>
    <row r="4890" spans="1:37">
      <c r="B4890" t="s">
        <v>72</v>
      </c>
      <c r="C4890" t="s">
        <v>72</v>
      </c>
      <c r="D4890" t="s">
        <v>72</v>
      </c>
      <c r="E4890" t="s">
        <v>139</v>
      </c>
      <c r="F4890" t="s">
        <v>139</v>
      </c>
      <c r="G4890" t="s">
        <v>192</v>
      </c>
      <c r="H4890" t="s">
        <v>192</v>
      </c>
      <c r="I4890" t="s">
        <v>192</v>
      </c>
      <c r="J4890" t="s">
        <v>192</v>
      </c>
      <c r="K4890" t="s">
        <v>271</v>
      </c>
      <c r="AK4890" t="s">
        <v>361</v>
      </c>
    </row>
    <row r="4891" spans="1:37">
      <c r="A4891" t="s">
        <v>37</v>
      </c>
      <c r="B4891" t="s">
        <v>49</v>
      </c>
      <c r="C4891" t="s">
        <v>73</v>
      </c>
      <c r="D4891" t="s">
        <v>94</v>
      </c>
      <c r="E4891" t="s">
        <v>112</v>
      </c>
      <c r="F4891" t="s">
        <v>146</v>
      </c>
      <c r="G4891" t="s">
        <v>172</v>
      </c>
      <c r="H4891" t="s">
        <v>207</v>
      </c>
      <c r="I4891" t="s">
        <v>226</v>
      </c>
      <c r="J4891" t="s">
        <v>246</v>
      </c>
      <c r="K4891" t="s">
        <v>259</v>
      </c>
      <c r="AK4891" t="s">
        <v>361</v>
      </c>
    </row>
    <row r="4892" spans="1:37">
      <c r="A4892" t="s">
        <v>38</v>
      </c>
      <c r="B4892" t="s">
        <v>50</v>
      </c>
      <c r="C4892" t="s">
        <v>74</v>
      </c>
      <c r="D4892" t="s">
        <v>95</v>
      </c>
      <c r="E4892" t="s">
        <v>113</v>
      </c>
      <c r="F4892" t="s">
        <v>147</v>
      </c>
      <c r="G4892" t="s">
        <v>173</v>
      </c>
      <c r="H4892" t="s">
        <v>208</v>
      </c>
      <c r="I4892" t="s">
        <v>227</v>
      </c>
      <c r="J4892" t="s">
        <v>115</v>
      </c>
      <c r="K4892" t="s">
        <v>260</v>
      </c>
      <c r="L4892" t="s">
        <v>273</v>
      </c>
      <c r="M4892" t="s">
        <v>282</v>
      </c>
      <c r="N4892" t="s">
        <v>291</v>
      </c>
      <c r="AK4892" t="s">
        <v>361</v>
      </c>
    </row>
    <row r="4893" spans="1:37">
      <c r="B4893" t="s">
        <v>51</v>
      </c>
      <c r="C4893" t="s">
        <v>75</v>
      </c>
      <c r="D4893" t="s">
        <v>52</v>
      </c>
      <c r="E4893" t="s">
        <v>114</v>
      </c>
      <c r="F4893" t="s">
        <v>148</v>
      </c>
      <c r="G4893" t="s">
        <v>148</v>
      </c>
      <c r="H4893" t="s">
        <v>209</v>
      </c>
      <c r="I4893" t="s">
        <v>228</v>
      </c>
      <c r="J4893" t="s">
        <v>247</v>
      </c>
      <c r="K4893" t="s">
        <v>261</v>
      </c>
      <c r="L4893" t="s">
        <v>274</v>
      </c>
      <c r="M4893" t="s">
        <v>283</v>
      </c>
      <c r="N4893" t="s">
        <v>292</v>
      </c>
      <c r="O4893" t="s">
        <v>300</v>
      </c>
      <c r="AK4893" t="s">
        <v>361</v>
      </c>
    </row>
    <row r="4894" spans="1:37">
      <c r="B4894" t="s">
        <v>52</v>
      </c>
      <c r="C4894" t="s">
        <v>76</v>
      </c>
      <c r="D4894" t="s">
        <v>96</v>
      </c>
      <c r="E4894" t="s">
        <v>115</v>
      </c>
      <c r="F4894" t="s">
        <v>149</v>
      </c>
      <c r="G4894" t="s">
        <v>174</v>
      </c>
      <c r="H4894" t="s">
        <v>96</v>
      </c>
      <c r="I4894" t="s">
        <v>229</v>
      </c>
      <c r="J4894" t="s">
        <v>248</v>
      </c>
      <c r="K4894" t="s">
        <v>262</v>
      </c>
      <c r="L4894" t="s">
        <v>52</v>
      </c>
      <c r="M4894" t="s">
        <v>76</v>
      </c>
      <c r="N4894" t="s">
        <v>293</v>
      </c>
      <c r="O4894" t="s">
        <v>301</v>
      </c>
      <c r="P4894" t="s">
        <v>309</v>
      </c>
      <c r="Q4894" t="s">
        <v>315</v>
      </c>
      <c r="R4894" t="s">
        <v>228</v>
      </c>
      <c r="S4894" t="s">
        <v>328</v>
      </c>
      <c r="T4894" t="s">
        <v>149</v>
      </c>
      <c r="U4894" t="s">
        <v>337</v>
      </c>
      <c r="V4894" t="s">
        <v>341</v>
      </c>
      <c r="W4894" t="s">
        <v>345</v>
      </c>
      <c r="X4894" t="s">
        <v>350</v>
      </c>
      <c r="AK4894" t="s">
        <v>361</v>
      </c>
    </row>
    <row r="4895" spans="1:37">
      <c r="B4895" t="s">
        <v>53</v>
      </c>
      <c r="C4895" t="s">
        <v>77</v>
      </c>
      <c r="D4895" t="s">
        <v>97</v>
      </c>
      <c r="E4895" t="s">
        <v>116</v>
      </c>
      <c r="F4895" t="s">
        <v>150</v>
      </c>
      <c r="G4895" t="s">
        <v>175</v>
      </c>
      <c r="H4895" t="s">
        <v>210</v>
      </c>
      <c r="I4895" t="s">
        <v>230</v>
      </c>
      <c r="J4895" t="s">
        <v>249</v>
      </c>
      <c r="K4895" t="s">
        <v>263</v>
      </c>
      <c r="L4895" t="s">
        <v>275</v>
      </c>
      <c r="M4895" t="s">
        <v>284</v>
      </c>
      <c r="N4895" t="s">
        <v>294</v>
      </c>
      <c r="O4895" t="s">
        <v>302</v>
      </c>
      <c r="P4895" t="s">
        <v>310</v>
      </c>
      <c r="Q4895" t="s">
        <v>316</v>
      </c>
      <c r="R4895" t="s">
        <v>322</v>
      </c>
      <c r="S4895" t="s">
        <v>329</v>
      </c>
      <c r="AK4895" t="s">
        <v>361</v>
      </c>
    </row>
    <row r="4896" spans="1:37">
      <c r="A4896" t="s">
        <v>39</v>
      </c>
      <c r="B4896" t="s">
        <v>54</v>
      </c>
      <c r="C4896" t="s">
        <v>54</v>
      </c>
      <c r="D4896" t="s">
        <v>54</v>
      </c>
      <c r="E4896" t="s">
        <v>54</v>
      </c>
      <c r="F4896" t="s">
        <v>54</v>
      </c>
      <c r="G4896" t="s">
        <v>54</v>
      </c>
      <c r="H4896" t="s">
        <v>54</v>
      </c>
      <c r="I4896" t="s">
        <v>54</v>
      </c>
      <c r="J4896" t="s">
        <v>54</v>
      </c>
      <c r="K4896" t="s">
        <v>54</v>
      </c>
      <c r="L4896" t="s">
        <v>54</v>
      </c>
      <c r="M4896" t="s">
        <v>54</v>
      </c>
      <c r="N4896" t="s">
        <v>54</v>
      </c>
      <c r="O4896" t="s">
        <v>54</v>
      </c>
      <c r="P4896" t="s">
        <v>54</v>
      </c>
      <c r="Q4896" t="s">
        <v>54</v>
      </c>
      <c r="R4896" t="s">
        <v>323</v>
      </c>
      <c r="S4896" t="s">
        <v>330</v>
      </c>
      <c r="AK4896" t="s">
        <v>361</v>
      </c>
    </row>
    <row r="4897" spans="1:37">
      <c r="B4897" t="s">
        <v>55</v>
      </c>
      <c r="C4897" t="s">
        <v>78</v>
      </c>
      <c r="D4897" t="s">
        <v>55</v>
      </c>
      <c r="E4897" t="s">
        <v>78</v>
      </c>
      <c r="F4897" t="s">
        <v>55</v>
      </c>
      <c r="G4897" t="s">
        <v>78</v>
      </c>
      <c r="H4897" t="s">
        <v>55</v>
      </c>
      <c r="I4897" t="s">
        <v>78</v>
      </c>
      <c r="J4897" t="s">
        <v>55</v>
      </c>
      <c r="K4897" t="s">
        <v>78</v>
      </c>
      <c r="L4897" t="s">
        <v>55</v>
      </c>
      <c r="M4897" t="s">
        <v>78</v>
      </c>
      <c r="N4897" t="s">
        <v>55</v>
      </c>
      <c r="O4897" t="s">
        <v>78</v>
      </c>
      <c r="P4897" t="s">
        <v>55</v>
      </c>
      <c r="Q4897" t="s">
        <v>78</v>
      </c>
      <c r="R4897" t="s">
        <v>55</v>
      </c>
      <c r="S4897" t="s">
        <v>78</v>
      </c>
      <c r="T4897" t="s">
        <v>55</v>
      </c>
      <c r="U4897" t="s">
        <v>78</v>
      </c>
      <c r="V4897" t="s">
        <v>55</v>
      </c>
      <c r="W4897" t="s">
        <v>78</v>
      </c>
      <c r="X4897" t="s">
        <v>55</v>
      </c>
      <c r="Y4897" t="s">
        <v>78</v>
      </c>
      <c r="Z4897" t="s">
        <v>55</v>
      </c>
      <c r="AA4897" t="s">
        <v>78</v>
      </c>
      <c r="AB4897" t="s">
        <v>55</v>
      </c>
      <c r="AC4897" t="s">
        <v>78</v>
      </c>
      <c r="AD4897" t="s">
        <v>55</v>
      </c>
      <c r="AE4897" t="s">
        <v>78</v>
      </c>
      <c r="AF4897" t="s">
        <v>55</v>
      </c>
      <c r="AG4897" t="s">
        <v>78</v>
      </c>
      <c r="AH4897" t="s">
        <v>55</v>
      </c>
      <c r="AI4897" t="s">
        <v>78</v>
      </c>
      <c r="AK4897" t="s">
        <v>361</v>
      </c>
    </row>
    <row r="4898" spans="1:37">
      <c r="B4898" t="s">
        <v>56</v>
      </c>
      <c r="C4898" t="s">
        <v>56</v>
      </c>
      <c r="D4898" t="s">
        <v>56</v>
      </c>
      <c r="E4898" t="s">
        <v>56</v>
      </c>
      <c r="F4898" t="s">
        <v>56</v>
      </c>
      <c r="G4898" t="s">
        <v>176</v>
      </c>
      <c r="H4898" t="s">
        <v>211</v>
      </c>
      <c r="I4898" t="s">
        <v>231</v>
      </c>
      <c r="J4898" t="s">
        <v>250</v>
      </c>
      <c r="K4898" t="s">
        <v>264</v>
      </c>
      <c r="L4898" t="s">
        <v>276</v>
      </c>
      <c r="M4898" t="s">
        <v>285</v>
      </c>
      <c r="N4898" t="s">
        <v>295</v>
      </c>
      <c r="O4898" t="s">
        <v>303</v>
      </c>
      <c r="P4898" t="s">
        <v>56</v>
      </c>
      <c r="Q4898" t="s">
        <v>317</v>
      </c>
      <c r="R4898" t="s">
        <v>324</v>
      </c>
      <c r="S4898" t="s">
        <v>331</v>
      </c>
      <c r="T4898" t="s">
        <v>334</v>
      </c>
      <c r="U4898" t="s">
        <v>338</v>
      </c>
      <c r="V4898" t="s">
        <v>342</v>
      </c>
      <c r="W4898" t="s">
        <v>346</v>
      </c>
      <c r="X4898" t="s">
        <v>351</v>
      </c>
      <c r="AK4898" t="s">
        <v>361</v>
      </c>
    </row>
    <row r="4899" spans="1:37">
      <c r="B4899" t="s">
        <v>57</v>
      </c>
      <c r="C4899" t="s">
        <v>79</v>
      </c>
      <c r="D4899" t="s">
        <v>98</v>
      </c>
      <c r="E4899" t="s">
        <v>117</v>
      </c>
      <c r="F4899" t="s">
        <v>151</v>
      </c>
      <c r="G4899" t="s">
        <v>177</v>
      </c>
      <c r="H4899" t="s">
        <v>212</v>
      </c>
      <c r="I4899" t="s">
        <v>232</v>
      </c>
      <c r="J4899" t="s">
        <v>251</v>
      </c>
      <c r="K4899" t="s">
        <v>265</v>
      </c>
      <c r="L4899" t="s">
        <v>277</v>
      </c>
      <c r="M4899" t="s">
        <v>286</v>
      </c>
      <c r="N4899" t="s">
        <v>296</v>
      </c>
      <c r="O4899" t="s">
        <v>304</v>
      </c>
      <c r="P4899" t="s">
        <v>311</v>
      </c>
      <c r="Q4899" t="s">
        <v>318</v>
      </c>
      <c r="R4899" t="s">
        <v>185</v>
      </c>
      <c r="S4899" t="s">
        <v>159</v>
      </c>
      <c r="T4899" t="s">
        <v>185</v>
      </c>
      <c r="U4899" t="s">
        <v>339</v>
      </c>
      <c r="V4899" t="s">
        <v>72</v>
      </c>
      <c r="W4899" t="s">
        <v>347</v>
      </c>
      <c r="X4899" t="s">
        <v>72</v>
      </c>
      <c r="Y4899" t="s">
        <v>96</v>
      </c>
      <c r="AK4899" t="s">
        <v>361</v>
      </c>
    </row>
    <row r="4900" spans="1:37">
      <c r="B4900" t="s">
        <v>58</v>
      </c>
      <c r="C4900" t="s">
        <v>80</v>
      </c>
      <c r="D4900" t="s">
        <v>99</v>
      </c>
      <c r="E4900" t="s">
        <v>118</v>
      </c>
      <c r="F4900" t="s">
        <v>152</v>
      </c>
      <c r="G4900" t="s">
        <v>178</v>
      </c>
      <c r="H4900" t="s">
        <v>213</v>
      </c>
      <c r="I4900" t="s">
        <v>233</v>
      </c>
      <c r="J4900" t="s">
        <v>252</v>
      </c>
      <c r="K4900" t="s">
        <v>266</v>
      </c>
      <c r="L4900" t="s">
        <v>278</v>
      </c>
      <c r="M4900" t="s">
        <v>287</v>
      </c>
      <c r="N4900" t="s">
        <v>297</v>
      </c>
      <c r="O4900" t="s">
        <v>305</v>
      </c>
      <c r="P4900" t="s">
        <v>312</v>
      </c>
      <c r="Q4900" t="s">
        <v>319</v>
      </c>
      <c r="R4900">
        <f>&gt;10       ветра      2.7     19  23</f>
        <v>0</v>
      </c>
      <c r="AK4900" t="s">
        <v>361</v>
      </c>
    </row>
    <row r="4901" spans="1:37">
      <c r="A4901" t="s">
        <v>40</v>
      </c>
      <c r="B4901" t="s">
        <v>59</v>
      </c>
      <c r="C4901" t="s">
        <v>81</v>
      </c>
      <c r="D4901" t="s">
        <v>100</v>
      </c>
      <c r="E4901" t="s">
        <v>119</v>
      </c>
      <c r="F4901" t="s">
        <v>153</v>
      </c>
      <c r="G4901" t="s">
        <v>179</v>
      </c>
      <c r="H4901" t="s">
        <v>214</v>
      </c>
      <c r="I4901" t="s">
        <v>234</v>
      </c>
      <c r="AK4901" t="s">
        <v>361</v>
      </c>
    </row>
    <row r="4902" spans="1:37">
      <c r="A4902" t="s">
        <v>40</v>
      </c>
      <c r="B4902" t="s">
        <v>60</v>
      </c>
      <c r="C4902" t="s">
        <v>82</v>
      </c>
      <c r="D4902" t="s">
        <v>101</v>
      </c>
      <c r="E4902" t="s">
        <v>120</v>
      </c>
      <c r="F4902" t="s">
        <v>154</v>
      </c>
      <c r="G4902" t="s">
        <v>180</v>
      </c>
      <c r="H4902" t="s">
        <v>215</v>
      </c>
      <c r="I4902" t="s">
        <v>235</v>
      </c>
      <c r="J4902" t="s">
        <v>253</v>
      </c>
      <c r="K4902" t="s">
        <v>267</v>
      </c>
      <c r="L4902" t="s">
        <v>279</v>
      </c>
      <c r="M4902" t="s">
        <v>288</v>
      </c>
      <c r="N4902" t="s">
        <v>100</v>
      </c>
      <c r="O4902" t="s">
        <v>306</v>
      </c>
      <c r="P4902" t="s">
        <v>313</v>
      </c>
      <c r="Q4902" t="s">
        <v>320</v>
      </c>
      <c r="R4902" t="s">
        <v>325</v>
      </c>
      <c r="S4902" t="s">
        <v>332</v>
      </c>
      <c r="T4902" t="s">
        <v>119</v>
      </c>
      <c r="U4902" t="s">
        <v>234</v>
      </c>
      <c r="V4902" t="s">
        <v>343</v>
      </c>
      <c r="W4902" t="s">
        <v>348</v>
      </c>
      <c r="X4902" t="s">
        <v>352</v>
      </c>
      <c r="Y4902" t="s">
        <v>354</v>
      </c>
      <c r="AK4902" t="s">
        <v>361</v>
      </c>
    </row>
    <row r="4903" spans="1:37">
      <c r="A4903" t="s">
        <v>41</v>
      </c>
      <c r="B4903" t="s">
        <v>61</v>
      </c>
      <c r="C4903" t="s">
        <v>83</v>
      </c>
      <c r="D4903" t="s">
        <v>102</v>
      </c>
      <c r="E4903" t="s">
        <v>121</v>
      </c>
      <c r="F4903" t="s">
        <v>155</v>
      </c>
      <c r="G4903" t="s">
        <v>181</v>
      </c>
      <c r="H4903" t="s">
        <v>216</v>
      </c>
      <c r="I4903" t="s">
        <v>236</v>
      </c>
      <c r="AK4903" t="s">
        <v>361</v>
      </c>
    </row>
    <row r="4904" spans="1:37">
      <c r="A4904" t="s">
        <v>42</v>
      </c>
      <c r="B4904" t="s">
        <v>62</v>
      </c>
      <c r="C4904" t="s">
        <v>84</v>
      </c>
      <c r="D4904" t="s">
        <v>103</v>
      </c>
      <c r="E4904" t="s">
        <v>122</v>
      </c>
      <c r="F4904" t="s">
        <v>156</v>
      </c>
      <c r="G4904" t="s">
        <v>182</v>
      </c>
      <c r="H4904" t="s">
        <v>83</v>
      </c>
      <c r="I4904" t="s">
        <v>237</v>
      </c>
      <c r="J4904" t="s">
        <v>254</v>
      </c>
      <c r="K4904" t="s">
        <v>268</v>
      </c>
      <c r="L4904" t="s">
        <v>280</v>
      </c>
      <c r="M4904" t="s">
        <v>289</v>
      </c>
      <c r="N4904" t="s">
        <v>298</v>
      </c>
      <c r="O4904" t="s">
        <v>307</v>
      </c>
      <c r="P4904" t="s">
        <v>314</v>
      </c>
      <c r="Q4904" t="s">
        <v>216</v>
      </c>
      <c r="R4904" t="s">
        <v>326</v>
      </c>
      <c r="S4904" t="s">
        <v>333</v>
      </c>
      <c r="T4904" t="s">
        <v>335</v>
      </c>
      <c r="U4904" t="s">
        <v>340</v>
      </c>
      <c r="V4904" t="s">
        <v>344</v>
      </c>
      <c r="W4904" t="s">
        <v>349</v>
      </c>
      <c r="AK4904" t="s">
        <v>361</v>
      </c>
    </row>
    <row r="4905" spans="1:37">
      <c r="A4905" t="s">
        <v>43</v>
      </c>
      <c r="B4905" t="s">
        <v>63</v>
      </c>
      <c r="C4905" t="s">
        <v>85</v>
      </c>
      <c r="D4905" t="s">
        <v>104</v>
      </c>
      <c r="E4905" t="s">
        <v>123</v>
      </c>
      <c r="F4905" t="s">
        <v>157</v>
      </c>
      <c r="G4905" t="s">
        <v>183</v>
      </c>
      <c r="AK4905" t="s">
        <v>361</v>
      </c>
    </row>
    <row r="4906" spans="1:37">
      <c r="A4906" t="s">
        <v>44</v>
      </c>
      <c r="B4906" t="s">
        <v>64</v>
      </c>
      <c r="C4906" t="s">
        <v>86</v>
      </c>
      <c r="D4906" t="s">
        <v>105</v>
      </c>
      <c r="E4906" t="s">
        <v>124</v>
      </c>
      <c r="F4906" t="s">
        <v>158</v>
      </c>
      <c r="G4906" t="s">
        <v>184</v>
      </c>
      <c r="AK4906" t="s">
        <v>361</v>
      </c>
    </row>
    <row r="4907" spans="1:37">
      <c r="A4907" t="s">
        <v>45</v>
      </c>
      <c r="B4907" t="s">
        <v>65</v>
      </c>
      <c r="C4907" t="s">
        <v>87</v>
      </c>
      <c r="D4907" t="s">
        <v>106</v>
      </c>
      <c r="E4907" t="s">
        <v>125</v>
      </c>
      <c r="F4907" t="s">
        <v>159</v>
      </c>
      <c r="G4907" t="s">
        <v>185</v>
      </c>
      <c r="H4907" t="s">
        <v>159</v>
      </c>
      <c r="I4907" t="s">
        <v>185</v>
      </c>
      <c r="J4907" t="s">
        <v>255</v>
      </c>
      <c r="AK4907" t="s">
        <v>361</v>
      </c>
    </row>
    <row r="4908" spans="1:37">
      <c r="A4908" t="s">
        <v>46</v>
      </c>
      <c r="B4908" t="s">
        <v>66</v>
      </c>
      <c r="C4908" t="s">
        <v>88</v>
      </c>
      <c r="D4908" t="s">
        <v>76</v>
      </c>
      <c r="E4908" t="s">
        <v>126</v>
      </c>
      <c r="F4908" t="s">
        <v>160</v>
      </c>
      <c r="G4908" t="s">
        <v>186</v>
      </c>
      <c r="H4908" t="s">
        <v>217</v>
      </c>
      <c r="I4908" t="s">
        <v>238</v>
      </c>
      <c r="J4908" t="s">
        <v>256</v>
      </c>
      <c r="K4908" t="s">
        <v>265</v>
      </c>
      <c r="L4908" t="s">
        <v>281</v>
      </c>
      <c r="M4908" t="s">
        <v>290</v>
      </c>
      <c r="N4908" t="s">
        <v>299</v>
      </c>
      <c r="O4908" t="s">
        <v>308</v>
      </c>
      <c r="P4908" t="s">
        <v>228</v>
      </c>
      <c r="Q4908" t="s">
        <v>72</v>
      </c>
      <c r="R4908" t="s">
        <v>327</v>
      </c>
      <c r="S4908" t="s">
        <v>327</v>
      </c>
      <c r="T4908" t="s">
        <v>336</v>
      </c>
      <c r="U4908" t="s">
        <v>336</v>
      </c>
      <c r="V4908" t="s">
        <v>336</v>
      </c>
      <c r="W4908" t="s">
        <v>336</v>
      </c>
      <c r="X4908" t="s">
        <v>353</v>
      </c>
      <c r="AK4908" t="s">
        <v>361</v>
      </c>
    </row>
    <row r="4909" spans="1:37">
      <c r="B4909" t="s">
        <v>67</v>
      </c>
      <c r="C4909" t="s">
        <v>89</v>
      </c>
      <c r="D4909" t="s">
        <v>107</v>
      </c>
      <c r="AK4909" t="s">
        <v>361</v>
      </c>
    </row>
    <row r="4910" spans="1:37">
      <c r="B4910" t="s">
        <v>68</v>
      </c>
      <c r="C4910" t="s">
        <v>90</v>
      </c>
      <c r="D4910" t="s">
        <v>108</v>
      </c>
      <c r="AK4910" t="s">
        <v>361</v>
      </c>
    </row>
    <row r="4911" spans="1:37">
      <c r="A4911" t="s">
        <v>47</v>
      </c>
      <c r="B4911" t="s">
        <v>69</v>
      </c>
      <c r="C4911" t="s">
        <v>91</v>
      </c>
      <c r="D4911" t="s">
        <v>109</v>
      </c>
      <c r="E4911" t="s">
        <v>109</v>
      </c>
      <c r="F4911" t="s">
        <v>109</v>
      </c>
      <c r="G4911" t="s">
        <v>109</v>
      </c>
      <c r="H4911" t="s">
        <v>109</v>
      </c>
      <c r="I4911" t="s">
        <v>239</v>
      </c>
      <c r="AK4911" t="s">
        <v>361</v>
      </c>
    </row>
    <row r="4912" spans="1:37">
      <c r="B4912" t="s">
        <v>70</v>
      </c>
      <c r="C4912" t="s">
        <v>92</v>
      </c>
      <c r="D4912" t="s">
        <v>110</v>
      </c>
      <c r="E4912" t="s">
        <v>127</v>
      </c>
      <c r="F4912" t="s">
        <v>161</v>
      </c>
      <c r="G4912" t="s">
        <v>187</v>
      </c>
      <c r="H4912" t="s">
        <v>218</v>
      </c>
      <c r="AK4912" t="s">
        <v>361</v>
      </c>
    </row>
    <row r="4913" spans="1:37">
      <c r="B4913" t="s">
        <v>71</v>
      </c>
      <c r="C4913" t="s">
        <v>93</v>
      </c>
      <c r="D4913" t="s">
        <v>111</v>
      </c>
      <c r="E4913" t="s">
        <v>128</v>
      </c>
      <c r="F4913" t="s">
        <v>162</v>
      </c>
      <c r="G4913" t="s">
        <v>188</v>
      </c>
      <c r="H4913" t="s">
        <v>219</v>
      </c>
      <c r="I4913" t="s">
        <v>240</v>
      </c>
      <c r="J4913" t="s">
        <v>257</v>
      </c>
      <c r="K4913" t="s">
        <v>269</v>
      </c>
      <c r="L4913" t="s">
        <v>109</v>
      </c>
      <c r="M4913" t="s">
        <v>109</v>
      </c>
      <c r="N4913" t="s">
        <v>109</v>
      </c>
      <c r="O4913" t="s">
        <v>109</v>
      </c>
      <c r="P4913" t="s">
        <v>109</v>
      </c>
      <c r="Q4913" t="s">
        <v>321</v>
      </c>
      <c r="AK4913" t="s">
        <v>361</v>
      </c>
    </row>
    <row r="4914" spans="1:37">
      <c r="A4914" t="s">
        <v>48</v>
      </c>
      <c r="B4914" t="s">
        <v>71</v>
      </c>
      <c r="C4914" t="s">
        <v>93</v>
      </c>
      <c r="D4914" t="s">
        <v>111</v>
      </c>
      <c r="E4914" t="s">
        <v>128</v>
      </c>
      <c r="F4914" t="s">
        <v>163</v>
      </c>
      <c r="G4914" t="s">
        <v>189</v>
      </c>
      <c r="H4914" t="s">
        <v>220</v>
      </c>
      <c r="I4914" t="s">
        <v>241</v>
      </c>
      <c r="J4914" t="s">
        <v>258</v>
      </c>
      <c r="K4914" t="s">
        <v>270</v>
      </c>
      <c r="AK4914" t="s">
        <v>361</v>
      </c>
    </row>
    <row r="4915" spans="1:37">
      <c r="B4915" t="s">
        <v>72</v>
      </c>
      <c r="C4915" t="s">
        <v>72</v>
      </c>
      <c r="D4915" t="s">
        <v>72</v>
      </c>
      <c r="E4915" t="s">
        <v>72</v>
      </c>
      <c r="F4915" t="s">
        <v>72</v>
      </c>
      <c r="G4915" t="s">
        <v>72</v>
      </c>
      <c r="H4915" t="s">
        <v>72</v>
      </c>
      <c r="I4915" t="s">
        <v>72</v>
      </c>
      <c r="J4915" t="s">
        <v>72</v>
      </c>
      <c r="K4915" t="s">
        <v>272</v>
      </c>
      <c r="AK4915" t="s">
        <v>361</v>
      </c>
    </row>
    <row r="4916" spans="1:37">
      <c r="A4916" t="s">
        <v>37</v>
      </c>
      <c r="B4916" t="s">
        <v>49</v>
      </c>
      <c r="C4916" t="s">
        <v>73</v>
      </c>
      <c r="D4916" t="s">
        <v>94</v>
      </c>
      <c r="E4916" t="s">
        <v>112</v>
      </c>
      <c r="F4916" t="s">
        <v>146</v>
      </c>
      <c r="G4916" t="s">
        <v>172</v>
      </c>
      <c r="H4916" t="s">
        <v>207</v>
      </c>
      <c r="I4916" t="s">
        <v>226</v>
      </c>
      <c r="J4916" t="s">
        <v>246</v>
      </c>
      <c r="K4916" t="s">
        <v>259</v>
      </c>
      <c r="AK4916" t="s">
        <v>362</v>
      </c>
    </row>
    <row r="4917" spans="1:37">
      <c r="A4917" t="s">
        <v>38</v>
      </c>
      <c r="B4917" t="s">
        <v>50</v>
      </c>
      <c r="C4917" t="s">
        <v>74</v>
      </c>
      <c r="D4917" t="s">
        <v>95</v>
      </c>
      <c r="E4917" t="s">
        <v>113</v>
      </c>
      <c r="F4917" t="s">
        <v>147</v>
      </c>
      <c r="G4917" t="s">
        <v>173</v>
      </c>
      <c r="H4917" t="s">
        <v>208</v>
      </c>
      <c r="I4917" t="s">
        <v>227</v>
      </c>
      <c r="J4917" t="s">
        <v>115</v>
      </c>
      <c r="K4917" t="s">
        <v>260</v>
      </c>
      <c r="L4917" t="s">
        <v>273</v>
      </c>
      <c r="M4917" t="s">
        <v>282</v>
      </c>
      <c r="N4917" t="s">
        <v>291</v>
      </c>
      <c r="AK4917" t="s">
        <v>362</v>
      </c>
    </row>
    <row r="4918" spans="1:37">
      <c r="B4918" t="s">
        <v>51</v>
      </c>
      <c r="C4918" t="s">
        <v>75</v>
      </c>
      <c r="D4918" t="s">
        <v>52</v>
      </c>
      <c r="E4918" t="s">
        <v>114</v>
      </c>
      <c r="F4918" t="s">
        <v>148</v>
      </c>
      <c r="G4918" t="s">
        <v>148</v>
      </c>
      <c r="H4918" t="s">
        <v>209</v>
      </c>
      <c r="I4918" t="s">
        <v>228</v>
      </c>
      <c r="J4918" t="s">
        <v>247</v>
      </c>
      <c r="K4918" t="s">
        <v>261</v>
      </c>
      <c r="L4918" t="s">
        <v>274</v>
      </c>
      <c r="M4918" t="s">
        <v>283</v>
      </c>
      <c r="N4918" t="s">
        <v>292</v>
      </c>
      <c r="O4918" t="s">
        <v>300</v>
      </c>
      <c r="AK4918" t="s">
        <v>362</v>
      </c>
    </row>
    <row r="4919" spans="1:37">
      <c r="B4919" t="s">
        <v>52</v>
      </c>
      <c r="C4919" t="s">
        <v>76</v>
      </c>
      <c r="D4919" t="s">
        <v>96</v>
      </c>
      <c r="E4919" t="s">
        <v>115</v>
      </c>
      <c r="F4919" t="s">
        <v>149</v>
      </c>
      <c r="G4919" t="s">
        <v>174</v>
      </c>
      <c r="H4919" t="s">
        <v>96</v>
      </c>
      <c r="I4919" t="s">
        <v>229</v>
      </c>
      <c r="J4919" t="s">
        <v>248</v>
      </c>
      <c r="K4919" t="s">
        <v>262</v>
      </c>
      <c r="L4919" t="s">
        <v>52</v>
      </c>
      <c r="M4919" t="s">
        <v>76</v>
      </c>
      <c r="N4919" t="s">
        <v>293</v>
      </c>
      <c r="O4919" t="s">
        <v>301</v>
      </c>
      <c r="P4919" t="s">
        <v>309</v>
      </c>
      <c r="Q4919" t="s">
        <v>315</v>
      </c>
      <c r="R4919" t="s">
        <v>228</v>
      </c>
      <c r="S4919" t="s">
        <v>328</v>
      </c>
      <c r="T4919" t="s">
        <v>149</v>
      </c>
      <c r="U4919" t="s">
        <v>337</v>
      </c>
      <c r="V4919" t="s">
        <v>341</v>
      </c>
      <c r="W4919" t="s">
        <v>345</v>
      </c>
      <c r="X4919" t="s">
        <v>350</v>
      </c>
      <c r="AK4919" t="s">
        <v>362</v>
      </c>
    </row>
    <row r="4920" spans="1:37">
      <c r="B4920" t="s">
        <v>53</v>
      </c>
      <c r="C4920" t="s">
        <v>77</v>
      </c>
      <c r="D4920" t="s">
        <v>97</v>
      </c>
      <c r="E4920" t="s">
        <v>116</v>
      </c>
      <c r="F4920" t="s">
        <v>150</v>
      </c>
      <c r="G4920" t="s">
        <v>175</v>
      </c>
      <c r="H4920" t="s">
        <v>210</v>
      </c>
      <c r="I4920" t="s">
        <v>230</v>
      </c>
      <c r="J4920" t="s">
        <v>249</v>
      </c>
      <c r="K4920" t="s">
        <v>263</v>
      </c>
      <c r="L4920" t="s">
        <v>275</v>
      </c>
      <c r="M4920" t="s">
        <v>284</v>
      </c>
      <c r="N4920" t="s">
        <v>294</v>
      </c>
      <c r="O4920" t="s">
        <v>302</v>
      </c>
      <c r="P4920" t="s">
        <v>310</v>
      </c>
      <c r="Q4920" t="s">
        <v>316</v>
      </c>
      <c r="R4920" t="s">
        <v>322</v>
      </c>
      <c r="S4920" t="s">
        <v>329</v>
      </c>
      <c r="AK4920" t="s">
        <v>362</v>
      </c>
    </row>
    <row r="4921" spans="1:37">
      <c r="A4921" t="s">
        <v>39</v>
      </c>
      <c r="B4921" t="s">
        <v>54</v>
      </c>
      <c r="C4921" t="s">
        <v>54</v>
      </c>
      <c r="D4921" t="s">
        <v>54</v>
      </c>
      <c r="E4921" t="s">
        <v>54</v>
      </c>
      <c r="F4921" t="s">
        <v>54</v>
      </c>
      <c r="G4921" t="s">
        <v>54</v>
      </c>
      <c r="H4921" t="s">
        <v>54</v>
      </c>
      <c r="I4921" t="s">
        <v>54</v>
      </c>
      <c r="J4921" t="s">
        <v>54</v>
      </c>
      <c r="K4921" t="s">
        <v>54</v>
      </c>
      <c r="L4921" t="s">
        <v>54</v>
      </c>
      <c r="M4921" t="s">
        <v>54</v>
      </c>
      <c r="N4921" t="s">
        <v>54</v>
      </c>
      <c r="O4921" t="s">
        <v>54</v>
      </c>
      <c r="P4921" t="s">
        <v>54</v>
      </c>
      <c r="Q4921" t="s">
        <v>54</v>
      </c>
      <c r="R4921" t="s">
        <v>323</v>
      </c>
      <c r="S4921" t="s">
        <v>330</v>
      </c>
      <c r="AK4921" t="s">
        <v>362</v>
      </c>
    </row>
    <row r="4922" spans="1:37">
      <c r="B4922" t="s">
        <v>55</v>
      </c>
      <c r="C4922" t="s">
        <v>78</v>
      </c>
      <c r="D4922" t="s">
        <v>55</v>
      </c>
      <c r="E4922" t="s">
        <v>78</v>
      </c>
      <c r="F4922" t="s">
        <v>55</v>
      </c>
      <c r="G4922" t="s">
        <v>78</v>
      </c>
      <c r="H4922" t="s">
        <v>55</v>
      </c>
      <c r="I4922" t="s">
        <v>78</v>
      </c>
      <c r="J4922" t="s">
        <v>55</v>
      </c>
      <c r="K4922" t="s">
        <v>78</v>
      </c>
      <c r="L4922" t="s">
        <v>55</v>
      </c>
      <c r="M4922" t="s">
        <v>78</v>
      </c>
      <c r="N4922" t="s">
        <v>55</v>
      </c>
      <c r="O4922" t="s">
        <v>78</v>
      </c>
      <c r="P4922" t="s">
        <v>55</v>
      </c>
      <c r="Q4922" t="s">
        <v>78</v>
      </c>
      <c r="R4922" t="s">
        <v>55</v>
      </c>
      <c r="S4922" t="s">
        <v>78</v>
      </c>
      <c r="T4922" t="s">
        <v>55</v>
      </c>
      <c r="U4922" t="s">
        <v>78</v>
      </c>
      <c r="V4922" t="s">
        <v>55</v>
      </c>
      <c r="W4922" t="s">
        <v>78</v>
      </c>
      <c r="X4922" t="s">
        <v>55</v>
      </c>
      <c r="Y4922" t="s">
        <v>78</v>
      </c>
      <c r="Z4922" t="s">
        <v>55</v>
      </c>
      <c r="AA4922" t="s">
        <v>78</v>
      </c>
      <c r="AB4922" t="s">
        <v>55</v>
      </c>
      <c r="AC4922" t="s">
        <v>78</v>
      </c>
      <c r="AD4922" t="s">
        <v>55</v>
      </c>
      <c r="AE4922" t="s">
        <v>78</v>
      </c>
      <c r="AF4922" t="s">
        <v>55</v>
      </c>
      <c r="AG4922" t="s">
        <v>78</v>
      </c>
      <c r="AH4922" t="s">
        <v>55</v>
      </c>
      <c r="AI4922" t="s">
        <v>78</v>
      </c>
      <c r="AK4922" t="s">
        <v>362</v>
      </c>
    </row>
    <row r="4923" spans="1:37">
      <c r="B4923" t="s">
        <v>56</v>
      </c>
      <c r="C4923" t="s">
        <v>56</v>
      </c>
      <c r="D4923" t="s">
        <v>56</v>
      </c>
      <c r="E4923" t="s">
        <v>56</v>
      </c>
      <c r="F4923" t="s">
        <v>56</v>
      </c>
      <c r="G4923" t="s">
        <v>176</v>
      </c>
      <c r="H4923" t="s">
        <v>211</v>
      </c>
      <c r="I4923" t="s">
        <v>231</v>
      </c>
      <c r="J4923" t="s">
        <v>250</v>
      </c>
      <c r="K4923" t="s">
        <v>264</v>
      </c>
      <c r="L4923" t="s">
        <v>276</v>
      </c>
      <c r="M4923" t="s">
        <v>285</v>
      </c>
      <c r="N4923" t="s">
        <v>295</v>
      </c>
      <c r="O4923" t="s">
        <v>303</v>
      </c>
      <c r="P4923" t="s">
        <v>56</v>
      </c>
      <c r="Q4923" t="s">
        <v>317</v>
      </c>
      <c r="R4923" t="s">
        <v>324</v>
      </c>
      <c r="S4923" t="s">
        <v>331</v>
      </c>
      <c r="T4923" t="s">
        <v>334</v>
      </c>
      <c r="U4923" t="s">
        <v>338</v>
      </c>
      <c r="V4923" t="s">
        <v>342</v>
      </c>
      <c r="W4923" t="s">
        <v>346</v>
      </c>
      <c r="X4923" t="s">
        <v>351</v>
      </c>
      <c r="AK4923" t="s">
        <v>362</v>
      </c>
    </row>
    <row r="4924" spans="1:37">
      <c r="B4924" t="s">
        <v>57</v>
      </c>
      <c r="C4924" t="s">
        <v>79</v>
      </c>
      <c r="D4924" t="s">
        <v>98</v>
      </c>
      <c r="E4924" t="s">
        <v>117</v>
      </c>
      <c r="F4924" t="s">
        <v>151</v>
      </c>
      <c r="G4924" t="s">
        <v>177</v>
      </c>
      <c r="H4924" t="s">
        <v>212</v>
      </c>
      <c r="I4924" t="s">
        <v>232</v>
      </c>
      <c r="J4924" t="s">
        <v>251</v>
      </c>
      <c r="K4924" t="s">
        <v>265</v>
      </c>
      <c r="L4924" t="s">
        <v>277</v>
      </c>
      <c r="M4924" t="s">
        <v>286</v>
      </c>
      <c r="N4924" t="s">
        <v>296</v>
      </c>
      <c r="O4924" t="s">
        <v>304</v>
      </c>
      <c r="P4924" t="s">
        <v>311</v>
      </c>
      <c r="Q4924" t="s">
        <v>318</v>
      </c>
      <c r="R4924" t="s">
        <v>185</v>
      </c>
      <c r="S4924" t="s">
        <v>159</v>
      </c>
      <c r="T4924" t="s">
        <v>185</v>
      </c>
      <c r="U4924" t="s">
        <v>339</v>
      </c>
      <c r="V4924" t="s">
        <v>72</v>
      </c>
      <c r="W4924" t="s">
        <v>347</v>
      </c>
      <c r="X4924" t="s">
        <v>72</v>
      </c>
      <c r="Y4924" t="s">
        <v>96</v>
      </c>
      <c r="AK4924" t="s">
        <v>362</v>
      </c>
    </row>
    <row r="4925" spans="1:37">
      <c r="B4925" t="s">
        <v>58</v>
      </c>
      <c r="C4925" t="s">
        <v>80</v>
      </c>
      <c r="D4925" t="s">
        <v>99</v>
      </c>
      <c r="E4925" t="s">
        <v>118</v>
      </c>
      <c r="F4925" t="s">
        <v>152</v>
      </c>
      <c r="G4925" t="s">
        <v>178</v>
      </c>
      <c r="H4925" t="s">
        <v>213</v>
      </c>
      <c r="I4925" t="s">
        <v>233</v>
      </c>
      <c r="J4925" t="s">
        <v>252</v>
      </c>
      <c r="K4925" t="s">
        <v>266</v>
      </c>
      <c r="L4925" t="s">
        <v>278</v>
      </c>
      <c r="M4925" t="s">
        <v>287</v>
      </c>
      <c r="N4925" t="s">
        <v>297</v>
      </c>
      <c r="O4925" t="s">
        <v>305</v>
      </c>
      <c r="P4925" t="s">
        <v>312</v>
      </c>
      <c r="Q4925" t="s">
        <v>319</v>
      </c>
      <c r="R4925">
        <f>&gt;10       ветра      1.0     15   6</f>
        <v>0</v>
      </c>
      <c r="AK4925" t="s">
        <v>362</v>
      </c>
    </row>
    <row r="4926" spans="1:37">
      <c r="A4926" t="s">
        <v>40</v>
      </c>
      <c r="B4926" t="s">
        <v>59</v>
      </c>
      <c r="C4926" t="s">
        <v>81</v>
      </c>
      <c r="D4926" t="s">
        <v>100</v>
      </c>
      <c r="E4926" t="s">
        <v>119</v>
      </c>
      <c r="F4926" t="s">
        <v>153</v>
      </c>
      <c r="G4926" t="s">
        <v>179</v>
      </c>
      <c r="H4926" t="s">
        <v>214</v>
      </c>
      <c r="I4926" t="s">
        <v>234</v>
      </c>
      <c r="AK4926" t="s">
        <v>362</v>
      </c>
    </row>
    <row r="4927" spans="1:37">
      <c r="A4927" t="s">
        <v>40</v>
      </c>
      <c r="B4927" t="s">
        <v>60</v>
      </c>
      <c r="C4927" t="s">
        <v>82</v>
      </c>
      <c r="D4927" t="s">
        <v>101</v>
      </c>
      <c r="E4927" t="s">
        <v>120</v>
      </c>
      <c r="F4927" t="s">
        <v>154</v>
      </c>
      <c r="G4927" t="s">
        <v>180</v>
      </c>
      <c r="H4927" t="s">
        <v>215</v>
      </c>
      <c r="I4927" t="s">
        <v>235</v>
      </c>
      <c r="J4927" t="s">
        <v>253</v>
      </c>
      <c r="K4927" t="s">
        <v>267</v>
      </c>
      <c r="L4927" t="s">
        <v>279</v>
      </c>
      <c r="M4927" t="s">
        <v>288</v>
      </c>
      <c r="N4927" t="s">
        <v>100</v>
      </c>
      <c r="O4927" t="s">
        <v>306</v>
      </c>
      <c r="P4927" t="s">
        <v>313</v>
      </c>
      <c r="Q4927" t="s">
        <v>320</v>
      </c>
      <c r="R4927" t="s">
        <v>325</v>
      </c>
      <c r="S4927" t="s">
        <v>332</v>
      </c>
      <c r="T4927" t="s">
        <v>119</v>
      </c>
      <c r="U4927" t="s">
        <v>234</v>
      </c>
      <c r="V4927" t="s">
        <v>343</v>
      </c>
      <c r="W4927" t="s">
        <v>348</v>
      </c>
      <c r="X4927" t="s">
        <v>352</v>
      </c>
      <c r="Y4927" t="s">
        <v>354</v>
      </c>
      <c r="AK4927" t="s">
        <v>362</v>
      </c>
    </row>
    <row r="4928" spans="1:37">
      <c r="A4928" t="s">
        <v>41</v>
      </c>
      <c r="B4928" t="s">
        <v>61</v>
      </c>
      <c r="C4928" t="s">
        <v>83</v>
      </c>
      <c r="D4928" t="s">
        <v>102</v>
      </c>
      <c r="E4928" t="s">
        <v>121</v>
      </c>
      <c r="F4928" t="s">
        <v>155</v>
      </c>
      <c r="G4928" t="s">
        <v>181</v>
      </c>
      <c r="H4928" t="s">
        <v>216</v>
      </c>
      <c r="I4928" t="s">
        <v>236</v>
      </c>
      <c r="AK4928" t="s">
        <v>362</v>
      </c>
    </row>
    <row r="4929" spans="1:37">
      <c r="A4929" t="s">
        <v>42</v>
      </c>
      <c r="B4929" t="s">
        <v>62</v>
      </c>
      <c r="C4929" t="s">
        <v>84</v>
      </c>
      <c r="D4929" t="s">
        <v>103</v>
      </c>
      <c r="E4929" t="s">
        <v>122</v>
      </c>
      <c r="F4929" t="s">
        <v>156</v>
      </c>
      <c r="G4929" t="s">
        <v>182</v>
      </c>
      <c r="H4929" t="s">
        <v>83</v>
      </c>
      <c r="I4929" t="s">
        <v>237</v>
      </c>
      <c r="J4929" t="s">
        <v>254</v>
      </c>
      <c r="K4929" t="s">
        <v>268</v>
      </c>
      <c r="L4929" t="s">
        <v>280</v>
      </c>
      <c r="M4929" t="s">
        <v>289</v>
      </c>
      <c r="N4929" t="s">
        <v>298</v>
      </c>
      <c r="O4929" t="s">
        <v>307</v>
      </c>
      <c r="P4929" t="s">
        <v>314</v>
      </c>
      <c r="Q4929" t="s">
        <v>216</v>
      </c>
      <c r="R4929" t="s">
        <v>326</v>
      </c>
      <c r="S4929" t="s">
        <v>333</v>
      </c>
      <c r="T4929" t="s">
        <v>335</v>
      </c>
      <c r="U4929" t="s">
        <v>340</v>
      </c>
      <c r="V4929" t="s">
        <v>344</v>
      </c>
      <c r="W4929" t="s">
        <v>349</v>
      </c>
      <c r="AK4929" t="s">
        <v>362</v>
      </c>
    </row>
    <row r="4930" spans="1:37">
      <c r="A4930" t="s">
        <v>43</v>
      </c>
      <c r="B4930" t="s">
        <v>63</v>
      </c>
      <c r="C4930" t="s">
        <v>85</v>
      </c>
      <c r="D4930" t="s">
        <v>104</v>
      </c>
      <c r="E4930" t="s">
        <v>123</v>
      </c>
      <c r="F4930" t="s">
        <v>157</v>
      </c>
      <c r="G4930" t="s">
        <v>183</v>
      </c>
      <c r="AK4930" t="s">
        <v>362</v>
      </c>
    </row>
    <row r="4931" spans="1:37">
      <c r="A4931" t="s">
        <v>44</v>
      </c>
      <c r="B4931" t="s">
        <v>64</v>
      </c>
      <c r="C4931" t="s">
        <v>86</v>
      </c>
      <c r="D4931" t="s">
        <v>105</v>
      </c>
      <c r="E4931" t="s">
        <v>124</v>
      </c>
      <c r="F4931" t="s">
        <v>158</v>
      </c>
      <c r="G4931" t="s">
        <v>184</v>
      </c>
      <c r="AK4931" t="s">
        <v>362</v>
      </c>
    </row>
    <row r="4932" spans="1:37">
      <c r="A4932" t="s">
        <v>45</v>
      </c>
      <c r="B4932" t="s">
        <v>65</v>
      </c>
      <c r="C4932" t="s">
        <v>87</v>
      </c>
      <c r="D4932" t="s">
        <v>106</v>
      </c>
      <c r="E4932" t="s">
        <v>125</v>
      </c>
      <c r="F4932" t="s">
        <v>159</v>
      </c>
      <c r="G4932" t="s">
        <v>185</v>
      </c>
      <c r="H4932" t="s">
        <v>159</v>
      </c>
      <c r="I4932" t="s">
        <v>185</v>
      </c>
      <c r="J4932" t="s">
        <v>255</v>
      </c>
      <c r="AK4932" t="s">
        <v>362</v>
      </c>
    </row>
    <row r="4933" spans="1:37">
      <c r="A4933" t="s">
        <v>46</v>
      </c>
      <c r="B4933" t="s">
        <v>66</v>
      </c>
      <c r="C4933" t="s">
        <v>88</v>
      </c>
      <c r="D4933" t="s">
        <v>76</v>
      </c>
      <c r="E4933" t="s">
        <v>126</v>
      </c>
      <c r="F4933" t="s">
        <v>160</v>
      </c>
      <c r="G4933" t="s">
        <v>186</v>
      </c>
      <c r="H4933" t="s">
        <v>217</v>
      </c>
      <c r="I4933" t="s">
        <v>238</v>
      </c>
      <c r="J4933" t="s">
        <v>256</v>
      </c>
      <c r="K4933" t="s">
        <v>265</v>
      </c>
      <c r="L4933" t="s">
        <v>281</v>
      </c>
      <c r="M4933" t="s">
        <v>290</v>
      </c>
      <c r="N4933" t="s">
        <v>299</v>
      </c>
      <c r="O4933" t="s">
        <v>308</v>
      </c>
      <c r="P4933" t="s">
        <v>228</v>
      </c>
      <c r="Q4933" t="s">
        <v>72</v>
      </c>
      <c r="R4933" t="s">
        <v>327</v>
      </c>
      <c r="S4933" t="s">
        <v>327</v>
      </c>
      <c r="T4933" t="s">
        <v>336</v>
      </c>
      <c r="U4933" t="s">
        <v>336</v>
      </c>
      <c r="V4933" t="s">
        <v>336</v>
      </c>
      <c r="W4933" t="s">
        <v>336</v>
      </c>
      <c r="X4933" t="s">
        <v>353</v>
      </c>
      <c r="AK4933" t="s">
        <v>362</v>
      </c>
    </row>
    <row r="4934" spans="1:37">
      <c r="B4934" t="s">
        <v>67</v>
      </c>
      <c r="C4934" t="s">
        <v>89</v>
      </c>
      <c r="D4934" t="s">
        <v>107</v>
      </c>
      <c r="AK4934" t="s">
        <v>362</v>
      </c>
    </row>
    <row r="4935" spans="1:37">
      <c r="B4935" t="s">
        <v>68</v>
      </c>
      <c r="C4935" t="s">
        <v>90</v>
      </c>
      <c r="D4935" t="s">
        <v>108</v>
      </c>
      <c r="AK4935" t="s">
        <v>362</v>
      </c>
    </row>
    <row r="4936" spans="1:37">
      <c r="A4936" t="s">
        <v>47</v>
      </c>
      <c r="B4936" t="s">
        <v>69</v>
      </c>
      <c r="C4936" t="s">
        <v>91</v>
      </c>
      <c r="D4936" t="s">
        <v>109</v>
      </c>
      <c r="E4936" t="s">
        <v>109</v>
      </c>
      <c r="F4936" t="s">
        <v>109</v>
      </c>
      <c r="G4936" t="s">
        <v>109</v>
      </c>
      <c r="H4936" t="s">
        <v>109</v>
      </c>
      <c r="I4936" t="s">
        <v>239</v>
      </c>
      <c r="AK4936" t="s">
        <v>362</v>
      </c>
    </row>
    <row r="4937" spans="1:37">
      <c r="B4937" t="s">
        <v>70</v>
      </c>
      <c r="C4937" t="s">
        <v>92</v>
      </c>
      <c r="D4937" t="s">
        <v>110</v>
      </c>
      <c r="E4937" t="s">
        <v>127</v>
      </c>
      <c r="F4937" t="s">
        <v>161</v>
      </c>
      <c r="G4937" t="s">
        <v>187</v>
      </c>
      <c r="H4937" t="s">
        <v>218</v>
      </c>
      <c r="AK4937" t="s">
        <v>362</v>
      </c>
    </row>
    <row r="4938" spans="1:37">
      <c r="B4938" t="s">
        <v>71</v>
      </c>
      <c r="C4938" t="s">
        <v>93</v>
      </c>
      <c r="D4938" t="s">
        <v>111</v>
      </c>
      <c r="E4938" t="s">
        <v>128</v>
      </c>
      <c r="F4938" t="s">
        <v>162</v>
      </c>
      <c r="G4938" t="s">
        <v>188</v>
      </c>
      <c r="H4938" t="s">
        <v>219</v>
      </c>
      <c r="I4938" t="s">
        <v>240</v>
      </c>
      <c r="J4938" t="s">
        <v>257</v>
      </c>
      <c r="K4938" t="s">
        <v>269</v>
      </c>
      <c r="L4938" t="s">
        <v>109</v>
      </c>
      <c r="M4938" t="s">
        <v>109</v>
      </c>
      <c r="N4938" t="s">
        <v>109</v>
      </c>
      <c r="O4938" t="s">
        <v>109</v>
      </c>
      <c r="P4938" t="s">
        <v>109</v>
      </c>
      <c r="Q4938" t="s">
        <v>321</v>
      </c>
      <c r="AK4938" t="s">
        <v>362</v>
      </c>
    </row>
    <row r="4939" spans="1:37">
      <c r="A4939" t="s">
        <v>48</v>
      </c>
      <c r="B4939" t="s">
        <v>71</v>
      </c>
      <c r="C4939" t="s">
        <v>93</v>
      </c>
      <c r="D4939" t="s">
        <v>111</v>
      </c>
      <c r="E4939" t="s">
        <v>128</v>
      </c>
      <c r="F4939" t="s">
        <v>163</v>
      </c>
      <c r="G4939" t="s">
        <v>189</v>
      </c>
      <c r="H4939" t="s">
        <v>220</v>
      </c>
      <c r="I4939" t="s">
        <v>241</v>
      </c>
      <c r="J4939" t="s">
        <v>258</v>
      </c>
      <c r="K4939" t="s">
        <v>270</v>
      </c>
      <c r="AK4939" t="s">
        <v>362</v>
      </c>
    </row>
    <row r="4940" spans="1:37">
      <c r="B4940" t="s">
        <v>72</v>
      </c>
      <c r="C4940" t="s">
        <v>72</v>
      </c>
      <c r="D4940" t="s">
        <v>72</v>
      </c>
      <c r="E4940" t="s">
        <v>72</v>
      </c>
      <c r="F4940" t="s">
        <v>72</v>
      </c>
      <c r="G4940" t="s">
        <v>72</v>
      </c>
      <c r="H4940" t="s">
        <v>72</v>
      </c>
      <c r="I4940" t="s">
        <v>72</v>
      </c>
      <c r="J4940" t="s">
        <v>72</v>
      </c>
      <c r="K4940" t="s">
        <v>272</v>
      </c>
      <c r="AK4940" t="s">
        <v>362</v>
      </c>
    </row>
    <row r="4941" spans="1:37">
      <c r="A4941" t="s">
        <v>37</v>
      </c>
      <c r="B4941" t="s">
        <v>49</v>
      </c>
      <c r="C4941" t="s">
        <v>73</v>
      </c>
      <c r="D4941" t="s">
        <v>94</v>
      </c>
      <c r="E4941" t="s">
        <v>112</v>
      </c>
      <c r="F4941" t="s">
        <v>146</v>
      </c>
      <c r="G4941" t="s">
        <v>172</v>
      </c>
      <c r="H4941" t="s">
        <v>207</v>
      </c>
      <c r="I4941" t="s">
        <v>226</v>
      </c>
      <c r="J4941" t="s">
        <v>246</v>
      </c>
      <c r="K4941" t="s">
        <v>259</v>
      </c>
      <c r="AK4941" t="s">
        <v>362</v>
      </c>
    </row>
    <row r="4942" spans="1:37">
      <c r="A4942" t="s">
        <v>38</v>
      </c>
      <c r="B4942" t="s">
        <v>50</v>
      </c>
      <c r="C4942" t="s">
        <v>74</v>
      </c>
      <c r="D4942" t="s">
        <v>95</v>
      </c>
      <c r="E4942" t="s">
        <v>113</v>
      </c>
      <c r="F4942" t="s">
        <v>147</v>
      </c>
      <c r="G4942" t="s">
        <v>173</v>
      </c>
      <c r="H4942" t="s">
        <v>208</v>
      </c>
      <c r="I4942" t="s">
        <v>227</v>
      </c>
      <c r="J4942" t="s">
        <v>115</v>
      </c>
      <c r="K4942" t="s">
        <v>260</v>
      </c>
      <c r="L4942" t="s">
        <v>273</v>
      </c>
      <c r="M4942" t="s">
        <v>282</v>
      </c>
      <c r="N4942" t="s">
        <v>291</v>
      </c>
      <c r="AK4942" t="s">
        <v>362</v>
      </c>
    </row>
    <row r="4943" spans="1:37">
      <c r="B4943" t="s">
        <v>51</v>
      </c>
      <c r="C4943" t="s">
        <v>75</v>
      </c>
      <c r="D4943" t="s">
        <v>52</v>
      </c>
      <c r="E4943" t="s">
        <v>114</v>
      </c>
      <c r="F4943" t="s">
        <v>148</v>
      </c>
      <c r="G4943" t="s">
        <v>148</v>
      </c>
      <c r="H4943" t="s">
        <v>209</v>
      </c>
      <c r="I4943" t="s">
        <v>228</v>
      </c>
      <c r="J4943" t="s">
        <v>247</v>
      </c>
      <c r="K4943" t="s">
        <v>261</v>
      </c>
      <c r="L4943" t="s">
        <v>274</v>
      </c>
      <c r="M4943" t="s">
        <v>283</v>
      </c>
      <c r="N4943" t="s">
        <v>292</v>
      </c>
      <c r="O4943" t="s">
        <v>300</v>
      </c>
      <c r="AK4943" t="s">
        <v>362</v>
      </c>
    </row>
    <row r="4944" spans="1:37">
      <c r="B4944" t="s">
        <v>52</v>
      </c>
      <c r="C4944" t="s">
        <v>76</v>
      </c>
      <c r="D4944" t="s">
        <v>96</v>
      </c>
      <c r="E4944" t="s">
        <v>115</v>
      </c>
      <c r="F4944" t="s">
        <v>149</v>
      </c>
      <c r="G4944" t="s">
        <v>174</v>
      </c>
      <c r="H4944" t="s">
        <v>96</v>
      </c>
      <c r="I4944" t="s">
        <v>229</v>
      </c>
      <c r="J4944" t="s">
        <v>248</v>
      </c>
      <c r="K4944" t="s">
        <v>262</v>
      </c>
      <c r="L4944" t="s">
        <v>52</v>
      </c>
      <c r="M4944" t="s">
        <v>76</v>
      </c>
      <c r="N4944" t="s">
        <v>293</v>
      </c>
      <c r="O4944" t="s">
        <v>301</v>
      </c>
      <c r="P4944" t="s">
        <v>309</v>
      </c>
      <c r="Q4944" t="s">
        <v>315</v>
      </c>
      <c r="R4944" t="s">
        <v>228</v>
      </c>
      <c r="S4944" t="s">
        <v>328</v>
      </c>
      <c r="T4944" t="s">
        <v>149</v>
      </c>
      <c r="U4944" t="s">
        <v>337</v>
      </c>
      <c r="V4944" t="s">
        <v>341</v>
      </c>
      <c r="W4944" t="s">
        <v>345</v>
      </c>
      <c r="X4944" t="s">
        <v>350</v>
      </c>
      <c r="AK4944" t="s">
        <v>362</v>
      </c>
    </row>
    <row r="4945" spans="1:37">
      <c r="B4945" t="s">
        <v>53</v>
      </c>
      <c r="C4945" t="s">
        <v>77</v>
      </c>
      <c r="D4945" t="s">
        <v>97</v>
      </c>
      <c r="E4945" t="s">
        <v>116</v>
      </c>
      <c r="F4945" t="s">
        <v>150</v>
      </c>
      <c r="G4945" t="s">
        <v>175</v>
      </c>
      <c r="H4945" t="s">
        <v>210</v>
      </c>
      <c r="I4945" t="s">
        <v>230</v>
      </c>
      <c r="J4945" t="s">
        <v>249</v>
      </c>
      <c r="K4945" t="s">
        <v>263</v>
      </c>
      <c r="L4945" t="s">
        <v>275</v>
      </c>
      <c r="M4945" t="s">
        <v>284</v>
      </c>
      <c r="N4945" t="s">
        <v>294</v>
      </c>
      <c r="O4945" t="s">
        <v>302</v>
      </c>
      <c r="P4945" t="s">
        <v>310</v>
      </c>
      <c r="Q4945" t="s">
        <v>316</v>
      </c>
      <c r="R4945" t="s">
        <v>322</v>
      </c>
      <c r="S4945" t="s">
        <v>329</v>
      </c>
      <c r="AK4945" t="s">
        <v>362</v>
      </c>
    </row>
    <row r="4946" spans="1:37">
      <c r="A4946" t="s">
        <v>39</v>
      </c>
      <c r="B4946" t="s">
        <v>54</v>
      </c>
      <c r="C4946" t="s">
        <v>54</v>
      </c>
      <c r="D4946" t="s">
        <v>54</v>
      </c>
      <c r="E4946" t="s">
        <v>54</v>
      </c>
      <c r="F4946" t="s">
        <v>54</v>
      </c>
      <c r="G4946" t="s">
        <v>54</v>
      </c>
      <c r="H4946" t="s">
        <v>54</v>
      </c>
      <c r="I4946" t="s">
        <v>54</v>
      </c>
      <c r="J4946" t="s">
        <v>54</v>
      </c>
      <c r="K4946" t="s">
        <v>54</v>
      </c>
      <c r="L4946" t="s">
        <v>54</v>
      </c>
      <c r="M4946" t="s">
        <v>54</v>
      </c>
      <c r="N4946" t="s">
        <v>54</v>
      </c>
      <c r="O4946" t="s">
        <v>54</v>
      </c>
      <c r="P4946" t="s">
        <v>54</v>
      </c>
      <c r="Q4946" t="s">
        <v>54</v>
      </c>
      <c r="R4946" t="s">
        <v>323</v>
      </c>
      <c r="S4946" t="s">
        <v>330</v>
      </c>
      <c r="AK4946" t="s">
        <v>362</v>
      </c>
    </row>
    <row r="4947" spans="1:37">
      <c r="B4947" t="s">
        <v>55</v>
      </c>
      <c r="C4947" t="s">
        <v>78</v>
      </c>
      <c r="D4947" t="s">
        <v>55</v>
      </c>
      <c r="E4947" t="s">
        <v>78</v>
      </c>
      <c r="F4947" t="s">
        <v>55</v>
      </c>
      <c r="G4947" t="s">
        <v>78</v>
      </c>
      <c r="H4947" t="s">
        <v>55</v>
      </c>
      <c r="I4947" t="s">
        <v>78</v>
      </c>
      <c r="J4947" t="s">
        <v>55</v>
      </c>
      <c r="K4947" t="s">
        <v>78</v>
      </c>
      <c r="L4947" t="s">
        <v>55</v>
      </c>
      <c r="M4947" t="s">
        <v>78</v>
      </c>
      <c r="N4947" t="s">
        <v>55</v>
      </c>
      <c r="O4947" t="s">
        <v>78</v>
      </c>
      <c r="P4947" t="s">
        <v>55</v>
      </c>
      <c r="Q4947" t="s">
        <v>78</v>
      </c>
      <c r="R4947" t="s">
        <v>55</v>
      </c>
      <c r="S4947" t="s">
        <v>78</v>
      </c>
      <c r="T4947" t="s">
        <v>55</v>
      </c>
      <c r="U4947" t="s">
        <v>78</v>
      </c>
      <c r="V4947" t="s">
        <v>55</v>
      </c>
      <c r="W4947" t="s">
        <v>78</v>
      </c>
      <c r="X4947" t="s">
        <v>55</v>
      </c>
      <c r="Y4947" t="s">
        <v>78</v>
      </c>
      <c r="Z4947" t="s">
        <v>55</v>
      </c>
      <c r="AA4947" t="s">
        <v>78</v>
      </c>
      <c r="AB4947" t="s">
        <v>55</v>
      </c>
      <c r="AC4947" t="s">
        <v>78</v>
      </c>
      <c r="AD4947" t="s">
        <v>55</v>
      </c>
      <c r="AE4947" t="s">
        <v>78</v>
      </c>
      <c r="AF4947" t="s">
        <v>55</v>
      </c>
      <c r="AG4947" t="s">
        <v>78</v>
      </c>
      <c r="AH4947" t="s">
        <v>55</v>
      </c>
      <c r="AI4947" t="s">
        <v>78</v>
      </c>
      <c r="AK4947" t="s">
        <v>362</v>
      </c>
    </row>
    <row r="4948" spans="1:37">
      <c r="B4948" t="s">
        <v>56</v>
      </c>
      <c r="C4948" t="s">
        <v>56</v>
      </c>
      <c r="D4948" t="s">
        <v>56</v>
      </c>
      <c r="E4948" t="s">
        <v>56</v>
      </c>
      <c r="F4948" t="s">
        <v>56</v>
      </c>
      <c r="G4948" t="s">
        <v>176</v>
      </c>
      <c r="H4948" t="s">
        <v>211</v>
      </c>
      <c r="I4948" t="s">
        <v>231</v>
      </c>
      <c r="J4948" t="s">
        <v>250</v>
      </c>
      <c r="K4948" t="s">
        <v>264</v>
      </c>
      <c r="L4948" t="s">
        <v>276</v>
      </c>
      <c r="M4948" t="s">
        <v>285</v>
      </c>
      <c r="N4948" t="s">
        <v>295</v>
      </c>
      <c r="O4948" t="s">
        <v>303</v>
      </c>
      <c r="P4948" t="s">
        <v>56</v>
      </c>
      <c r="Q4948" t="s">
        <v>317</v>
      </c>
      <c r="R4948" t="s">
        <v>324</v>
      </c>
      <c r="S4948" t="s">
        <v>331</v>
      </c>
      <c r="T4948" t="s">
        <v>334</v>
      </c>
      <c r="U4948" t="s">
        <v>338</v>
      </c>
      <c r="V4948" t="s">
        <v>342</v>
      </c>
      <c r="W4948" t="s">
        <v>346</v>
      </c>
      <c r="X4948" t="s">
        <v>351</v>
      </c>
      <c r="AK4948" t="s">
        <v>362</v>
      </c>
    </row>
    <row r="4949" spans="1:37">
      <c r="B4949" t="s">
        <v>57</v>
      </c>
      <c r="C4949" t="s">
        <v>79</v>
      </c>
      <c r="D4949" t="s">
        <v>98</v>
      </c>
      <c r="E4949" t="s">
        <v>117</v>
      </c>
      <c r="F4949" t="s">
        <v>151</v>
      </c>
      <c r="G4949" t="s">
        <v>177</v>
      </c>
      <c r="H4949" t="s">
        <v>212</v>
      </c>
      <c r="I4949" t="s">
        <v>232</v>
      </c>
      <c r="J4949" t="s">
        <v>251</v>
      </c>
      <c r="K4949" t="s">
        <v>265</v>
      </c>
      <c r="L4949" t="s">
        <v>277</v>
      </c>
      <c r="M4949" t="s">
        <v>286</v>
      </c>
      <c r="N4949" t="s">
        <v>296</v>
      </c>
      <c r="O4949" t="s">
        <v>304</v>
      </c>
      <c r="P4949" t="s">
        <v>311</v>
      </c>
      <c r="Q4949" t="s">
        <v>318</v>
      </c>
      <c r="R4949" t="s">
        <v>185</v>
      </c>
      <c r="S4949" t="s">
        <v>159</v>
      </c>
      <c r="T4949" t="s">
        <v>185</v>
      </c>
      <c r="U4949" t="s">
        <v>339</v>
      </c>
      <c r="V4949" t="s">
        <v>72</v>
      </c>
      <c r="W4949" t="s">
        <v>347</v>
      </c>
      <c r="X4949" t="s">
        <v>72</v>
      </c>
      <c r="Y4949" t="s">
        <v>96</v>
      </c>
      <c r="AK4949" t="s">
        <v>362</v>
      </c>
    </row>
    <row r="4950" spans="1:37">
      <c r="B4950" t="s">
        <v>58</v>
      </c>
      <c r="C4950" t="s">
        <v>80</v>
      </c>
      <c r="D4950" t="s">
        <v>99</v>
      </c>
      <c r="E4950" t="s">
        <v>118</v>
      </c>
      <c r="F4950" t="s">
        <v>152</v>
      </c>
      <c r="G4950" t="s">
        <v>178</v>
      </c>
      <c r="H4950" t="s">
        <v>213</v>
      </c>
      <c r="I4950" t="s">
        <v>233</v>
      </c>
      <c r="J4950" t="s">
        <v>252</v>
      </c>
      <c r="K4950" t="s">
        <v>266</v>
      </c>
      <c r="L4950" t="s">
        <v>278</v>
      </c>
      <c r="M4950" t="s">
        <v>287</v>
      </c>
      <c r="N4950" t="s">
        <v>297</v>
      </c>
      <c r="O4950" t="s">
        <v>305</v>
      </c>
      <c r="P4950" t="s">
        <v>312</v>
      </c>
      <c r="Q4950" t="s">
        <v>319</v>
      </c>
      <c r="R4950">
        <f>&gt;10       ветра      2.0     13   1 26</f>
        <v>0</v>
      </c>
      <c r="AK4950" t="s">
        <v>362</v>
      </c>
    </row>
    <row r="4951" spans="1:37">
      <c r="A4951" t="s">
        <v>40</v>
      </c>
      <c r="B4951" t="s">
        <v>59</v>
      </c>
      <c r="C4951" t="s">
        <v>81</v>
      </c>
      <c r="D4951" t="s">
        <v>100</v>
      </c>
      <c r="E4951" t="s">
        <v>119</v>
      </c>
      <c r="F4951" t="s">
        <v>153</v>
      </c>
      <c r="G4951" t="s">
        <v>179</v>
      </c>
      <c r="H4951" t="s">
        <v>214</v>
      </c>
      <c r="I4951" t="s">
        <v>234</v>
      </c>
      <c r="AK4951" t="s">
        <v>362</v>
      </c>
    </row>
    <row r="4952" spans="1:37">
      <c r="A4952" t="s">
        <v>40</v>
      </c>
      <c r="B4952" t="s">
        <v>60</v>
      </c>
      <c r="C4952" t="s">
        <v>82</v>
      </c>
      <c r="D4952" t="s">
        <v>101</v>
      </c>
      <c r="E4952" t="s">
        <v>120</v>
      </c>
      <c r="F4952" t="s">
        <v>154</v>
      </c>
      <c r="G4952" t="s">
        <v>180</v>
      </c>
      <c r="H4952" t="s">
        <v>215</v>
      </c>
      <c r="I4952" t="s">
        <v>235</v>
      </c>
      <c r="J4952" t="s">
        <v>253</v>
      </c>
      <c r="K4952" t="s">
        <v>267</v>
      </c>
      <c r="L4952" t="s">
        <v>279</v>
      </c>
      <c r="M4952" t="s">
        <v>288</v>
      </c>
      <c r="N4952" t="s">
        <v>100</v>
      </c>
      <c r="O4952" t="s">
        <v>306</v>
      </c>
      <c r="P4952" t="s">
        <v>313</v>
      </c>
      <c r="Q4952" t="s">
        <v>320</v>
      </c>
      <c r="R4952" t="s">
        <v>325</v>
      </c>
      <c r="S4952" t="s">
        <v>332</v>
      </c>
      <c r="T4952" t="s">
        <v>119</v>
      </c>
      <c r="U4952" t="s">
        <v>234</v>
      </c>
      <c r="V4952" t="s">
        <v>343</v>
      </c>
      <c r="W4952" t="s">
        <v>348</v>
      </c>
      <c r="X4952" t="s">
        <v>352</v>
      </c>
      <c r="Y4952" t="s">
        <v>354</v>
      </c>
      <c r="AK4952" t="s">
        <v>362</v>
      </c>
    </row>
    <row r="4953" spans="1:37">
      <c r="A4953" t="s">
        <v>41</v>
      </c>
      <c r="B4953" t="s">
        <v>61</v>
      </c>
      <c r="C4953" t="s">
        <v>83</v>
      </c>
      <c r="D4953" t="s">
        <v>102</v>
      </c>
      <c r="E4953" t="s">
        <v>121</v>
      </c>
      <c r="F4953" t="s">
        <v>155</v>
      </c>
      <c r="G4953" t="s">
        <v>181</v>
      </c>
      <c r="H4953" t="s">
        <v>216</v>
      </c>
      <c r="I4953" t="s">
        <v>236</v>
      </c>
      <c r="AK4953" t="s">
        <v>362</v>
      </c>
    </row>
    <row r="4954" spans="1:37">
      <c r="A4954" t="s">
        <v>42</v>
      </c>
      <c r="B4954" t="s">
        <v>62</v>
      </c>
      <c r="C4954" t="s">
        <v>84</v>
      </c>
      <c r="D4954" t="s">
        <v>103</v>
      </c>
      <c r="E4954" t="s">
        <v>122</v>
      </c>
      <c r="F4954" t="s">
        <v>156</v>
      </c>
      <c r="G4954" t="s">
        <v>182</v>
      </c>
      <c r="H4954" t="s">
        <v>83</v>
      </c>
      <c r="I4954" t="s">
        <v>237</v>
      </c>
      <c r="J4954" t="s">
        <v>254</v>
      </c>
      <c r="K4954" t="s">
        <v>268</v>
      </c>
      <c r="L4954" t="s">
        <v>280</v>
      </c>
      <c r="M4954" t="s">
        <v>289</v>
      </c>
      <c r="N4954" t="s">
        <v>298</v>
      </c>
      <c r="O4954" t="s">
        <v>307</v>
      </c>
      <c r="P4954" t="s">
        <v>314</v>
      </c>
      <c r="Q4954" t="s">
        <v>216</v>
      </c>
      <c r="R4954" t="s">
        <v>326</v>
      </c>
      <c r="S4954" t="s">
        <v>333</v>
      </c>
      <c r="T4954" t="s">
        <v>335</v>
      </c>
      <c r="U4954" t="s">
        <v>340</v>
      </c>
      <c r="V4954" t="s">
        <v>344</v>
      </c>
      <c r="W4954" t="s">
        <v>349</v>
      </c>
      <c r="AK4954" t="s">
        <v>362</v>
      </c>
    </row>
    <row r="4955" spans="1:37">
      <c r="A4955" t="s">
        <v>43</v>
      </c>
      <c r="B4955" t="s">
        <v>63</v>
      </c>
      <c r="C4955" t="s">
        <v>85</v>
      </c>
      <c r="D4955" t="s">
        <v>104</v>
      </c>
      <c r="E4955" t="s">
        <v>123</v>
      </c>
      <c r="F4955" t="s">
        <v>157</v>
      </c>
      <c r="G4955" t="s">
        <v>183</v>
      </c>
      <c r="AK4955" t="s">
        <v>362</v>
      </c>
    </row>
    <row r="4956" spans="1:37">
      <c r="A4956" t="s">
        <v>44</v>
      </c>
      <c r="B4956" t="s">
        <v>64</v>
      </c>
      <c r="C4956" t="s">
        <v>86</v>
      </c>
      <c r="D4956" t="s">
        <v>105</v>
      </c>
      <c r="E4956" t="s">
        <v>124</v>
      </c>
      <c r="F4956" t="s">
        <v>158</v>
      </c>
      <c r="G4956" t="s">
        <v>184</v>
      </c>
      <c r="AK4956" t="s">
        <v>362</v>
      </c>
    </row>
    <row r="4957" spans="1:37">
      <c r="A4957" t="s">
        <v>45</v>
      </c>
      <c r="B4957" t="s">
        <v>65</v>
      </c>
      <c r="C4957" t="s">
        <v>87</v>
      </c>
      <c r="D4957" t="s">
        <v>106</v>
      </c>
      <c r="E4957" t="s">
        <v>125</v>
      </c>
      <c r="F4957" t="s">
        <v>159</v>
      </c>
      <c r="G4957" t="s">
        <v>185</v>
      </c>
      <c r="H4957" t="s">
        <v>159</v>
      </c>
      <c r="I4957" t="s">
        <v>185</v>
      </c>
      <c r="J4957" t="s">
        <v>255</v>
      </c>
      <c r="AK4957" t="s">
        <v>362</v>
      </c>
    </row>
    <row r="4958" spans="1:37">
      <c r="A4958" t="s">
        <v>46</v>
      </c>
      <c r="B4958" t="s">
        <v>66</v>
      </c>
      <c r="C4958" t="s">
        <v>88</v>
      </c>
      <c r="D4958" t="s">
        <v>76</v>
      </c>
      <c r="E4958" t="s">
        <v>126</v>
      </c>
      <c r="F4958" t="s">
        <v>160</v>
      </c>
      <c r="G4958" t="s">
        <v>186</v>
      </c>
      <c r="H4958" t="s">
        <v>217</v>
      </c>
      <c r="I4958" t="s">
        <v>238</v>
      </c>
      <c r="J4958" t="s">
        <v>256</v>
      </c>
      <c r="K4958" t="s">
        <v>265</v>
      </c>
      <c r="L4958" t="s">
        <v>281</v>
      </c>
      <c r="M4958" t="s">
        <v>290</v>
      </c>
      <c r="N4958" t="s">
        <v>299</v>
      </c>
      <c r="O4958" t="s">
        <v>308</v>
      </c>
      <c r="P4958" t="s">
        <v>228</v>
      </c>
      <c r="Q4958" t="s">
        <v>72</v>
      </c>
      <c r="R4958" t="s">
        <v>327</v>
      </c>
      <c r="S4958" t="s">
        <v>327</v>
      </c>
      <c r="T4958" t="s">
        <v>336</v>
      </c>
      <c r="U4958" t="s">
        <v>336</v>
      </c>
      <c r="V4958" t="s">
        <v>336</v>
      </c>
      <c r="W4958" t="s">
        <v>336</v>
      </c>
      <c r="X4958" t="s">
        <v>353</v>
      </c>
      <c r="AK4958" t="s">
        <v>362</v>
      </c>
    </row>
    <row r="4959" spans="1:37">
      <c r="B4959" t="s">
        <v>67</v>
      </c>
      <c r="C4959" t="s">
        <v>89</v>
      </c>
      <c r="D4959" t="s">
        <v>107</v>
      </c>
      <c r="AK4959" t="s">
        <v>362</v>
      </c>
    </row>
    <row r="4960" spans="1:37">
      <c r="B4960" t="s">
        <v>68</v>
      </c>
      <c r="C4960" t="s">
        <v>90</v>
      </c>
      <c r="D4960" t="s">
        <v>108</v>
      </c>
      <c r="AK4960" t="s">
        <v>362</v>
      </c>
    </row>
    <row r="4961" spans="1:37">
      <c r="A4961" t="s">
        <v>47</v>
      </c>
      <c r="B4961" t="s">
        <v>69</v>
      </c>
      <c r="C4961" t="s">
        <v>91</v>
      </c>
      <c r="D4961" t="s">
        <v>109</v>
      </c>
      <c r="E4961" t="s">
        <v>109</v>
      </c>
      <c r="F4961" t="s">
        <v>109</v>
      </c>
      <c r="G4961" t="s">
        <v>109</v>
      </c>
      <c r="H4961" t="s">
        <v>109</v>
      </c>
      <c r="I4961" t="s">
        <v>239</v>
      </c>
      <c r="AK4961" t="s">
        <v>362</v>
      </c>
    </row>
    <row r="4962" spans="1:37">
      <c r="B4962" t="s">
        <v>70</v>
      </c>
      <c r="C4962" t="s">
        <v>92</v>
      </c>
      <c r="D4962" t="s">
        <v>110</v>
      </c>
      <c r="E4962" t="s">
        <v>127</v>
      </c>
      <c r="F4962" t="s">
        <v>161</v>
      </c>
      <c r="G4962" t="s">
        <v>187</v>
      </c>
      <c r="H4962" t="s">
        <v>218</v>
      </c>
      <c r="AK4962" t="s">
        <v>362</v>
      </c>
    </row>
    <row r="4963" spans="1:37">
      <c r="B4963" t="s">
        <v>71</v>
      </c>
      <c r="C4963" t="s">
        <v>93</v>
      </c>
      <c r="D4963" t="s">
        <v>111</v>
      </c>
      <c r="E4963" t="s">
        <v>128</v>
      </c>
      <c r="F4963" t="s">
        <v>162</v>
      </c>
      <c r="G4963" t="s">
        <v>188</v>
      </c>
      <c r="H4963" t="s">
        <v>219</v>
      </c>
      <c r="I4963" t="s">
        <v>240</v>
      </c>
      <c r="J4963" t="s">
        <v>257</v>
      </c>
      <c r="K4963" t="s">
        <v>269</v>
      </c>
      <c r="L4963" t="s">
        <v>109</v>
      </c>
      <c r="M4963" t="s">
        <v>109</v>
      </c>
      <c r="N4963" t="s">
        <v>109</v>
      </c>
      <c r="O4963" t="s">
        <v>109</v>
      </c>
      <c r="P4963" t="s">
        <v>109</v>
      </c>
      <c r="Q4963" t="s">
        <v>321</v>
      </c>
      <c r="AK4963" t="s">
        <v>362</v>
      </c>
    </row>
    <row r="4964" spans="1:37">
      <c r="A4964" t="s">
        <v>48</v>
      </c>
      <c r="B4964" t="s">
        <v>71</v>
      </c>
      <c r="C4964" t="s">
        <v>93</v>
      </c>
      <c r="D4964" t="s">
        <v>111</v>
      </c>
      <c r="E4964" t="s">
        <v>128</v>
      </c>
      <c r="F4964" t="s">
        <v>163</v>
      </c>
      <c r="G4964" t="s">
        <v>189</v>
      </c>
      <c r="H4964" t="s">
        <v>220</v>
      </c>
      <c r="I4964" t="s">
        <v>241</v>
      </c>
      <c r="J4964" t="s">
        <v>258</v>
      </c>
      <c r="K4964" t="s">
        <v>270</v>
      </c>
      <c r="AK4964" t="s">
        <v>362</v>
      </c>
    </row>
    <row r="4965" spans="1:37">
      <c r="B4965" t="s">
        <v>72</v>
      </c>
      <c r="C4965" t="s">
        <v>72</v>
      </c>
      <c r="D4965" t="s">
        <v>72</v>
      </c>
      <c r="E4965" t="s">
        <v>139</v>
      </c>
      <c r="F4965" t="s">
        <v>139</v>
      </c>
      <c r="G4965" t="s">
        <v>192</v>
      </c>
      <c r="H4965" t="s">
        <v>192</v>
      </c>
      <c r="I4965" t="s">
        <v>192</v>
      </c>
      <c r="J4965" t="s">
        <v>192</v>
      </c>
      <c r="K4965" t="s">
        <v>271</v>
      </c>
      <c r="AK4965" t="s">
        <v>362</v>
      </c>
    </row>
    <row r="4966" spans="1:37">
      <c r="A4966" t="s">
        <v>37</v>
      </c>
      <c r="B4966" t="s">
        <v>49</v>
      </c>
      <c r="C4966" t="s">
        <v>73</v>
      </c>
      <c r="D4966" t="s">
        <v>94</v>
      </c>
      <c r="E4966" t="s">
        <v>112</v>
      </c>
      <c r="F4966" t="s">
        <v>146</v>
      </c>
      <c r="G4966" t="s">
        <v>172</v>
      </c>
      <c r="H4966" t="s">
        <v>207</v>
      </c>
      <c r="I4966" t="s">
        <v>226</v>
      </c>
      <c r="J4966" t="s">
        <v>246</v>
      </c>
      <c r="K4966" t="s">
        <v>259</v>
      </c>
      <c r="AK4966" t="s">
        <v>362</v>
      </c>
    </row>
    <row r="4967" spans="1:37">
      <c r="A4967" t="s">
        <v>38</v>
      </c>
      <c r="B4967" t="s">
        <v>50</v>
      </c>
      <c r="C4967" t="s">
        <v>74</v>
      </c>
      <c r="D4967" t="s">
        <v>95</v>
      </c>
      <c r="E4967" t="s">
        <v>113</v>
      </c>
      <c r="F4967" t="s">
        <v>147</v>
      </c>
      <c r="G4967" t="s">
        <v>173</v>
      </c>
      <c r="H4967" t="s">
        <v>208</v>
      </c>
      <c r="I4967" t="s">
        <v>227</v>
      </c>
      <c r="J4967" t="s">
        <v>115</v>
      </c>
      <c r="K4967" t="s">
        <v>260</v>
      </c>
      <c r="L4967" t="s">
        <v>273</v>
      </c>
      <c r="M4967" t="s">
        <v>282</v>
      </c>
      <c r="N4967" t="s">
        <v>291</v>
      </c>
      <c r="AK4967" t="s">
        <v>362</v>
      </c>
    </row>
    <row r="4968" spans="1:37">
      <c r="B4968" t="s">
        <v>51</v>
      </c>
      <c r="C4968" t="s">
        <v>75</v>
      </c>
      <c r="D4968" t="s">
        <v>52</v>
      </c>
      <c r="E4968" t="s">
        <v>114</v>
      </c>
      <c r="F4968" t="s">
        <v>148</v>
      </c>
      <c r="G4968" t="s">
        <v>148</v>
      </c>
      <c r="H4968" t="s">
        <v>209</v>
      </c>
      <c r="I4968" t="s">
        <v>228</v>
      </c>
      <c r="J4968" t="s">
        <v>247</v>
      </c>
      <c r="K4968" t="s">
        <v>261</v>
      </c>
      <c r="L4968" t="s">
        <v>274</v>
      </c>
      <c r="M4968" t="s">
        <v>283</v>
      </c>
      <c r="N4968" t="s">
        <v>292</v>
      </c>
      <c r="O4968" t="s">
        <v>300</v>
      </c>
      <c r="AK4968" t="s">
        <v>362</v>
      </c>
    </row>
    <row r="4969" spans="1:37">
      <c r="B4969" t="s">
        <v>52</v>
      </c>
      <c r="C4969" t="s">
        <v>76</v>
      </c>
      <c r="D4969" t="s">
        <v>96</v>
      </c>
      <c r="E4969" t="s">
        <v>115</v>
      </c>
      <c r="F4969" t="s">
        <v>149</v>
      </c>
      <c r="G4969" t="s">
        <v>174</v>
      </c>
      <c r="H4969" t="s">
        <v>96</v>
      </c>
      <c r="I4969" t="s">
        <v>229</v>
      </c>
      <c r="J4969" t="s">
        <v>248</v>
      </c>
      <c r="K4969" t="s">
        <v>262</v>
      </c>
      <c r="L4969" t="s">
        <v>52</v>
      </c>
      <c r="M4969" t="s">
        <v>76</v>
      </c>
      <c r="N4969" t="s">
        <v>293</v>
      </c>
      <c r="O4969" t="s">
        <v>301</v>
      </c>
      <c r="P4969" t="s">
        <v>309</v>
      </c>
      <c r="Q4969" t="s">
        <v>315</v>
      </c>
      <c r="R4969" t="s">
        <v>228</v>
      </c>
      <c r="S4969" t="s">
        <v>328</v>
      </c>
      <c r="T4969" t="s">
        <v>149</v>
      </c>
      <c r="U4969" t="s">
        <v>337</v>
      </c>
      <c r="V4969" t="s">
        <v>341</v>
      </c>
      <c r="W4969" t="s">
        <v>345</v>
      </c>
      <c r="X4969" t="s">
        <v>350</v>
      </c>
      <c r="AK4969" t="s">
        <v>362</v>
      </c>
    </row>
    <row r="4970" spans="1:37">
      <c r="B4970" t="s">
        <v>53</v>
      </c>
      <c r="C4970" t="s">
        <v>77</v>
      </c>
      <c r="D4970" t="s">
        <v>97</v>
      </c>
      <c r="E4970" t="s">
        <v>116</v>
      </c>
      <c r="F4970" t="s">
        <v>150</v>
      </c>
      <c r="G4970" t="s">
        <v>175</v>
      </c>
      <c r="H4970" t="s">
        <v>210</v>
      </c>
      <c r="I4970" t="s">
        <v>230</v>
      </c>
      <c r="J4970" t="s">
        <v>249</v>
      </c>
      <c r="K4970" t="s">
        <v>263</v>
      </c>
      <c r="L4970" t="s">
        <v>275</v>
      </c>
      <c r="M4970" t="s">
        <v>284</v>
      </c>
      <c r="N4970" t="s">
        <v>294</v>
      </c>
      <c r="O4970" t="s">
        <v>302</v>
      </c>
      <c r="P4970" t="s">
        <v>310</v>
      </c>
      <c r="Q4970" t="s">
        <v>316</v>
      </c>
      <c r="R4970" t="s">
        <v>322</v>
      </c>
      <c r="S4970" t="s">
        <v>329</v>
      </c>
      <c r="AK4970" t="s">
        <v>362</v>
      </c>
    </row>
    <row r="4971" spans="1:37">
      <c r="A4971" t="s">
        <v>39</v>
      </c>
      <c r="B4971" t="s">
        <v>54</v>
      </c>
      <c r="C4971" t="s">
        <v>54</v>
      </c>
      <c r="D4971" t="s">
        <v>54</v>
      </c>
      <c r="E4971" t="s">
        <v>54</v>
      </c>
      <c r="F4971" t="s">
        <v>54</v>
      </c>
      <c r="G4971" t="s">
        <v>54</v>
      </c>
      <c r="H4971" t="s">
        <v>54</v>
      </c>
      <c r="I4971" t="s">
        <v>54</v>
      </c>
      <c r="J4971" t="s">
        <v>54</v>
      </c>
      <c r="K4971" t="s">
        <v>54</v>
      </c>
      <c r="L4971" t="s">
        <v>54</v>
      </c>
      <c r="M4971" t="s">
        <v>54</v>
      </c>
      <c r="N4971" t="s">
        <v>54</v>
      </c>
      <c r="O4971" t="s">
        <v>54</v>
      </c>
      <c r="P4971" t="s">
        <v>54</v>
      </c>
      <c r="Q4971" t="s">
        <v>54</v>
      </c>
      <c r="R4971" t="s">
        <v>323</v>
      </c>
      <c r="S4971" t="s">
        <v>330</v>
      </c>
      <c r="AK4971" t="s">
        <v>362</v>
      </c>
    </row>
    <row r="4972" spans="1:37">
      <c r="B4972" t="s">
        <v>55</v>
      </c>
      <c r="C4972" t="s">
        <v>78</v>
      </c>
      <c r="D4972" t="s">
        <v>55</v>
      </c>
      <c r="E4972" t="s">
        <v>78</v>
      </c>
      <c r="F4972" t="s">
        <v>55</v>
      </c>
      <c r="G4972" t="s">
        <v>78</v>
      </c>
      <c r="H4972" t="s">
        <v>55</v>
      </c>
      <c r="I4972" t="s">
        <v>78</v>
      </c>
      <c r="J4972" t="s">
        <v>55</v>
      </c>
      <c r="K4972" t="s">
        <v>78</v>
      </c>
      <c r="L4972" t="s">
        <v>55</v>
      </c>
      <c r="M4972" t="s">
        <v>78</v>
      </c>
      <c r="N4972" t="s">
        <v>55</v>
      </c>
      <c r="O4972" t="s">
        <v>78</v>
      </c>
      <c r="P4972" t="s">
        <v>55</v>
      </c>
      <c r="Q4972" t="s">
        <v>78</v>
      </c>
      <c r="R4972" t="s">
        <v>55</v>
      </c>
      <c r="S4972" t="s">
        <v>78</v>
      </c>
      <c r="T4972" t="s">
        <v>55</v>
      </c>
      <c r="U4972" t="s">
        <v>78</v>
      </c>
      <c r="V4972" t="s">
        <v>55</v>
      </c>
      <c r="W4972" t="s">
        <v>78</v>
      </c>
      <c r="X4972" t="s">
        <v>55</v>
      </c>
      <c r="Y4972" t="s">
        <v>78</v>
      </c>
      <c r="Z4972" t="s">
        <v>55</v>
      </c>
      <c r="AA4972" t="s">
        <v>78</v>
      </c>
      <c r="AB4972" t="s">
        <v>55</v>
      </c>
      <c r="AC4972" t="s">
        <v>78</v>
      </c>
      <c r="AD4972" t="s">
        <v>55</v>
      </c>
      <c r="AE4972" t="s">
        <v>78</v>
      </c>
      <c r="AF4972" t="s">
        <v>55</v>
      </c>
      <c r="AG4972" t="s">
        <v>78</v>
      </c>
      <c r="AH4972" t="s">
        <v>55</v>
      </c>
      <c r="AI4972" t="s">
        <v>78</v>
      </c>
      <c r="AK4972" t="s">
        <v>362</v>
      </c>
    </row>
    <row r="4973" spans="1:37">
      <c r="B4973" t="s">
        <v>56</v>
      </c>
      <c r="C4973" t="s">
        <v>56</v>
      </c>
      <c r="D4973" t="s">
        <v>56</v>
      </c>
      <c r="E4973" t="s">
        <v>56</v>
      </c>
      <c r="F4973" t="s">
        <v>56</v>
      </c>
      <c r="G4973" t="s">
        <v>176</v>
      </c>
      <c r="H4973" t="s">
        <v>211</v>
      </c>
      <c r="I4973" t="s">
        <v>231</v>
      </c>
      <c r="J4973" t="s">
        <v>250</v>
      </c>
      <c r="K4973" t="s">
        <v>264</v>
      </c>
      <c r="L4973" t="s">
        <v>276</v>
      </c>
      <c r="M4973" t="s">
        <v>285</v>
      </c>
      <c r="N4973" t="s">
        <v>295</v>
      </c>
      <c r="O4973" t="s">
        <v>303</v>
      </c>
      <c r="P4973" t="s">
        <v>56</v>
      </c>
      <c r="Q4973" t="s">
        <v>317</v>
      </c>
      <c r="R4973" t="s">
        <v>324</v>
      </c>
      <c r="S4973" t="s">
        <v>331</v>
      </c>
      <c r="T4973" t="s">
        <v>334</v>
      </c>
      <c r="U4973" t="s">
        <v>338</v>
      </c>
      <c r="V4973" t="s">
        <v>342</v>
      </c>
      <c r="W4973" t="s">
        <v>346</v>
      </c>
      <c r="X4973" t="s">
        <v>351</v>
      </c>
      <c r="AK4973" t="s">
        <v>362</v>
      </c>
    </row>
    <row r="4974" spans="1:37">
      <c r="B4974" t="s">
        <v>57</v>
      </c>
      <c r="C4974" t="s">
        <v>79</v>
      </c>
      <c r="D4974" t="s">
        <v>98</v>
      </c>
      <c r="E4974" t="s">
        <v>117</v>
      </c>
      <c r="F4974" t="s">
        <v>151</v>
      </c>
      <c r="G4974" t="s">
        <v>177</v>
      </c>
      <c r="H4974" t="s">
        <v>212</v>
      </c>
      <c r="I4974" t="s">
        <v>232</v>
      </c>
      <c r="J4974" t="s">
        <v>251</v>
      </c>
      <c r="K4974" t="s">
        <v>265</v>
      </c>
      <c r="L4974" t="s">
        <v>277</v>
      </c>
      <c r="M4974" t="s">
        <v>286</v>
      </c>
      <c r="N4974" t="s">
        <v>296</v>
      </c>
      <c r="O4974" t="s">
        <v>304</v>
      </c>
      <c r="P4974" t="s">
        <v>311</v>
      </c>
      <c r="Q4974" t="s">
        <v>318</v>
      </c>
      <c r="R4974" t="s">
        <v>185</v>
      </c>
      <c r="S4974" t="s">
        <v>159</v>
      </c>
      <c r="T4974" t="s">
        <v>185</v>
      </c>
      <c r="U4974" t="s">
        <v>339</v>
      </c>
      <c r="V4974" t="s">
        <v>72</v>
      </c>
      <c r="W4974" t="s">
        <v>347</v>
      </c>
      <c r="X4974" t="s">
        <v>72</v>
      </c>
      <c r="Y4974" t="s">
        <v>96</v>
      </c>
      <c r="AK4974" t="s">
        <v>362</v>
      </c>
    </row>
    <row r="4975" spans="1:37">
      <c r="B4975" t="s">
        <v>58</v>
      </c>
      <c r="C4975" t="s">
        <v>80</v>
      </c>
      <c r="D4975" t="s">
        <v>99</v>
      </c>
      <c r="E4975" t="s">
        <v>118</v>
      </c>
      <c r="F4975" t="s">
        <v>152</v>
      </c>
      <c r="G4975" t="s">
        <v>178</v>
      </c>
      <c r="H4975" t="s">
        <v>213</v>
      </c>
      <c r="I4975" t="s">
        <v>233</v>
      </c>
      <c r="J4975" t="s">
        <v>252</v>
      </c>
      <c r="K4975" t="s">
        <v>266</v>
      </c>
      <c r="L4975" t="s">
        <v>278</v>
      </c>
      <c r="M4975" t="s">
        <v>287</v>
      </c>
      <c r="N4975" t="s">
        <v>297</v>
      </c>
      <c r="O4975" t="s">
        <v>305</v>
      </c>
      <c r="P4975" t="s">
        <v>312</v>
      </c>
      <c r="Q4975" t="s">
        <v>319</v>
      </c>
      <c r="R4975">
        <f>&gt;10       ветра      1.4     18   6 19</f>
        <v>0</v>
      </c>
      <c r="AK4975" t="s">
        <v>362</v>
      </c>
    </row>
    <row r="4976" spans="1:37">
      <c r="A4976" t="s">
        <v>40</v>
      </c>
      <c r="B4976" t="s">
        <v>59</v>
      </c>
      <c r="C4976" t="s">
        <v>81</v>
      </c>
      <c r="D4976" t="s">
        <v>100</v>
      </c>
      <c r="E4976" t="s">
        <v>119</v>
      </c>
      <c r="F4976" t="s">
        <v>153</v>
      </c>
      <c r="G4976" t="s">
        <v>179</v>
      </c>
      <c r="H4976" t="s">
        <v>214</v>
      </c>
      <c r="I4976" t="s">
        <v>234</v>
      </c>
      <c r="AK4976" t="s">
        <v>362</v>
      </c>
    </row>
    <row r="4977" spans="1:37">
      <c r="A4977" t="s">
        <v>40</v>
      </c>
      <c r="B4977" t="s">
        <v>60</v>
      </c>
      <c r="C4977" t="s">
        <v>82</v>
      </c>
      <c r="D4977" t="s">
        <v>101</v>
      </c>
      <c r="E4977" t="s">
        <v>120</v>
      </c>
      <c r="F4977" t="s">
        <v>154</v>
      </c>
      <c r="G4977" t="s">
        <v>180</v>
      </c>
      <c r="H4977" t="s">
        <v>215</v>
      </c>
      <c r="I4977" t="s">
        <v>235</v>
      </c>
      <c r="J4977" t="s">
        <v>253</v>
      </c>
      <c r="K4977" t="s">
        <v>267</v>
      </c>
      <c r="L4977" t="s">
        <v>279</v>
      </c>
      <c r="M4977" t="s">
        <v>288</v>
      </c>
      <c r="N4977" t="s">
        <v>100</v>
      </c>
      <c r="O4977" t="s">
        <v>306</v>
      </c>
      <c r="P4977" t="s">
        <v>313</v>
      </c>
      <c r="Q4977" t="s">
        <v>320</v>
      </c>
      <c r="R4977" t="s">
        <v>325</v>
      </c>
      <c r="S4977" t="s">
        <v>332</v>
      </c>
      <c r="T4977" t="s">
        <v>119</v>
      </c>
      <c r="U4977" t="s">
        <v>234</v>
      </c>
      <c r="V4977" t="s">
        <v>343</v>
      </c>
      <c r="W4977" t="s">
        <v>348</v>
      </c>
      <c r="X4977" t="s">
        <v>352</v>
      </c>
      <c r="Y4977" t="s">
        <v>354</v>
      </c>
      <c r="AK4977" t="s">
        <v>362</v>
      </c>
    </row>
    <row r="4978" spans="1:37">
      <c r="A4978" t="s">
        <v>41</v>
      </c>
      <c r="B4978" t="s">
        <v>61</v>
      </c>
      <c r="C4978" t="s">
        <v>83</v>
      </c>
      <c r="D4978" t="s">
        <v>102</v>
      </c>
      <c r="E4978" t="s">
        <v>121</v>
      </c>
      <c r="F4978" t="s">
        <v>155</v>
      </c>
      <c r="G4978" t="s">
        <v>181</v>
      </c>
      <c r="H4978" t="s">
        <v>216</v>
      </c>
      <c r="I4978" t="s">
        <v>236</v>
      </c>
      <c r="AK4978" t="s">
        <v>362</v>
      </c>
    </row>
    <row r="4979" spans="1:37">
      <c r="A4979" t="s">
        <v>42</v>
      </c>
      <c r="B4979" t="s">
        <v>62</v>
      </c>
      <c r="C4979" t="s">
        <v>84</v>
      </c>
      <c r="D4979" t="s">
        <v>103</v>
      </c>
      <c r="E4979" t="s">
        <v>122</v>
      </c>
      <c r="F4979" t="s">
        <v>156</v>
      </c>
      <c r="G4979" t="s">
        <v>182</v>
      </c>
      <c r="H4979" t="s">
        <v>83</v>
      </c>
      <c r="I4979" t="s">
        <v>237</v>
      </c>
      <c r="J4979" t="s">
        <v>254</v>
      </c>
      <c r="K4979" t="s">
        <v>268</v>
      </c>
      <c r="L4979" t="s">
        <v>280</v>
      </c>
      <c r="M4979" t="s">
        <v>289</v>
      </c>
      <c r="N4979" t="s">
        <v>298</v>
      </c>
      <c r="O4979" t="s">
        <v>307</v>
      </c>
      <c r="P4979" t="s">
        <v>314</v>
      </c>
      <c r="Q4979" t="s">
        <v>216</v>
      </c>
      <c r="R4979" t="s">
        <v>326</v>
      </c>
      <c r="S4979" t="s">
        <v>333</v>
      </c>
      <c r="T4979" t="s">
        <v>335</v>
      </c>
      <c r="U4979" t="s">
        <v>340</v>
      </c>
      <c r="V4979" t="s">
        <v>344</v>
      </c>
      <c r="W4979" t="s">
        <v>349</v>
      </c>
      <c r="AK4979" t="s">
        <v>362</v>
      </c>
    </row>
    <row r="4980" spans="1:37">
      <c r="A4980" t="s">
        <v>43</v>
      </c>
      <c r="B4980" t="s">
        <v>63</v>
      </c>
      <c r="C4980" t="s">
        <v>85</v>
      </c>
      <c r="D4980" t="s">
        <v>104</v>
      </c>
      <c r="E4980" t="s">
        <v>123</v>
      </c>
      <c r="F4980" t="s">
        <v>157</v>
      </c>
      <c r="G4980" t="s">
        <v>183</v>
      </c>
      <c r="AK4980" t="s">
        <v>362</v>
      </c>
    </row>
    <row r="4981" spans="1:37">
      <c r="A4981" t="s">
        <v>44</v>
      </c>
      <c r="B4981" t="s">
        <v>64</v>
      </c>
      <c r="C4981" t="s">
        <v>86</v>
      </c>
      <c r="D4981" t="s">
        <v>105</v>
      </c>
      <c r="E4981" t="s">
        <v>124</v>
      </c>
      <c r="F4981" t="s">
        <v>158</v>
      </c>
      <c r="G4981" t="s">
        <v>184</v>
      </c>
      <c r="AK4981" t="s">
        <v>362</v>
      </c>
    </row>
    <row r="4982" spans="1:37">
      <c r="A4982" t="s">
        <v>45</v>
      </c>
      <c r="B4982" t="s">
        <v>65</v>
      </c>
      <c r="C4982" t="s">
        <v>87</v>
      </c>
      <c r="D4982" t="s">
        <v>106</v>
      </c>
      <c r="E4982" t="s">
        <v>125</v>
      </c>
      <c r="F4982" t="s">
        <v>159</v>
      </c>
      <c r="G4982" t="s">
        <v>185</v>
      </c>
      <c r="H4982" t="s">
        <v>159</v>
      </c>
      <c r="I4982" t="s">
        <v>185</v>
      </c>
      <c r="J4982" t="s">
        <v>255</v>
      </c>
      <c r="AK4982" t="s">
        <v>362</v>
      </c>
    </row>
    <row r="4983" spans="1:37">
      <c r="A4983" t="s">
        <v>46</v>
      </c>
      <c r="B4983" t="s">
        <v>66</v>
      </c>
      <c r="C4983" t="s">
        <v>88</v>
      </c>
      <c r="D4983" t="s">
        <v>76</v>
      </c>
      <c r="E4983" t="s">
        <v>126</v>
      </c>
      <c r="F4983" t="s">
        <v>160</v>
      </c>
      <c r="G4983" t="s">
        <v>186</v>
      </c>
      <c r="H4983" t="s">
        <v>217</v>
      </c>
      <c r="I4983" t="s">
        <v>238</v>
      </c>
      <c r="J4983" t="s">
        <v>256</v>
      </c>
      <c r="K4983" t="s">
        <v>265</v>
      </c>
      <c r="L4983" t="s">
        <v>281</v>
      </c>
      <c r="M4983" t="s">
        <v>290</v>
      </c>
      <c r="N4983" t="s">
        <v>299</v>
      </c>
      <c r="O4983" t="s">
        <v>308</v>
      </c>
      <c r="P4983" t="s">
        <v>228</v>
      </c>
      <c r="Q4983" t="s">
        <v>72</v>
      </c>
      <c r="R4983" t="s">
        <v>327</v>
      </c>
      <c r="S4983" t="s">
        <v>327</v>
      </c>
      <c r="T4983" t="s">
        <v>336</v>
      </c>
      <c r="U4983" t="s">
        <v>336</v>
      </c>
      <c r="V4983" t="s">
        <v>336</v>
      </c>
      <c r="W4983" t="s">
        <v>336</v>
      </c>
      <c r="X4983" t="s">
        <v>353</v>
      </c>
      <c r="AK4983" t="s">
        <v>362</v>
      </c>
    </row>
    <row r="4984" spans="1:37">
      <c r="B4984" t="s">
        <v>67</v>
      </c>
      <c r="C4984" t="s">
        <v>89</v>
      </c>
      <c r="D4984" t="s">
        <v>107</v>
      </c>
      <c r="AK4984" t="s">
        <v>362</v>
      </c>
    </row>
    <row r="4985" spans="1:37">
      <c r="B4985" t="s">
        <v>68</v>
      </c>
      <c r="C4985" t="s">
        <v>90</v>
      </c>
      <c r="D4985" t="s">
        <v>108</v>
      </c>
      <c r="AK4985" t="s">
        <v>362</v>
      </c>
    </row>
    <row r="4986" spans="1:37">
      <c r="A4986" t="s">
        <v>47</v>
      </c>
      <c r="B4986" t="s">
        <v>69</v>
      </c>
      <c r="C4986" t="s">
        <v>91</v>
      </c>
      <c r="D4986" t="s">
        <v>109</v>
      </c>
      <c r="E4986" t="s">
        <v>109</v>
      </c>
      <c r="F4986" t="s">
        <v>109</v>
      </c>
      <c r="G4986" t="s">
        <v>109</v>
      </c>
      <c r="H4986" t="s">
        <v>109</v>
      </c>
      <c r="I4986" t="s">
        <v>239</v>
      </c>
      <c r="AK4986" t="s">
        <v>362</v>
      </c>
    </row>
    <row r="4987" spans="1:37">
      <c r="B4987" t="s">
        <v>70</v>
      </c>
      <c r="C4987" t="s">
        <v>92</v>
      </c>
      <c r="D4987" t="s">
        <v>110</v>
      </c>
      <c r="E4987" t="s">
        <v>127</v>
      </c>
      <c r="F4987" t="s">
        <v>161</v>
      </c>
      <c r="G4987" t="s">
        <v>187</v>
      </c>
      <c r="H4987" t="s">
        <v>218</v>
      </c>
      <c r="AK4987" t="s">
        <v>362</v>
      </c>
    </row>
    <row r="4988" spans="1:37">
      <c r="B4988" t="s">
        <v>71</v>
      </c>
      <c r="C4988" t="s">
        <v>93</v>
      </c>
      <c r="D4988" t="s">
        <v>111</v>
      </c>
      <c r="E4988" t="s">
        <v>128</v>
      </c>
      <c r="F4988" t="s">
        <v>162</v>
      </c>
      <c r="G4988" t="s">
        <v>188</v>
      </c>
      <c r="H4988" t="s">
        <v>219</v>
      </c>
      <c r="I4988" t="s">
        <v>240</v>
      </c>
      <c r="J4988" t="s">
        <v>257</v>
      </c>
      <c r="K4988" t="s">
        <v>269</v>
      </c>
      <c r="L4988" t="s">
        <v>109</v>
      </c>
      <c r="M4988" t="s">
        <v>109</v>
      </c>
      <c r="N4988" t="s">
        <v>109</v>
      </c>
      <c r="O4988" t="s">
        <v>109</v>
      </c>
      <c r="P4988" t="s">
        <v>109</v>
      </c>
      <c r="Q4988" t="s">
        <v>321</v>
      </c>
      <c r="AK4988" t="s">
        <v>362</v>
      </c>
    </row>
    <row r="4989" spans="1:37">
      <c r="A4989" t="s">
        <v>48</v>
      </c>
      <c r="B4989" t="s">
        <v>71</v>
      </c>
      <c r="C4989" t="s">
        <v>93</v>
      </c>
      <c r="D4989" t="s">
        <v>111</v>
      </c>
      <c r="E4989" t="s">
        <v>128</v>
      </c>
      <c r="F4989" t="s">
        <v>163</v>
      </c>
      <c r="G4989" t="s">
        <v>189</v>
      </c>
      <c r="H4989" t="s">
        <v>220</v>
      </c>
      <c r="I4989" t="s">
        <v>241</v>
      </c>
      <c r="J4989" t="s">
        <v>258</v>
      </c>
      <c r="K4989" t="s">
        <v>270</v>
      </c>
      <c r="AK4989" t="s">
        <v>362</v>
      </c>
    </row>
    <row r="4990" spans="1:37">
      <c r="B4990" t="s">
        <v>72</v>
      </c>
      <c r="C4990" t="s">
        <v>72</v>
      </c>
      <c r="D4990" t="s">
        <v>72</v>
      </c>
      <c r="E4990" t="s">
        <v>72</v>
      </c>
      <c r="F4990" t="s">
        <v>72</v>
      </c>
      <c r="G4990" t="s">
        <v>72</v>
      </c>
      <c r="H4990" t="s">
        <v>72</v>
      </c>
      <c r="I4990" t="s">
        <v>72</v>
      </c>
      <c r="J4990" t="s">
        <v>72</v>
      </c>
      <c r="K4990" t="s">
        <v>272</v>
      </c>
      <c r="AK4990" t="s">
        <v>362</v>
      </c>
    </row>
    <row r="4991" spans="1:37">
      <c r="A4991" t="s">
        <v>37</v>
      </c>
      <c r="B4991" t="s">
        <v>49</v>
      </c>
      <c r="C4991" t="s">
        <v>73</v>
      </c>
      <c r="D4991" t="s">
        <v>94</v>
      </c>
      <c r="E4991" t="s">
        <v>112</v>
      </c>
      <c r="F4991" t="s">
        <v>146</v>
      </c>
      <c r="G4991" t="s">
        <v>172</v>
      </c>
      <c r="H4991" t="s">
        <v>207</v>
      </c>
      <c r="I4991" t="s">
        <v>226</v>
      </c>
      <c r="J4991" t="s">
        <v>246</v>
      </c>
      <c r="K4991" t="s">
        <v>259</v>
      </c>
      <c r="AK4991" t="s">
        <v>362</v>
      </c>
    </row>
    <row r="4992" spans="1:37">
      <c r="A4992" t="s">
        <v>38</v>
      </c>
      <c r="B4992" t="s">
        <v>50</v>
      </c>
      <c r="C4992" t="s">
        <v>74</v>
      </c>
      <c r="D4992" t="s">
        <v>95</v>
      </c>
      <c r="E4992" t="s">
        <v>113</v>
      </c>
      <c r="F4992" t="s">
        <v>147</v>
      </c>
      <c r="G4992" t="s">
        <v>173</v>
      </c>
      <c r="H4992" t="s">
        <v>208</v>
      </c>
      <c r="I4992" t="s">
        <v>227</v>
      </c>
      <c r="J4992" t="s">
        <v>115</v>
      </c>
      <c r="K4992" t="s">
        <v>260</v>
      </c>
      <c r="L4992" t="s">
        <v>273</v>
      </c>
      <c r="M4992" t="s">
        <v>282</v>
      </c>
      <c r="N4992" t="s">
        <v>291</v>
      </c>
      <c r="AK4992" t="s">
        <v>362</v>
      </c>
    </row>
    <row r="4993" spans="1:37">
      <c r="B4993" t="s">
        <v>51</v>
      </c>
      <c r="C4993" t="s">
        <v>75</v>
      </c>
      <c r="D4993" t="s">
        <v>52</v>
      </c>
      <c r="E4993" t="s">
        <v>114</v>
      </c>
      <c r="F4993" t="s">
        <v>148</v>
      </c>
      <c r="G4993" t="s">
        <v>148</v>
      </c>
      <c r="H4993" t="s">
        <v>209</v>
      </c>
      <c r="I4993" t="s">
        <v>228</v>
      </c>
      <c r="J4993" t="s">
        <v>247</v>
      </c>
      <c r="K4993" t="s">
        <v>261</v>
      </c>
      <c r="L4993" t="s">
        <v>274</v>
      </c>
      <c r="M4993" t="s">
        <v>283</v>
      </c>
      <c r="N4993" t="s">
        <v>292</v>
      </c>
      <c r="O4993" t="s">
        <v>300</v>
      </c>
      <c r="AK4993" t="s">
        <v>362</v>
      </c>
    </row>
    <row r="4994" spans="1:37">
      <c r="B4994" t="s">
        <v>52</v>
      </c>
      <c r="C4994" t="s">
        <v>76</v>
      </c>
      <c r="D4994" t="s">
        <v>96</v>
      </c>
      <c r="E4994" t="s">
        <v>115</v>
      </c>
      <c r="F4994" t="s">
        <v>149</v>
      </c>
      <c r="G4994" t="s">
        <v>174</v>
      </c>
      <c r="H4994" t="s">
        <v>96</v>
      </c>
      <c r="I4994" t="s">
        <v>229</v>
      </c>
      <c r="J4994" t="s">
        <v>248</v>
      </c>
      <c r="K4994" t="s">
        <v>262</v>
      </c>
      <c r="L4994" t="s">
        <v>52</v>
      </c>
      <c r="M4994" t="s">
        <v>76</v>
      </c>
      <c r="N4994" t="s">
        <v>293</v>
      </c>
      <c r="O4994" t="s">
        <v>301</v>
      </c>
      <c r="P4994" t="s">
        <v>309</v>
      </c>
      <c r="Q4994" t="s">
        <v>315</v>
      </c>
      <c r="R4994" t="s">
        <v>228</v>
      </c>
      <c r="S4994" t="s">
        <v>328</v>
      </c>
      <c r="T4994" t="s">
        <v>149</v>
      </c>
      <c r="U4994" t="s">
        <v>337</v>
      </c>
      <c r="V4994" t="s">
        <v>341</v>
      </c>
      <c r="W4994" t="s">
        <v>345</v>
      </c>
      <c r="X4994" t="s">
        <v>350</v>
      </c>
      <c r="AK4994" t="s">
        <v>362</v>
      </c>
    </row>
    <row r="4995" spans="1:37">
      <c r="B4995" t="s">
        <v>53</v>
      </c>
      <c r="C4995" t="s">
        <v>77</v>
      </c>
      <c r="D4995" t="s">
        <v>97</v>
      </c>
      <c r="E4995" t="s">
        <v>116</v>
      </c>
      <c r="F4995" t="s">
        <v>150</v>
      </c>
      <c r="G4995" t="s">
        <v>175</v>
      </c>
      <c r="H4995" t="s">
        <v>210</v>
      </c>
      <c r="I4995" t="s">
        <v>230</v>
      </c>
      <c r="J4995" t="s">
        <v>249</v>
      </c>
      <c r="K4995" t="s">
        <v>263</v>
      </c>
      <c r="L4995" t="s">
        <v>275</v>
      </c>
      <c r="M4995" t="s">
        <v>284</v>
      </c>
      <c r="N4995" t="s">
        <v>294</v>
      </c>
      <c r="O4995" t="s">
        <v>302</v>
      </c>
      <c r="P4995" t="s">
        <v>310</v>
      </c>
      <c r="Q4995" t="s">
        <v>316</v>
      </c>
      <c r="R4995" t="s">
        <v>322</v>
      </c>
      <c r="S4995" t="s">
        <v>329</v>
      </c>
      <c r="AK4995" t="s">
        <v>362</v>
      </c>
    </row>
    <row r="4996" spans="1:37">
      <c r="A4996" t="s">
        <v>39</v>
      </c>
      <c r="B4996" t="s">
        <v>54</v>
      </c>
      <c r="C4996" t="s">
        <v>54</v>
      </c>
      <c r="D4996" t="s">
        <v>54</v>
      </c>
      <c r="E4996" t="s">
        <v>54</v>
      </c>
      <c r="F4996" t="s">
        <v>54</v>
      </c>
      <c r="G4996" t="s">
        <v>54</v>
      </c>
      <c r="H4996" t="s">
        <v>54</v>
      </c>
      <c r="I4996" t="s">
        <v>54</v>
      </c>
      <c r="J4996" t="s">
        <v>54</v>
      </c>
      <c r="K4996" t="s">
        <v>54</v>
      </c>
      <c r="L4996" t="s">
        <v>54</v>
      </c>
      <c r="M4996" t="s">
        <v>54</v>
      </c>
      <c r="N4996" t="s">
        <v>54</v>
      </c>
      <c r="O4996" t="s">
        <v>54</v>
      </c>
      <c r="P4996" t="s">
        <v>54</v>
      </c>
      <c r="Q4996" t="s">
        <v>54</v>
      </c>
      <c r="R4996" t="s">
        <v>323</v>
      </c>
      <c r="S4996" t="s">
        <v>330</v>
      </c>
      <c r="AK4996" t="s">
        <v>362</v>
      </c>
    </row>
    <row r="4997" spans="1:37">
      <c r="B4997" t="s">
        <v>55</v>
      </c>
      <c r="C4997" t="s">
        <v>78</v>
      </c>
      <c r="D4997" t="s">
        <v>55</v>
      </c>
      <c r="E4997" t="s">
        <v>78</v>
      </c>
      <c r="F4997" t="s">
        <v>55</v>
      </c>
      <c r="G4997" t="s">
        <v>78</v>
      </c>
      <c r="H4997" t="s">
        <v>55</v>
      </c>
      <c r="I4997" t="s">
        <v>78</v>
      </c>
      <c r="J4997" t="s">
        <v>55</v>
      </c>
      <c r="K4997" t="s">
        <v>78</v>
      </c>
      <c r="L4997" t="s">
        <v>55</v>
      </c>
      <c r="M4997" t="s">
        <v>78</v>
      </c>
      <c r="N4997" t="s">
        <v>55</v>
      </c>
      <c r="O4997" t="s">
        <v>78</v>
      </c>
      <c r="P4997" t="s">
        <v>55</v>
      </c>
      <c r="Q4997" t="s">
        <v>78</v>
      </c>
      <c r="R4997" t="s">
        <v>55</v>
      </c>
      <c r="S4997" t="s">
        <v>78</v>
      </c>
      <c r="T4997" t="s">
        <v>55</v>
      </c>
      <c r="U4997" t="s">
        <v>78</v>
      </c>
      <c r="V4997" t="s">
        <v>55</v>
      </c>
      <c r="W4997" t="s">
        <v>78</v>
      </c>
      <c r="X4997" t="s">
        <v>55</v>
      </c>
      <c r="Y4997" t="s">
        <v>78</v>
      </c>
      <c r="Z4997" t="s">
        <v>55</v>
      </c>
      <c r="AA4997" t="s">
        <v>78</v>
      </c>
      <c r="AB4997" t="s">
        <v>55</v>
      </c>
      <c r="AC4997" t="s">
        <v>78</v>
      </c>
      <c r="AD4997" t="s">
        <v>55</v>
      </c>
      <c r="AE4997" t="s">
        <v>78</v>
      </c>
      <c r="AF4997" t="s">
        <v>55</v>
      </c>
      <c r="AG4997" t="s">
        <v>78</v>
      </c>
      <c r="AH4997" t="s">
        <v>55</v>
      </c>
      <c r="AI4997" t="s">
        <v>78</v>
      </c>
      <c r="AK4997" t="s">
        <v>362</v>
      </c>
    </row>
    <row r="4998" spans="1:37">
      <c r="B4998" t="s">
        <v>56</v>
      </c>
      <c r="C4998" t="s">
        <v>56</v>
      </c>
      <c r="D4998" t="s">
        <v>56</v>
      </c>
      <c r="E4998" t="s">
        <v>56</v>
      </c>
      <c r="F4998" t="s">
        <v>56</v>
      </c>
      <c r="G4998" t="s">
        <v>176</v>
      </c>
      <c r="H4998" t="s">
        <v>211</v>
      </c>
      <c r="I4998" t="s">
        <v>231</v>
      </c>
      <c r="J4998" t="s">
        <v>250</v>
      </c>
      <c r="K4998" t="s">
        <v>264</v>
      </c>
      <c r="L4998" t="s">
        <v>276</v>
      </c>
      <c r="M4998" t="s">
        <v>285</v>
      </c>
      <c r="N4998" t="s">
        <v>295</v>
      </c>
      <c r="O4998" t="s">
        <v>303</v>
      </c>
      <c r="P4998" t="s">
        <v>56</v>
      </c>
      <c r="Q4998" t="s">
        <v>317</v>
      </c>
      <c r="R4998" t="s">
        <v>324</v>
      </c>
      <c r="S4998" t="s">
        <v>331</v>
      </c>
      <c r="T4998" t="s">
        <v>334</v>
      </c>
      <c r="U4998" t="s">
        <v>338</v>
      </c>
      <c r="V4998" t="s">
        <v>342</v>
      </c>
      <c r="W4998" t="s">
        <v>346</v>
      </c>
      <c r="X4998" t="s">
        <v>351</v>
      </c>
      <c r="AK4998" t="s">
        <v>362</v>
      </c>
    </row>
    <row r="4999" spans="1:37">
      <c r="B4999" t="s">
        <v>57</v>
      </c>
      <c r="C4999" t="s">
        <v>79</v>
      </c>
      <c r="D4999" t="s">
        <v>98</v>
      </c>
      <c r="E4999" t="s">
        <v>117</v>
      </c>
      <c r="F4999" t="s">
        <v>151</v>
      </c>
      <c r="G4999" t="s">
        <v>177</v>
      </c>
      <c r="H4999" t="s">
        <v>212</v>
      </c>
      <c r="I4999" t="s">
        <v>232</v>
      </c>
      <c r="J4999" t="s">
        <v>251</v>
      </c>
      <c r="K4999" t="s">
        <v>265</v>
      </c>
      <c r="L4999" t="s">
        <v>277</v>
      </c>
      <c r="M4999" t="s">
        <v>286</v>
      </c>
      <c r="N4999" t="s">
        <v>296</v>
      </c>
      <c r="O4999" t="s">
        <v>304</v>
      </c>
      <c r="P4999" t="s">
        <v>311</v>
      </c>
      <c r="Q4999" t="s">
        <v>318</v>
      </c>
      <c r="R4999" t="s">
        <v>185</v>
      </c>
      <c r="S4999" t="s">
        <v>159</v>
      </c>
      <c r="T4999" t="s">
        <v>185</v>
      </c>
      <c r="U4999" t="s">
        <v>339</v>
      </c>
      <c r="V4999" t="s">
        <v>72</v>
      </c>
      <c r="W4999" t="s">
        <v>347</v>
      </c>
      <c r="X4999" t="s">
        <v>72</v>
      </c>
      <c r="Y4999" t="s">
        <v>96</v>
      </c>
      <c r="AK4999" t="s">
        <v>362</v>
      </c>
    </row>
    <row r="5000" spans="1:37">
      <c r="B5000" t="s">
        <v>58</v>
      </c>
      <c r="C5000" t="s">
        <v>80</v>
      </c>
      <c r="D5000" t="s">
        <v>99</v>
      </c>
      <c r="E5000" t="s">
        <v>118</v>
      </c>
      <c r="F5000" t="s">
        <v>152</v>
      </c>
      <c r="G5000" t="s">
        <v>178</v>
      </c>
      <c r="H5000" t="s">
        <v>213</v>
      </c>
      <c r="I5000" t="s">
        <v>233</v>
      </c>
      <c r="J5000" t="s">
        <v>252</v>
      </c>
      <c r="K5000" t="s">
        <v>266</v>
      </c>
      <c r="L5000" t="s">
        <v>278</v>
      </c>
      <c r="M5000" t="s">
        <v>287</v>
      </c>
      <c r="N5000" t="s">
        <v>297</v>
      </c>
      <c r="O5000" t="s">
        <v>305</v>
      </c>
      <c r="P5000" t="s">
        <v>312</v>
      </c>
      <c r="Q5000" t="s">
        <v>319</v>
      </c>
      <c r="R5000">
        <f>&gt;10       ветра      1.8     13   1</f>
        <v>0</v>
      </c>
      <c r="AK5000" t="s">
        <v>362</v>
      </c>
    </row>
    <row r="5001" spans="1:37">
      <c r="A5001" t="s">
        <v>40</v>
      </c>
      <c r="B5001" t="s">
        <v>59</v>
      </c>
      <c r="C5001" t="s">
        <v>81</v>
      </c>
      <c r="D5001" t="s">
        <v>100</v>
      </c>
      <c r="E5001" t="s">
        <v>119</v>
      </c>
      <c r="F5001" t="s">
        <v>153</v>
      </c>
      <c r="G5001" t="s">
        <v>179</v>
      </c>
      <c r="H5001" t="s">
        <v>214</v>
      </c>
      <c r="I5001" t="s">
        <v>234</v>
      </c>
      <c r="AK5001" t="s">
        <v>362</v>
      </c>
    </row>
    <row r="5002" spans="1:37">
      <c r="A5002" t="s">
        <v>40</v>
      </c>
      <c r="B5002" t="s">
        <v>60</v>
      </c>
      <c r="C5002" t="s">
        <v>82</v>
      </c>
      <c r="D5002" t="s">
        <v>101</v>
      </c>
      <c r="E5002" t="s">
        <v>120</v>
      </c>
      <c r="F5002" t="s">
        <v>154</v>
      </c>
      <c r="G5002" t="s">
        <v>180</v>
      </c>
      <c r="H5002" t="s">
        <v>215</v>
      </c>
      <c r="I5002" t="s">
        <v>235</v>
      </c>
      <c r="J5002" t="s">
        <v>253</v>
      </c>
      <c r="K5002" t="s">
        <v>267</v>
      </c>
      <c r="L5002" t="s">
        <v>279</v>
      </c>
      <c r="M5002" t="s">
        <v>288</v>
      </c>
      <c r="N5002" t="s">
        <v>100</v>
      </c>
      <c r="O5002" t="s">
        <v>306</v>
      </c>
      <c r="P5002" t="s">
        <v>313</v>
      </c>
      <c r="Q5002" t="s">
        <v>320</v>
      </c>
      <c r="R5002" t="s">
        <v>325</v>
      </c>
      <c r="S5002" t="s">
        <v>332</v>
      </c>
      <c r="T5002" t="s">
        <v>119</v>
      </c>
      <c r="U5002" t="s">
        <v>234</v>
      </c>
      <c r="V5002" t="s">
        <v>343</v>
      </c>
      <c r="W5002" t="s">
        <v>348</v>
      </c>
      <c r="X5002" t="s">
        <v>352</v>
      </c>
      <c r="Y5002" t="s">
        <v>354</v>
      </c>
      <c r="AK5002" t="s">
        <v>362</v>
      </c>
    </row>
    <row r="5003" spans="1:37">
      <c r="A5003" t="s">
        <v>41</v>
      </c>
      <c r="B5003" t="s">
        <v>61</v>
      </c>
      <c r="C5003" t="s">
        <v>83</v>
      </c>
      <c r="D5003" t="s">
        <v>102</v>
      </c>
      <c r="E5003" t="s">
        <v>121</v>
      </c>
      <c r="F5003" t="s">
        <v>155</v>
      </c>
      <c r="G5003" t="s">
        <v>181</v>
      </c>
      <c r="H5003" t="s">
        <v>216</v>
      </c>
      <c r="I5003" t="s">
        <v>236</v>
      </c>
      <c r="AK5003" t="s">
        <v>362</v>
      </c>
    </row>
    <row r="5004" spans="1:37">
      <c r="A5004" t="s">
        <v>42</v>
      </c>
      <c r="B5004" t="s">
        <v>62</v>
      </c>
      <c r="C5004" t="s">
        <v>84</v>
      </c>
      <c r="D5004" t="s">
        <v>103</v>
      </c>
      <c r="E5004" t="s">
        <v>122</v>
      </c>
      <c r="F5004" t="s">
        <v>156</v>
      </c>
      <c r="G5004" t="s">
        <v>182</v>
      </c>
      <c r="H5004" t="s">
        <v>83</v>
      </c>
      <c r="I5004" t="s">
        <v>237</v>
      </c>
      <c r="J5004" t="s">
        <v>254</v>
      </c>
      <c r="K5004" t="s">
        <v>268</v>
      </c>
      <c r="L5004" t="s">
        <v>280</v>
      </c>
      <c r="M5004" t="s">
        <v>289</v>
      </c>
      <c r="N5004" t="s">
        <v>298</v>
      </c>
      <c r="O5004" t="s">
        <v>307</v>
      </c>
      <c r="P5004" t="s">
        <v>314</v>
      </c>
      <c r="Q5004" t="s">
        <v>216</v>
      </c>
      <c r="R5004" t="s">
        <v>326</v>
      </c>
      <c r="S5004" t="s">
        <v>333</v>
      </c>
      <c r="T5004" t="s">
        <v>335</v>
      </c>
      <c r="U5004" t="s">
        <v>340</v>
      </c>
      <c r="V5004" t="s">
        <v>344</v>
      </c>
      <c r="W5004" t="s">
        <v>349</v>
      </c>
      <c r="AK5004" t="s">
        <v>362</v>
      </c>
    </row>
    <row r="5005" spans="1:37">
      <c r="A5005" t="s">
        <v>43</v>
      </c>
      <c r="B5005" t="s">
        <v>63</v>
      </c>
      <c r="C5005" t="s">
        <v>85</v>
      </c>
      <c r="D5005" t="s">
        <v>104</v>
      </c>
      <c r="E5005" t="s">
        <v>123</v>
      </c>
      <c r="F5005" t="s">
        <v>157</v>
      </c>
      <c r="G5005" t="s">
        <v>183</v>
      </c>
      <c r="AK5005" t="s">
        <v>362</v>
      </c>
    </row>
    <row r="5006" spans="1:37">
      <c r="A5006" t="s">
        <v>44</v>
      </c>
      <c r="B5006" t="s">
        <v>64</v>
      </c>
      <c r="C5006" t="s">
        <v>86</v>
      </c>
      <c r="D5006" t="s">
        <v>105</v>
      </c>
      <c r="E5006" t="s">
        <v>124</v>
      </c>
      <c r="F5006" t="s">
        <v>158</v>
      </c>
      <c r="G5006" t="s">
        <v>184</v>
      </c>
      <c r="AK5006" t="s">
        <v>362</v>
      </c>
    </row>
    <row r="5007" spans="1:37">
      <c r="A5007" t="s">
        <v>45</v>
      </c>
      <c r="B5007" t="s">
        <v>65</v>
      </c>
      <c r="C5007" t="s">
        <v>87</v>
      </c>
      <c r="D5007" t="s">
        <v>106</v>
      </c>
      <c r="E5007" t="s">
        <v>125</v>
      </c>
      <c r="F5007" t="s">
        <v>159</v>
      </c>
      <c r="G5007" t="s">
        <v>185</v>
      </c>
      <c r="H5007" t="s">
        <v>159</v>
      </c>
      <c r="I5007" t="s">
        <v>185</v>
      </c>
      <c r="J5007" t="s">
        <v>255</v>
      </c>
      <c r="AK5007" t="s">
        <v>362</v>
      </c>
    </row>
    <row r="5008" spans="1:37">
      <c r="A5008" t="s">
        <v>46</v>
      </c>
      <c r="B5008" t="s">
        <v>66</v>
      </c>
      <c r="C5008" t="s">
        <v>88</v>
      </c>
      <c r="D5008" t="s">
        <v>76</v>
      </c>
      <c r="E5008" t="s">
        <v>126</v>
      </c>
      <c r="F5008" t="s">
        <v>160</v>
      </c>
      <c r="G5008" t="s">
        <v>186</v>
      </c>
      <c r="H5008" t="s">
        <v>217</v>
      </c>
      <c r="I5008" t="s">
        <v>238</v>
      </c>
      <c r="J5008" t="s">
        <v>256</v>
      </c>
      <c r="K5008" t="s">
        <v>265</v>
      </c>
      <c r="L5008" t="s">
        <v>281</v>
      </c>
      <c r="M5008" t="s">
        <v>290</v>
      </c>
      <c r="N5008" t="s">
        <v>299</v>
      </c>
      <c r="O5008" t="s">
        <v>308</v>
      </c>
      <c r="P5008" t="s">
        <v>228</v>
      </c>
      <c r="Q5008" t="s">
        <v>72</v>
      </c>
      <c r="R5008" t="s">
        <v>327</v>
      </c>
      <c r="S5008" t="s">
        <v>327</v>
      </c>
      <c r="T5008" t="s">
        <v>336</v>
      </c>
      <c r="U5008" t="s">
        <v>336</v>
      </c>
      <c r="V5008" t="s">
        <v>336</v>
      </c>
      <c r="W5008" t="s">
        <v>336</v>
      </c>
      <c r="X5008" t="s">
        <v>353</v>
      </c>
      <c r="AK5008" t="s">
        <v>362</v>
      </c>
    </row>
    <row r="5009" spans="1:37">
      <c r="B5009" t="s">
        <v>67</v>
      </c>
      <c r="C5009" t="s">
        <v>89</v>
      </c>
      <c r="D5009" t="s">
        <v>107</v>
      </c>
      <c r="AK5009" t="s">
        <v>362</v>
      </c>
    </row>
    <row r="5010" spans="1:37">
      <c r="B5010" t="s">
        <v>68</v>
      </c>
      <c r="C5010" t="s">
        <v>90</v>
      </c>
      <c r="D5010" t="s">
        <v>108</v>
      </c>
      <c r="AK5010" t="s">
        <v>362</v>
      </c>
    </row>
    <row r="5011" spans="1:37">
      <c r="A5011" t="s">
        <v>47</v>
      </c>
      <c r="B5011" t="s">
        <v>69</v>
      </c>
      <c r="C5011" t="s">
        <v>91</v>
      </c>
      <c r="D5011" t="s">
        <v>109</v>
      </c>
      <c r="E5011" t="s">
        <v>109</v>
      </c>
      <c r="F5011" t="s">
        <v>109</v>
      </c>
      <c r="G5011" t="s">
        <v>109</v>
      </c>
      <c r="H5011" t="s">
        <v>109</v>
      </c>
      <c r="I5011" t="s">
        <v>239</v>
      </c>
      <c r="AK5011" t="s">
        <v>362</v>
      </c>
    </row>
    <row r="5012" spans="1:37">
      <c r="B5012" t="s">
        <v>70</v>
      </c>
      <c r="C5012" t="s">
        <v>92</v>
      </c>
      <c r="D5012" t="s">
        <v>110</v>
      </c>
      <c r="E5012" t="s">
        <v>127</v>
      </c>
      <c r="F5012" t="s">
        <v>161</v>
      </c>
      <c r="G5012" t="s">
        <v>187</v>
      </c>
      <c r="H5012" t="s">
        <v>218</v>
      </c>
      <c r="AK5012" t="s">
        <v>362</v>
      </c>
    </row>
    <row r="5013" spans="1:37">
      <c r="B5013" t="s">
        <v>71</v>
      </c>
      <c r="C5013" t="s">
        <v>93</v>
      </c>
      <c r="D5013" t="s">
        <v>111</v>
      </c>
      <c r="E5013" t="s">
        <v>128</v>
      </c>
      <c r="F5013" t="s">
        <v>162</v>
      </c>
      <c r="G5013" t="s">
        <v>188</v>
      </c>
      <c r="H5013" t="s">
        <v>219</v>
      </c>
      <c r="I5013" t="s">
        <v>240</v>
      </c>
      <c r="J5013" t="s">
        <v>257</v>
      </c>
      <c r="K5013" t="s">
        <v>269</v>
      </c>
      <c r="L5013" t="s">
        <v>109</v>
      </c>
      <c r="M5013" t="s">
        <v>109</v>
      </c>
      <c r="N5013" t="s">
        <v>109</v>
      </c>
      <c r="O5013" t="s">
        <v>109</v>
      </c>
      <c r="P5013" t="s">
        <v>109</v>
      </c>
      <c r="Q5013" t="s">
        <v>321</v>
      </c>
      <c r="AK5013" t="s">
        <v>362</v>
      </c>
    </row>
    <row r="5014" spans="1:37">
      <c r="A5014" t="s">
        <v>48</v>
      </c>
      <c r="B5014" t="s">
        <v>71</v>
      </c>
      <c r="C5014" t="s">
        <v>93</v>
      </c>
      <c r="D5014" t="s">
        <v>111</v>
      </c>
      <c r="E5014" t="s">
        <v>128</v>
      </c>
      <c r="F5014" t="s">
        <v>163</v>
      </c>
      <c r="G5014" t="s">
        <v>189</v>
      </c>
      <c r="H5014" t="s">
        <v>220</v>
      </c>
      <c r="I5014" t="s">
        <v>241</v>
      </c>
      <c r="J5014" t="s">
        <v>258</v>
      </c>
      <c r="K5014" t="s">
        <v>270</v>
      </c>
      <c r="AK5014" t="s">
        <v>362</v>
      </c>
    </row>
    <row r="5015" spans="1:37">
      <c r="B5015" t="s">
        <v>72</v>
      </c>
      <c r="C5015" t="s">
        <v>72</v>
      </c>
      <c r="D5015" t="s">
        <v>72</v>
      </c>
      <c r="E5015" t="s">
        <v>139</v>
      </c>
      <c r="F5015" t="s">
        <v>139</v>
      </c>
      <c r="G5015" t="s">
        <v>192</v>
      </c>
      <c r="H5015" t="s">
        <v>192</v>
      </c>
      <c r="I5015" t="s">
        <v>192</v>
      </c>
      <c r="J5015" t="s">
        <v>192</v>
      </c>
      <c r="K5015" t="s">
        <v>271</v>
      </c>
      <c r="AK5015" t="s">
        <v>362</v>
      </c>
    </row>
    <row r="5016" spans="1:37">
      <c r="A5016" t="s">
        <v>37</v>
      </c>
      <c r="B5016" t="s">
        <v>49</v>
      </c>
      <c r="C5016" t="s">
        <v>73</v>
      </c>
      <c r="D5016" t="s">
        <v>94</v>
      </c>
      <c r="E5016" t="s">
        <v>112</v>
      </c>
      <c r="F5016" t="s">
        <v>146</v>
      </c>
      <c r="G5016" t="s">
        <v>172</v>
      </c>
      <c r="H5016" t="s">
        <v>207</v>
      </c>
      <c r="I5016" t="s">
        <v>226</v>
      </c>
      <c r="J5016" t="s">
        <v>246</v>
      </c>
      <c r="K5016" t="s">
        <v>259</v>
      </c>
      <c r="AK5016" t="s">
        <v>362</v>
      </c>
    </row>
    <row r="5017" spans="1:37">
      <c r="A5017" t="s">
        <v>38</v>
      </c>
      <c r="B5017" t="s">
        <v>50</v>
      </c>
      <c r="C5017" t="s">
        <v>74</v>
      </c>
      <c r="D5017" t="s">
        <v>95</v>
      </c>
      <c r="E5017" t="s">
        <v>113</v>
      </c>
      <c r="F5017" t="s">
        <v>147</v>
      </c>
      <c r="G5017" t="s">
        <v>173</v>
      </c>
      <c r="H5017" t="s">
        <v>208</v>
      </c>
      <c r="I5017" t="s">
        <v>227</v>
      </c>
      <c r="J5017" t="s">
        <v>115</v>
      </c>
      <c r="K5017" t="s">
        <v>260</v>
      </c>
      <c r="L5017" t="s">
        <v>273</v>
      </c>
      <c r="M5017" t="s">
        <v>282</v>
      </c>
      <c r="N5017" t="s">
        <v>291</v>
      </c>
      <c r="AK5017" t="s">
        <v>362</v>
      </c>
    </row>
    <row r="5018" spans="1:37">
      <c r="B5018" t="s">
        <v>51</v>
      </c>
      <c r="C5018" t="s">
        <v>75</v>
      </c>
      <c r="D5018" t="s">
        <v>52</v>
      </c>
      <c r="E5018" t="s">
        <v>114</v>
      </c>
      <c r="F5018" t="s">
        <v>148</v>
      </c>
      <c r="G5018" t="s">
        <v>148</v>
      </c>
      <c r="H5018" t="s">
        <v>209</v>
      </c>
      <c r="I5018" t="s">
        <v>228</v>
      </c>
      <c r="J5018" t="s">
        <v>247</v>
      </c>
      <c r="K5018" t="s">
        <v>261</v>
      </c>
      <c r="L5018" t="s">
        <v>274</v>
      </c>
      <c r="M5018" t="s">
        <v>283</v>
      </c>
      <c r="N5018" t="s">
        <v>292</v>
      </c>
      <c r="O5018" t="s">
        <v>300</v>
      </c>
      <c r="AK5018" t="s">
        <v>362</v>
      </c>
    </row>
    <row r="5019" spans="1:37">
      <c r="B5019" t="s">
        <v>52</v>
      </c>
      <c r="C5019" t="s">
        <v>76</v>
      </c>
      <c r="D5019" t="s">
        <v>96</v>
      </c>
      <c r="E5019" t="s">
        <v>115</v>
      </c>
      <c r="F5019" t="s">
        <v>149</v>
      </c>
      <c r="G5019" t="s">
        <v>174</v>
      </c>
      <c r="H5019" t="s">
        <v>96</v>
      </c>
      <c r="I5019" t="s">
        <v>229</v>
      </c>
      <c r="J5019" t="s">
        <v>248</v>
      </c>
      <c r="K5019" t="s">
        <v>262</v>
      </c>
      <c r="L5019" t="s">
        <v>52</v>
      </c>
      <c r="M5019" t="s">
        <v>76</v>
      </c>
      <c r="N5019" t="s">
        <v>293</v>
      </c>
      <c r="O5019" t="s">
        <v>301</v>
      </c>
      <c r="P5019" t="s">
        <v>309</v>
      </c>
      <c r="Q5019" t="s">
        <v>315</v>
      </c>
      <c r="R5019" t="s">
        <v>228</v>
      </c>
      <c r="S5019" t="s">
        <v>328</v>
      </c>
      <c r="T5019" t="s">
        <v>149</v>
      </c>
      <c r="U5019" t="s">
        <v>337</v>
      </c>
      <c r="V5019" t="s">
        <v>341</v>
      </c>
      <c r="W5019" t="s">
        <v>345</v>
      </c>
      <c r="X5019" t="s">
        <v>350</v>
      </c>
      <c r="AK5019" t="s">
        <v>362</v>
      </c>
    </row>
    <row r="5020" spans="1:37">
      <c r="B5020" t="s">
        <v>53</v>
      </c>
      <c r="C5020" t="s">
        <v>77</v>
      </c>
      <c r="D5020" t="s">
        <v>97</v>
      </c>
      <c r="E5020" t="s">
        <v>116</v>
      </c>
      <c r="F5020" t="s">
        <v>150</v>
      </c>
      <c r="G5020" t="s">
        <v>175</v>
      </c>
      <c r="H5020" t="s">
        <v>210</v>
      </c>
      <c r="I5020" t="s">
        <v>230</v>
      </c>
      <c r="J5020" t="s">
        <v>249</v>
      </c>
      <c r="K5020" t="s">
        <v>263</v>
      </c>
      <c r="L5020" t="s">
        <v>275</v>
      </c>
      <c r="M5020" t="s">
        <v>284</v>
      </c>
      <c r="N5020" t="s">
        <v>294</v>
      </c>
      <c r="O5020" t="s">
        <v>302</v>
      </c>
      <c r="P5020" t="s">
        <v>310</v>
      </c>
      <c r="Q5020" t="s">
        <v>316</v>
      </c>
      <c r="R5020" t="s">
        <v>322</v>
      </c>
      <c r="S5020" t="s">
        <v>329</v>
      </c>
      <c r="AK5020" t="s">
        <v>362</v>
      </c>
    </row>
    <row r="5021" spans="1:37">
      <c r="A5021" t="s">
        <v>39</v>
      </c>
      <c r="B5021" t="s">
        <v>54</v>
      </c>
      <c r="C5021" t="s">
        <v>54</v>
      </c>
      <c r="D5021" t="s">
        <v>54</v>
      </c>
      <c r="E5021" t="s">
        <v>54</v>
      </c>
      <c r="F5021" t="s">
        <v>54</v>
      </c>
      <c r="G5021" t="s">
        <v>54</v>
      </c>
      <c r="H5021" t="s">
        <v>54</v>
      </c>
      <c r="I5021" t="s">
        <v>54</v>
      </c>
      <c r="J5021" t="s">
        <v>54</v>
      </c>
      <c r="K5021" t="s">
        <v>54</v>
      </c>
      <c r="L5021" t="s">
        <v>54</v>
      </c>
      <c r="M5021" t="s">
        <v>54</v>
      </c>
      <c r="N5021" t="s">
        <v>54</v>
      </c>
      <c r="O5021" t="s">
        <v>54</v>
      </c>
      <c r="P5021" t="s">
        <v>54</v>
      </c>
      <c r="Q5021" t="s">
        <v>54</v>
      </c>
      <c r="R5021" t="s">
        <v>323</v>
      </c>
      <c r="S5021" t="s">
        <v>330</v>
      </c>
      <c r="AK5021" t="s">
        <v>362</v>
      </c>
    </row>
    <row r="5022" spans="1:37">
      <c r="B5022" t="s">
        <v>55</v>
      </c>
      <c r="C5022" t="s">
        <v>78</v>
      </c>
      <c r="D5022" t="s">
        <v>55</v>
      </c>
      <c r="E5022" t="s">
        <v>78</v>
      </c>
      <c r="F5022" t="s">
        <v>55</v>
      </c>
      <c r="G5022" t="s">
        <v>78</v>
      </c>
      <c r="H5022" t="s">
        <v>55</v>
      </c>
      <c r="I5022" t="s">
        <v>78</v>
      </c>
      <c r="J5022" t="s">
        <v>55</v>
      </c>
      <c r="K5022" t="s">
        <v>78</v>
      </c>
      <c r="L5022" t="s">
        <v>55</v>
      </c>
      <c r="M5022" t="s">
        <v>78</v>
      </c>
      <c r="N5022" t="s">
        <v>55</v>
      </c>
      <c r="O5022" t="s">
        <v>78</v>
      </c>
      <c r="P5022" t="s">
        <v>55</v>
      </c>
      <c r="Q5022" t="s">
        <v>78</v>
      </c>
      <c r="R5022" t="s">
        <v>55</v>
      </c>
      <c r="S5022" t="s">
        <v>78</v>
      </c>
      <c r="T5022" t="s">
        <v>55</v>
      </c>
      <c r="U5022" t="s">
        <v>78</v>
      </c>
      <c r="V5022" t="s">
        <v>55</v>
      </c>
      <c r="W5022" t="s">
        <v>78</v>
      </c>
      <c r="X5022" t="s">
        <v>55</v>
      </c>
      <c r="Y5022" t="s">
        <v>78</v>
      </c>
      <c r="Z5022" t="s">
        <v>55</v>
      </c>
      <c r="AA5022" t="s">
        <v>78</v>
      </c>
      <c r="AB5022" t="s">
        <v>55</v>
      </c>
      <c r="AC5022" t="s">
        <v>78</v>
      </c>
      <c r="AD5022" t="s">
        <v>55</v>
      </c>
      <c r="AE5022" t="s">
        <v>78</v>
      </c>
      <c r="AF5022" t="s">
        <v>55</v>
      </c>
      <c r="AG5022" t="s">
        <v>78</v>
      </c>
      <c r="AH5022" t="s">
        <v>55</v>
      </c>
      <c r="AI5022" t="s">
        <v>78</v>
      </c>
      <c r="AK5022" t="s">
        <v>362</v>
      </c>
    </row>
    <row r="5023" spans="1:37">
      <c r="B5023" t="s">
        <v>56</v>
      </c>
      <c r="C5023" t="s">
        <v>56</v>
      </c>
      <c r="D5023" t="s">
        <v>56</v>
      </c>
      <c r="E5023" t="s">
        <v>56</v>
      </c>
      <c r="F5023" t="s">
        <v>56</v>
      </c>
      <c r="G5023" t="s">
        <v>176</v>
      </c>
      <c r="H5023" t="s">
        <v>211</v>
      </c>
      <c r="I5023" t="s">
        <v>231</v>
      </c>
      <c r="J5023" t="s">
        <v>250</v>
      </c>
      <c r="K5023" t="s">
        <v>264</v>
      </c>
      <c r="L5023" t="s">
        <v>276</v>
      </c>
      <c r="M5023" t="s">
        <v>285</v>
      </c>
      <c r="N5023" t="s">
        <v>295</v>
      </c>
      <c r="O5023" t="s">
        <v>303</v>
      </c>
      <c r="P5023" t="s">
        <v>56</v>
      </c>
      <c r="Q5023" t="s">
        <v>317</v>
      </c>
      <c r="R5023" t="s">
        <v>324</v>
      </c>
      <c r="S5023" t="s">
        <v>331</v>
      </c>
      <c r="T5023" t="s">
        <v>334</v>
      </c>
      <c r="U5023" t="s">
        <v>338</v>
      </c>
      <c r="V5023" t="s">
        <v>342</v>
      </c>
      <c r="W5023" t="s">
        <v>346</v>
      </c>
      <c r="X5023" t="s">
        <v>351</v>
      </c>
      <c r="AK5023" t="s">
        <v>362</v>
      </c>
    </row>
    <row r="5024" spans="1:37">
      <c r="B5024" t="s">
        <v>57</v>
      </c>
      <c r="C5024" t="s">
        <v>79</v>
      </c>
      <c r="D5024" t="s">
        <v>98</v>
      </c>
      <c r="E5024" t="s">
        <v>117</v>
      </c>
      <c r="F5024" t="s">
        <v>151</v>
      </c>
      <c r="G5024" t="s">
        <v>177</v>
      </c>
      <c r="H5024" t="s">
        <v>212</v>
      </c>
      <c r="I5024" t="s">
        <v>232</v>
      </c>
      <c r="J5024" t="s">
        <v>251</v>
      </c>
      <c r="K5024" t="s">
        <v>265</v>
      </c>
      <c r="L5024" t="s">
        <v>277</v>
      </c>
      <c r="M5024" t="s">
        <v>286</v>
      </c>
      <c r="N5024" t="s">
        <v>296</v>
      </c>
      <c r="O5024" t="s">
        <v>304</v>
      </c>
      <c r="P5024" t="s">
        <v>311</v>
      </c>
      <c r="Q5024" t="s">
        <v>318</v>
      </c>
      <c r="R5024" t="s">
        <v>185</v>
      </c>
      <c r="S5024" t="s">
        <v>159</v>
      </c>
      <c r="T5024" t="s">
        <v>185</v>
      </c>
      <c r="U5024" t="s">
        <v>339</v>
      </c>
      <c r="V5024" t="s">
        <v>72</v>
      </c>
      <c r="W5024" t="s">
        <v>347</v>
      </c>
      <c r="X5024" t="s">
        <v>72</v>
      </c>
      <c r="Y5024" t="s">
        <v>96</v>
      </c>
      <c r="AK5024" t="s">
        <v>362</v>
      </c>
    </row>
    <row r="5025" spans="1:37">
      <c r="B5025" t="s">
        <v>58</v>
      </c>
      <c r="C5025" t="s">
        <v>80</v>
      </c>
      <c r="D5025" t="s">
        <v>99</v>
      </c>
      <c r="E5025" t="s">
        <v>118</v>
      </c>
      <c r="F5025" t="s">
        <v>152</v>
      </c>
      <c r="G5025" t="s">
        <v>178</v>
      </c>
      <c r="H5025" t="s">
        <v>213</v>
      </c>
      <c r="I5025" t="s">
        <v>233</v>
      </c>
      <c r="J5025" t="s">
        <v>252</v>
      </c>
      <c r="K5025" t="s">
        <v>266</v>
      </c>
      <c r="L5025" t="s">
        <v>278</v>
      </c>
      <c r="M5025" t="s">
        <v>287</v>
      </c>
      <c r="N5025" t="s">
        <v>297</v>
      </c>
      <c r="O5025" t="s">
        <v>305</v>
      </c>
      <c r="P5025" t="s">
        <v>312</v>
      </c>
      <c r="Q5025" t="s">
        <v>319</v>
      </c>
      <c r="R5025">
        <f>&gt;10       ветра      2.4     16  11</f>
        <v>0</v>
      </c>
      <c r="AK5025" t="s">
        <v>362</v>
      </c>
    </row>
    <row r="5026" spans="1:37">
      <c r="A5026" t="s">
        <v>40</v>
      </c>
      <c r="B5026" t="s">
        <v>59</v>
      </c>
      <c r="C5026" t="s">
        <v>81</v>
      </c>
      <c r="D5026" t="s">
        <v>100</v>
      </c>
      <c r="E5026" t="s">
        <v>119</v>
      </c>
      <c r="F5026" t="s">
        <v>153</v>
      </c>
      <c r="G5026" t="s">
        <v>179</v>
      </c>
      <c r="H5026" t="s">
        <v>214</v>
      </c>
      <c r="I5026" t="s">
        <v>234</v>
      </c>
      <c r="AK5026" t="s">
        <v>362</v>
      </c>
    </row>
    <row r="5027" spans="1:37">
      <c r="A5027" t="s">
        <v>40</v>
      </c>
      <c r="B5027" t="s">
        <v>60</v>
      </c>
      <c r="C5027" t="s">
        <v>82</v>
      </c>
      <c r="D5027" t="s">
        <v>101</v>
      </c>
      <c r="E5027" t="s">
        <v>120</v>
      </c>
      <c r="F5027" t="s">
        <v>154</v>
      </c>
      <c r="G5027" t="s">
        <v>180</v>
      </c>
      <c r="H5027" t="s">
        <v>215</v>
      </c>
      <c r="I5027" t="s">
        <v>235</v>
      </c>
      <c r="J5027" t="s">
        <v>253</v>
      </c>
      <c r="K5027" t="s">
        <v>267</v>
      </c>
      <c r="L5027" t="s">
        <v>279</v>
      </c>
      <c r="M5027" t="s">
        <v>288</v>
      </c>
      <c r="N5027" t="s">
        <v>100</v>
      </c>
      <c r="O5027" t="s">
        <v>306</v>
      </c>
      <c r="P5027" t="s">
        <v>313</v>
      </c>
      <c r="Q5027" t="s">
        <v>320</v>
      </c>
      <c r="R5027" t="s">
        <v>325</v>
      </c>
      <c r="S5027" t="s">
        <v>332</v>
      </c>
      <c r="T5027" t="s">
        <v>119</v>
      </c>
      <c r="U5027" t="s">
        <v>234</v>
      </c>
      <c r="V5027" t="s">
        <v>343</v>
      </c>
      <c r="W5027" t="s">
        <v>348</v>
      </c>
      <c r="X5027" t="s">
        <v>352</v>
      </c>
      <c r="Y5027" t="s">
        <v>354</v>
      </c>
      <c r="AK5027" t="s">
        <v>362</v>
      </c>
    </row>
    <row r="5028" spans="1:37">
      <c r="A5028" t="s">
        <v>41</v>
      </c>
      <c r="B5028" t="s">
        <v>61</v>
      </c>
      <c r="C5028" t="s">
        <v>83</v>
      </c>
      <c r="D5028" t="s">
        <v>102</v>
      </c>
      <c r="E5028" t="s">
        <v>121</v>
      </c>
      <c r="F5028" t="s">
        <v>155</v>
      </c>
      <c r="G5028" t="s">
        <v>181</v>
      </c>
      <c r="H5028" t="s">
        <v>216</v>
      </c>
      <c r="I5028" t="s">
        <v>236</v>
      </c>
      <c r="AK5028" t="s">
        <v>362</v>
      </c>
    </row>
    <row r="5029" spans="1:37">
      <c r="A5029" t="s">
        <v>42</v>
      </c>
      <c r="B5029" t="s">
        <v>62</v>
      </c>
      <c r="C5029" t="s">
        <v>84</v>
      </c>
      <c r="D5029" t="s">
        <v>103</v>
      </c>
      <c r="E5029" t="s">
        <v>122</v>
      </c>
      <c r="F5029" t="s">
        <v>156</v>
      </c>
      <c r="G5029" t="s">
        <v>182</v>
      </c>
      <c r="H5029" t="s">
        <v>83</v>
      </c>
      <c r="I5029" t="s">
        <v>237</v>
      </c>
      <c r="J5029" t="s">
        <v>254</v>
      </c>
      <c r="K5029" t="s">
        <v>268</v>
      </c>
      <c r="L5029" t="s">
        <v>280</v>
      </c>
      <c r="M5029" t="s">
        <v>289</v>
      </c>
      <c r="N5029" t="s">
        <v>298</v>
      </c>
      <c r="O5029" t="s">
        <v>307</v>
      </c>
      <c r="P5029" t="s">
        <v>314</v>
      </c>
      <c r="Q5029" t="s">
        <v>216</v>
      </c>
      <c r="R5029" t="s">
        <v>326</v>
      </c>
      <c r="S5029" t="s">
        <v>333</v>
      </c>
      <c r="T5029" t="s">
        <v>335</v>
      </c>
      <c r="U5029" t="s">
        <v>340</v>
      </c>
      <c r="V5029" t="s">
        <v>344</v>
      </c>
      <c r="W5029" t="s">
        <v>349</v>
      </c>
      <c r="AK5029" t="s">
        <v>362</v>
      </c>
    </row>
    <row r="5030" spans="1:37">
      <c r="A5030" t="s">
        <v>43</v>
      </c>
      <c r="B5030" t="s">
        <v>63</v>
      </c>
      <c r="C5030" t="s">
        <v>85</v>
      </c>
      <c r="D5030" t="s">
        <v>104</v>
      </c>
      <c r="E5030" t="s">
        <v>123</v>
      </c>
      <c r="F5030" t="s">
        <v>157</v>
      </c>
      <c r="G5030" t="s">
        <v>183</v>
      </c>
      <c r="AK5030" t="s">
        <v>362</v>
      </c>
    </row>
    <row r="5031" spans="1:37">
      <c r="A5031" t="s">
        <v>44</v>
      </c>
      <c r="B5031" t="s">
        <v>64</v>
      </c>
      <c r="C5031" t="s">
        <v>86</v>
      </c>
      <c r="D5031" t="s">
        <v>105</v>
      </c>
      <c r="E5031" t="s">
        <v>124</v>
      </c>
      <c r="F5031" t="s">
        <v>158</v>
      </c>
      <c r="G5031" t="s">
        <v>184</v>
      </c>
      <c r="AK5031" t="s">
        <v>362</v>
      </c>
    </row>
    <row r="5032" spans="1:37">
      <c r="A5032" t="s">
        <v>45</v>
      </c>
      <c r="B5032" t="s">
        <v>65</v>
      </c>
      <c r="C5032" t="s">
        <v>87</v>
      </c>
      <c r="D5032" t="s">
        <v>106</v>
      </c>
      <c r="E5032" t="s">
        <v>125</v>
      </c>
      <c r="F5032" t="s">
        <v>159</v>
      </c>
      <c r="G5032" t="s">
        <v>185</v>
      </c>
      <c r="H5032" t="s">
        <v>159</v>
      </c>
      <c r="I5032" t="s">
        <v>185</v>
      </c>
      <c r="J5032" t="s">
        <v>255</v>
      </c>
      <c r="AK5032" t="s">
        <v>362</v>
      </c>
    </row>
    <row r="5033" spans="1:37">
      <c r="A5033" t="s">
        <v>46</v>
      </c>
      <c r="B5033" t="s">
        <v>66</v>
      </c>
      <c r="C5033" t="s">
        <v>88</v>
      </c>
      <c r="D5033" t="s">
        <v>76</v>
      </c>
      <c r="E5033" t="s">
        <v>126</v>
      </c>
      <c r="F5033" t="s">
        <v>160</v>
      </c>
      <c r="G5033" t="s">
        <v>186</v>
      </c>
      <c r="H5033" t="s">
        <v>217</v>
      </c>
      <c r="I5033" t="s">
        <v>238</v>
      </c>
      <c r="J5033" t="s">
        <v>256</v>
      </c>
      <c r="K5033" t="s">
        <v>265</v>
      </c>
      <c r="L5033" t="s">
        <v>281</v>
      </c>
      <c r="M5033" t="s">
        <v>290</v>
      </c>
      <c r="N5033" t="s">
        <v>299</v>
      </c>
      <c r="O5033" t="s">
        <v>308</v>
      </c>
      <c r="P5033" t="s">
        <v>228</v>
      </c>
      <c r="Q5033" t="s">
        <v>72</v>
      </c>
      <c r="R5033" t="s">
        <v>327</v>
      </c>
      <c r="S5033" t="s">
        <v>327</v>
      </c>
      <c r="T5033" t="s">
        <v>336</v>
      </c>
      <c r="U5033" t="s">
        <v>336</v>
      </c>
      <c r="V5033" t="s">
        <v>336</v>
      </c>
      <c r="W5033" t="s">
        <v>336</v>
      </c>
      <c r="X5033" t="s">
        <v>353</v>
      </c>
      <c r="AK5033" t="s">
        <v>362</v>
      </c>
    </row>
    <row r="5034" spans="1:37">
      <c r="B5034" t="s">
        <v>67</v>
      </c>
      <c r="C5034" t="s">
        <v>89</v>
      </c>
      <c r="D5034" t="s">
        <v>107</v>
      </c>
      <c r="AK5034" t="s">
        <v>362</v>
      </c>
    </row>
    <row r="5035" spans="1:37">
      <c r="B5035" t="s">
        <v>68</v>
      </c>
      <c r="C5035" t="s">
        <v>90</v>
      </c>
      <c r="D5035" t="s">
        <v>108</v>
      </c>
      <c r="AK5035" t="s">
        <v>362</v>
      </c>
    </row>
    <row r="5036" spans="1:37">
      <c r="A5036" t="s">
        <v>47</v>
      </c>
      <c r="B5036" t="s">
        <v>69</v>
      </c>
      <c r="C5036" t="s">
        <v>91</v>
      </c>
      <c r="D5036" t="s">
        <v>109</v>
      </c>
      <c r="E5036" t="s">
        <v>109</v>
      </c>
      <c r="F5036" t="s">
        <v>109</v>
      </c>
      <c r="G5036" t="s">
        <v>109</v>
      </c>
      <c r="H5036" t="s">
        <v>109</v>
      </c>
      <c r="I5036" t="s">
        <v>239</v>
      </c>
      <c r="AK5036" t="s">
        <v>362</v>
      </c>
    </row>
    <row r="5037" spans="1:37">
      <c r="B5037" t="s">
        <v>70</v>
      </c>
      <c r="C5037" t="s">
        <v>92</v>
      </c>
      <c r="D5037" t="s">
        <v>110</v>
      </c>
      <c r="E5037" t="s">
        <v>127</v>
      </c>
      <c r="F5037" t="s">
        <v>161</v>
      </c>
      <c r="G5037" t="s">
        <v>187</v>
      </c>
      <c r="H5037" t="s">
        <v>218</v>
      </c>
      <c r="AK5037" t="s">
        <v>362</v>
      </c>
    </row>
    <row r="5038" spans="1:37">
      <c r="B5038" t="s">
        <v>71</v>
      </c>
      <c r="C5038" t="s">
        <v>93</v>
      </c>
      <c r="D5038" t="s">
        <v>111</v>
      </c>
      <c r="E5038" t="s">
        <v>128</v>
      </c>
      <c r="F5038" t="s">
        <v>162</v>
      </c>
      <c r="G5038" t="s">
        <v>188</v>
      </c>
      <c r="H5038" t="s">
        <v>219</v>
      </c>
      <c r="I5038" t="s">
        <v>240</v>
      </c>
      <c r="J5038" t="s">
        <v>257</v>
      </c>
      <c r="K5038" t="s">
        <v>269</v>
      </c>
      <c r="L5038" t="s">
        <v>109</v>
      </c>
      <c r="M5038" t="s">
        <v>109</v>
      </c>
      <c r="N5038" t="s">
        <v>109</v>
      </c>
      <c r="O5038" t="s">
        <v>109</v>
      </c>
      <c r="P5038" t="s">
        <v>109</v>
      </c>
      <c r="Q5038" t="s">
        <v>321</v>
      </c>
      <c r="AK5038" t="s">
        <v>362</v>
      </c>
    </row>
    <row r="5039" spans="1:37">
      <c r="A5039" t="s">
        <v>48</v>
      </c>
      <c r="B5039" t="s">
        <v>71</v>
      </c>
      <c r="C5039" t="s">
        <v>93</v>
      </c>
      <c r="D5039" t="s">
        <v>111</v>
      </c>
      <c r="E5039" t="s">
        <v>128</v>
      </c>
      <c r="F5039" t="s">
        <v>163</v>
      </c>
      <c r="G5039" t="s">
        <v>189</v>
      </c>
      <c r="H5039" t="s">
        <v>220</v>
      </c>
      <c r="I5039" t="s">
        <v>241</v>
      </c>
      <c r="J5039" t="s">
        <v>258</v>
      </c>
      <c r="K5039" t="s">
        <v>270</v>
      </c>
      <c r="AK5039" t="s">
        <v>362</v>
      </c>
    </row>
    <row r="5040" spans="1:37">
      <c r="B5040" t="s">
        <v>72</v>
      </c>
      <c r="C5040" t="s">
        <v>72</v>
      </c>
      <c r="D5040" t="s">
        <v>72</v>
      </c>
      <c r="E5040" t="s">
        <v>72</v>
      </c>
      <c r="F5040" t="s">
        <v>72</v>
      </c>
      <c r="G5040" t="s">
        <v>72</v>
      </c>
      <c r="H5040" t="s">
        <v>72</v>
      </c>
      <c r="I5040" t="s">
        <v>72</v>
      </c>
      <c r="J5040" t="s">
        <v>72</v>
      </c>
      <c r="K5040" t="s">
        <v>272</v>
      </c>
      <c r="AK5040" t="s">
        <v>362</v>
      </c>
    </row>
    <row r="5041" spans="1:37">
      <c r="A5041" t="s">
        <v>37</v>
      </c>
      <c r="B5041" t="s">
        <v>49</v>
      </c>
      <c r="C5041" t="s">
        <v>73</v>
      </c>
      <c r="D5041" t="s">
        <v>94</v>
      </c>
      <c r="E5041" t="s">
        <v>112</v>
      </c>
      <c r="F5041" t="s">
        <v>146</v>
      </c>
      <c r="G5041" t="s">
        <v>172</v>
      </c>
      <c r="H5041" t="s">
        <v>207</v>
      </c>
      <c r="I5041" t="s">
        <v>226</v>
      </c>
      <c r="J5041" t="s">
        <v>246</v>
      </c>
      <c r="K5041" t="s">
        <v>259</v>
      </c>
      <c r="AK5041" t="s">
        <v>362</v>
      </c>
    </row>
    <row r="5042" spans="1:37">
      <c r="A5042" t="s">
        <v>38</v>
      </c>
      <c r="B5042" t="s">
        <v>50</v>
      </c>
      <c r="C5042" t="s">
        <v>74</v>
      </c>
      <c r="D5042" t="s">
        <v>95</v>
      </c>
      <c r="E5042" t="s">
        <v>113</v>
      </c>
      <c r="F5042" t="s">
        <v>147</v>
      </c>
      <c r="G5042" t="s">
        <v>173</v>
      </c>
      <c r="H5042" t="s">
        <v>208</v>
      </c>
      <c r="I5042" t="s">
        <v>227</v>
      </c>
      <c r="J5042" t="s">
        <v>115</v>
      </c>
      <c r="K5042" t="s">
        <v>260</v>
      </c>
      <c r="L5042" t="s">
        <v>273</v>
      </c>
      <c r="M5042" t="s">
        <v>282</v>
      </c>
      <c r="N5042" t="s">
        <v>291</v>
      </c>
      <c r="AK5042" t="s">
        <v>362</v>
      </c>
    </row>
    <row r="5043" spans="1:37">
      <c r="B5043" t="s">
        <v>51</v>
      </c>
      <c r="C5043" t="s">
        <v>75</v>
      </c>
      <c r="D5043" t="s">
        <v>52</v>
      </c>
      <c r="E5043" t="s">
        <v>114</v>
      </c>
      <c r="F5043" t="s">
        <v>148</v>
      </c>
      <c r="G5043" t="s">
        <v>148</v>
      </c>
      <c r="H5043" t="s">
        <v>209</v>
      </c>
      <c r="I5043" t="s">
        <v>228</v>
      </c>
      <c r="J5043" t="s">
        <v>247</v>
      </c>
      <c r="K5043" t="s">
        <v>261</v>
      </c>
      <c r="L5043" t="s">
        <v>274</v>
      </c>
      <c r="M5043" t="s">
        <v>283</v>
      </c>
      <c r="N5043" t="s">
        <v>292</v>
      </c>
      <c r="O5043" t="s">
        <v>300</v>
      </c>
      <c r="AK5043" t="s">
        <v>362</v>
      </c>
    </row>
    <row r="5044" spans="1:37">
      <c r="B5044" t="s">
        <v>52</v>
      </c>
      <c r="C5044" t="s">
        <v>76</v>
      </c>
      <c r="D5044" t="s">
        <v>96</v>
      </c>
      <c r="E5044" t="s">
        <v>115</v>
      </c>
      <c r="F5044" t="s">
        <v>149</v>
      </c>
      <c r="G5044" t="s">
        <v>174</v>
      </c>
      <c r="H5044" t="s">
        <v>96</v>
      </c>
      <c r="I5044" t="s">
        <v>229</v>
      </c>
      <c r="J5044" t="s">
        <v>248</v>
      </c>
      <c r="K5044" t="s">
        <v>262</v>
      </c>
      <c r="L5044" t="s">
        <v>52</v>
      </c>
      <c r="M5044" t="s">
        <v>76</v>
      </c>
      <c r="N5044" t="s">
        <v>293</v>
      </c>
      <c r="O5044" t="s">
        <v>301</v>
      </c>
      <c r="P5044" t="s">
        <v>309</v>
      </c>
      <c r="Q5044" t="s">
        <v>315</v>
      </c>
      <c r="R5044" t="s">
        <v>228</v>
      </c>
      <c r="S5044" t="s">
        <v>328</v>
      </c>
      <c r="T5044" t="s">
        <v>149</v>
      </c>
      <c r="U5044" t="s">
        <v>337</v>
      </c>
      <c r="V5044" t="s">
        <v>341</v>
      </c>
      <c r="W5044" t="s">
        <v>345</v>
      </c>
      <c r="X5044" t="s">
        <v>350</v>
      </c>
      <c r="AK5044" t="s">
        <v>362</v>
      </c>
    </row>
    <row r="5045" spans="1:37">
      <c r="B5045" t="s">
        <v>53</v>
      </c>
      <c r="C5045" t="s">
        <v>77</v>
      </c>
      <c r="D5045" t="s">
        <v>97</v>
      </c>
      <c r="E5045" t="s">
        <v>116</v>
      </c>
      <c r="F5045" t="s">
        <v>150</v>
      </c>
      <c r="G5045" t="s">
        <v>175</v>
      </c>
      <c r="H5045" t="s">
        <v>210</v>
      </c>
      <c r="I5045" t="s">
        <v>230</v>
      </c>
      <c r="J5045" t="s">
        <v>249</v>
      </c>
      <c r="K5045" t="s">
        <v>263</v>
      </c>
      <c r="L5045" t="s">
        <v>275</v>
      </c>
      <c r="M5045" t="s">
        <v>284</v>
      </c>
      <c r="N5045" t="s">
        <v>294</v>
      </c>
      <c r="O5045" t="s">
        <v>302</v>
      </c>
      <c r="P5045" t="s">
        <v>310</v>
      </c>
      <c r="Q5045" t="s">
        <v>316</v>
      </c>
      <c r="R5045" t="s">
        <v>322</v>
      </c>
      <c r="S5045" t="s">
        <v>329</v>
      </c>
      <c r="AK5045" t="s">
        <v>362</v>
      </c>
    </row>
    <row r="5046" spans="1:37">
      <c r="A5046" t="s">
        <v>39</v>
      </c>
      <c r="B5046" t="s">
        <v>54</v>
      </c>
      <c r="C5046" t="s">
        <v>54</v>
      </c>
      <c r="D5046" t="s">
        <v>54</v>
      </c>
      <c r="E5046" t="s">
        <v>54</v>
      </c>
      <c r="F5046" t="s">
        <v>54</v>
      </c>
      <c r="G5046" t="s">
        <v>54</v>
      </c>
      <c r="H5046" t="s">
        <v>54</v>
      </c>
      <c r="I5046" t="s">
        <v>54</v>
      </c>
      <c r="J5046" t="s">
        <v>54</v>
      </c>
      <c r="K5046" t="s">
        <v>54</v>
      </c>
      <c r="L5046" t="s">
        <v>54</v>
      </c>
      <c r="M5046" t="s">
        <v>54</v>
      </c>
      <c r="N5046" t="s">
        <v>54</v>
      </c>
      <c r="O5046" t="s">
        <v>54</v>
      </c>
      <c r="P5046" t="s">
        <v>54</v>
      </c>
      <c r="Q5046" t="s">
        <v>54</v>
      </c>
      <c r="R5046" t="s">
        <v>323</v>
      </c>
      <c r="S5046" t="s">
        <v>330</v>
      </c>
      <c r="AK5046" t="s">
        <v>362</v>
      </c>
    </row>
    <row r="5047" spans="1:37">
      <c r="B5047" t="s">
        <v>55</v>
      </c>
      <c r="C5047" t="s">
        <v>78</v>
      </c>
      <c r="D5047" t="s">
        <v>55</v>
      </c>
      <c r="E5047" t="s">
        <v>78</v>
      </c>
      <c r="F5047" t="s">
        <v>55</v>
      </c>
      <c r="G5047" t="s">
        <v>78</v>
      </c>
      <c r="H5047" t="s">
        <v>55</v>
      </c>
      <c r="I5047" t="s">
        <v>78</v>
      </c>
      <c r="J5047" t="s">
        <v>55</v>
      </c>
      <c r="K5047" t="s">
        <v>78</v>
      </c>
      <c r="L5047" t="s">
        <v>55</v>
      </c>
      <c r="M5047" t="s">
        <v>78</v>
      </c>
      <c r="N5047" t="s">
        <v>55</v>
      </c>
      <c r="O5047" t="s">
        <v>78</v>
      </c>
      <c r="P5047" t="s">
        <v>55</v>
      </c>
      <c r="Q5047" t="s">
        <v>78</v>
      </c>
      <c r="R5047" t="s">
        <v>55</v>
      </c>
      <c r="S5047" t="s">
        <v>78</v>
      </c>
      <c r="T5047" t="s">
        <v>55</v>
      </c>
      <c r="U5047" t="s">
        <v>78</v>
      </c>
      <c r="V5047" t="s">
        <v>55</v>
      </c>
      <c r="W5047" t="s">
        <v>78</v>
      </c>
      <c r="X5047" t="s">
        <v>55</v>
      </c>
      <c r="Y5047" t="s">
        <v>78</v>
      </c>
      <c r="Z5047" t="s">
        <v>55</v>
      </c>
      <c r="AA5047" t="s">
        <v>78</v>
      </c>
      <c r="AB5047" t="s">
        <v>55</v>
      </c>
      <c r="AC5047" t="s">
        <v>78</v>
      </c>
      <c r="AD5047" t="s">
        <v>55</v>
      </c>
      <c r="AE5047" t="s">
        <v>78</v>
      </c>
      <c r="AF5047" t="s">
        <v>55</v>
      </c>
      <c r="AG5047" t="s">
        <v>78</v>
      </c>
      <c r="AH5047" t="s">
        <v>55</v>
      </c>
      <c r="AI5047" t="s">
        <v>78</v>
      </c>
      <c r="AK5047" t="s">
        <v>362</v>
      </c>
    </row>
    <row r="5048" spans="1:37">
      <c r="B5048" t="s">
        <v>56</v>
      </c>
      <c r="C5048" t="s">
        <v>56</v>
      </c>
      <c r="D5048" t="s">
        <v>56</v>
      </c>
      <c r="E5048" t="s">
        <v>56</v>
      </c>
      <c r="F5048" t="s">
        <v>56</v>
      </c>
      <c r="G5048" t="s">
        <v>176</v>
      </c>
      <c r="H5048" t="s">
        <v>211</v>
      </c>
      <c r="I5048" t="s">
        <v>231</v>
      </c>
      <c r="J5048" t="s">
        <v>250</v>
      </c>
      <c r="K5048" t="s">
        <v>264</v>
      </c>
      <c r="L5048" t="s">
        <v>276</v>
      </c>
      <c r="M5048" t="s">
        <v>285</v>
      </c>
      <c r="N5048" t="s">
        <v>295</v>
      </c>
      <c r="O5048" t="s">
        <v>303</v>
      </c>
      <c r="P5048" t="s">
        <v>56</v>
      </c>
      <c r="Q5048" t="s">
        <v>317</v>
      </c>
      <c r="R5048" t="s">
        <v>324</v>
      </c>
      <c r="S5048" t="s">
        <v>331</v>
      </c>
      <c r="T5048" t="s">
        <v>334</v>
      </c>
      <c r="U5048" t="s">
        <v>338</v>
      </c>
      <c r="V5048" t="s">
        <v>342</v>
      </c>
      <c r="W5048" t="s">
        <v>346</v>
      </c>
      <c r="X5048" t="s">
        <v>351</v>
      </c>
      <c r="AK5048" t="s">
        <v>362</v>
      </c>
    </row>
    <row r="5049" spans="1:37">
      <c r="B5049" t="s">
        <v>57</v>
      </c>
      <c r="C5049" t="s">
        <v>79</v>
      </c>
      <c r="D5049" t="s">
        <v>98</v>
      </c>
      <c r="E5049" t="s">
        <v>117</v>
      </c>
      <c r="F5049" t="s">
        <v>151</v>
      </c>
      <c r="G5049" t="s">
        <v>177</v>
      </c>
      <c r="H5049" t="s">
        <v>212</v>
      </c>
      <c r="I5049" t="s">
        <v>232</v>
      </c>
      <c r="J5049" t="s">
        <v>251</v>
      </c>
      <c r="K5049" t="s">
        <v>265</v>
      </c>
      <c r="L5049" t="s">
        <v>277</v>
      </c>
      <c r="M5049" t="s">
        <v>286</v>
      </c>
      <c r="N5049" t="s">
        <v>296</v>
      </c>
      <c r="O5049" t="s">
        <v>304</v>
      </c>
      <c r="P5049" t="s">
        <v>311</v>
      </c>
      <c r="Q5049" t="s">
        <v>318</v>
      </c>
      <c r="R5049" t="s">
        <v>185</v>
      </c>
      <c r="S5049" t="s">
        <v>159</v>
      </c>
      <c r="T5049" t="s">
        <v>185</v>
      </c>
      <c r="U5049" t="s">
        <v>339</v>
      </c>
      <c r="V5049" t="s">
        <v>72</v>
      </c>
      <c r="W5049" t="s">
        <v>347</v>
      </c>
      <c r="X5049" t="s">
        <v>72</v>
      </c>
      <c r="Y5049" t="s">
        <v>96</v>
      </c>
      <c r="AK5049" t="s">
        <v>362</v>
      </c>
    </row>
    <row r="5050" spans="1:37">
      <c r="B5050" t="s">
        <v>58</v>
      </c>
      <c r="C5050" t="s">
        <v>80</v>
      </c>
      <c r="D5050" t="s">
        <v>99</v>
      </c>
      <c r="E5050" t="s">
        <v>118</v>
      </c>
      <c r="F5050" t="s">
        <v>152</v>
      </c>
      <c r="G5050" t="s">
        <v>178</v>
      </c>
      <c r="H5050" t="s">
        <v>213</v>
      </c>
      <c r="I5050" t="s">
        <v>233</v>
      </c>
      <c r="J5050" t="s">
        <v>252</v>
      </c>
      <c r="K5050" t="s">
        <v>266</v>
      </c>
      <c r="L5050" t="s">
        <v>278</v>
      </c>
      <c r="M5050" t="s">
        <v>287</v>
      </c>
      <c r="N5050" t="s">
        <v>297</v>
      </c>
      <c r="O5050" t="s">
        <v>305</v>
      </c>
      <c r="P5050" t="s">
        <v>312</v>
      </c>
      <c r="Q5050" t="s">
        <v>319</v>
      </c>
      <c r="R5050">
        <f>&gt;10       ветра      1.7     14   6 19</f>
        <v>0</v>
      </c>
      <c r="AK5050" t="s">
        <v>362</v>
      </c>
    </row>
    <row r="5051" spans="1:37">
      <c r="A5051" t="s">
        <v>40</v>
      </c>
      <c r="B5051" t="s">
        <v>59</v>
      </c>
      <c r="C5051" t="s">
        <v>81</v>
      </c>
      <c r="D5051" t="s">
        <v>100</v>
      </c>
      <c r="E5051" t="s">
        <v>119</v>
      </c>
      <c r="F5051" t="s">
        <v>153</v>
      </c>
      <c r="G5051" t="s">
        <v>179</v>
      </c>
      <c r="H5051" t="s">
        <v>214</v>
      </c>
      <c r="I5051" t="s">
        <v>234</v>
      </c>
      <c r="AK5051" t="s">
        <v>362</v>
      </c>
    </row>
    <row r="5052" spans="1:37">
      <c r="A5052" t="s">
        <v>40</v>
      </c>
      <c r="B5052" t="s">
        <v>60</v>
      </c>
      <c r="C5052" t="s">
        <v>82</v>
      </c>
      <c r="D5052" t="s">
        <v>101</v>
      </c>
      <c r="E5052" t="s">
        <v>120</v>
      </c>
      <c r="F5052" t="s">
        <v>154</v>
      </c>
      <c r="G5052" t="s">
        <v>180</v>
      </c>
      <c r="H5052" t="s">
        <v>215</v>
      </c>
      <c r="I5052" t="s">
        <v>235</v>
      </c>
      <c r="J5052" t="s">
        <v>253</v>
      </c>
      <c r="K5052" t="s">
        <v>267</v>
      </c>
      <c r="L5052" t="s">
        <v>279</v>
      </c>
      <c r="M5052" t="s">
        <v>288</v>
      </c>
      <c r="N5052" t="s">
        <v>100</v>
      </c>
      <c r="O5052" t="s">
        <v>306</v>
      </c>
      <c r="P5052" t="s">
        <v>313</v>
      </c>
      <c r="Q5052" t="s">
        <v>320</v>
      </c>
      <c r="R5052" t="s">
        <v>325</v>
      </c>
      <c r="S5052" t="s">
        <v>332</v>
      </c>
      <c r="T5052" t="s">
        <v>119</v>
      </c>
      <c r="U5052" t="s">
        <v>234</v>
      </c>
      <c r="V5052" t="s">
        <v>343</v>
      </c>
      <c r="W5052" t="s">
        <v>348</v>
      </c>
      <c r="X5052" t="s">
        <v>352</v>
      </c>
      <c r="Y5052" t="s">
        <v>354</v>
      </c>
      <c r="AK5052" t="s">
        <v>362</v>
      </c>
    </row>
    <row r="5053" spans="1:37">
      <c r="A5053" t="s">
        <v>41</v>
      </c>
      <c r="B5053" t="s">
        <v>61</v>
      </c>
      <c r="C5053" t="s">
        <v>83</v>
      </c>
      <c r="D5053" t="s">
        <v>102</v>
      </c>
      <c r="E5053" t="s">
        <v>121</v>
      </c>
      <c r="F5053" t="s">
        <v>155</v>
      </c>
      <c r="G5053" t="s">
        <v>181</v>
      </c>
      <c r="H5053" t="s">
        <v>216</v>
      </c>
      <c r="I5053" t="s">
        <v>236</v>
      </c>
      <c r="AK5053" t="s">
        <v>362</v>
      </c>
    </row>
    <row r="5054" spans="1:37">
      <c r="A5054" t="s">
        <v>42</v>
      </c>
      <c r="B5054" t="s">
        <v>62</v>
      </c>
      <c r="C5054" t="s">
        <v>84</v>
      </c>
      <c r="D5054" t="s">
        <v>103</v>
      </c>
      <c r="E5054" t="s">
        <v>122</v>
      </c>
      <c r="F5054" t="s">
        <v>156</v>
      </c>
      <c r="G5054" t="s">
        <v>182</v>
      </c>
      <c r="H5054" t="s">
        <v>83</v>
      </c>
      <c r="I5054" t="s">
        <v>237</v>
      </c>
      <c r="J5054" t="s">
        <v>254</v>
      </c>
      <c r="K5054" t="s">
        <v>268</v>
      </c>
      <c r="L5054" t="s">
        <v>280</v>
      </c>
      <c r="M5054" t="s">
        <v>289</v>
      </c>
      <c r="N5054" t="s">
        <v>298</v>
      </c>
      <c r="O5054" t="s">
        <v>307</v>
      </c>
      <c r="P5054" t="s">
        <v>314</v>
      </c>
      <c r="Q5054" t="s">
        <v>216</v>
      </c>
      <c r="R5054" t="s">
        <v>326</v>
      </c>
      <c r="S5054" t="s">
        <v>333</v>
      </c>
      <c r="T5054" t="s">
        <v>335</v>
      </c>
      <c r="U5054" t="s">
        <v>340</v>
      </c>
      <c r="V5054" t="s">
        <v>344</v>
      </c>
      <c r="W5054" t="s">
        <v>349</v>
      </c>
      <c r="AK5054" t="s">
        <v>362</v>
      </c>
    </row>
    <row r="5055" spans="1:37">
      <c r="A5055" t="s">
        <v>43</v>
      </c>
      <c r="B5055" t="s">
        <v>63</v>
      </c>
      <c r="C5055" t="s">
        <v>85</v>
      </c>
      <c r="D5055" t="s">
        <v>104</v>
      </c>
      <c r="E5055" t="s">
        <v>123</v>
      </c>
      <c r="F5055" t="s">
        <v>157</v>
      </c>
      <c r="G5055" t="s">
        <v>183</v>
      </c>
      <c r="AK5055" t="s">
        <v>362</v>
      </c>
    </row>
    <row r="5056" spans="1:37">
      <c r="A5056" t="s">
        <v>44</v>
      </c>
      <c r="B5056" t="s">
        <v>64</v>
      </c>
      <c r="C5056" t="s">
        <v>86</v>
      </c>
      <c r="D5056" t="s">
        <v>105</v>
      </c>
      <c r="E5056" t="s">
        <v>124</v>
      </c>
      <c r="F5056" t="s">
        <v>158</v>
      </c>
      <c r="G5056" t="s">
        <v>184</v>
      </c>
      <c r="AK5056" t="s">
        <v>362</v>
      </c>
    </row>
    <row r="5057" spans="1:37">
      <c r="A5057" t="s">
        <v>45</v>
      </c>
      <c r="B5057" t="s">
        <v>65</v>
      </c>
      <c r="C5057" t="s">
        <v>87</v>
      </c>
      <c r="D5057" t="s">
        <v>106</v>
      </c>
      <c r="E5057" t="s">
        <v>125</v>
      </c>
      <c r="F5057" t="s">
        <v>159</v>
      </c>
      <c r="G5057" t="s">
        <v>185</v>
      </c>
      <c r="H5057" t="s">
        <v>159</v>
      </c>
      <c r="I5057" t="s">
        <v>185</v>
      </c>
      <c r="J5057" t="s">
        <v>255</v>
      </c>
      <c r="AK5057" t="s">
        <v>362</v>
      </c>
    </row>
    <row r="5058" spans="1:37">
      <c r="A5058" t="s">
        <v>46</v>
      </c>
      <c r="B5058" t="s">
        <v>66</v>
      </c>
      <c r="C5058" t="s">
        <v>88</v>
      </c>
      <c r="D5058" t="s">
        <v>76</v>
      </c>
      <c r="E5058" t="s">
        <v>126</v>
      </c>
      <c r="F5058" t="s">
        <v>160</v>
      </c>
      <c r="G5058" t="s">
        <v>186</v>
      </c>
      <c r="H5058" t="s">
        <v>217</v>
      </c>
      <c r="I5058" t="s">
        <v>238</v>
      </c>
      <c r="J5058" t="s">
        <v>256</v>
      </c>
      <c r="K5058" t="s">
        <v>265</v>
      </c>
      <c r="L5058" t="s">
        <v>281</v>
      </c>
      <c r="M5058" t="s">
        <v>290</v>
      </c>
      <c r="N5058" t="s">
        <v>299</v>
      </c>
      <c r="O5058" t="s">
        <v>308</v>
      </c>
      <c r="P5058" t="s">
        <v>228</v>
      </c>
      <c r="Q5058" t="s">
        <v>72</v>
      </c>
      <c r="R5058" t="s">
        <v>327</v>
      </c>
      <c r="S5058" t="s">
        <v>327</v>
      </c>
      <c r="T5058" t="s">
        <v>336</v>
      </c>
      <c r="U5058" t="s">
        <v>336</v>
      </c>
      <c r="V5058" t="s">
        <v>336</v>
      </c>
      <c r="W5058" t="s">
        <v>336</v>
      </c>
      <c r="X5058" t="s">
        <v>353</v>
      </c>
      <c r="AK5058" t="s">
        <v>362</v>
      </c>
    </row>
    <row r="5059" spans="1:37">
      <c r="B5059" t="s">
        <v>67</v>
      </c>
      <c r="C5059" t="s">
        <v>89</v>
      </c>
      <c r="D5059" t="s">
        <v>107</v>
      </c>
      <c r="AK5059" t="s">
        <v>362</v>
      </c>
    </row>
    <row r="5060" spans="1:37">
      <c r="B5060" t="s">
        <v>68</v>
      </c>
      <c r="C5060" t="s">
        <v>90</v>
      </c>
      <c r="D5060" t="s">
        <v>108</v>
      </c>
      <c r="AK5060" t="s">
        <v>362</v>
      </c>
    </row>
    <row r="5061" spans="1:37">
      <c r="A5061" t="s">
        <v>47</v>
      </c>
      <c r="B5061" t="s">
        <v>69</v>
      </c>
      <c r="C5061" t="s">
        <v>91</v>
      </c>
      <c r="D5061" t="s">
        <v>109</v>
      </c>
      <c r="E5061" t="s">
        <v>109</v>
      </c>
      <c r="F5061" t="s">
        <v>109</v>
      </c>
      <c r="G5061" t="s">
        <v>109</v>
      </c>
      <c r="H5061" t="s">
        <v>109</v>
      </c>
      <c r="I5061" t="s">
        <v>239</v>
      </c>
      <c r="AK5061" t="s">
        <v>362</v>
      </c>
    </row>
    <row r="5062" spans="1:37">
      <c r="B5062" t="s">
        <v>70</v>
      </c>
      <c r="C5062" t="s">
        <v>92</v>
      </c>
      <c r="D5062" t="s">
        <v>110</v>
      </c>
      <c r="E5062" t="s">
        <v>127</v>
      </c>
      <c r="F5062" t="s">
        <v>161</v>
      </c>
      <c r="G5062" t="s">
        <v>187</v>
      </c>
      <c r="H5062" t="s">
        <v>218</v>
      </c>
      <c r="AK5062" t="s">
        <v>362</v>
      </c>
    </row>
    <row r="5063" spans="1:37">
      <c r="B5063" t="s">
        <v>71</v>
      </c>
      <c r="C5063" t="s">
        <v>93</v>
      </c>
      <c r="D5063" t="s">
        <v>111</v>
      </c>
      <c r="E5063" t="s">
        <v>128</v>
      </c>
      <c r="F5063" t="s">
        <v>162</v>
      </c>
      <c r="G5063" t="s">
        <v>188</v>
      </c>
      <c r="H5063" t="s">
        <v>219</v>
      </c>
      <c r="I5063" t="s">
        <v>240</v>
      </c>
      <c r="J5063" t="s">
        <v>257</v>
      </c>
      <c r="K5063" t="s">
        <v>269</v>
      </c>
      <c r="L5063" t="s">
        <v>109</v>
      </c>
      <c r="M5063" t="s">
        <v>109</v>
      </c>
      <c r="N5063" t="s">
        <v>109</v>
      </c>
      <c r="O5063" t="s">
        <v>109</v>
      </c>
      <c r="P5063" t="s">
        <v>109</v>
      </c>
      <c r="Q5063" t="s">
        <v>321</v>
      </c>
      <c r="AK5063" t="s">
        <v>362</v>
      </c>
    </row>
    <row r="5064" spans="1:37">
      <c r="A5064" t="s">
        <v>48</v>
      </c>
      <c r="B5064" t="s">
        <v>71</v>
      </c>
      <c r="C5064" t="s">
        <v>93</v>
      </c>
      <c r="D5064" t="s">
        <v>111</v>
      </c>
      <c r="E5064" t="s">
        <v>128</v>
      </c>
      <c r="F5064" t="s">
        <v>163</v>
      </c>
      <c r="G5064" t="s">
        <v>189</v>
      </c>
      <c r="H5064" t="s">
        <v>220</v>
      </c>
      <c r="I5064" t="s">
        <v>241</v>
      </c>
      <c r="J5064" t="s">
        <v>258</v>
      </c>
      <c r="K5064" t="s">
        <v>270</v>
      </c>
      <c r="AK5064" t="s">
        <v>362</v>
      </c>
    </row>
    <row r="5065" spans="1:37">
      <c r="B5065" t="s">
        <v>72</v>
      </c>
      <c r="C5065" t="s">
        <v>72</v>
      </c>
      <c r="D5065" t="s">
        <v>72</v>
      </c>
      <c r="E5065" t="s">
        <v>72</v>
      </c>
      <c r="F5065" t="s">
        <v>72</v>
      </c>
      <c r="G5065" t="s">
        <v>72</v>
      </c>
      <c r="H5065" t="s">
        <v>72</v>
      </c>
      <c r="I5065" t="s">
        <v>72</v>
      </c>
      <c r="J5065" t="s">
        <v>72</v>
      </c>
      <c r="K5065" t="s">
        <v>272</v>
      </c>
      <c r="AK5065" t="s">
        <v>362</v>
      </c>
    </row>
    <row r="5066" spans="1:37">
      <c r="A5066" t="s">
        <v>37</v>
      </c>
      <c r="B5066" t="s">
        <v>49</v>
      </c>
      <c r="C5066" t="s">
        <v>73</v>
      </c>
      <c r="D5066" t="s">
        <v>94</v>
      </c>
      <c r="E5066" t="s">
        <v>112</v>
      </c>
      <c r="F5066" t="s">
        <v>146</v>
      </c>
      <c r="G5066" t="s">
        <v>172</v>
      </c>
      <c r="H5066" t="s">
        <v>207</v>
      </c>
      <c r="I5066" t="s">
        <v>226</v>
      </c>
      <c r="J5066" t="s">
        <v>246</v>
      </c>
      <c r="K5066" t="s">
        <v>259</v>
      </c>
      <c r="AK5066" t="s">
        <v>362</v>
      </c>
    </row>
    <row r="5067" spans="1:37">
      <c r="A5067" t="s">
        <v>38</v>
      </c>
      <c r="B5067" t="s">
        <v>50</v>
      </c>
      <c r="C5067" t="s">
        <v>74</v>
      </c>
      <c r="D5067" t="s">
        <v>95</v>
      </c>
      <c r="E5067" t="s">
        <v>113</v>
      </c>
      <c r="F5067" t="s">
        <v>147</v>
      </c>
      <c r="G5067" t="s">
        <v>173</v>
      </c>
      <c r="H5067" t="s">
        <v>208</v>
      </c>
      <c r="I5067" t="s">
        <v>227</v>
      </c>
      <c r="J5067" t="s">
        <v>115</v>
      </c>
      <c r="K5067" t="s">
        <v>260</v>
      </c>
      <c r="L5067" t="s">
        <v>273</v>
      </c>
      <c r="M5067" t="s">
        <v>282</v>
      </c>
      <c r="N5067" t="s">
        <v>291</v>
      </c>
      <c r="AK5067" t="s">
        <v>362</v>
      </c>
    </row>
    <row r="5068" spans="1:37">
      <c r="B5068" t="s">
        <v>51</v>
      </c>
      <c r="C5068" t="s">
        <v>75</v>
      </c>
      <c r="D5068" t="s">
        <v>52</v>
      </c>
      <c r="E5068" t="s">
        <v>114</v>
      </c>
      <c r="F5068" t="s">
        <v>148</v>
      </c>
      <c r="G5068" t="s">
        <v>148</v>
      </c>
      <c r="H5068" t="s">
        <v>209</v>
      </c>
      <c r="I5068" t="s">
        <v>228</v>
      </c>
      <c r="J5068" t="s">
        <v>247</v>
      </c>
      <c r="K5068" t="s">
        <v>261</v>
      </c>
      <c r="L5068" t="s">
        <v>274</v>
      </c>
      <c r="M5068" t="s">
        <v>283</v>
      </c>
      <c r="N5068" t="s">
        <v>292</v>
      </c>
      <c r="O5068" t="s">
        <v>300</v>
      </c>
      <c r="AK5068" t="s">
        <v>362</v>
      </c>
    </row>
    <row r="5069" spans="1:37">
      <c r="B5069" t="s">
        <v>52</v>
      </c>
      <c r="C5069" t="s">
        <v>76</v>
      </c>
      <c r="D5069" t="s">
        <v>96</v>
      </c>
      <c r="E5069" t="s">
        <v>115</v>
      </c>
      <c r="F5069" t="s">
        <v>149</v>
      </c>
      <c r="G5069" t="s">
        <v>174</v>
      </c>
      <c r="H5069" t="s">
        <v>96</v>
      </c>
      <c r="I5069" t="s">
        <v>229</v>
      </c>
      <c r="J5069" t="s">
        <v>248</v>
      </c>
      <c r="K5069" t="s">
        <v>262</v>
      </c>
      <c r="L5069" t="s">
        <v>52</v>
      </c>
      <c r="M5069" t="s">
        <v>76</v>
      </c>
      <c r="N5069" t="s">
        <v>293</v>
      </c>
      <c r="O5069" t="s">
        <v>301</v>
      </c>
      <c r="P5069" t="s">
        <v>309</v>
      </c>
      <c r="Q5069" t="s">
        <v>315</v>
      </c>
      <c r="R5069" t="s">
        <v>228</v>
      </c>
      <c r="S5069" t="s">
        <v>328</v>
      </c>
      <c r="T5069" t="s">
        <v>149</v>
      </c>
      <c r="U5069" t="s">
        <v>337</v>
      </c>
      <c r="V5069" t="s">
        <v>341</v>
      </c>
      <c r="W5069" t="s">
        <v>345</v>
      </c>
      <c r="X5069" t="s">
        <v>350</v>
      </c>
      <c r="AK5069" t="s">
        <v>362</v>
      </c>
    </row>
    <row r="5070" spans="1:37">
      <c r="B5070" t="s">
        <v>53</v>
      </c>
      <c r="C5070" t="s">
        <v>77</v>
      </c>
      <c r="D5070" t="s">
        <v>97</v>
      </c>
      <c r="E5070" t="s">
        <v>116</v>
      </c>
      <c r="F5070" t="s">
        <v>150</v>
      </c>
      <c r="G5070" t="s">
        <v>175</v>
      </c>
      <c r="H5070" t="s">
        <v>210</v>
      </c>
      <c r="I5070" t="s">
        <v>230</v>
      </c>
      <c r="J5070" t="s">
        <v>249</v>
      </c>
      <c r="K5070" t="s">
        <v>263</v>
      </c>
      <c r="L5070" t="s">
        <v>275</v>
      </c>
      <c r="M5070" t="s">
        <v>284</v>
      </c>
      <c r="N5070" t="s">
        <v>294</v>
      </c>
      <c r="O5070" t="s">
        <v>302</v>
      </c>
      <c r="P5070" t="s">
        <v>310</v>
      </c>
      <c r="Q5070" t="s">
        <v>316</v>
      </c>
      <c r="R5070" t="s">
        <v>322</v>
      </c>
      <c r="S5070" t="s">
        <v>329</v>
      </c>
      <c r="AK5070" t="s">
        <v>362</v>
      </c>
    </row>
    <row r="5071" spans="1:37">
      <c r="A5071" t="s">
        <v>39</v>
      </c>
      <c r="B5071" t="s">
        <v>54</v>
      </c>
      <c r="C5071" t="s">
        <v>54</v>
      </c>
      <c r="D5071" t="s">
        <v>54</v>
      </c>
      <c r="E5071" t="s">
        <v>54</v>
      </c>
      <c r="F5071" t="s">
        <v>54</v>
      </c>
      <c r="G5071" t="s">
        <v>54</v>
      </c>
      <c r="H5071" t="s">
        <v>54</v>
      </c>
      <c r="I5071" t="s">
        <v>54</v>
      </c>
      <c r="J5071" t="s">
        <v>54</v>
      </c>
      <c r="K5071" t="s">
        <v>54</v>
      </c>
      <c r="L5071" t="s">
        <v>54</v>
      </c>
      <c r="M5071" t="s">
        <v>54</v>
      </c>
      <c r="N5071" t="s">
        <v>54</v>
      </c>
      <c r="O5071" t="s">
        <v>54</v>
      </c>
      <c r="P5071" t="s">
        <v>54</v>
      </c>
      <c r="Q5071" t="s">
        <v>54</v>
      </c>
      <c r="R5071" t="s">
        <v>323</v>
      </c>
      <c r="S5071" t="s">
        <v>330</v>
      </c>
      <c r="AK5071" t="s">
        <v>362</v>
      </c>
    </row>
    <row r="5072" spans="1:37">
      <c r="B5072" t="s">
        <v>55</v>
      </c>
      <c r="C5072" t="s">
        <v>78</v>
      </c>
      <c r="D5072" t="s">
        <v>55</v>
      </c>
      <c r="E5072" t="s">
        <v>78</v>
      </c>
      <c r="F5072" t="s">
        <v>55</v>
      </c>
      <c r="G5072" t="s">
        <v>78</v>
      </c>
      <c r="H5072" t="s">
        <v>55</v>
      </c>
      <c r="I5072" t="s">
        <v>78</v>
      </c>
      <c r="J5072" t="s">
        <v>55</v>
      </c>
      <c r="K5072" t="s">
        <v>78</v>
      </c>
      <c r="L5072" t="s">
        <v>55</v>
      </c>
      <c r="M5072" t="s">
        <v>78</v>
      </c>
      <c r="N5072" t="s">
        <v>55</v>
      </c>
      <c r="O5072" t="s">
        <v>78</v>
      </c>
      <c r="P5072" t="s">
        <v>55</v>
      </c>
      <c r="Q5072" t="s">
        <v>78</v>
      </c>
      <c r="R5072" t="s">
        <v>55</v>
      </c>
      <c r="S5072" t="s">
        <v>78</v>
      </c>
      <c r="T5072" t="s">
        <v>55</v>
      </c>
      <c r="U5072" t="s">
        <v>78</v>
      </c>
      <c r="V5072" t="s">
        <v>55</v>
      </c>
      <c r="W5072" t="s">
        <v>78</v>
      </c>
      <c r="X5072" t="s">
        <v>55</v>
      </c>
      <c r="Y5072" t="s">
        <v>78</v>
      </c>
      <c r="Z5072" t="s">
        <v>55</v>
      </c>
      <c r="AA5072" t="s">
        <v>78</v>
      </c>
      <c r="AB5072" t="s">
        <v>55</v>
      </c>
      <c r="AC5072" t="s">
        <v>78</v>
      </c>
      <c r="AD5072" t="s">
        <v>55</v>
      </c>
      <c r="AE5072" t="s">
        <v>78</v>
      </c>
      <c r="AF5072" t="s">
        <v>55</v>
      </c>
      <c r="AG5072" t="s">
        <v>78</v>
      </c>
      <c r="AH5072" t="s">
        <v>55</v>
      </c>
      <c r="AI5072" t="s">
        <v>78</v>
      </c>
      <c r="AK5072" t="s">
        <v>362</v>
      </c>
    </row>
    <row r="5073" spans="1:37">
      <c r="B5073" t="s">
        <v>56</v>
      </c>
      <c r="C5073" t="s">
        <v>56</v>
      </c>
      <c r="D5073" t="s">
        <v>56</v>
      </c>
      <c r="E5073" t="s">
        <v>56</v>
      </c>
      <c r="F5073" t="s">
        <v>56</v>
      </c>
      <c r="G5073" t="s">
        <v>176</v>
      </c>
      <c r="H5073" t="s">
        <v>211</v>
      </c>
      <c r="I5073" t="s">
        <v>231</v>
      </c>
      <c r="J5073" t="s">
        <v>250</v>
      </c>
      <c r="K5073" t="s">
        <v>264</v>
      </c>
      <c r="L5073" t="s">
        <v>276</v>
      </c>
      <c r="M5073" t="s">
        <v>285</v>
      </c>
      <c r="N5073" t="s">
        <v>295</v>
      </c>
      <c r="O5073" t="s">
        <v>303</v>
      </c>
      <c r="P5073" t="s">
        <v>56</v>
      </c>
      <c r="Q5073" t="s">
        <v>317</v>
      </c>
      <c r="R5073" t="s">
        <v>324</v>
      </c>
      <c r="S5073" t="s">
        <v>331</v>
      </c>
      <c r="T5073" t="s">
        <v>334</v>
      </c>
      <c r="U5073" t="s">
        <v>338</v>
      </c>
      <c r="V5073" t="s">
        <v>342</v>
      </c>
      <c r="W5073" t="s">
        <v>346</v>
      </c>
      <c r="X5073" t="s">
        <v>351</v>
      </c>
      <c r="AK5073" t="s">
        <v>362</v>
      </c>
    </row>
    <row r="5074" spans="1:37">
      <c r="B5074" t="s">
        <v>57</v>
      </c>
      <c r="C5074" t="s">
        <v>79</v>
      </c>
      <c r="D5074" t="s">
        <v>98</v>
      </c>
      <c r="E5074" t="s">
        <v>117</v>
      </c>
      <c r="F5074" t="s">
        <v>151</v>
      </c>
      <c r="G5074" t="s">
        <v>177</v>
      </c>
      <c r="H5074" t="s">
        <v>212</v>
      </c>
      <c r="I5074" t="s">
        <v>232</v>
      </c>
      <c r="J5074" t="s">
        <v>251</v>
      </c>
      <c r="K5074" t="s">
        <v>265</v>
      </c>
      <c r="L5074" t="s">
        <v>277</v>
      </c>
      <c r="M5074" t="s">
        <v>286</v>
      </c>
      <c r="N5074" t="s">
        <v>296</v>
      </c>
      <c r="O5074" t="s">
        <v>304</v>
      </c>
      <c r="P5074" t="s">
        <v>311</v>
      </c>
      <c r="Q5074" t="s">
        <v>318</v>
      </c>
      <c r="R5074" t="s">
        <v>185</v>
      </c>
      <c r="S5074" t="s">
        <v>159</v>
      </c>
      <c r="T5074" t="s">
        <v>185</v>
      </c>
      <c r="U5074" t="s">
        <v>339</v>
      </c>
      <c r="V5074" t="s">
        <v>72</v>
      </c>
      <c r="W5074" t="s">
        <v>347</v>
      </c>
      <c r="X5074" t="s">
        <v>72</v>
      </c>
      <c r="Y5074" t="s">
        <v>96</v>
      </c>
      <c r="AK5074" t="s">
        <v>362</v>
      </c>
    </row>
    <row r="5075" spans="1:37">
      <c r="B5075" t="s">
        <v>58</v>
      </c>
      <c r="C5075" t="s">
        <v>80</v>
      </c>
      <c r="D5075" t="s">
        <v>99</v>
      </c>
      <c r="E5075" t="s">
        <v>118</v>
      </c>
      <c r="F5075" t="s">
        <v>152</v>
      </c>
      <c r="G5075" t="s">
        <v>178</v>
      </c>
      <c r="H5075" t="s">
        <v>213</v>
      </c>
      <c r="I5075" t="s">
        <v>233</v>
      </c>
      <c r="J5075" t="s">
        <v>252</v>
      </c>
      <c r="K5075" t="s">
        <v>266</v>
      </c>
      <c r="L5075" t="s">
        <v>278</v>
      </c>
      <c r="M5075" t="s">
        <v>287</v>
      </c>
      <c r="N5075" t="s">
        <v>297</v>
      </c>
      <c r="O5075" t="s">
        <v>305</v>
      </c>
      <c r="P5075" t="s">
        <v>312</v>
      </c>
      <c r="Q5075" t="s">
        <v>319</v>
      </c>
      <c r="R5075">
        <f>&gt;10       ветра      1.4     12  10</f>
        <v>0</v>
      </c>
      <c r="AK5075" t="s">
        <v>362</v>
      </c>
    </row>
    <row r="5076" spans="1:37">
      <c r="A5076" t="s">
        <v>40</v>
      </c>
      <c r="B5076" t="s">
        <v>59</v>
      </c>
      <c r="C5076" t="s">
        <v>81</v>
      </c>
      <c r="D5076" t="s">
        <v>100</v>
      </c>
      <c r="E5076" t="s">
        <v>119</v>
      </c>
      <c r="F5076" t="s">
        <v>153</v>
      </c>
      <c r="G5076" t="s">
        <v>179</v>
      </c>
      <c r="H5076" t="s">
        <v>214</v>
      </c>
      <c r="I5076" t="s">
        <v>234</v>
      </c>
      <c r="AK5076" t="s">
        <v>362</v>
      </c>
    </row>
    <row r="5077" spans="1:37">
      <c r="A5077" t="s">
        <v>40</v>
      </c>
      <c r="B5077" t="s">
        <v>60</v>
      </c>
      <c r="C5077" t="s">
        <v>82</v>
      </c>
      <c r="D5077" t="s">
        <v>101</v>
      </c>
      <c r="E5077" t="s">
        <v>120</v>
      </c>
      <c r="F5077" t="s">
        <v>154</v>
      </c>
      <c r="G5077" t="s">
        <v>180</v>
      </c>
      <c r="H5077" t="s">
        <v>215</v>
      </c>
      <c r="I5077" t="s">
        <v>235</v>
      </c>
      <c r="J5077" t="s">
        <v>253</v>
      </c>
      <c r="K5077" t="s">
        <v>267</v>
      </c>
      <c r="L5077" t="s">
        <v>279</v>
      </c>
      <c r="M5077" t="s">
        <v>288</v>
      </c>
      <c r="N5077" t="s">
        <v>100</v>
      </c>
      <c r="O5077" t="s">
        <v>306</v>
      </c>
      <c r="P5077" t="s">
        <v>313</v>
      </c>
      <c r="Q5077" t="s">
        <v>320</v>
      </c>
      <c r="R5077" t="s">
        <v>325</v>
      </c>
      <c r="S5077" t="s">
        <v>332</v>
      </c>
      <c r="T5077" t="s">
        <v>119</v>
      </c>
      <c r="U5077" t="s">
        <v>234</v>
      </c>
      <c r="V5077" t="s">
        <v>343</v>
      </c>
      <c r="W5077" t="s">
        <v>348</v>
      </c>
      <c r="X5077" t="s">
        <v>352</v>
      </c>
      <c r="Y5077" t="s">
        <v>354</v>
      </c>
      <c r="AK5077" t="s">
        <v>362</v>
      </c>
    </row>
    <row r="5078" spans="1:37">
      <c r="A5078" t="s">
        <v>41</v>
      </c>
      <c r="B5078" t="s">
        <v>61</v>
      </c>
      <c r="C5078" t="s">
        <v>83</v>
      </c>
      <c r="D5078" t="s">
        <v>102</v>
      </c>
      <c r="E5078" t="s">
        <v>121</v>
      </c>
      <c r="F5078" t="s">
        <v>155</v>
      </c>
      <c r="G5078" t="s">
        <v>181</v>
      </c>
      <c r="H5078" t="s">
        <v>216</v>
      </c>
      <c r="I5078" t="s">
        <v>236</v>
      </c>
      <c r="AK5078" t="s">
        <v>362</v>
      </c>
    </row>
    <row r="5079" spans="1:37">
      <c r="A5079" t="s">
        <v>42</v>
      </c>
      <c r="B5079" t="s">
        <v>62</v>
      </c>
      <c r="C5079" t="s">
        <v>84</v>
      </c>
      <c r="D5079" t="s">
        <v>103</v>
      </c>
      <c r="E5079" t="s">
        <v>122</v>
      </c>
      <c r="F5079" t="s">
        <v>156</v>
      </c>
      <c r="G5079" t="s">
        <v>182</v>
      </c>
      <c r="H5079" t="s">
        <v>83</v>
      </c>
      <c r="I5079" t="s">
        <v>237</v>
      </c>
      <c r="J5079" t="s">
        <v>254</v>
      </c>
      <c r="K5079" t="s">
        <v>268</v>
      </c>
      <c r="L5079" t="s">
        <v>280</v>
      </c>
      <c r="M5079" t="s">
        <v>289</v>
      </c>
      <c r="N5079" t="s">
        <v>298</v>
      </c>
      <c r="O5079" t="s">
        <v>307</v>
      </c>
      <c r="P5079" t="s">
        <v>314</v>
      </c>
      <c r="Q5079" t="s">
        <v>216</v>
      </c>
      <c r="R5079" t="s">
        <v>326</v>
      </c>
      <c r="S5079" t="s">
        <v>333</v>
      </c>
      <c r="T5079" t="s">
        <v>335</v>
      </c>
      <c r="U5079" t="s">
        <v>340</v>
      </c>
      <c r="V5079" t="s">
        <v>344</v>
      </c>
      <c r="W5079" t="s">
        <v>349</v>
      </c>
      <c r="AK5079" t="s">
        <v>362</v>
      </c>
    </row>
    <row r="5080" spans="1:37">
      <c r="A5080" t="s">
        <v>43</v>
      </c>
      <c r="B5080" t="s">
        <v>63</v>
      </c>
      <c r="C5080" t="s">
        <v>85</v>
      </c>
      <c r="D5080" t="s">
        <v>104</v>
      </c>
      <c r="E5080" t="s">
        <v>123</v>
      </c>
      <c r="F5080" t="s">
        <v>157</v>
      </c>
      <c r="G5080" t="s">
        <v>183</v>
      </c>
      <c r="AK5080" t="s">
        <v>362</v>
      </c>
    </row>
    <row r="5081" spans="1:37">
      <c r="A5081" t="s">
        <v>44</v>
      </c>
      <c r="B5081" t="s">
        <v>64</v>
      </c>
      <c r="C5081" t="s">
        <v>86</v>
      </c>
      <c r="D5081" t="s">
        <v>105</v>
      </c>
      <c r="E5081" t="s">
        <v>124</v>
      </c>
      <c r="F5081" t="s">
        <v>158</v>
      </c>
      <c r="G5081" t="s">
        <v>184</v>
      </c>
      <c r="AK5081" t="s">
        <v>362</v>
      </c>
    </row>
    <row r="5082" spans="1:37">
      <c r="A5082" t="s">
        <v>45</v>
      </c>
      <c r="B5082" t="s">
        <v>65</v>
      </c>
      <c r="C5082" t="s">
        <v>87</v>
      </c>
      <c r="D5082" t="s">
        <v>106</v>
      </c>
      <c r="E5082" t="s">
        <v>125</v>
      </c>
      <c r="F5082" t="s">
        <v>159</v>
      </c>
      <c r="G5082" t="s">
        <v>185</v>
      </c>
      <c r="H5082" t="s">
        <v>159</v>
      </c>
      <c r="I5082" t="s">
        <v>185</v>
      </c>
      <c r="J5082" t="s">
        <v>255</v>
      </c>
      <c r="AK5082" t="s">
        <v>362</v>
      </c>
    </row>
    <row r="5083" spans="1:37">
      <c r="A5083" t="s">
        <v>46</v>
      </c>
      <c r="B5083" t="s">
        <v>66</v>
      </c>
      <c r="C5083" t="s">
        <v>88</v>
      </c>
      <c r="D5083" t="s">
        <v>76</v>
      </c>
      <c r="E5083" t="s">
        <v>126</v>
      </c>
      <c r="F5083" t="s">
        <v>160</v>
      </c>
      <c r="G5083" t="s">
        <v>186</v>
      </c>
      <c r="H5083" t="s">
        <v>217</v>
      </c>
      <c r="I5083" t="s">
        <v>238</v>
      </c>
      <c r="J5083" t="s">
        <v>256</v>
      </c>
      <c r="K5083" t="s">
        <v>265</v>
      </c>
      <c r="L5083" t="s">
        <v>281</v>
      </c>
      <c r="M5083" t="s">
        <v>290</v>
      </c>
      <c r="N5083" t="s">
        <v>299</v>
      </c>
      <c r="O5083" t="s">
        <v>308</v>
      </c>
      <c r="P5083" t="s">
        <v>228</v>
      </c>
      <c r="Q5083" t="s">
        <v>72</v>
      </c>
      <c r="R5083" t="s">
        <v>327</v>
      </c>
      <c r="S5083" t="s">
        <v>327</v>
      </c>
      <c r="T5083" t="s">
        <v>336</v>
      </c>
      <c r="U5083" t="s">
        <v>336</v>
      </c>
      <c r="V5083" t="s">
        <v>336</v>
      </c>
      <c r="W5083" t="s">
        <v>336</v>
      </c>
      <c r="X5083" t="s">
        <v>353</v>
      </c>
      <c r="AK5083" t="s">
        <v>362</v>
      </c>
    </row>
    <row r="5084" spans="1:37">
      <c r="B5084" t="s">
        <v>67</v>
      </c>
      <c r="C5084" t="s">
        <v>89</v>
      </c>
      <c r="D5084" t="s">
        <v>107</v>
      </c>
      <c r="AK5084" t="s">
        <v>362</v>
      </c>
    </row>
    <row r="5085" spans="1:37">
      <c r="B5085" t="s">
        <v>68</v>
      </c>
      <c r="C5085" t="s">
        <v>90</v>
      </c>
      <c r="D5085" t="s">
        <v>108</v>
      </c>
      <c r="AK5085" t="s">
        <v>362</v>
      </c>
    </row>
    <row r="5086" spans="1:37">
      <c r="A5086" t="s">
        <v>47</v>
      </c>
      <c r="B5086" t="s">
        <v>69</v>
      </c>
      <c r="C5086" t="s">
        <v>91</v>
      </c>
      <c r="D5086" t="s">
        <v>109</v>
      </c>
      <c r="E5086" t="s">
        <v>109</v>
      </c>
      <c r="F5086" t="s">
        <v>109</v>
      </c>
      <c r="G5086" t="s">
        <v>109</v>
      </c>
      <c r="H5086" t="s">
        <v>109</v>
      </c>
      <c r="I5086" t="s">
        <v>239</v>
      </c>
      <c r="AK5086" t="s">
        <v>362</v>
      </c>
    </row>
    <row r="5087" spans="1:37">
      <c r="B5087" t="s">
        <v>70</v>
      </c>
      <c r="C5087" t="s">
        <v>92</v>
      </c>
      <c r="D5087" t="s">
        <v>110</v>
      </c>
      <c r="E5087" t="s">
        <v>127</v>
      </c>
      <c r="F5087" t="s">
        <v>161</v>
      </c>
      <c r="G5087" t="s">
        <v>187</v>
      </c>
      <c r="H5087" t="s">
        <v>218</v>
      </c>
      <c r="AK5087" t="s">
        <v>362</v>
      </c>
    </row>
    <row r="5088" spans="1:37">
      <c r="B5088" t="s">
        <v>71</v>
      </c>
      <c r="C5088" t="s">
        <v>93</v>
      </c>
      <c r="D5088" t="s">
        <v>111</v>
      </c>
      <c r="E5088" t="s">
        <v>128</v>
      </c>
      <c r="F5088" t="s">
        <v>162</v>
      </c>
      <c r="G5088" t="s">
        <v>188</v>
      </c>
      <c r="H5088" t="s">
        <v>219</v>
      </c>
      <c r="I5088" t="s">
        <v>240</v>
      </c>
      <c r="J5088" t="s">
        <v>257</v>
      </c>
      <c r="K5088" t="s">
        <v>269</v>
      </c>
      <c r="L5088" t="s">
        <v>109</v>
      </c>
      <c r="M5088" t="s">
        <v>109</v>
      </c>
      <c r="N5088" t="s">
        <v>109</v>
      </c>
      <c r="O5088" t="s">
        <v>109</v>
      </c>
      <c r="P5088" t="s">
        <v>109</v>
      </c>
      <c r="Q5088" t="s">
        <v>321</v>
      </c>
      <c r="AK5088" t="s">
        <v>362</v>
      </c>
    </row>
    <row r="5089" spans="1:37">
      <c r="A5089" t="s">
        <v>48</v>
      </c>
      <c r="B5089" t="s">
        <v>71</v>
      </c>
      <c r="C5089" t="s">
        <v>93</v>
      </c>
      <c r="D5089" t="s">
        <v>111</v>
      </c>
      <c r="E5089" t="s">
        <v>128</v>
      </c>
      <c r="F5089" t="s">
        <v>163</v>
      </c>
      <c r="G5089" t="s">
        <v>189</v>
      </c>
      <c r="H5089" t="s">
        <v>220</v>
      </c>
      <c r="I5089" t="s">
        <v>241</v>
      </c>
      <c r="J5089" t="s">
        <v>258</v>
      </c>
      <c r="K5089" t="s">
        <v>270</v>
      </c>
      <c r="AK5089" t="s">
        <v>362</v>
      </c>
    </row>
    <row r="5090" spans="1:37">
      <c r="B5090" t="s">
        <v>72</v>
      </c>
      <c r="C5090" t="s">
        <v>72</v>
      </c>
      <c r="D5090" t="s">
        <v>72</v>
      </c>
      <c r="E5090" t="s">
        <v>139</v>
      </c>
      <c r="F5090" t="s">
        <v>139</v>
      </c>
      <c r="G5090" t="s">
        <v>192</v>
      </c>
      <c r="H5090" t="s">
        <v>192</v>
      </c>
      <c r="I5090" t="s">
        <v>192</v>
      </c>
      <c r="J5090" t="s">
        <v>192</v>
      </c>
      <c r="K5090" t="s">
        <v>271</v>
      </c>
      <c r="AK5090" t="s">
        <v>362</v>
      </c>
    </row>
    <row r="5091" spans="1:37">
      <c r="A5091" t="s">
        <v>37</v>
      </c>
      <c r="B5091" t="s">
        <v>49</v>
      </c>
      <c r="C5091" t="s">
        <v>73</v>
      </c>
      <c r="D5091" t="s">
        <v>94</v>
      </c>
      <c r="E5091" t="s">
        <v>112</v>
      </c>
      <c r="F5091" t="s">
        <v>146</v>
      </c>
      <c r="G5091" t="s">
        <v>172</v>
      </c>
      <c r="H5091" t="s">
        <v>207</v>
      </c>
      <c r="I5091" t="s">
        <v>226</v>
      </c>
      <c r="J5091" t="s">
        <v>246</v>
      </c>
      <c r="K5091" t="s">
        <v>259</v>
      </c>
      <c r="AK5091" t="s">
        <v>362</v>
      </c>
    </row>
    <row r="5092" spans="1:37">
      <c r="A5092" t="s">
        <v>38</v>
      </c>
      <c r="B5092" t="s">
        <v>50</v>
      </c>
      <c r="C5092" t="s">
        <v>74</v>
      </c>
      <c r="D5092" t="s">
        <v>95</v>
      </c>
      <c r="E5092" t="s">
        <v>113</v>
      </c>
      <c r="F5092" t="s">
        <v>147</v>
      </c>
      <c r="G5092" t="s">
        <v>173</v>
      </c>
      <c r="H5092" t="s">
        <v>208</v>
      </c>
      <c r="I5092" t="s">
        <v>227</v>
      </c>
      <c r="J5092" t="s">
        <v>115</v>
      </c>
      <c r="K5092" t="s">
        <v>260</v>
      </c>
      <c r="L5092" t="s">
        <v>273</v>
      </c>
      <c r="M5092" t="s">
        <v>282</v>
      </c>
      <c r="N5092" t="s">
        <v>291</v>
      </c>
      <c r="AK5092" t="s">
        <v>362</v>
      </c>
    </row>
    <row r="5093" spans="1:37">
      <c r="B5093" t="s">
        <v>51</v>
      </c>
      <c r="C5093" t="s">
        <v>75</v>
      </c>
      <c r="D5093" t="s">
        <v>52</v>
      </c>
      <c r="E5093" t="s">
        <v>114</v>
      </c>
      <c r="F5093" t="s">
        <v>148</v>
      </c>
      <c r="G5093" t="s">
        <v>148</v>
      </c>
      <c r="H5093" t="s">
        <v>209</v>
      </c>
      <c r="I5093" t="s">
        <v>228</v>
      </c>
      <c r="J5093" t="s">
        <v>247</v>
      </c>
      <c r="K5093" t="s">
        <v>261</v>
      </c>
      <c r="L5093" t="s">
        <v>274</v>
      </c>
      <c r="M5093" t="s">
        <v>283</v>
      </c>
      <c r="N5093" t="s">
        <v>292</v>
      </c>
      <c r="O5093" t="s">
        <v>300</v>
      </c>
      <c r="AK5093" t="s">
        <v>362</v>
      </c>
    </row>
    <row r="5094" spans="1:37">
      <c r="B5094" t="s">
        <v>52</v>
      </c>
      <c r="C5094" t="s">
        <v>76</v>
      </c>
      <c r="D5094" t="s">
        <v>96</v>
      </c>
      <c r="E5094" t="s">
        <v>115</v>
      </c>
      <c r="F5094" t="s">
        <v>149</v>
      </c>
      <c r="G5094" t="s">
        <v>174</v>
      </c>
      <c r="H5094" t="s">
        <v>96</v>
      </c>
      <c r="I5094" t="s">
        <v>229</v>
      </c>
      <c r="J5094" t="s">
        <v>248</v>
      </c>
      <c r="K5094" t="s">
        <v>262</v>
      </c>
      <c r="L5094" t="s">
        <v>52</v>
      </c>
      <c r="M5094" t="s">
        <v>76</v>
      </c>
      <c r="N5094" t="s">
        <v>293</v>
      </c>
      <c r="O5094" t="s">
        <v>301</v>
      </c>
      <c r="P5094" t="s">
        <v>309</v>
      </c>
      <c r="Q5094" t="s">
        <v>315</v>
      </c>
      <c r="R5094" t="s">
        <v>228</v>
      </c>
      <c r="S5094" t="s">
        <v>328</v>
      </c>
      <c r="T5094" t="s">
        <v>149</v>
      </c>
      <c r="U5094" t="s">
        <v>337</v>
      </c>
      <c r="V5094" t="s">
        <v>341</v>
      </c>
      <c r="W5094" t="s">
        <v>345</v>
      </c>
      <c r="X5094" t="s">
        <v>350</v>
      </c>
      <c r="AK5094" t="s">
        <v>362</v>
      </c>
    </row>
    <row r="5095" spans="1:37">
      <c r="B5095" t="s">
        <v>53</v>
      </c>
      <c r="C5095" t="s">
        <v>77</v>
      </c>
      <c r="D5095" t="s">
        <v>97</v>
      </c>
      <c r="E5095" t="s">
        <v>116</v>
      </c>
      <c r="F5095" t="s">
        <v>150</v>
      </c>
      <c r="G5095" t="s">
        <v>175</v>
      </c>
      <c r="H5095" t="s">
        <v>210</v>
      </c>
      <c r="I5095" t="s">
        <v>230</v>
      </c>
      <c r="J5095" t="s">
        <v>249</v>
      </c>
      <c r="K5095" t="s">
        <v>263</v>
      </c>
      <c r="L5095" t="s">
        <v>275</v>
      </c>
      <c r="M5095" t="s">
        <v>284</v>
      </c>
      <c r="N5095" t="s">
        <v>294</v>
      </c>
      <c r="O5095" t="s">
        <v>302</v>
      </c>
      <c r="P5095" t="s">
        <v>310</v>
      </c>
      <c r="Q5095" t="s">
        <v>316</v>
      </c>
      <c r="R5095" t="s">
        <v>322</v>
      </c>
      <c r="S5095" t="s">
        <v>329</v>
      </c>
      <c r="AK5095" t="s">
        <v>362</v>
      </c>
    </row>
    <row r="5096" spans="1:37">
      <c r="A5096" t="s">
        <v>39</v>
      </c>
      <c r="B5096" t="s">
        <v>54</v>
      </c>
      <c r="C5096" t="s">
        <v>54</v>
      </c>
      <c r="D5096" t="s">
        <v>54</v>
      </c>
      <c r="E5096" t="s">
        <v>54</v>
      </c>
      <c r="F5096" t="s">
        <v>54</v>
      </c>
      <c r="G5096" t="s">
        <v>54</v>
      </c>
      <c r="H5096" t="s">
        <v>54</v>
      </c>
      <c r="I5096" t="s">
        <v>54</v>
      </c>
      <c r="J5096" t="s">
        <v>54</v>
      </c>
      <c r="K5096" t="s">
        <v>54</v>
      </c>
      <c r="L5096" t="s">
        <v>54</v>
      </c>
      <c r="M5096" t="s">
        <v>54</v>
      </c>
      <c r="N5096" t="s">
        <v>54</v>
      </c>
      <c r="O5096" t="s">
        <v>54</v>
      </c>
      <c r="P5096" t="s">
        <v>54</v>
      </c>
      <c r="Q5096" t="s">
        <v>54</v>
      </c>
      <c r="R5096" t="s">
        <v>323</v>
      </c>
      <c r="S5096" t="s">
        <v>330</v>
      </c>
      <c r="AK5096" t="s">
        <v>362</v>
      </c>
    </row>
    <row r="5097" spans="1:37">
      <c r="B5097" t="s">
        <v>55</v>
      </c>
      <c r="C5097" t="s">
        <v>78</v>
      </c>
      <c r="D5097" t="s">
        <v>55</v>
      </c>
      <c r="E5097" t="s">
        <v>78</v>
      </c>
      <c r="F5097" t="s">
        <v>55</v>
      </c>
      <c r="G5097" t="s">
        <v>78</v>
      </c>
      <c r="H5097" t="s">
        <v>55</v>
      </c>
      <c r="I5097" t="s">
        <v>78</v>
      </c>
      <c r="J5097" t="s">
        <v>55</v>
      </c>
      <c r="K5097" t="s">
        <v>78</v>
      </c>
      <c r="L5097" t="s">
        <v>55</v>
      </c>
      <c r="M5097" t="s">
        <v>78</v>
      </c>
      <c r="N5097" t="s">
        <v>55</v>
      </c>
      <c r="O5097" t="s">
        <v>78</v>
      </c>
      <c r="P5097" t="s">
        <v>55</v>
      </c>
      <c r="Q5097" t="s">
        <v>78</v>
      </c>
      <c r="R5097" t="s">
        <v>55</v>
      </c>
      <c r="S5097" t="s">
        <v>78</v>
      </c>
      <c r="T5097" t="s">
        <v>55</v>
      </c>
      <c r="U5097" t="s">
        <v>78</v>
      </c>
      <c r="V5097" t="s">
        <v>55</v>
      </c>
      <c r="W5097" t="s">
        <v>78</v>
      </c>
      <c r="X5097" t="s">
        <v>55</v>
      </c>
      <c r="Y5097" t="s">
        <v>78</v>
      </c>
      <c r="Z5097" t="s">
        <v>55</v>
      </c>
      <c r="AA5097" t="s">
        <v>78</v>
      </c>
      <c r="AB5097" t="s">
        <v>55</v>
      </c>
      <c r="AC5097" t="s">
        <v>78</v>
      </c>
      <c r="AD5097" t="s">
        <v>55</v>
      </c>
      <c r="AE5097" t="s">
        <v>78</v>
      </c>
      <c r="AF5097" t="s">
        <v>55</v>
      </c>
      <c r="AG5097" t="s">
        <v>78</v>
      </c>
      <c r="AH5097" t="s">
        <v>55</v>
      </c>
      <c r="AI5097" t="s">
        <v>78</v>
      </c>
      <c r="AK5097" t="s">
        <v>362</v>
      </c>
    </row>
    <row r="5098" spans="1:37">
      <c r="B5098" t="s">
        <v>56</v>
      </c>
      <c r="C5098" t="s">
        <v>56</v>
      </c>
      <c r="D5098" t="s">
        <v>56</v>
      </c>
      <c r="E5098" t="s">
        <v>56</v>
      </c>
      <c r="F5098" t="s">
        <v>56</v>
      </c>
      <c r="G5098" t="s">
        <v>176</v>
      </c>
      <c r="H5098" t="s">
        <v>211</v>
      </c>
      <c r="I5098" t="s">
        <v>231</v>
      </c>
      <c r="J5098" t="s">
        <v>250</v>
      </c>
      <c r="K5098" t="s">
        <v>264</v>
      </c>
      <c r="L5098" t="s">
        <v>276</v>
      </c>
      <c r="M5098" t="s">
        <v>285</v>
      </c>
      <c r="N5098" t="s">
        <v>295</v>
      </c>
      <c r="O5098" t="s">
        <v>303</v>
      </c>
      <c r="P5098" t="s">
        <v>56</v>
      </c>
      <c r="Q5098" t="s">
        <v>317</v>
      </c>
      <c r="R5098" t="s">
        <v>324</v>
      </c>
      <c r="S5098" t="s">
        <v>331</v>
      </c>
      <c r="T5098" t="s">
        <v>334</v>
      </c>
      <c r="U5098" t="s">
        <v>338</v>
      </c>
      <c r="V5098" t="s">
        <v>342</v>
      </c>
      <c r="W5098" t="s">
        <v>346</v>
      </c>
      <c r="X5098" t="s">
        <v>351</v>
      </c>
      <c r="AK5098" t="s">
        <v>362</v>
      </c>
    </row>
    <row r="5099" spans="1:37">
      <c r="B5099" t="s">
        <v>57</v>
      </c>
      <c r="C5099" t="s">
        <v>79</v>
      </c>
      <c r="D5099" t="s">
        <v>98</v>
      </c>
      <c r="E5099" t="s">
        <v>117</v>
      </c>
      <c r="F5099" t="s">
        <v>151</v>
      </c>
      <c r="G5099" t="s">
        <v>177</v>
      </c>
      <c r="H5099" t="s">
        <v>212</v>
      </c>
      <c r="I5099" t="s">
        <v>232</v>
      </c>
      <c r="J5099" t="s">
        <v>251</v>
      </c>
      <c r="K5099" t="s">
        <v>265</v>
      </c>
      <c r="L5099" t="s">
        <v>277</v>
      </c>
      <c r="M5099" t="s">
        <v>286</v>
      </c>
      <c r="N5099" t="s">
        <v>296</v>
      </c>
      <c r="O5099" t="s">
        <v>304</v>
      </c>
      <c r="P5099" t="s">
        <v>311</v>
      </c>
      <c r="Q5099" t="s">
        <v>318</v>
      </c>
      <c r="R5099" t="s">
        <v>185</v>
      </c>
      <c r="S5099" t="s">
        <v>159</v>
      </c>
      <c r="T5099" t="s">
        <v>185</v>
      </c>
      <c r="U5099" t="s">
        <v>339</v>
      </c>
      <c r="V5099" t="s">
        <v>72</v>
      </c>
      <c r="W5099" t="s">
        <v>347</v>
      </c>
      <c r="X5099" t="s">
        <v>72</v>
      </c>
      <c r="Y5099" t="s">
        <v>96</v>
      </c>
      <c r="AK5099" t="s">
        <v>362</v>
      </c>
    </row>
    <row r="5100" spans="1:37">
      <c r="B5100" t="s">
        <v>58</v>
      </c>
      <c r="C5100" t="s">
        <v>80</v>
      </c>
      <c r="D5100" t="s">
        <v>99</v>
      </c>
      <c r="E5100" t="s">
        <v>118</v>
      </c>
      <c r="F5100" t="s">
        <v>152</v>
      </c>
      <c r="G5100" t="s">
        <v>178</v>
      </c>
      <c r="H5100" t="s">
        <v>213</v>
      </c>
      <c r="I5100" t="s">
        <v>233</v>
      </c>
      <c r="J5100" t="s">
        <v>252</v>
      </c>
      <c r="K5100" t="s">
        <v>266</v>
      </c>
      <c r="L5100" t="s">
        <v>278</v>
      </c>
      <c r="M5100" t="s">
        <v>287</v>
      </c>
      <c r="N5100" t="s">
        <v>297</v>
      </c>
      <c r="O5100" t="s">
        <v>305</v>
      </c>
      <c r="P5100" t="s">
        <v>312</v>
      </c>
      <c r="Q5100" t="s">
        <v>319</v>
      </c>
      <c r="R5100">
        <f>&gt;10       ветра      2.5     15   1</f>
        <v>0</v>
      </c>
      <c r="AK5100" t="s">
        <v>362</v>
      </c>
    </row>
    <row r="5101" spans="1:37">
      <c r="A5101" t="s">
        <v>40</v>
      </c>
      <c r="B5101" t="s">
        <v>59</v>
      </c>
      <c r="C5101" t="s">
        <v>81</v>
      </c>
      <c r="D5101" t="s">
        <v>100</v>
      </c>
      <c r="E5101" t="s">
        <v>119</v>
      </c>
      <c r="F5101" t="s">
        <v>153</v>
      </c>
      <c r="G5101" t="s">
        <v>179</v>
      </c>
      <c r="H5101" t="s">
        <v>214</v>
      </c>
      <c r="I5101" t="s">
        <v>234</v>
      </c>
      <c r="AK5101" t="s">
        <v>362</v>
      </c>
    </row>
    <row r="5102" spans="1:37">
      <c r="A5102" t="s">
        <v>40</v>
      </c>
      <c r="B5102" t="s">
        <v>60</v>
      </c>
      <c r="C5102" t="s">
        <v>82</v>
      </c>
      <c r="D5102" t="s">
        <v>101</v>
      </c>
      <c r="E5102" t="s">
        <v>120</v>
      </c>
      <c r="F5102" t="s">
        <v>154</v>
      </c>
      <c r="G5102" t="s">
        <v>180</v>
      </c>
      <c r="H5102" t="s">
        <v>215</v>
      </c>
      <c r="I5102" t="s">
        <v>235</v>
      </c>
      <c r="J5102" t="s">
        <v>253</v>
      </c>
      <c r="K5102" t="s">
        <v>267</v>
      </c>
      <c r="L5102" t="s">
        <v>279</v>
      </c>
      <c r="M5102" t="s">
        <v>288</v>
      </c>
      <c r="N5102" t="s">
        <v>100</v>
      </c>
      <c r="O5102" t="s">
        <v>306</v>
      </c>
      <c r="P5102" t="s">
        <v>313</v>
      </c>
      <c r="Q5102" t="s">
        <v>320</v>
      </c>
      <c r="R5102" t="s">
        <v>325</v>
      </c>
      <c r="S5102" t="s">
        <v>332</v>
      </c>
      <c r="T5102" t="s">
        <v>119</v>
      </c>
      <c r="U5102" t="s">
        <v>234</v>
      </c>
      <c r="V5102" t="s">
        <v>343</v>
      </c>
      <c r="W5102" t="s">
        <v>348</v>
      </c>
      <c r="X5102" t="s">
        <v>352</v>
      </c>
      <c r="Y5102" t="s">
        <v>354</v>
      </c>
      <c r="AK5102" t="s">
        <v>362</v>
      </c>
    </row>
    <row r="5103" spans="1:37">
      <c r="A5103" t="s">
        <v>41</v>
      </c>
      <c r="B5103" t="s">
        <v>61</v>
      </c>
      <c r="C5103" t="s">
        <v>83</v>
      </c>
      <c r="D5103" t="s">
        <v>102</v>
      </c>
      <c r="E5103" t="s">
        <v>121</v>
      </c>
      <c r="F5103" t="s">
        <v>155</v>
      </c>
      <c r="G5103" t="s">
        <v>181</v>
      </c>
      <c r="H5103" t="s">
        <v>216</v>
      </c>
      <c r="I5103" t="s">
        <v>236</v>
      </c>
      <c r="AK5103" t="s">
        <v>362</v>
      </c>
    </row>
    <row r="5104" spans="1:37">
      <c r="A5104" t="s">
        <v>42</v>
      </c>
      <c r="B5104" t="s">
        <v>62</v>
      </c>
      <c r="C5104" t="s">
        <v>84</v>
      </c>
      <c r="D5104" t="s">
        <v>103</v>
      </c>
      <c r="E5104" t="s">
        <v>122</v>
      </c>
      <c r="F5104" t="s">
        <v>156</v>
      </c>
      <c r="G5104" t="s">
        <v>182</v>
      </c>
      <c r="H5104" t="s">
        <v>83</v>
      </c>
      <c r="I5104" t="s">
        <v>237</v>
      </c>
      <c r="J5104" t="s">
        <v>254</v>
      </c>
      <c r="K5104" t="s">
        <v>268</v>
      </c>
      <c r="L5104" t="s">
        <v>280</v>
      </c>
      <c r="M5104" t="s">
        <v>289</v>
      </c>
      <c r="N5104" t="s">
        <v>298</v>
      </c>
      <c r="O5104" t="s">
        <v>307</v>
      </c>
      <c r="P5104" t="s">
        <v>314</v>
      </c>
      <c r="Q5104" t="s">
        <v>216</v>
      </c>
      <c r="R5104" t="s">
        <v>326</v>
      </c>
      <c r="S5104" t="s">
        <v>333</v>
      </c>
      <c r="T5104" t="s">
        <v>335</v>
      </c>
      <c r="U5104" t="s">
        <v>340</v>
      </c>
      <c r="V5104" t="s">
        <v>344</v>
      </c>
      <c r="W5104" t="s">
        <v>349</v>
      </c>
      <c r="AK5104" t="s">
        <v>362</v>
      </c>
    </row>
    <row r="5105" spans="1:37">
      <c r="A5105" t="s">
        <v>43</v>
      </c>
      <c r="B5105" t="s">
        <v>63</v>
      </c>
      <c r="C5105" t="s">
        <v>85</v>
      </c>
      <c r="D5105" t="s">
        <v>104</v>
      </c>
      <c r="E5105" t="s">
        <v>123</v>
      </c>
      <c r="F5105" t="s">
        <v>157</v>
      </c>
      <c r="G5105" t="s">
        <v>183</v>
      </c>
      <c r="AK5105" t="s">
        <v>362</v>
      </c>
    </row>
    <row r="5106" spans="1:37">
      <c r="A5106" t="s">
        <v>44</v>
      </c>
      <c r="B5106" t="s">
        <v>64</v>
      </c>
      <c r="C5106" t="s">
        <v>86</v>
      </c>
      <c r="D5106" t="s">
        <v>105</v>
      </c>
      <c r="E5106" t="s">
        <v>124</v>
      </c>
      <c r="F5106" t="s">
        <v>158</v>
      </c>
      <c r="G5106" t="s">
        <v>184</v>
      </c>
      <c r="AK5106" t="s">
        <v>362</v>
      </c>
    </row>
    <row r="5107" spans="1:37">
      <c r="A5107" t="s">
        <v>45</v>
      </c>
      <c r="B5107" t="s">
        <v>65</v>
      </c>
      <c r="C5107" t="s">
        <v>87</v>
      </c>
      <c r="D5107" t="s">
        <v>106</v>
      </c>
      <c r="E5107" t="s">
        <v>125</v>
      </c>
      <c r="F5107" t="s">
        <v>159</v>
      </c>
      <c r="G5107" t="s">
        <v>185</v>
      </c>
      <c r="H5107" t="s">
        <v>159</v>
      </c>
      <c r="I5107" t="s">
        <v>185</v>
      </c>
      <c r="J5107" t="s">
        <v>255</v>
      </c>
      <c r="AK5107" t="s">
        <v>362</v>
      </c>
    </row>
    <row r="5108" spans="1:37">
      <c r="A5108" t="s">
        <v>46</v>
      </c>
      <c r="B5108" t="s">
        <v>66</v>
      </c>
      <c r="C5108" t="s">
        <v>88</v>
      </c>
      <c r="D5108" t="s">
        <v>76</v>
      </c>
      <c r="E5108" t="s">
        <v>126</v>
      </c>
      <c r="F5108" t="s">
        <v>160</v>
      </c>
      <c r="G5108" t="s">
        <v>186</v>
      </c>
      <c r="H5108" t="s">
        <v>217</v>
      </c>
      <c r="I5108" t="s">
        <v>238</v>
      </c>
      <c r="J5108" t="s">
        <v>256</v>
      </c>
      <c r="K5108" t="s">
        <v>265</v>
      </c>
      <c r="L5108" t="s">
        <v>281</v>
      </c>
      <c r="M5108" t="s">
        <v>290</v>
      </c>
      <c r="N5108" t="s">
        <v>299</v>
      </c>
      <c r="O5108" t="s">
        <v>308</v>
      </c>
      <c r="P5108" t="s">
        <v>228</v>
      </c>
      <c r="Q5108" t="s">
        <v>72</v>
      </c>
      <c r="R5108" t="s">
        <v>327</v>
      </c>
      <c r="S5108" t="s">
        <v>327</v>
      </c>
      <c r="T5108" t="s">
        <v>336</v>
      </c>
      <c r="U5108" t="s">
        <v>336</v>
      </c>
      <c r="V5108" t="s">
        <v>336</v>
      </c>
      <c r="W5108" t="s">
        <v>336</v>
      </c>
      <c r="X5108" t="s">
        <v>353</v>
      </c>
      <c r="AK5108" t="s">
        <v>362</v>
      </c>
    </row>
    <row r="5109" spans="1:37">
      <c r="B5109" t="s">
        <v>67</v>
      </c>
      <c r="C5109" t="s">
        <v>89</v>
      </c>
      <c r="D5109" t="s">
        <v>107</v>
      </c>
      <c r="AK5109" t="s">
        <v>362</v>
      </c>
    </row>
    <row r="5110" spans="1:37">
      <c r="B5110" t="s">
        <v>68</v>
      </c>
      <c r="C5110" t="s">
        <v>90</v>
      </c>
      <c r="D5110" t="s">
        <v>108</v>
      </c>
      <c r="AK5110" t="s">
        <v>362</v>
      </c>
    </row>
    <row r="5111" spans="1:37">
      <c r="A5111" t="s">
        <v>47</v>
      </c>
      <c r="B5111" t="s">
        <v>69</v>
      </c>
      <c r="C5111" t="s">
        <v>91</v>
      </c>
      <c r="D5111" t="s">
        <v>109</v>
      </c>
      <c r="E5111" t="s">
        <v>109</v>
      </c>
      <c r="F5111" t="s">
        <v>109</v>
      </c>
      <c r="G5111" t="s">
        <v>109</v>
      </c>
      <c r="H5111" t="s">
        <v>109</v>
      </c>
      <c r="I5111" t="s">
        <v>239</v>
      </c>
      <c r="AK5111" t="s">
        <v>362</v>
      </c>
    </row>
    <row r="5112" spans="1:37">
      <c r="B5112" t="s">
        <v>70</v>
      </c>
      <c r="C5112" t="s">
        <v>92</v>
      </c>
      <c r="D5112" t="s">
        <v>110</v>
      </c>
      <c r="E5112" t="s">
        <v>127</v>
      </c>
      <c r="F5112" t="s">
        <v>161</v>
      </c>
      <c r="G5112" t="s">
        <v>187</v>
      </c>
      <c r="H5112" t="s">
        <v>218</v>
      </c>
      <c r="AK5112" t="s">
        <v>362</v>
      </c>
    </row>
    <row r="5113" spans="1:37">
      <c r="B5113" t="s">
        <v>71</v>
      </c>
      <c r="C5113" t="s">
        <v>93</v>
      </c>
      <c r="D5113" t="s">
        <v>111</v>
      </c>
      <c r="E5113" t="s">
        <v>128</v>
      </c>
      <c r="F5113" t="s">
        <v>162</v>
      </c>
      <c r="G5113" t="s">
        <v>188</v>
      </c>
      <c r="H5113" t="s">
        <v>219</v>
      </c>
      <c r="I5113" t="s">
        <v>240</v>
      </c>
      <c r="J5113" t="s">
        <v>257</v>
      </c>
      <c r="K5113" t="s">
        <v>269</v>
      </c>
      <c r="L5113" t="s">
        <v>109</v>
      </c>
      <c r="M5113" t="s">
        <v>109</v>
      </c>
      <c r="N5113" t="s">
        <v>109</v>
      </c>
      <c r="O5113" t="s">
        <v>109</v>
      </c>
      <c r="P5113" t="s">
        <v>109</v>
      </c>
      <c r="Q5113" t="s">
        <v>321</v>
      </c>
      <c r="AK5113" t="s">
        <v>362</v>
      </c>
    </row>
    <row r="5114" spans="1:37">
      <c r="A5114" t="s">
        <v>48</v>
      </c>
      <c r="B5114" t="s">
        <v>71</v>
      </c>
      <c r="C5114" t="s">
        <v>93</v>
      </c>
      <c r="D5114" t="s">
        <v>111</v>
      </c>
      <c r="E5114" t="s">
        <v>128</v>
      </c>
      <c r="F5114" t="s">
        <v>163</v>
      </c>
      <c r="G5114" t="s">
        <v>189</v>
      </c>
      <c r="H5114" t="s">
        <v>220</v>
      </c>
      <c r="I5114" t="s">
        <v>241</v>
      </c>
      <c r="J5114" t="s">
        <v>258</v>
      </c>
      <c r="K5114" t="s">
        <v>270</v>
      </c>
      <c r="AK5114" t="s">
        <v>362</v>
      </c>
    </row>
    <row r="5115" spans="1:37">
      <c r="B5115" t="s">
        <v>72</v>
      </c>
      <c r="C5115" t="s">
        <v>72</v>
      </c>
      <c r="D5115" t="s">
        <v>72</v>
      </c>
      <c r="E5115" t="s">
        <v>72</v>
      </c>
      <c r="F5115" t="s">
        <v>72</v>
      </c>
      <c r="G5115" t="s">
        <v>72</v>
      </c>
      <c r="H5115" t="s">
        <v>72</v>
      </c>
      <c r="I5115" t="s">
        <v>72</v>
      </c>
      <c r="J5115" t="s">
        <v>72</v>
      </c>
      <c r="K5115" t="s">
        <v>272</v>
      </c>
      <c r="AK5115" t="s">
        <v>362</v>
      </c>
    </row>
    <row r="5116" spans="1:37">
      <c r="A5116" t="s">
        <v>37</v>
      </c>
      <c r="B5116" t="s">
        <v>49</v>
      </c>
      <c r="C5116" t="s">
        <v>73</v>
      </c>
      <c r="D5116" t="s">
        <v>94</v>
      </c>
      <c r="E5116" t="s">
        <v>112</v>
      </c>
      <c r="F5116" t="s">
        <v>146</v>
      </c>
      <c r="G5116" t="s">
        <v>172</v>
      </c>
      <c r="H5116" t="s">
        <v>207</v>
      </c>
      <c r="I5116" t="s">
        <v>226</v>
      </c>
      <c r="J5116" t="s">
        <v>246</v>
      </c>
      <c r="K5116" t="s">
        <v>259</v>
      </c>
      <c r="AK5116" t="s">
        <v>362</v>
      </c>
    </row>
    <row r="5117" spans="1:37">
      <c r="A5117" t="s">
        <v>38</v>
      </c>
      <c r="B5117" t="s">
        <v>50</v>
      </c>
      <c r="C5117" t="s">
        <v>74</v>
      </c>
      <c r="D5117" t="s">
        <v>95</v>
      </c>
      <c r="E5117" t="s">
        <v>113</v>
      </c>
      <c r="F5117" t="s">
        <v>147</v>
      </c>
      <c r="G5117" t="s">
        <v>173</v>
      </c>
      <c r="H5117" t="s">
        <v>208</v>
      </c>
      <c r="I5117" t="s">
        <v>227</v>
      </c>
      <c r="J5117" t="s">
        <v>115</v>
      </c>
      <c r="K5117" t="s">
        <v>260</v>
      </c>
      <c r="L5117" t="s">
        <v>273</v>
      </c>
      <c r="M5117" t="s">
        <v>282</v>
      </c>
      <c r="N5117" t="s">
        <v>291</v>
      </c>
      <c r="AK5117" t="s">
        <v>362</v>
      </c>
    </row>
    <row r="5118" spans="1:37">
      <c r="B5118" t="s">
        <v>51</v>
      </c>
      <c r="C5118" t="s">
        <v>75</v>
      </c>
      <c r="D5118" t="s">
        <v>52</v>
      </c>
      <c r="E5118" t="s">
        <v>114</v>
      </c>
      <c r="F5118" t="s">
        <v>148</v>
      </c>
      <c r="G5118" t="s">
        <v>148</v>
      </c>
      <c r="H5118" t="s">
        <v>209</v>
      </c>
      <c r="I5118" t="s">
        <v>228</v>
      </c>
      <c r="J5118" t="s">
        <v>247</v>
      </c>
      <c r="K5118" t="s">
        <v>261</v>
      </c>
      <c r="L5118" t="s">
        <v>274</v>
      </c>
      <c r="M5118" t="s">
        <v>283</v>
      </c>
      <c r="N5118" t="s">
        <v>292</v>
      </c>
      <c r="O5118" t="s">
        <v>300</v>
      </c>
      <c r="AK5118" t="s">
        <v>362</v>
      </c>
    </row>
    <row r="5119" spans="1:37">
      <c r="B5119" t="s">
        <v>52</v>
      </c>
      <c r="C5119" t="s">
        <v>76</v>
      </c>
      <c r="D5119" t="s">
        <v>96</v>
      </c>
      <c r="E5119" t="s">
        <v>115</v>
      </c>
      <c r="F5119" t="s">
        <v>149</v>
      </c>
      <c r="G5119" t="s">
        <v>174</v>
      </c>
      <c r="H5119" t="s">
        <v>96</v>
      </c>
      <c r="I5119" t="s">
        <v>229</v>
      </c>
      <c r="J5119" t="s">
        <v>248</v>
      </c>
      <c r="K5119" t="s">
        <v>262</v>
      </c>
      <c r="L5119" t="s">
        <v>52</v>
      </c>
      <c r="M5119" t="s">
        <v>76</v>
      </c>
      <c r="N5119" t="s">
        <v>293</v>
      </c>
      <c r="O5119" t="s">
        <v>301</v>
      </c>
      <c r="P5119" t="s">
        <v>309</v>
      </c>
      <c r="Q5119" t="s">
        <v>315</v>
      </c>
      <c r="R5119" t="s">
        <v>228</v>
      </c>
      <c r="S5119" t="s">
        <v>328</v>
      </c>
      <c r="T5119" t="s">
        <v>149</v>
      </c>
      <c r="U5119" t="s">
        <v>337</v>
      </c>
      <c r="V5119" t="s">
        <v>341</v>
      </c>
      <c r="W5119" t="s">
        <v>345</v>
      </c>
      <c r="X5119" t="s">
        <v>350</v>
      </c>
      <c r="AK5119" t="s">
        <v>362</v>
      </c>
    </row>
    <row r="5120" spans="1:37">
      <c r="B5120" t="s">
        <v>53</v>
      </c>
      <c r="C5120" t="s">
        <v>77</v>
      </c>
      <c r="D5120" t="s">
        <v>97</v>
      </c>
      <c r="E5120" t="s">
        <v>116</v>
      </c>
      <c r="F5120" t="s">
        <v>150</v>
      </c>
      <c r="G5120" t="s">
        <v>175</v>
      </c>
      <c r="H5120" t="s">
        <v>210</v>
      </c>
      <c r="I5120" t="s">
        <v>230</v>
      </c>
      <c r="J5120" t="s">
        <v>249</v>
      </c>
      <c r="K5120" t="s">
        <v>263</v>
      </c>
      <c r="L5120" t="s">
        <v>275</v>
      </c>
      <c r="M5120" t="s">
        <v>284</v>
      </c>
      <c r="N5120" t="s">
        <v>294</v>
      </c>
      <c r="O5120" t="s">
        <v>302</v>
      </c>
      <c r="P5120" t="s">
        <v>310</v>
      </c>
      <c r="Q5120" t="s">
        <v>316</v>
      </c>
      <c r="R5120" t="s">
        <v>322</v>
      </c>
      <c r="S5120" t="s">
        <v>329</v>
      </c>
      <c r="AK5120" t="s">
        <v>362</v>
      </c>
    </row>
    <row r="5121" spans="1:37">
      <c r="A5121" t="s">
        <v>39</v>
      </c>
      <c r="B5121" t="s">
        <v>54</v>
      </c>
      <c r="C5121" t="s">
        <v>54</v>
      </c>
      <c r="D5121" t="s">
        <v>54</v>
      </c>
      <c r="E5121" t="s">
        <v>54</v>
      </c>
      <c r="F5121" t="s">
        <v>54</v>
      </c>
      <c r="G5121" t="s">
        <v>54</v>
      </c>
      <c r="H5121" t="s">
        <v>54</v>
      </c>
      <c r="I5121" t="s">
        <v>54</v>
      </c>
      <c r="J5121" t="s">
        <v>54</v>
      </c>
      <c r="K5121" t="s">
        <v>54</v>
      </c>
      <c r="L5121" t="s">
        <v>54</v>
      </c>
      <c r="M5121" t="s">
        <v>54</v>
      </c>
      <c r="N5121" t="s">
        <v>54</v>
      </c>
      <c r="O5121" t="s">
        <v>54</v>
      </c>
      <c r="P5121" t="s">
        <v>54</v>
      </c>
      <c r="Q5121" t="s">
        <v>54</v>
      </c>
      <c r="R5121" t="s">
        <v>323</v>
      </c>
      <c r="S5121" t="s">
        <v>330</v>
      </c>
      <c r="AK5121" t="s">
        <v>362</v>
      </c>
    </row>
    <row r="5122" spans="1:37">
      <c r="B5122" t="s">
        <v>55</v>
      </c>
      <c r="C5122" t="s">
        <v>78</v>
      </c>
      <c r="D5122" t="s">
        <v>55</v>
      </c>
      <c r="E5122" t="s">
        <v>78</v>
      </c>
      <c r="F5122" t="s">
        <v>55</v>
      </c>
      <c r="G5122" t="s">
        <v>78</v>
      </c>
      <c r="H5122" t="s">
        <v>55</v>
      </c>
      <c r="I5122" t="s">
        <v>78</v>
      </c>
      <c r="J5122" t="s">
        <v>55</v>
      </c>
      <c r="K5122" t="s">
        <v>78</v>
      </c>
      <c r="L5122" t="s">
        <v>55</v>
      </c>
      <c r="M5122" t="s">
        <v>78</v>
      </c>
      <c r="N5122" t="s">
        <v>55</v>
      </c>
      <c r="O5122" t="s">
        <v>78</v>
      </c>
      <c r="P5122" t="s">
        <v>55</v>
      </c>
      <c r="Q5122" t="s">
        <v>78</v>
      </c>
      <c r="R5122" t="s">
        <v>55</v>
      </c>
      <c r="S5122" t="s">
        <v>78</v>
      </c>
      <c r="T5122" t="s">
        <v>55</v>
      </c>
      <c r="U5122" t="s">
        <v>78</v>
      </c>
      <c r="V5122" t="s">
        <v>55</v>
      </c>
      <c r="W5122" t="s">
        <v>78</v>
      </c>
      <c r="X5122" t="s">
        <v>55</v>
      </c>
      <c r="Y5122" t="s">
        <v>78</v>
      </c>
      <c r="Z5122" t="s">
        <v>55</v>
      </c>
      <c r="AA5122" t="s">
        <v>78</v>
      </c>
      <c r="AB5122" t="s">
        <v>55</v>
      </c>
      <c r="AC5122" t="s">
        <v>78</v>
      </c>
      <c r="AD5122" t="s">
        <v>55</v>
      </c>
      <c r="AE5122" t="s">
        <v>78</v>
      </c>
      <c r="AF5122" t="s">
        <v>55</v>
      </c>
      <c r="AG5122" t="s">
        <v>78</v>
      </c>
      <c r="AH5122" t="s">
        <v>55</v>
      </c>
      <c r="AI5122" t="s">
        <v>78</v>
      </c>
      <c r="AK5122" t="s">
        <v>362</v>
      </c>
    </row>
    <row r="5123" spans="1:37">
      <c r="B5123" t="s">
        <v>56</v>
      </c>
      <c r="C5123" t="s">
        <v>56</v>
      </c>
      <c r="D5123" t="s">
        <v>56</v>
      </c>
      <c r="E5123" t="s">
        <v>56</v>
      </c>
      <c r="F5123" t="s">
        <v>56</v>
      </c>
      <c r="G5123" t="s">
        <v>176</v>
      </c>
      <c r="H5123" t="s">
        <v>211</v>
      </c>
      <c r="I5123" t="s">
        <v>231</v>
      </c>
      <c r="J5123" t="s">
        <v>250</v>
      </c>
      <c r="K5123" t="s">
        <v>264</v>
      </c>
      <c r="L5123" t="s">
        <v>276</v>
      </c>
      <c r="M5123" t="s">
        <v>285</v>
      </c>
      <c r="N5123" t="s">
        <v>295</v>
      </c>
      <c r="O5123" t="s">
        <v>303</v>
      </c>
      <c r="P5123" t="s">
        <v>56</v>
      </c>
      <c r="Q5123" t="s">
        <v>317</v>
      </c>
      <c r="R5123" t="s">
        <v>324</v>
      </c>
      <c r="S5123" t="s">
        <v>331</v>
      </c>
      <c r="T5123" t="s">
        <v>334</v>
      </c>
      <c r="U5123" t="s">
        <v>338</v>
      </c>
      <c r="V5123" t="s">
        <v>342</v>
      </c>
      <c r="W5123" t="s">
        <v>346</v>
      </c>
      <c r="X5123" t="s">
        <v>351</v>
      </c>
      <c r="AK5123" t="s">
        <v>362</v>
      </c>
    </row>
    <row r="5124" spans="1:37">
      <c r="B5124" t="s">
        <v>57</v>
      </c>
      <c r="C5124" t="s">
        <v>79</v>
      </c>
      <c r="D5124" t="s">
        <v>98</v>
      </c>
      <c r="E5124" t="s">
        <v>117</v>
      </c>
      <c r="F5124" t="s">
        <v>151</v>
      </c>
      <c r="G5124" t="s">
        <v>177</v>
      </c>
      <c r="H5124" t="s">
        <v>212</v>
      </c>
      <c r="I5124" t="s">
        <v>232</v>
      </c>
      <c r="J5124" t="s">
        <v>251</v>
      </c>
      <c r="K5124" t="s">
        <v>265</v>
      </c>
      <c r="L5124" t="s">
        <v>277</v>
      </c>
      <c r="M5124" t="s">
        <v>286</v>
      </c>
      <c r="N5124" t="s">
        <v>296</v>
      </c>
      <c r="O5124" t="s">
        <v>304</v>
      </c>
      <c r="P5124" t="s">
        <v>311</v>
      </c>
      <c r="Q5124" t="s">
        <v>318</v>
      </c>
      <c r="R5124" t="s">
        <v>185</v>
      </c>
      <c r="S5124" t="s">
        <v>159</v>
      </c>
      <c r="T5124" t="s">
        <v>185</v>
      </c>
      <c r="U5124" t="s">
        <v>339</v>
      </c>
      <c r="V5124" t="s">
        <v>72</v>
      </c>
      <c r="W5124" t="s">
        <v>347</v>
      </c>
      <c r="X5124" t="s">
        <v>72</v>
      </c>
      <c r="Y5124" t="s">
        <v>96</v>
      </c>
      <c r="AK5124" t="s">
        <v>362</v>
      </c>
    </row>
    <row r="5125" spans="1:37">
      <c r="B5125" t="s">
        <v>58</v>
      </c>
      <c r="C5125" t="s">
        <v>80</v>
      </c>
      <c r="D5125" t="s">
        <v>99</v>
      </c>
      <c r="E5125" t="s">
        <v>118</v>
      </c>
      <c r="F5125" t="s">
        <v>152</v>
      </c>
      <c r="G5125" t="s">
        <v>178</v>
      </c>
      <c r="H5125" t="s">
        <v>213</v>
      </c>
      <c r="I5125" t="s">
        <v>233</v>
      </c>
      <c r="J5125" t="s">
        <v>252</v>
      </c>
      <c r="K5125" t="s">
        <v>266</v>
      </c>
      <c r="L5125" t="s">
        <v>278</v>
      </c>
      <c r="M5125" t="s">
        <v>287</v>
      </c>
      <c r="N5125" t="s">
        <v>297</v>
      </c>
      <c r="O5125" t="s">
        <v>305</v>
      </c>
      <c r="P5125" t="s">
        <v>312</v>
      </c>
      <c r="Q5125" t="s">
        <v>319</v>
      </c>
      <c r="R5125">
        <f>&gt;10       ветра      2.8     14   6 11</f>
        <v>0</v>
      </c>
      <c r="AK5125" t="s">
        <v>362</v>
      </c>
    </row>
    <row r="5126" spans="1:37">
      <c r="A5126" t="s">
        <v>40</v>
      </c>
      <c r="B5126" t="s">
        <v>59</v>
      </c>
      <c r="C5126" t="s">
        <v>81</v>
      </c>
      <c r="D5126" t="s">
        <v>100</v>
      </c>
      <c r="E5126" t="s">
        <v>119</v>
      </c>
      <c r="F5126" t="s">
        <v>153</v>
      </c>
      <c r="G5126" t="s">
        <v>179</v>
      </c>
      <c r="H5126" t="s">
        <v>214</v>
      </c>
      <c r="I5126" t="s">
        <v>234</v>
      </c>
      <c r="AK5126" t="s">
        <v>362</v>
      </c>
    </row>
    <row r="5127" spans="1:37">
      <c r="A5127" t="s">
        <v>40</v>
      </c>
      <c r="B5127" t="s">
        <v>60</v>
      </c>
      <c r="C5127" t="s">
        <v>82</v>
      </c>
      <c r="D5127" t="s">
        <v>101</v>
      </c>
      <c r="E5127" t="s">
        <v>120</v>
      </c>
      <c r="F5127" t="s">
        <v>154</v>
      </c>
      <c r="G5127" t="s">
        <v>180</v>
      </c>
      <c r="H5127" t="s">
        <v>215</v>
      </c>
      <c r="I5127" t="s">
        <v>235</v>
      </c>
      <c r="J5127" t="s">
        <v>253</v>
      </c>
      <c r="K5127" t="s">
        <v>267</v>
      </c>
      <c r="L5127" t="s">
        <v>279</v>
      </c>
      <c r="M5127" t="s">
        <v>288</v>
      </c>
      <c r="N5127" t="s">
        <v>100</v>
      </c>
      <c r="O5127" t="s">
        <v>306</v>
      </c>
      <c r="P5127" t="s">
        <v>313</v>
      </c>
      <c r="Q5127" t="s">
        <v>320</v>
      </c>
      <c r="R5127" t="s">
        <v>325</v>
      </c>
      <c r="S5127" t="s">
        <v>332</v>
      </c>
      <c r="T5127" t="s">
        <v>119</v>
      </c>
      <c r="U5127" t="s">
        <v>234</v>
      </c>
      <c r="V5127" t="s">
        <v>343</v>
      </c>
      <c r="W5127" t="s">
        <v>348</v>
      </c>
      <c r="X5127" t="s">
        <v>352</v>
      </c>
      <c r="Y5127" t="s">
        <v>354</v>
      </c>
      <c r="AK5127" t="s">
        <v>362</v>
      </c>
    </row>
    <row r="5128" spans="1:37">
      <c r="A5128" t="s">
        <v>41</v>
      </c>
      <c r="B5128" t="s">
        <v>61</v>
      </c>
      <c r="C5128" t="s">
        <v>83</v>
      </c>
      <c r="D5128" t="s">
        <v>102</v>
      </c>
      <c r="E5128" t="s">
        <v>121</v>
      </c>
      <c r="F5128" t="s">
        <v>155</v>
      </c>
      <c r="G5128" t="s">
        <v>181</v>
      </c>
      <c r="H5128" t="s">
        <v>216</v>
      </c>
      <c r="I5128" t="s">
        <v>236</v>
      </c>
      <c r="AK5128" t="s">
        <v>362</v>
      </c>
    </row>
    <row r="5129" spans="1:37">
      <c r="A5129" t="s">
        <v>42</v>
      </c>
      <c r="B5129" t="s">
        <v>62</v>
      </c>
      <c r="C5129" t="s">
        <v>84</v>
      </c>
      <c r="D5129" t="s">
        <v>103</v>
      </c>
      <c r="E5129" t="s">
        <v>122</v>
      </c>
      <c r="F5129" t="s">
        <v>156</v>
      </c>
      <c r="G5129" t="s">
        <v>182</v>
      </c>
      <c r="H5129" t="s">
        <v>83</v>
      </c>
      <c r="I5129" t="s">
        <v>237</v>
      </c>
      <c r="J5129" t="s">
        <v>254</v>
      </c>
      <c r="K5129" t="s">
        <v>268</v>
      </c>
      <c r="L5129" t="s">
        <v>280</v>
      </c>
      <c r="M5129" t="s">
        <v>289</v>
      </c>
      <c r="N5129" t="s">
        <v>298</v>
      </c>
      <c r="O5129" t="s">
        <v>307</v>
      </c>
      <c r="P5129" t="s">
        <v>314</v>
      </c>
      <c r="Q5129" t="s">
        <v>216</v>
      </c>
      <c r="R5129" t="s">
        <v>326</v>
      </c>
      <c r="S5129" t="s">
        <v>333</v>
      </c>
      <c r="T5129" t="s">
        <v>335</v>
      </c>
      <c r="U5129" t="s">
        <v>340</v>
      </c>
      <c r="V5129" t="s">
        <v>344</v>
      </c>
      <c r="W5129" t="s">
        <v>349</v>
      </c>
      <c r="AK5129" t="s">
        <v>362</v>
      </c>
    </row>
    <row r="5130" spans="1:37">
      <c r="A5130" t="s">
        <v>43</v>
      </c>
      <c r="B5130" t="s">
        <v>63</v>
      </c>
      <c r="C5130" t="s">
        <v>85</v>
      </c>
      <c r="D5130" t="s">
        <v>104</v>
      </c>
      <c r="E5130" t="s">
        <v>123</v>
      </c>
      <c r="F5130" t="s">
        <v>157</v>
      </c>
      <c r="G5130" t="s">
        <v>183</v>
      </c>
      <c r="AK5130" t="s">
        <v>362</v>
      </c>
    </row>
    <row r="5131" spans="1:37">
      <c r="A5131" t="s">
        <v>44</v>
      </c>
      <c r="B5131" t="s">
        <v>64</v>
      </c>
      <c r="C5131" t="s">
        <v>86</v>
      </c>
      <c r="D5131" t="s">
        <v>105</v>
      </c>
      <c r="E5131" t="s">
        <v>124</v>
      </c>
      <c r="F5131" t="s">
        <v>158</v>
      </c>
      <c r="G5131" t="s">
        <v>184</v>
      </c>
      <c r="AK5131" t="s">
        <v>362</v>
      </c>
    </row>
    <row r="5132" spans="1:37">
      <c r="A5132" t="s">
        <v>45</v>
      </c>
      <c r="B5132" t="s">
        <v>65</v>
      </c>
      <c r="C5132" t="s">
        <v>87</v>
      </c>
      <c r="D5132" t="s">
        <v>106</v>
      </c>
      <c r="E5132" t="s">
        <v>125</v>
      </c>
      <c r="F5132" t="s">
        <v>159</v>
      </c>
      <c r="G5132" t="s">
        <v>185</v>
      </c>
      <c r="H5132" t="s">
        <v>159</v>
      </c>
      <c r="I5132" t="s">
        <v>185</v>
      </c>
      <c r="J5132" t="s">
        <v>255</v>
      </c>
      <c r="AK5132" t="s">
        <v>362</v>
      </c>
    </row>
    <row r="5133" spans="1:37">
      <c r="A5133" t="s">
        <v>46</v>
      </c>
      <c r="B5133" t="s">
        <v>66</v>
      </c>
      <c r="C5133" t="s">
        <v>88</v>
      </c>
      <c r="D5133" t="s">
        <v>76</v>
      </c>
      <c r="E5133" t="s">
        <v>126</v>
      </c>
      <c r="F5133" t="s">
        <v>160</v>
      </c>
      <c r="G5133" t="s">
        <v>186</v>
      </c>
      <c r="H5133" t="s">
        <v>217</v>
      </c>
      <c r="I5133" t="s">
        <v>238</v>
      </c>
      <c r="J5133" t="s">
        <v>256</v>
      </c>
      <c r="K5133" t="s">
        <v>265</v>
      </c>
      <c r="L5133" t="s">
        <v>281</v>
      </c>
      <c r="M5133" t="s">
        <v>290</v>
      </c>
      <c r="N5133" t="s">
        <v>299</v>
      </c>
      <c r="O5133" t="s">
        <v>308</v>
      </c>
      <c r="P5133" t="s">
        <v>228</v>
      </c>
      <c r="Q5133" t="s">
        <v>72</v>
      </c>
      <c r="R5133" t="s">
        <v>327</v>
      </c>
      <c r="S5133" t="s">
        <v>327</v>
      </c>
      <c r="T5133" t="s">
        <v>336</v>
      </c>
      <c r="U5133" t="s">
        <v>336</v>
      </c>
      <c r="V5133" t="s">
        <v>336</v>
      </c>
      <c r="W5133" t="s">
        <v>336</v>
      </c>
      <c r="X5133" t="s">
        <v>353</v>
      </c>
      <c r="AK5133" t="s">
        <v>362</v>
      </c>
    </row>
    <row r="5134" spans="1:37">
      <c r="B5134" t="s">
        <v>67</v>
      </c>
      <c r="C5134" t="s">
        <v>89</v>
      </c>
      <c r="D5134" t="s">
        <v>107</v>
      </c>
      <c r="AK5134" t="s">
        <v>362</v>
      </c>
    </row>
    <row r="5135" spans="1:37">
      <c r="B5135" t="s">
        <v>68</v>
      </c>
      <c r="C5135" t="s">
        <v>90</v>
      </c>
      <c r="D5135" t="s">
        <v>108</v>
      </c>
      <c r="AK5135" t="s">
        <v>362</v>
      </c>
    </row>
    <row r="5136" spans="1:37">
      <c r="A5136" t="s">
        <v>47</v>
      </c>
      <c r="B5136" t="s">
        <v>69</v>
      </c>
      <c r="C5136" t="s">
        <v>91</v>
      </c>
      <c r="D5136" t="s">
        <v>109</v>
      </c>
      <c r="E5136" t="s">
        <v>109</v>
      </c>
      <c r="F5136" t="s">
        <v>109</v>
      </c>
      <c r="G5136" t="s">
        <v>109</v>
      </c>
      <c r="H5136" t="s">
        <v>109</v>
      </c>
      <c r="I5136" t="s">
        <v>239</v>
      </c>
      <c r="AK5136" t="s">
        <v>362</v>
      </c>
    </row>
    <row r="5137" spans="1:37">
      <c r="B5137" t="s">
        <v>70</v>
      </c>
      <c r="C5137" t="s">
        <v>92</v>
      </c>
      <c r="D5137" t="s">
        <v>110</v>
      </c>
      <c r="E5137" t="s">
        <v>127</v>
      </c>
      <c r="F5137" t="s">
        <v>161</v>
      </c>
      <c r="G5137" t="s">
        <v>187</v>
      </c>
      <c r="H5137" t="s">
        <v>218</v>
      </c>
      <c r="AK5137" t="s">
        <v>362</v>
      </c>
    </row>
    <row r="5138" spans="1:37">
      <c r="B5138" t="s">
        <v>71</v>
      </c>
      <c r="C5138" t="s">
        <v>93</v>
      </c>
      <c r="D5138" t="s">
        <v>111</v>
      </c>
      <c r="E5138" t="s">
        <v>128</v>
      </c>
      <c r="F5138" t="s">
        <v>162</v>
      </c>
      <c r="G5138" t="s">
        <v>188</v>
      </c>
      <c r="H5138" t="s">
        <v>219</v>
      </c>
      <c r="I5138" t="s">
        <v>240</v>
      </c>
      <c r="J5138" t="s">
        <v>257</v>
      </c>
      <c r="K5138" t="s">
        <v>269</v>
      </c>
      <c r="L5138" t="s">
        <v>109</v>
      </c>
      <c r="M5138" t="s">
        <v>109</v>
      </c>
      <c r="N5138" t="s">
        <v>109</v>
      </c>
      <c r="O5138" t="s">
        <v>109</v>
      </c>
      <c r="P5138" t="s">
        <v>109</v>
      </c>
      <c r="Q5138" t="s">
        <v>321</v>
      </c>
      <c r="AK5138" t="s">
        <v>362</v>
      </c>
    </row>
    <row r="5139" spans="1:37">
      <c r="A5139" t="s">
        <v>48</v>
      </c>
      <c r="B5139" t="s">
        <v>71</v>
      </c>
      <c r="C5139" t="s">
        <v>93</v>
      </c>
      <c r="D5139" t="s">
        <v>111</v>
      </c>
      <c r="E5139" t="s">
        <v>128</v>
      </c>
      <c r="F5139" t="s">
        <v>163</v>
      </c>
      <c r="G5139" t="s">
        <v>189</v>
      </c>
      <c r="H5139" t="s">
        <v>220</v>
      </c>
      <c r="I5139" t="s">
        <v>241</v>
      </c>
      <c r="J5139" t="s">
        <v>258</v>
      </c>
      <c r="K5139" t="s">
        <v>270</v>
      </c>
      <c r="AK5139" t="s">
        <v>362</v>
      </c>
    </row>
    <row r="5140" spans="1:37">
      <c r="B5140" t="s">
        <v>72</v>
      </c>
      <c r="C5140" t="s">
        <v>72</v>
      </c>
      <c r="D5140" t="s">
        <v>72</v>
      </c>
      <c r="E5140" t="s">
        <v>72</v>
      </c>
      <c r="F5140" t="s">
        <v>72</v>
      </c>
      <c r="G5140" t="s">
        <v>72</v>
      </c>
      <c r="H5140" t="s">
        <v>72</v>
      </c>
      <c r="I5140" t="s">
        <v>72</v>
      </c>
      <c r="J5140" t="s">
        <v>72</v>
      </c>
      <c r="K5140" t="s">
        <v>272</v>
      </c>
      <c r="AK5140" t="s">
        <v>362</v>
      </c>
    </row>
    <row r="5141" spans="1:37">
      <c r="A5141" t="s">
        <v>37</v>
      </c>
      <c r="B5141" t="s">
        <v>49</v>
      </c>
      <c r="C5141" t="s">
        <v>73</v>
      </c>
      <c r="D5141" t="s">
        <v>94</v>
      </c>
      <c r="E5141" t="s">
        <v>112</v>
      </c>
      <c r="F5141" t="s">
        <v>146</v>
      </c>
      <c r="G5141" t="s">
        <v>172</v>
      </c>
      <c r="H5141" t="s">
        <v>207</v>
      </c>
      <c r="I5141" t="s">
        <v>226</v>
      </c>
      <c r="J5141" t="s">
        <v>246</v>
      </c>
      <c r="K5141" t="s">
        <v>259</v>
      </c>
      <c r="AK5141" t="s">
        <v>362</v>
      </c>
    </row>
    <row r="5142" spans="1:37">
      <c r="A5142" t="s">
        <v>38</v>
      </c>
      <c r="B5142" t="s">
        <v>50</v>
      </c>
      <c r="C5142" t="s">
        <v>74</v>
      </c>
      <c r="D5142" t="s">
        <v>95</v>
      </c>
      <c r="E5142" t="s">
        <v>113</v>
      </c>
      <c r="F5142" t="s">
        <v>147</v>
      </c>
      <c r="G5142" t="s">
        <v>173</v>
      </c>
      <c r="H5142" t="s">
        <v>208</v>
      </c>
      <c r="I5142" t="s">
        <v>227</v>
      </c>
      <c r="J5142" t="s">
        <v>115</v>
      </c>
      <c r="K5142" t="s">
        <v>260</v>
      </c>
      <c r="L5142" t="s">
        <v>273</v>
      </c>
      <c r="M5142" t="s">
        <v>282</v>
      </c>
      <c r="N5142" t="s">
        <v>291</v>
      </c>
      <c r="AK5142" t="s">
        <v>362</v>
      </c>
    </row>
    <row r="5143" spans="1:37">
      <c r="B5143" t="s">
        <v>51</v>
      </c>
      <c r="C5143" t="s">
        <v>75</v>
      </c>
      <c r="D5143" t="s">
        <v>52</v>
      </c>
      <c r="E5143" t="s">
        <v>114</v>
      </c>
      <c r="F5143" t="s">
        <v>148</v>
      </c>
      <c r="G5143" t="s">
        <v>148</v>
      </c>
      <c r="H5143" t="s">
        <v>209</v>
      </c>
      <c r="I5143" t="s">
        <v>228</v>
      </c>
      <c r="J5143" t="s">
        <v>247</v>
      </c>
      <c r="K5143" t="s">
        <v>261</v>
      </c>
      <c r="L5143" t="s">
        <v>274</v>
      </c>
      <c r="M5143" t="s">
        <v>283</v>
      </c>
      <c r="N5143" t="s">
        <v>292</v>
      </c>
      <c r="O5143" t="s">
        <v>300</v>
      </c>
      <c r="AK5143" t="s">
        <v>362</v>
      </c>
    </row>
    <row r="5144" spans="1:37">
      <c r="B5144" t="s">
        <v>52</v>
      </c>
      <c r="C5144" t="s">
        <v>76</v>
      </c>
      <c r="D5144" t="s">
        <v>96</v>
      </c>
      <c r="E5144" t="s">
        <v>115</v>
      </c>
      <c r="F5144" t="s">
        <v>149</v>
      </c>
      <c r="G5144" t="s">
        <v>174</v>
      </c>
      <c r="H5144" t="s">
        <v>96</v>
      </c>
      <c r="I5144" t="s">
        <v>229</v>
      </c>
      <c r="J5144" t="s">
        <v>248</v>
      </c>
      <c r="K5144" t="s">
        <v>262</v>
      </c>
      <c r="L5144" t="s">
        <v>52</v>
      </c>
      <c r="M5144" t="s">
        <v>76</v>
      </c>
      <c r="N5144" t="s">
        <v>293</v>
      </c>
      <c r="O5144" t="s">
        <v>301</v>
      </c>
      <c r="P5144" t="s">
        <v>309</v>
      </c>
      <c r="Q5144" t="s">
        <v>315</v>
      </c>
      <c r="R5144" t="s">
        <v>228</v>
      </c>
      <c r="S5144" t="s">
        <v>328</v>
      </c>
      <c r="T5144" t="s">
        <v>149</v>
      </c>
      <c r="U5144" t="s">
        <v>337</v>
      </c>
      <c r="V5144" t="s">
        <v>341</v>
      </c>
      <c r="W5144" t="s">
        <v>345</v>
      </c>
      <c r="X5144" t="s">
        <v>350</v>
      </c>
      <c r="AK5144" t="s">
        <v>362</v>
      </c>
    </row>
    <row r="5145" spans="1:37">
      <c r="B5145" t="s">
        <v>53</v>
      </c>
      <c r="C5145" t="s">
        <v>77</v>
      </c>
      <c r="D5145" t="s">
        <v>97</v>
      </c>
      <c r="E5145" t="s">
        <v>116</v>
      </c>
      <c r="F5145" t="s">
        <v>150</v>
      </c>
      <c r="G5145" t="s">
        <v>175</v>
      </c>
      <c r="H5145" t="s">
        <v>210</v>
      </c>
      <c r="I5145" t="s">
        <v>230</v>
      </c>
      <c r="J5145" t="s">
        <v>249</v>
      </c>
      <c r="K5145" t="s">
        <v>263</v>
      </c>
      <c r="L5145" t="s">
        <v>275</v>
      </c>
      <c r="M5145" t="s">
        <v>284</v>
      </c>
      <c r="N5145" t="s">
        <v>294</v>
      </c>
      <c r="O5145" t="s">
        <v>302</v>
      </c>
      <c r="P5145" t="s">
        <v>310</v>
      </c>
      <c r="Q5145" t="s">
        <v>316</v>
      </c>
      <c r="R5145" t="s">
        <v>322</v>
      </c>
      <c r="S5145" t="s">
        <v>329</v>
      </c>
      <c r="AK5145" t="s">
        <v>362</v>
      </c>
    </row>
    <row r="5146" spans="1:37">
      <c r="A5146" t="s">
        <v>39</v>
      </c>
      <c r="B5146" t="s">
        <v>54</v>
      </c>
      <c r="C5146" t="s">
        <v>54</v>
      </c>
      <c r="D5146" t="s">
        <v>54</v>
      </c>
      <c r="E5146" t="s">
        <v>54</v>
      </c>
      <c r="F5146" t="s">
        <v>54</v>
      </c>
      <c r="G5146" t="s">
        <v>54</v>
      </c>
      <c r="H5146" t="s">
        <v>54</v>
      </c>
      <c r="I5146" t="s">
        <v>54</v>
      </c>
      <c r="J5146" t="s">
        <v>54</v>
      </c>
      <c r="K5146" t="s">
        <v>54</v>
      </c>
      <c r="L5146" t="s">
        <v>54</v>
      </c>
      <c r="M5146" t="s">
        <v>54</v>
      </c>
      <c r="N5146" t="s">
        <v>54</v>
      </c>
      <c r="O5146" t="s">
        <v>54</v>
      </c>
      <c r="P5146" t="s">
        <v>54</v>
      </c>
      <c r="Q5146" t="s">
        <v>54</v>
      </c>
      <c r="R5146" t="s">
        <v>323</v>
      </c>
      <c r="S5146" t="s">
        <v>330</v>
      </c>
      <c r="AK5146" t="s">
        <v>362</v>
      </c>
    </row>
    <row r="5147" spans="1:37">
      <c r="B5147" t="s">
        <v>55</v>
      </c>
      <c r="C5147" t="s">
        <v>78</v>
      </c>
      <c r="D5147" t="s">
        <v>55</v>
      </c>
      <c r="E5147" t="s">
        <v>78</v>
      </c>
      <c r="F5147" t="s">
        <v>55</v>
      </c>
      <c r="G5147" t="s">
        <v>78</v>
      </c>
      <c r="H5147" t="s">
        <v>55</v>
      </c>
      <c r="I5147" t="s">
        <v>78</v>
      </c>
      <c r="J5147" t="s">
        <v>55</v>
      </c>
      <c r="K5147" t="s">
        <v>78</v>
      </c>
      <c r="L5147" t="s">
        <v>55</v>
      </c>
      <c r="M5147" t="s">
        <v>78</v>
      </c>
      <c r="N5147" t="s">
        <v>55</v>
      </c>
      <c r="O5147" t="s">
        <v>78</v>
      </c>
      <c r="P5147" t="s">
        <v>55</v>
      </c>
      <c r="Q5147" t="s">
        <v>78</v>
      </c>
      <c r="R5147" t="s">
        <v>55</v>
      </c>
      <c r="S5147" t="s">
        <v>78</v>
      </c>
      <c r="T5147" t="s">
        <v>55</v>
      </c>
      <c r="U5147" t="s">
        <v>78</v>
      </c>
      <c r="V5147" t="s">
        <v>55</v>
      </c>
      <c r="W5147" t="s">
        <v>78</v>
      </c>
      <c r="X5147" t="s">
        <v>55</v>
      </c>
      <c r="Y5147" t="s">
        <v>78</v>
      </c>
      <c r="Z5147" t="s">
        <v>55</v>
      </c>
      <c r="AA5147" t="s">
        <v>78</v>
      </c>
      <c r="AB5147" t="s">
        <v>55</v>
      </c>
      <c r="AC5147" t="s">
        <v>78</v>
      </c>
      <c r="AD5147" t="s">
        <v>55</v>
      </c>
      <c r="AE5147" t="s">
        <v>78</v>
      </c>
      <c r="AF5147" t="s">
        <v>55</v>
      </c>
      <c r="AG5147" t="s">
        <v>78</v>
      </c>
      <c r="AH5147" t="s">
        <v>55</v>
      </c>
      <c r="AI5147" t="s">
        <v>78</v>
      </c>
      <c r="AK5147" t="s">
        <v>362</v>
      </c>
    </row>
    <row r="5148" spans="1:37">
      <c r="B5148" t="s">
        <v>56</v>
      </c>
      <c r="C5148" t="s">
        <v>56</v>
      </c>
      <c r="D5148" t="s">
        <v>56</v>
      </c>
      <c r="E5148" t="s">
        <v>56</v>
      </c>
      <c r="F5148" t="s">
        <v>56</v>
      </c>
      <c r="G5148" t="s">
        <v>176</v>
      </c>
      <c r="H5148" t="s">
        <v>211</v>
      </c>
      <c r="I5148" t="s">
        <v>231</v>
      </c>
      <c r="J5148" t="s">
        <v>250</v>
      </c>
      <c r="K5148" t="s">
        <v>264</v>
      </c>
      <c r="L5148" t="s">
        <v>276</v>
      </c>
      <c r="M5148" t="s">
        <v>285</v>
      </c>
      <c r="N5148" t="s">
        <v>295</v>
      </c>
      <c r="O5148" t="s">
        <v>303</v>
      </c>
      <c r="P5148" t="s">
        <v>56</v>
      </c>
      <c r="Q5148" t="s">
        <v>317</v>
      </c>
      <c r="R5148" t="s">
        <v>324</v>
      </c>
      <c r="S5148" t="s">
        <v>331</v>
      </c>
      <c r="T5148" t="s">
        <v>334</v>
      </c>
      <c r="U5148" t="s">
        <v>338</v>
      </c>
      <c r="V5148" t="s">
        <v>342</v>
      </c>
      <c r="W5148" t="s">
        <v>346</v>
      </c>
      <c r="X5148" t="s">
        <v>351</v>
      </c>
      <c r="AK5148" t="s">
        <v>362</v>
      </c>
    </row>
    <row r="5149" spans="1:37">
      <c r="B5149" t="s">
        <v>57</v>
      </c>
      <c r="C5149" t="s">
        <v>79</v>
      </c>
      <c r="D5149" t="s">
        <v>98</v>
      </c>
      <c r="E5149" t="s">
        <v>117</v>
      </c>
      <c r="F5149" t="s">
        <v>151</v>
      </c>
      <c r="G5149" t="s">
        <v>177</v>
      </c>
      <c r="H5149" t="s">
        <v>212</v>
      </c>
      <c r="I5149" t="s">
        <v>232</v>
      </c>
      <c r="J5149" t="s">
        <v>251</v>
      </c>
      <c r="K5149" t="s">
        <v>265</v>
      </c>
      <c r="L5149" t="s">
        <v>277</v>
      </c>
      <c r="M5149" t="s">
        <v>286</v>
      </c>
      <c r="N5149" t="s">
        <v>296</v>
      </c>
      <c r="O5149" t="s">
        <v>304</v>
      </c>
      <c r="P5149" t="s">
        <v>311</v>
      </c>
      <c r="Q5149" t="s">
        <v>318</v>
      </c>
      <c r="R5149" t="s">
        <v>185</v>
      </c>
      <c r="S5149" t="s">
        <v>159</v>
      </c>
      <c r="T5149" t="s">
        <v>185</v>
      </c>
      <c r="U5149" t="s">
        <v>339</v>
      </c>
      <c r="V5149" t="s">
        <v>72</v>
      </c>
      <c r="W5149" t="s">
        <v>347</v>
      </c>
      <c r="X5149" t="s">
        <v>72</v>
      </c>
      <c r="Y5149" t="s">
        <v>96</v>
      </c>
      <c r="AK5149" t="s">
        <v>362</v>
      </c>
    </row>
    <row r="5150" spans="1:37">
      <c r="B5150" t="s">
        <v>58</v>
      </c>
      <c r="C5150" t="s">
        <v>80</v>
      </c>
      <c r="D5150" t="s">
        <v>99</v>
      </c>
      <c r="E5150" t="s">
        <v>118</v>
      </c>
      <c r="F5150" t="s">
        <v>152</v>
      </c>
      <c r="G5150" t="s">
        <v>178</v>
      </c>
      <c r="H5150" t="s">
        <v>213</v>
      </c>
      <c r="I5150" t="s">
        <v>233</v>
      </c>
      <c r="J5150" t="s">
        <v>252</v>
      </c>
      <c r="K5150" t="s">
        <v>266</v>
      </c>
      <c r="L5150" t="s">
        <v>278</v>
      </c>
      <c r="M5150" t="s">
        <v>287</v>
      </c>
      <c r="N5150" t="s">
        <v>297</v>
      </c>
      <c r="O5150" t="s">
        <v>305</v>
      </c>
      <c r="P5150" t="s">
        <v>312</v>
      </c>
      <c r="Q5150" t="s">
        <v>319</v>
      </c>
      <c r="R5150">
        <f>&gt;10       ветра      2.4     14   1</f>
        <v>0</v>
      </c>
      <c r="AK5150" t="s">
        <v>362</v>
      </c>
    </row>
    <row r="5151" spans="1:37">
      <c r="A5151" t="s">
        <v>40</v>
      </c>
      <c r="B5151" t="s">
        <v>59</v>
      </c>
      <c r="C5151" t="s">
        <v>81</v>
      </c>
      <c r="D5151" t="s">
        <v>100</v>
      </c>
      <c r="E5151" t="s">
        <v>119</v>
      </c>
      <c r="F5151" t="s">
        <v>153</v>
      </c>
      <c r="G5151" t="s">
        <v>179</v>
      </c>
      <c r="H5151" t="s">
        <v>214</v>
      </c>
      <c r="I5151" t="s">
        <v>234</v>
      </c>
      <c r="AK5151" t="s">
        <v>362</v>
      </c>
    </row>
    <row r="5152" spans="1:37">
      <c r="A5152" t="s">
        <v>40</v>
      </c>
      <c r="B5152" t="s">
        <v>60</v>
      </c>
      <c r="C5152" t="s">
        <v>82</v>
      </c>
      <c r="D5152" t="s">
        <v>101</v>
      </c>
      <c r="E5152" t="s">
        <v>120</v>
      </c>
      <c r="F5152" t="s">
        <v>154</v>
      </c>
      <c r="G5152" t="s">
        <v>180</v>
      </c>
      <c r="H5152" t="s">
        <v>215</v>
      </c>
      <c r="I5152" t="s">
        <v>235</v>
      </c>
      <c r="J5152" t="s">
        <v>253</v>
      </c>
      <c r="K5152" t="s">
        <v>267</v>
      </c>
      <c r="L5152" t="s">
        <v>279</v>
      </c>
      <c r="M5152" t="s">
        <v>288</v>
      </c>
      <c r="N5152" t="s">
        <v>100</v>
      </c>
      <c r="O5152" t="s">
        <v>306</v>
      </c>
      <c r="P5152" t="s">
        <v>313</v>
      </c>
      <c r="Q5152" t="s">
        <v>320</v>
      </c>
      <c r="R5152" t="s">
        <v>325</v>
      </c>
      <c r="S5152" t="s">
        <v>332</v>
      </c>
      <c r="T5152" t="s">
        <v>119</v>
      </c>
      <c r="U5152" t="s">
        <v>234</v>
      </c>
      <c r="V5152" t="s">
        <v>343</v>
      </c>
      <c r="W5152" t="s">
        <v>348</v>
      </c>
      <c r="X5152" t="s">
        <v>352</v>
      </c>
      <c r="Y5152" t="s">
        <v>354</v>
      </c>
      <c r="AK5152" t="s">
        <v>362</v>
      </c>
    </row>
    <row r="5153" spans="1:37">
      <c r="A5153" t="s">
        <v>41</v>
      </c>
      <c r="B5153" t="s">
        <v>61</v>
      </c>
      <c r="C5153" t="s">
        <v>83</v>
      </c>
      <c r="D5153" t="s">
        <v>102</v>
      </c>
      <c r="E5153" t="s">
        <v>121</v>
      </c>
      <c r="F5153" t="s">
        <v>155</v>
      </c>
      <c r="G5153" t="s">
        <v>181</v>
      </c>
      <c r="H5153" t="s">
        <v>216</v>
      </c>
      <c r="I5153" t="s">
        <v>236</v>
      </c>
      <c r="AK5153" t="s">
        <v>362</v>
      </c>
    </row>
    <row r="5154" spans="1:37">
      <c r="A5154" t="s">
        <v>42</v>
      </c>
      <c r="B5154" t="s">
        <v>62</v>
      </c>
      <c r="C5154" t="s">
        <v>84</v>
      </c>
      <c r="D5154" t="s">
        <v>103</v>
      </c>
      <c r="E5154" t="s">
        <v>122</v>
      </c>
      <c r="F5154" t="s">
        <v>156</v>
      </c>
      <c r="G5154" t="s">
        <v>182</v>
      </c>
      <c r="H5154" t="s">
        <v>83</v>
      </c>
      <c r="I5154" t="s">
        <v>237</v>
      </c>
      <c r="J5154" t="s">
        <v>254</v>
      </c>
      <c r="K5154" t="s">
        <v>268</v>
      </c>
      <c r="L5154" t="s">
        <v>280</v>
      </c>
      <c r="M5154" t="s">
        <v>289</v>
      </c>
      <c r="N5154" t="s">
        <v>298</v>
      </c>
      <c r="O5154" t="s">
        <v>307</v>
      </c>
      <c r="P5154" t="s">
        <v>314</v>
      </c>
      <c r="Q5154" t="s">
        <v>216</v>
      </c>
      <c r="R5154" t="s">
        <v>326</v>
      </c>
      <c r="S5154" t="s">
        <v>333</v>
      </c>
      <c r="T5154" t="s">
        <v>335</v>
      </c>
      <c r="U5154" t="s">
        <v>340</v>
      </c>
      <c r="V5154" t="s">
        <v>344</v>
      </c>
      <c r="W5154" t="s">
        <v>349</v>
      </c>
      <c r="AK5154" t="s">
        <v>362</v>
      </c>
    </row>
    <row r="5155" spans="1:37">
      <c r="A5155" t="s">
        <v>43</v>
      </c>
      <c r="B5155" t="s">
        <v>63</v>
      </c>
      <c r="C5155" t="s">
        <v>85</v>
      </c>
      <c r="D5155" t="s">
        <v>104</v>
      </c>
      <c r="E5155" t="s">
        <v>123</v>
      </c>
      <c r="F5155" t="s">
        <v>157</v>
      </c>
      <c r="G5155" t="s">
        <v>183</v>
      </c>
      <c r="AK5155" t="s">
        <v>362</v>
      </c>
    </row>
    <row r="5156" spans="1:37">
      <c r="A5156" t="s">
        <v>44</v>
      </c>
      <c r="B5156" t="s">
        <v>64</v>
      </c>
      <c r="C5156" t="s">
        <v>86</v>
      </c>
      <c r="D5156" t="s">
        <v>105</v>
      </c>
      <c r="E5156" t="s">
        <v>124</v>
      </c>
      <c r="F5156" t="s">
        <v>158</v>
      </c>
      <c r="G5156" t="s">
        <v>184</v>
      </c>
      <c r="AK5156" t="s">
        <v>362</v>
      </c>
    </row>
    <row r="5157" spans="1:37">
      <c r="A5157" t="s">
        <v>45</v>
      </c>
      <c r="B5157" t="s">
        <v>65</v>
      </c>
      <c r="C5157" t="s">
        <v>87</v>
      </c>
      <c r="D5157" t="s">
        <v>106</v>
      </c>
      <c r="E5157" t="s">
        <v>125</v>
      </c>
      <c r="F5157" t="s">
        <v>159</v>
      </c>
      <c r="G5157" t="s">
        <v>185</v>
      </c>
      <c r="H5157" t="s">
        <v>159</v>
      </c>
      <c r="I5157" t="s">
        <v>185</v>
      </c>
      <c r="J5157" t="s">
        <v>255</v>
      </c>
      <c r="AK5157" t="s">
        <v>362</v>
      </c>
    </row>
    <row r="5158" spans="1:37">
      <c r="A5158" t="s">
        <v>46</v>
      </c>
      <c r="B5158" t="s">
        <v>66</v>
      </c>
      <c r="C5158" t="s">
        <v>88</v>
      </c>
      <c r="D5158" t="s">
        <v>76</v>
      </c>
      <c r="E5158" t="s">
        <v>126</v>
      </c>
      <c r="F5158" t="s">
        <v>160</v>
      </c>
      <c r="G5158" t="s">
        <v>186</v>
      </c>
      <c r="H5158" t="s">
        <v>217</v>
      </c>
      <c r="I5158" t="s">
        <v>238</v>
      </c>
      <c r="J5158" t="s">
        <v>256</v>
      </c>
      <c r="K5158" t="s">
        <v>265</v>
      </c>
      <c r="L5158" t="s">
        <v>281</v>
      </c>
      <c r="M5158" t="s">
        <v>290</v>
      </c>
      <c r="N5158" t="s">
        <v>299</v>
      </c>
      <c r="O5158" t="s">
        <v>308</v>
      </c>
      <c r="P5158" t="s">
        <v>228</v>
      </c>
      <c r="Q5158" t="s">
        <v>72</v>
      </c>
      <c r="R5158" t="s">
        <v>327</v>
      </c>
      <c r="S5158" t="s">
        <v>327</v>
      </c>
      <c r="T5158" t="s">
        <v>336</v>
      </c>
      <c r="U5158" t="s">
        <v>336</v>
      </c>
      <c r="V5158" t="s">
        <v>336</v>
      </c>
      <c r="W5158" t="s">
        <v>336</v>
      </c>
      <c r="X5158" t="s">
        <v>353</v>
      </c>
      <c r="AK5158" t="s">
        <v>362</v>
      </c>
    </row>
    <row r="5159" spans="1:37">
      <c r="B5159" t="s">
        <v>67</v>
      </c>
      <c r="C5159" t="s">
        <v>89</v>
      </c>
      <c r="D5159" t="s">
        <v>107</v>
      </c>
      <c r="AK5159" t="s">
        <v>362</v>
      </c>
    </row>
    <row r="5160" spans="1:37">
      <c r="B5160" t="s">
        <v>68</v>
      </c>
      <c r="C5160" t="s">
        <v>90</v>
      </c>
      <c r="D5160" t="s">
        <v>108</v>
      </c>
      <c r="AK5160" t="s">
        <v>362</v>
      </c>
    </row>
    <row r="5161" spans="1:37">
      <c r="A5161" t="s">
        <v>47</v>
      </c>
      <c r="B5161" t="s">
        <v>69</v>
      </c>
      <c r="C5161" t="s">
        <v>91</v>
      </c>
      <c r="D5161" t="s">
        <v>109</v>
      </c>
      <c r="E5161" t="s">
        <v>109</v>
      </c>
      <c r="F5161" t="s">
        <v>109</v>
      </c>
      <c r="G5161" t="s">
        <v>109</v>
      </c>
      <c r="H5161" t="s">
        <v>109</v>
      </c>
      <c r="I5161" t="s">
        <v>239</v>
      </c>
      <c r="AK5161" t="s">
        <v>362</v>
      </c>
    </row>
    <row r="5162" spans="1:37">
      <c r="B5162" t="s">
        <v>70</v>
      </c>
      <c r="C5162" t="s">
        <v>92</v>
      </c>
      <c r="D5162" t="s">
        <v>110</v>
      </c>
      <c r="E5162" t="s">
        <v>127</v>
      </c>
      <c r="F5162" t="s">
        <v>161</v>
      </c>
      <c r="G5162" t="s">
        <v>187</v>
      </c>
      <c r="H5162" t="s">
        <v>218</v>
      </c>
      <c r="AK5162" t="s">
        <v>362</v>
      </c>
    </row>
    <row r="5163" spans="1:37">
      <c r="B5163" t="s">
        <v>71</v>
      </c>
      <c r="C5163" t="s">
        <v>93</v>
      </c>
      <c r="D5163" t="s">
        <v>111</v>
      </c>
      <c r="E5163" t="s">
        <v>128</v>
      </c>
      <c r="F5163" t="s">
        <v>162</v>
      </c>
      <c r="G5163" t="s">
        <v>188</v>
      </c>
      <c r="H5163" t="s">
        <v>219</v>
      </c>
      <c r="I5163" t="s">
        <v>240</v>
      </c>
      <c r="J5163" t="s">
        <v>257</v>
      </c>
      <c r="K5163" t="s">
        <v>269</v>
      </c>
      <c r="L5163" t="s">
        <v>109</v>
      </c>
      <c r="M5163" t="s">
        <v>109</v>
      </c>
      <c r="N5163" t="s">
        <v>109</v>
      </c>
      <c r="O5163" t="s">
        <v>109</v>
      </c>
      <c r="P5163" t="s">
        <v>109</v>
      </c>
      <c r="Q5163" t="s">
        <v>321</v>
      </c>
      <c r="AK5163" t="s">
        <v>362</v>
      </c>
    </row>
    <row r="5164" spans="1:37">
      <c r="A5164" t="s">
        <v>48</v>
      </c>
      <c r="B5164" t="s">
        <v>71</v>
      </c>
      <c r="C5164" t="s">
        <v>93</v>
      </c>
      <c r="D5164" t="s">
        <v>111</v>
      </c>
      <c r="E5164" t="s">
        <v>128</v>
      </c>
      <c r="F5164" t="s">
        <v>163</v>
      </c>
      <c r="G5164" t="s">
        <v>189</v>
      </c>
      <c r="H5164" t="s">
        <v>220</v>
      </c>
      <c r="I5164" t="s">
        <v>241</v>
      </c>
      <c r="J5164" t="s">
        <v>258</v>
      </c>
      <c r="K5164" t="s">
        <v>270</v>
      </c>
      <c r="AK5164" t="s">
        <v>362</v>
      </c>
    </row>
    <row r="5165" spans="1:37">
      <c r="B5165" t="s">
        <v>72</v>
      </c>
      <c r="C5165" t="s">
        <v>72</v>
      </c>
      <c r="D5165" t="s">
        <v>72</v>
      </c>
      <c r="E5165" t="s">
        <v>139</v>
      </c>
      <c r="F5165" t="s">
        <v>139</v>
      </c>
      <c r="G5165" t="s">
        <v>192</v>
      </c>
      <c r="H5165" t="s">
        <v>72</v>
      </c>
      <c r="I5165" t="s">
        <v>192</v>
      </c>
      <c r="J5165" t="s">
        <v>72</v>
      </c>
      <c r="K5165" t="s">
        <v>271</v>
      </c>
      <c r="AK5165" t="s">
        <v>362</v>
      </c>
    </row>
    <row r="5166" spans="1:37">
      <c r="A5166" t="s">
        <v>37</v>
      </c>
      <c r="B5166" t="s">
        <v>49</v>
      </c>
      <c r="C5166" t="s">
        <v>73</v>
      </c>
      <c r="D5166" t="s">
        <v>94</v>
      </c>
      <c r="E5166" t="s">
        <v>112</v>
      </c>
      <c r="F5166" t="s">
        <v>146</v>
      </c>
      <c r="G5166" t="s">
        <v>172</v>
      </c>
      <c r="H5166" t="s">
        <v>207</v>
      </c>
      <c r="I5166" t="s">
        <v>226</v>
      </c>
      <c r="J5166" t="s">
        <v>246</v>
      </c>
      <c r="K5166" t="s">
        <v>259</v>
      </c>
      <c r="AK5166" t="s">
        <v>362</v>
      </c>
    </row>
    <row r="5167" spans="1:37">
      <c r="A5167" t="s">
        <v>38</v>
      </c>
      <c r="B5167" t="s">
        <v>50</v>
      </c>
      <c r="C5167" t="s">
        <v>74</v>
      </c>
      <c r="D5167" t="s">
        <v>95</v>
      </c>
      <c r="E5167" t="s">
        <v>113</v>
      </c>
      <c r="F5167" t="s">
        <v>147</v>
      </c>
      <c r="G5167" t="s">
        <v>173</v>
      </c>
      <c r="H5167" t="s">
        <v>208</v>
      </c>
      <c r="I5167" t="s">
        <v>227</v>
      </c>
      <c r="J5167" t="s">
        <v>115</v>
      </c>
      <c r="K5167" t="s">
        <v>260</v>
      </c>
      <c r="L5167" t="s">
        <v>273</v>
      </c>
      <c r="M5167" t="s">
        <v>282</v>
      </c>
      <c r="N5167" t="s">
        <v>291</v>
      </c>
      <c r="AK5167" t="s">
        <v>362</v>
      </c>
    </row>
    <row r="5168" spans="1:37">
      <c r="B5168" t="s">
        <v>51</v>
      </c>
      <c r="C5168" t="s">
        <v>75</v>
      </c>
      <c r="D5168" t="s">
        <v>52</v>
      </c>
      <c r="E5168" t="s">
        <v>114</v>
      </c>
      <c r="F5168" t="s">
        <v>148</v>
      </c>
      <c r="G5168" t="s">
        <v>148</v>
      </c>
      <c r="H5168" t="s">
        <v>209</v>
      </c>
      <c r="I5168" t="s">
        <v>228</v>
      </c>
      <c r="J5168" t="s">
        <v>247</v>
      </c>
      <c r="K5168" t="s">
        <v>261</v>
      </c>
      <c r="L5168" t="s">
        <v>274</v>
      </c>
      <c r="M5168" t="s">
        <v>283</v>
      </c>
      <c r="N5168" t="s">
        <v>292</v>
      </c>
      <c r="O5168" t="s">
        <v>300</v>
      </c>
      <c r="AK5168" t="s">
        <v>362</v>
      </c>
    </row>
    <row r="5169" spans="1:37">
      <c r="B5169" t="s">
        <v>52</v>
      </c>
      <c r="C5169" t="s">
        <v>76</v>
      </c>
      <c r="D5169" t="s">
        <v>96</v>
      </c>
      <c r="E5169" t="s">
        <v>115</v>
      </c>
      <c r="F5169" t="s">
        <v>149</v>
      </c>
      <c r="G5169" t="s">
        <v>174</v>
      </c>
      <c r="H5169" t="s">
        <v>96</v>
      </c>
      <c r="I5169" t="s">
        <v>229</v>
      </c>
      <c r="J5169" t="s">
        <v>248</v>
      </c>
      <c r="K5169" t="s">
        <v>262</v>
      </c>
      <c r="L5169" t="s">
        <v>52</v>
      </c>
      <c r="M5169" t="s">
        <v>76</v>
      </c>
      <c r="N5169" t="s">
        <v>293</v>
      </c>
      <c r="O5169" t="s">
        <v>301</v>
      </c>
      <c r="P5169" t="s">
        <v>309</v>
      </c>
      <c r="Q5169" t="s">
        <v>315</v>
      </c>
      <c r="R5169" t="s">
        <v>228</v>
      </c>
      <c r="S5169" t="s">
        <v>328</v>
      </c>
      <c r="T5169" t="s">
        <v>149</v>
      </c>
      <c r="U5169" t="s">
        <v>337</v>
      </c>
      <c r="V5169" t="s">
        <v>341</v>
      </c>
      <c r="W5169" t="s">
        <v>345</v>
      </c>
      <c r="X5169" t="s">
        <v>350</v>
      </c>
      <c r="AK5169" t="s">
        <v>362</v>
      </c>
    </row>
    <row r="5170" spans="1:37">
      <c r="B5170" t="s">
        <v>53</v>
      </c>
      <c r="C5170" t="s">
        <v>77</v>
      </c>
      <c r="D5170" t="s">
        <v>97</v>
      </c>
      <c r="E5170" t="s">
        <v>116</v>
      </c>
      <c r="F5170" t="s">
        <v>150</v>
      </c>
      <c r="G5170" t="s">
        <v>175</v>
      </c>
      <c r="H5170" t="s">
        <v>210</v>
      </c>
      <c r="I5170" t="s">
        <v>230</v>
      </c>
      <c r="J5170" t="s">
        <v>249</v>
      </c>
      <c r="K5170" t="s">
        <v>263</v>
      </c>
      <c r="L5170" t="s">
        <v>275</v>
      </c>
      <c r="M5170" t="s">
        <v>284</v>
      </c>
      <c r="N5170" t="s">
        <v>294</v>
      </c>
      <c r="O5170" t="s">
        <v>302</v>
      </c>
      <c r="P5170" t="s">
        <v>310</v>
      </c>
      <c r="Q5170" t="s">
        <v>316</v>
      </c>
      <c r="R5170" t="s">
        <v>322</v>
      </c>
      <c r="S5170" t="s">
        <v>329</v>
      </c>
      <c r="AK5170" t="s">
        <v>362</v>
      </c>
    </row>
    <row r="5171" spans="1:37">
      <c r="A5171" t="s">
        <v>39</v>
      </c>
      <c r="B5171" t="s">
        <v>54</v>
      </c>
      <c r="C5171" t="s">
        <v>54</v>
      </c>
      <c r="D5171" t="s">
        <v>54</v>
      </c>
      <c r="E5171" t="s">
        <v>54</v>
      </c>
      <c r="F5171" t="s">
        <v>54</v>
      </c>
      <c r="G5171" t="s">
        <v>54</v>
      </c>
      <c r="H5171" t="s">
        <v>54</v>
      </c>
      <c r="I5171" t="s">
        <v>54</v>
      </c>
      <c r="J5171" t="s">
        <v>54</v>
      </c>
      <c r="K5171" t="s">
        <v>54</v>
      </c>
      <c r="L5171" t="s">
        <v>54</v>
      </c>
      <c r="M5171" t="s">
        <v>54</v>
      </c>
      <c r="N5171" t="s">
        <v>54</v>
      </c>
      <c r="O5171" t="s">
        <v>54</v>
      </c>
      <c r="P5171" t="s">
        <v>54</v>
      </c>
      <c r="Q5171" t="s">
        <v>54</v>
      </c>
      <c r="R5171" t="s">
        <v>323</v>
      </c>
      <c r="S5171" t="s">
        <v>330</v>
      </c>
      <c r="AK5171" t="s">
        <v>362</v>
      </c>
    </row>
    <row r="5172" spans="1:37">
      <c r="B5172" t="s">
        <v>55</v>
      </c>
      <c r="C5172" t="s">
        <v>78</v>
      </c>
      <c r="D5172" t="s">
        <v>55</v>
      </c>
      <c r="E5172" t="s">
        <v>78</v>
      </c>
      <c r="F5172" t="s">
        <v>55</v>
      </c>
      <c r="G5172" t="s">
        <v>78</v>
      </c>
      <c r="H5172" t="s">
        <v>55</v>
      </c>
      <c r="I5172" t="s">
        <v>78</v>
      </c>
      <c r="J5172" t="s">
        <v>55</v>
      </c>
      <c r="K5172" t="s">
        <v>78</v>
      </c>
      <c r="L5172" t="s">
        <v>55</v>
      </c>
      <c r="M5172" t="s">
        <v>78</v>
      </c>
      <c r="N5172" t="s">
        <v>55</v>
      </c>
      <c r="O5172" t="s">
        <v>78</v>
      </c>
      <c r="P5172" t="s">
        <v>55</v>
      </c>
      <c r="Q5172" t="s">
        <v>78</v>
      </c>
      <c r="R5172" t="s">
        <v>55</v>
      </c>
      <c r="S5172" t="s">
        <v>78</v>
      </c>
      <c r="T5172" t="s">
        <v>55</v>
      </c>
      <c r="U5172" t="s">
        <v>78</v>
      </c>
      <c r="V5172" t="s">
        <v>55</v>
      </c>
      <c r="W5172" t="s">
        <v>78</v>
      </c>
      <c r="X5172" t="s">
        <v>55</v>
      </c>
      <c r="Y5172" t="s">
        <v>78</v>
      </c>
      <c r="Z5172" t="s">
        <v>55</v>
      </c>
      <c r="AA5172" t="s">
        <v>78</v>
      </c>
      <c r="AB5172" t="s">
        <v>55</v>
      </c>
      <c r="AC5172" t="s">
        <v>78</v>
      </c>
      <c r="AD5172" t="s">
        <v>55</v>
      </c>
      <c r="AE5172" t="s">
        <v>78</v>
      </c>
      <c r="AF5172" t="s">
        <v>55</v>
      </c>
      <c r="AG5172" t="s">
        <v>78</v>
      </c>
      <c r="AH5172" t="s">
        <v>55</v>
      </c>
      <c r="AI5172" t="s">
        <v>78</v>
      </c>
      <c r="AK5172" t="s">
        <v>362</v>
      </c>
    </row>
    <row r="5173" spans="1:37">
      <c r="B5173" t="s">
        <v>56</v>
      </c>
      <c r="C5173" t="s">
        <v>56</v>
      </c>
      <c r="D5173" t="s">
        <v>56</v>
      </c>
      <c r="E5173" t="s">
        <v>56</v>
      </c>
      <c r="F5173" t="s">
        <v>56</v>
      </c>
      <c r="G5173" t="s">
        <v>176</v>
      </c>
      <c r="H5173" t="s">
        <v>211</v>
      </c>
      <c r="I5173" t="s">
        <v>231</v>
      </c>
      <c r="J5173" t="s">
        <v>250</v>
      </c>
      <c r="K5173" t="s">
        <v>264</v>
      </c>
      <c r="L5173" t="s">
        <v>276</v>
      </c>
      <c r="M5173" t="s">
        <v>285</v>
      </c>
      <c r="N5173" t="s">
        <v>295</v>
      </c>
      <c r="O5173" t="s">
        <v>303</v>
      </c>
      <c r="P5173" t="s">
        <v>56</v>
      </c>
      <c r="Q5173" t="s">
        <v>317</v>
      </c>
      <c r="R5173" t="s">
        <v>324</v>
      </c>
      <c r="S5173" t="s">
        <v>331</v>
      </c>
      <c r="T5173" t="s">
        <v>334</v>
      </c>
      <c r="U5173" t="s">
        <v>338</v>
      </c>
      <c r="V5173" t="s">
        <v>342</v>
      </c>
      <c r="W5173" t="s">
        <v>346</v>
      </c>
      <c r="X5173" t="s">
        <v>351</v>
      </c>
      <c r="AK5173" t="s">
        <v>362</v>
      </c>
    </row>
    <row r="5174" spans="1:37">
      <c r="B5174" t="s">
        <v>57</v>
      </c>
      <c r="C5174" t="s">
        <v>79</v>
      </c>
      <c r="D5174" t="s">
        <v>98</v>
      </c>
      <c r="E5174" t="s">
        <v>117</v>
      </c>
      <c r="F5174" t="s">
        <v>151</v>
      </c>
      <c r="G5174" t="s">
        <v>177</v>
      </c>
      <c r="H5174" t="s">
        <v>212</v>
      </c>
      <c r="I5174" t="s">
        <v>232</v>
      </c>
      <c r="J5174" t="s">
        <v>251</v>
      </c>
      <c r="K5174" t="s">
        <v>265</v>
      </c>
      <c r="L5174" t="s">
        <v>277</v>
      </c>
      <c r="M5174" t="s">
        <v>286</v>
      </c>
      <c r="N5174" t="s">
        <v>296</v>
      </c>
      <c r="O5174" t="s">
        <v>304</v>
      </c>
      <c r="P5174" t="s">
        <v>311</v>
      </c>
      <c r="Q5174" t="s">
        <v>318</v>
      </c>
      <c r="R5174" t="s">
        <v>185</v>
      </c>
      <c r="S5174" t="s">
        <v>159</v>
      </c>
      <c r="T5174" t="s">
        <v>185</v>
      </c>
      <c r="U5174" t="s">
        <v>339</v>
      </c>
      <c r="V5174" t="s">
        <v>72</v>
      </c>
      <c r="W5174" t="s">
        <v>347</v>
      </c>
      <c r="X5174" t="s">
        <v>72</v>
      </c>
      <c r="Y5174" t="s">
        <v>96</v>
      </c>
      <c r="AK5174" t="s">
        <v>362</v>
      </c>
    </row>
    <row r="5175" spans="1:37">
      <c r="B5175" t="s">
        <v>58</v>
      </c>
      <c r="C5175" t="s">
        <v>80</v>
      </c>
      <c r="D5175" t="s">
        <v>99</v>
      </c>
      <c r="E5175" t="s">
        <v>118</v>
      </c>
      <c r="F5175" t="s">
        <v>152</v>
      </c>
      <c r="G5175" t="s">
        <v>178</v>
      </c>
      <c r="H5175" t="s">
        <v>213</v>
      </c>
      <c r="I5175" t="s">
        <v>233</v>
      </c>
      <c r="J5175" t="s">
        <v>252</v>
      </c>
      <c r="K5175" t="s">
        <v>266</v>
      </c>
      <c r="L5175" t="s">
        <v>278</v>
      </c>
      <c r="M5175" t="s">
        <v>287</v>
      </c>
      <c r="N5175" t="s">
        <v>297</v>
      </c>
      <c r="O5175" t="s">
        <v>305</v>
      </c>
      <c r="P5175" t="s">
        <v>312</v>
      </c>
      <c r="Q5175" t="s">
        <v>319</v>
      </c>
      <c r="R5175">
        <f>&gt;10       ветра      3.0     16   1  9</f>
        <v>0</v>
      </c>
      <c r="AK5175" t="s">
        <v>362</v>
      </c>
    </row>
    <row r="5176" spans="1:37">
      <c r="A5176" t="s">
        <v>40</v>
      </c>
      <c r="B5176" t="s">
        <v>59</v>
      </c>
      <c r="C5176" t="s">
        <v>81</v>
      </c>
      <c r="D5176" t="s">
        <v>100</v>
      </c>
      <c r="E5176" t="s">
        <v>119</v>
      </c>
      <c r="F5176" t="s">
        <v>153</v>
      </c>
      <c r="G5176" t="s">
        <v>179</v>
      </c>
      <c r="H5176" t="s">
        <v>214</v>
      </c>
      <c r="I5176" t="s">
        <v>234</v>
      </c>
      <c r="AK5176" t="s">
        <v>362</v>
      </c>
    </row>
    <row r="5177" spans="1:37">
      <c r="A5177" t="s">
        <v>40</v>
      </c>
      <c r="B5177" t="s">
        <v>60</v>
      </c>
      <c r="C5177" t="s">
        <v>82</v>
      </c>
      <c r="D5177" t="s">
        <v>101</v>
      </c>
      <c r="E5177" t="s">
        <v>120</v>
      </c>
      <c r="F5177" t="s">
        <v>154</v>
      </c>
      <c r="G5177" t="s">
        <v>180</v>
      </c>
      <c r="H5177" t="s">
        <v>215</v>
      </c>
      <c r="I5177" t="s">
        <v>235</v>
      </c>
      <c r="J5177" t="s">
        <v>253</v>
      </c>
      <c r="K5177" t="s">
        <v>267</v>
      </c>
      <c r="L5177" t="s">
        <v>279</v>
      </c>
      <c r="M5177" t="s">
        <v>288</v>
      </c>
      <c r="N5177" t="s">
        <v>100</v>
      </c>
      <c r="O5177" t="s">
        <v>306</v>
      </c>
      <c r="P5177" t="s">
        <v>313</v>
      </c>
      <c r="Q5177" t="s">
        <v>320</v>
      </c>
      <c r="R5177" t="s">
        <v>325</v>
      </c>
      <c r="S5177" t="s">
        <v>332</v>
      </c>
      <c r="T5177" t="s">
        <v>119</v>
      </c>
      <c r="U5177" t="s">
        <v>234</v>
      </c>
      <c r="V5177" t="s">
        <v>343</v>
      </c>
      <c r="W5177" t="s">
        <v>348</v>
      </c>
      <c r="X5177" t="s">
        <v>352</v>
      </c>
      <c r="Y5177" t="s">
        <v>354</v>
      </c>
      <c r="AK5177" t="s">
        <v>362</v>
      </c>
    </row>
    <row r="5178" spans="1:37">
      <c r="A5178" t="s">
        <v>41</v>
      </c>
      <c r="B5178" t="s">
        <v>61</v>
      </c>
      <c r="C5178" t="s">
        <v>83</v>
      </c>
      <c r="D5178" t="s">
        <v>102</v>
      </c>
      <c r="E5178" t="s">
        <v>121</v>
      </c>
      <c r="F5178" t="s">
        <v>155</v>
      </c>
      <c r="G5178" t="s">
        <v>181</v>
      </c>
      <c r="H5178" t="s">
        <v>216</v>
      </c>
      <c r="I5178" t="s">
        <v>236</v>
      </c>
      <c r="AK5178" t="s">
        <v>362</v>
      </c>
    </row>
    <row r="5179" spans="1:37">
      <c r="A5179" t="s">
        <v>42</v>
      </c>
      <c r="B5179" t="s">
        <v>62</v>
      </c>
      <c r="C5179" t="s">
        <v>84</v>
      </c>
      <c r="D5179" t="s">
        <v>103</v>
      </c>
      <c r="E5179" t="s">
        <v>122</v>
      </c>
      <c r="F5179" t="s">
        <v>156</v>
      </c>
      <c r="G5179" t="s">
        <v>182</v>
      </c>
      <c r="H5179" t="s">
        <v>83</v>
      </c>
      <c r="I5179" t="s">
        <v>237</v>
      </c>
      <c r="J5179" t="s">
        <v>254</v>
      </c>
      <c r="K5179" t="s">
        <v>268</v>
      </c>
      <c r="L5179" t="s">
        <v>280</v>
      </c>
      <c r="M5179" t="s">
        <v>289</v>
      </c>
      <c r="N5179" t="s">
        <v>298</v>
      </c>
      <c r="O5179" t="s">
        <v>307</v>
      </c>
      <c r="P5179" t="s">
        <v>314</v>
      </c>
      <c r="Q5179" t="s">
        <v>216</v>
      </c>
      <c r="R5179" t="s">
        <v>326</v>
      </c>
      <c r="S5179" t="s">
        <v>333</v>
      </c>
      <c r="T5179" t="s">
        <v>335</v>
      </c>
      <c r="U5179" t="s">
        <v>340</v>
      </c>
      <c r="V5179" t="s">
        <v>344</v>
      </c>
      <c r="W5179" t="s">
        <v>349</v>
      </c>
      <c r="AK5179" t="s">
        <v>362</v>
      </c>
    </row>
    <row r="5180" spans="1:37">
      <c r="A5180" t="s">
        <v>43</v>
      </c>
      <c r="B5180" t="s">
        <v>63</v>
      </c>
      <c r="C5180" t="s">
        <v>85</v>
      </c>
      <c r="D5180" t="s">
        <v>104</v>
      </c>
      <c r="E5180" t="s">
        <v>123</v>
      </c>
      <c r="F5180" t="s">
        <v>157</v>
      </c>
      <c r="G5180" t="s">
        <v>183</v>
      </c>
      <c r="AK5180" t="s">
        <v>362</v>
      </c>
    </row>
    <row r="5181" spans="1:37">
      <c r="A5181" t="s">
        <v>44</v>
      </c>
      <c r="B5181" t="s">
        <v>64</v>
      </c>
      <c r="C5181" t="s">
        <v>86</v>
      </c>
      <c r="D5181" t="s">
        <v>105</v>
      </c>
      <c r="E5181" t="s">
        <v>124</v>
      </c>
      <c r="F5181" t="s">
        <v>158</v>
      </c>
      <c r="G5181" t="s">
        <v>184</v>
      </c>
      <c r="AK5181" t="s">
        <v>362</v>
      </c>
    </row>
    <row r="5182" spans="1:37">
      <c r="A5182" t="s">
        <v>45</v>
      </c>
      <c r="B5182" t="s">
        <v>65</v>
      </c>
      <c r="C5182" t="s">
        <v>87</v>
      </c>
      <c r="D5182" t="s">
        <v>106</v>
      </c>
      <c r="E5182" t="s">
        <v>125</v>
      </c>
      <c r="F5182" t="s">
        <v>159</v>
      </c>
      <c r="G5182" t="s">
        <v>185</v>
      </c>
      <c r="H5182" t="s">
        <v>159</v>
      </c>
      <c r="I5182" t="s">
        <v>185</v>
      </c>
      <c r="J5182" t="s">
        <v>255</v>
      </c>
      <c r="AK5182" t="s">
        <v>362</v>
      </c>
    </row>
    <row r="5183" spans="1:37">
      <c r="A5183" t="s">
        <v>46</v>
      </c>
      <c r="B5183" t="s">
        <v>66</v>
      </c>
      <c r="C5183" t="s">
        <v>88</v>
      </c>
      <c r="D5183" t="s">
        <v>76</v>
      </c>
      <c r="E5183" t="s">
        <v>126</v>
      </c>
      <c r="F5183" t="s">
        <v>160</v>
      </c>
      <c r="G5183" t="s">
        <v>186</v>
      </c>
      <c r="H5183" t="s">
        <v>217</v>
      </c>
      <c r="I5183" t="s">
        <v>238</v>
      </c>
      <c r="J5183" t="s">
        <v>256</v>
      </c>
      <c r="K5183" t="s">
        <v>265</v>
      </c>
      <c r="L5183" t="s">
        <v>281</v>
      </c>
      <c r="M5183" t="s">
        <v>290</v>
      </c>
      <c r="N5183" t="s">
        <v>299</v>
      </c>
      <c r="O5183" t="s">
        <v>308</v>
      </c>
      <c r="P5183" t="s">
        <v>228</v>
      </c>
      <c r="Q5183" t="s">
        <v>72</v>
      </c>
      <c r="R5183" t="s">
        <v>327</v>
      </c>
      <c r="S5183" t="s">
        <v>327</v>
      </c>
      <c r="T5183" t="s">
        <v>336</v>
      </c>
      <c r="U5183" t="s">
        <v>336</v>
      </c>
      <c r="V5183" t="s">
        <v>336</v>
      </c>
      <c r="W5183" t="s">
        <v>336</v>
      </c>
      <c r="X5183" t="s">
        <v>353</v>
      </c>
      <c r="AK5183" t="s">
        <v>362</v>
      </c>
    </row>
    <row r="5184" spans="1:37">
      <c r="B5184" t="s">
        <v>67</v>
      </c>
      <c r="C5184" t="s">
        <v>89</v>
      </c>
      <c r="D5184" t="s">
        <v>107</v>
      </c>
      <c r="AK5184" t="s">
        <v>362</v>
      </c>
    </row>
    <row r="5185" spans="1:37">
      <c r="B5185" t="s">
        <v>68</v>
      </c>
      <c r="C5185" t="s">
        <v>90</v>
      </c>
      <c r="D5185" t="s">
        <v>108</v>
      </c>
      <c r="AK5185" t="s">
        <v>362</v>
      </c>
    </row>
    <row r="5186" spans="1:37">
      <c r="A5186" t="s">
        <v>47</v>
      </c>
      <c r="B5186" t="s">
        <v>69</v>
      </c>
      <c r="C5186" t="s">
        <v>91</v>
      </c>
      <c r="D5186" t="s">
        <v>109</v>
      </c>
      <c r="E5186" t="s">
        <v>109</v>
      </c>
      <c r="F5186" t="s">
        <v>109</v>
      </c>
      <c r="G5186" t="s">
        <v>109</v>
      </c>
      <c r="H5186" t="s">
        <v>109</v>
      </c>
      <c r="I5186" t="s">
        <v>239</v>
      </c>
      <c r="AK5186" t="s">
        <v>362</v>
      </c>
    </row>
    <row r="5187" spans="1:37">
      <c r="B5187" t="s">
        <v>70</v>
      </c>
      <c r="C5187" t="s">
        <v>92</v>
      </c>
      <c r="D5187" t="s">
        <v>110</v>
      </c>
      <c r="E5187" t="s">
        <v>127</v>
      </c>
      <c r="F5187" t="s">
        <v>161</v>
      </c>
      <c r="G5187" t="s">
        <v>187</v>
      </c>
      <c r="H5187" t="s">
        <v>218</v>
      </c>
      <c r="AK5187" t="s">
        <v>362</v>
      </c>
    </row>
    <row r="5188" spans="1:37">
      <c r="B5188" t="s">
        <v>71</v>
      </c>
      <c r="C5188" t="s">
        <v>93</v>
      </c>
      <c r="D5188" t="s">
        <v>111</v>
      </c>
      <c r="E5188" t="s">
        <v>128</v>
      </c>
      <c r="F5188" t="s">
        <v>162</v>
      </c>
      <c r="G5188" t="s">
        <v>188</v>
      </c>
      <c r="H5188" t="s">
        <v>219</v>
      </c>
      <c r="I5188" t="s">
        <v>240</v>
      </c>
      <c r="J5188" t="s">
        <v>257</v>
      </c>
      <c r="K5188" t="s">
        <v>269</v>
      </c>
      <c r="L5188" t="s">
        <v>109</v>
      </c>
      <c r="M5188" t="s">
        <v>109</v>
      </c>
      <c r="N5188" t="s">
        <v>109</v>
      </c>
      <c r="O5188" t="s">
        <v>109</v>
      </c>
      <c r="P5188" t="s">
        <v>109</v>
      </c>
      <c r="Q5188" t="s">
        <v>321</v>
      </c>
      <c r="AK5188" t="s">
        <v>362</v>
      </c>
    </row>
    <row r="5189" spans="1:37">
      <c r="A5189" t="s">
        <v>48</v>
      </c>
      <c r="B5189" t="s">
        <v>71</v>
      </c>
      <c r="C5189" t="s">
        <v>93</v>
      </c>
      <c r="D5189" t="s">
        <v>111</v>
      </c>
      <c r="E5189" t="s">
        <v>128</v>
      </c>
      <c r="F5189" t="s">
        <v>163</v>
      </c>
      <c r="G5189" t="s">
        <v>189</v>
      </c>
      <c r="H5189" t="s">
        <v>220</v>
      </c>
      <c r="I5189" t="s">
        <v>241</v>
      </c>
      <c r="J5189" t="s">
        <v>258</v>
      </c>
      <c r="K5189" t="s">
        <v>270</v>
      </c>
      <c r="AK5189" t="s">
        <v>362</v>
      </c>
    </row>
    <row r="5190" spans="1:37">
      <c r="B5190" t="s">
        <v>72</v>
      </c>
      <c r="C5190" t="s">
        <v>72</v>
      </c>
      <c r="D5190" t="s">
        <v>72</v>
      </c>
      <c r="E5190" t="s">
        <v>139</v>
      </c>
      <c r="F5190" t="s">
        <v>139</v>
      </c>
      <c r="G5190" t="s">
        <v>192</v>
      </c>
      <c r="H5190" t="s">
        <v>192</v>
      </c>
      <c r="I5190" t="s">
        <v>192</v>
      </c>
      <c r="J5190" t="s">
        <v>192</v>
      </c>
      <c r="K5190" t="s">
        <v>271</v>
      </c>
      <c r="AK5190" t="s">
        <v>362</v>
      </c>
    </row>
    <row r="5191" spans="1:37">
      <c r="A5191" t="s">
        <v>37</v>
      </c>
      <c r="B5191" t="s">
        <v>49</v>
      </c>
      <c r="C5191" t="s">
        <v>73</v>
      </c>
      <c r="D5191" t="s">
        <v>94</v>
      </c>
      <c r="E5191" t="s">
        <v>112</v>
      </c>
      <c r="F5191" t="s">
        <v>146</v>
      </c>
      <c r="G5191" t="s">
        <v>172</v>
      </c>
      <c r="H5191" t="s">
        <v>207</v>
      </c>
      <c r="I5191" t="s">
        <v>226</v>
      </c>
      <c r="J5191" t="s">
        <v>246</v>
      </c>
      <c r="K5191" t="s">
        <v>259</v>
      </c>
      <c r="AK5191" t="s">
        <v>362</v>
      </c>
    </row>
    <row r="5192" spans="1:37">
      <c r="A5192" t="s">
        <v>38</v>
      </c>
      <c r="B5192" t="s">
        <v>50</v>
      </c>
      <c r="C5192" t="s">
        <v>74</v>
      </c>
      <c r="D5192" t="s">
        <v>95</v>
      </c>
      <c r="E5192" t="s">
        <v>113</v>
      </c>
      <c r="F5192" t="s">
        <v>147</v>
      </c>
      <c r="G5192" t="s">
        <v>173</v>
      </c>
      <c r="H5192" t="s">
        <v>208</v>
      </c>
      <c r="I5192" t="s">
        <v>227</v>
      </c>
      <c r="J5192" t="s">
        <v>115</v>
      </c>
      <c r="K5192" t="s">
        <v>260</v>
      </c>
      <c r="L5192" t="s">
        <v>273</v>
      </c>
      <c r="M5192" t="s">
        <v>282</v>
      </c>
      <c r="N5192" t="s">
        <v>291</v>
      </c>
      <c r="AK5192" t="s">
        <v>362</v>
      </c>
    </row>
    <row r="5193" spans="1:37">
      <c r="B5193" t="s">
        <v>51</v>
      </c>
      <c r="C5193" t="s">
        <v>75</v>
      </c>
      <c r="D5193" t="s">
        <v>52</v>
      </c>
      <c r="E5193" t="s">
        <v>114</v>
      </c>
      <c r="F5193" t="s">
        <v>148</v>
      </c>
      <c r="G5193" t="s">
        <v>148</v>
      </c>
      <c r="H5193" t="s">
        <v>209</v>
      </c>
      <c r="I5193" t="s">
        <v>228</v>
      </c>
      <c r="J5193" t="s">
        <v>247</v>
      </c>
      <c r="K5193" t="s">
        <v>261</v>
      </c>
      <c r="L5193" t="s">
        <v>274</v>
      </c>
      <c r="M5193" t="s">
        <v>283</v>
      </c>
      <c r="N5193" t="s">
        <v>292</v>
      </c>
      <c r="O5193" t="s">
        <v>300</v>
      </c>
      <c r="AK5193" t="s">
        <v>362</v>
      </c>
    </row>
    <row r="5194" spans="1:37">
      <c r="B5194" t="s">
        <v>52</v>
      </c>
      <c r="C5194" t="s">
        <v>76</v>
      </c>
      <c r="D5194" t="s">
        <v>96</v>
      </c>
      <c r="E5194" t="s">
        <v>115</v>
      </c>
      <c r="F5194" t="s">
        <v>149</v>
      </c>
      <c r="G5194" t="s">
        <v>174</v>
      </c>
      <c r="H5194" t="s">
        <v>96</v>
      </c>
      <c r="I5194" t="s">
        <v>229</v>
      </c>
      <c r="J5194" t="s">
        <v>248</v>
      </c>
      <c r="K5194" t="s">
        <v>262</v>
      </c>
      <c r="L5194" t="s">
        <v>52</v>
      </c>
      <c r="M5194" t="s">
        <v>76</v>
      </c>
      <c r="N5194" t="s">
        <v>293</v>
      </c>
      <c r="O5194" t="s">
        <v>301</v>
      </c>
      <c r="P5194" t="s">
        <v>309</v>
      </c>
      <c r="Q5194" t="s">
        <v>315</v>
      </c>
      <c r="R5194" t="s">
        <v>228</v>
      </c>
      <c r="S5194" t="s">
        <v>328</v>
      </c>
      <c r="T5194" t="s">
        <v>149</v>
      </c>
      <c r="U5194" t="s">
        <v>337</v>
      </c>
      <c r="V5194" t="s">
        <v>341</v>
      </c>
      <c r="W5194" t="s">
        <v>345</v>
      </c>
      <c r="X5194" t="s">
        <v>350</v>
      </c>
      <c r="AK5194" t="s">
        <v>362</v>
      </c>
    </row>
    <row r="5195" spans="1:37">
      <c r="B5195" t="s">
        <v>53</v>
      </c>
      <c r="C5195" t="s">
        <v>77</v>
      </c>
      <c r="D5195" t="s">
        <v>97</v>
      </c>
      <c r="E5195" t="s">
        <v>116</v>
      </c>
      <c r="F5195" t="s">
        <v>150</v>
      </c>
      <c r="G5195" t="s">
        <v>175</v>
      </c>
      <c r="H5195" t="s">
        <v>210</v>
      </c>
      <c r="I5195" t="s">
        <v>230</v>
      </c>
      <c r="J5195" t="s">
        <v>249</v>
      </c>
      <c r="K5195" t="s">
        <v>263</v>
      </c>
      <c r="L5195" t="s">
        <v>275</v>
      </c>
      <c r="M5195" t="s">
        <v>284</v>
      </c>
      <c r="N5195" t="s">
        <v>294</v>
      </c>
      <c r="O5195" t="s">
        <v>302</v>
      </c>
      <c r="P5195" t="s">
        <v>310</v>
      </c>
      <c r="Q5195" t="s">
        <v>316</v>
      </c>
      <c r="R5195" t="s">
        <v>322</v>
      </c>
      <c r="S5195" t="s">
        <v>329</v>
      </c>
      <c r="AK5195" t="s">
        <v>362</v>
      </c>
    </row>
    <row r="5196" spans="1:37">
      <c r="A5196" t="s">
        <v>39</v>
      </c>
      <c r="B5196" t="s">
        <v>54</v>
      </c>
      <c r="C5196" t="s">
        <v>54</v>
      </c>
      <c r="D5196" t="s">
        <v>54</v>
      </c>
      <c r="E5196" t="s">
        <v>54</v>
      </c>
      <c r="F5196" t="s">
        <v>54</v>
      </c>
      <c r="G5196" t="s">
        <v>54</v>
      </c>
      <c r="H5196" t="s">
        <v>54</v>
      </c>
      <c r="I5196" t="s">
        <v>54</v>
      </c>
      <c r="J5196" t="s">
        <v>54</v>
      </c>
      <c r="K5196" t="s">
        <v>54</v>
      </c>
      <c r="L5196" t="s">
        <v>54</v>
      </c>
      <c r="M5196" t="s">
        <v>54</v>
      </c>
      <c r="N5196" t="s">
        <v>54</v>
      </c>
      <c r="O5196" t="s">
        <v>54</v>
      </c>
      <c r="P5196" t="s">
        <v>54</v>
      </c>
      <c r="Q5196" t="s">
        <v>54</v>
      </c>
      <c r="R5196" t="s">
        <v>323</v>
      </c>
      <c r="S5196" t="s">
        <v>330</v>
      </c>
      <c r="AK5196" t="s">
        <v>362</v>
      </c>
    </row>
    <row r="5197" spans="1:37">
      <c r="B5197" t="s">
        <v>55</v>
      </c>
      <c r="C5197" t="s">
        <v>78</v>
      </c>
      <c r="D5197" t="s">
        <v>55</v>
      </c>
      <c r="E5197" t="s">
        <v>78</v>
      </c>
      <c r="F5197" t="s">
        <v>55</v>
      </c>
      <c r="G5197" t="s">
        <v>78</v>
      </c>
      <c r="H5197" t="s">
        <v>55</v>
      </c>
      <c r="I5197" t="s">
        <v>78</v>
      </c>
      <c r="J5197" t="s">
        <v>55</v>
      </c>
      <c r="K5197" t="s">
        <v>78</v>
      </c>
      <c r="L5197" t="s">
        <v>55</v>
      </c>
      <c r="M5197" t="s">
        <v>78</v>
      </c>
      <c r="N5197" t="s">
        <v>55</v>
      </c>
      <c r="O5197" t="s">
        <v>78</v>
      </c>
      <c r="P5197" t="s">
        <v>55</v>
      </c>
      <c r="Q5197" t="s">
        <v>78</v>
      </c>
      <c r="R5197" t="s">
        <v>55</v>
      </c>
      <c r="S5197" t="s">
        <v>78</v>
      </c>
      <c r="T5197" t="s">
        <v>55</v>
      </c>
      <c r="U5197" t="s">
        <v>78</v>
      </c>
      <c r="V5197" t="s">
        <v>55</v>
      </c>
      <c r="W5197" t="s">
        <v>78</v>
      </c>
      <c r="X5197" t="s">
        <v>55</v>
      </c>
      <c r="Y5197" t="s">
        <v>78</v>
      </c>
      <c r="Z5197" t="s">
        <v>55</v>
      </c>
      <c r="AA5197" t="s">
        <v>78</v>
      </c>
      <c r="AB5197" t="s">
        <v>55</v>
      </c>
      <c r="AC5197" t="s">
        <v>78</v>
      </c>
      <c r="AD5197" t="s">
        <v>55</v>
      </c>
      <c r="AE5197" t="s">
        <v>78</v>
      </c>
      <c r="AF5197" t="s">
        <v>55</v>
      </c>
      <c r="AG5197" t="s">
        <v>78</v>
      </c>
      <c r="AH5197" t="s">
        <v>55</v>
      </c>
      <c r="AI5197" t="s">
        <v>78</v>
      </c>
      <c r="AK5197" t="s">
        <v>362</v>
      </c>
    </row>
    <row r="5198" spans="1:37">
      <c r="B5198" t="s">
        <v>56</v>
      </c>
      <c r="C5198" t="s">
        <v>56</v>
      </c>
      <c r="D5198" t="s">
        <v>56</v>
      </c>
      <c r="E5198" t="s">
        <v>56</v>
      </c>
      <c r="F5198" t="s">
        <v>56</v>
      </c>
      <c r="G5198" t="s">
        <v>176</v>
      </c>
      <c r="H5198" t="s">
        <v>211</v>
      </c>
      <c r="I5198" t="s">
        <v>231</v>
      </c>
      <c r="J5198" t="s">
        <v>250</v>
      </c>
      <c r="K5198" t="s">
        <v>264</v>
      </c>
      <c r="L5198" t="s">
        <v>276</v>
      </c>
      <c r="M5198" t="s">
        <v>285</v>
      </c>
      <c r="N5198" t="s">
        <v>295</v>
      </c>
      <c r="O5198" t="s">
        <v>303</v>
      </c>
      <c r="P5198" t="s">
        <v>56</v>
      </c>
      <c r="Q5198" t="s">
        <v>317</v>
      </c>
      <c r="R5198" t="s">
        <v>324</v>
      </c>
      <c r="S5198" t="s">
        <v>331</v>
      </c>
      <c r="T5198" t="s">
        <v>334</v>
      </c>
      <c r="U5198" t="s">
        <v>338</v>
      </c>
      <c r="V5198" t="s">
        <v>342</v>
      </c>
      <c r="W5198" t="s">
        <v>346</v>
      </c>
      <c r="X5198" t="s">
        <v>351</v>
      </c>
      <c r="AK5198" t="s">
        <v>362</v>
      </c>
    </row>
    <row r="5199" spans="1:37">
      <c r="B5199" t="s">
        <v>57</v>
      </c>
      <c r="C5199" t="s">
        <v>79</v>
      </c>
      <c r="D5199" t="s">
        <v>98</v>
      </c>
      <c r="E5199" t="s">
        <v>117</v>
      </c>
      <c r="F5199" t="s">
        <v>151</v>
      </c>
      <c r="G5199" t="s">
        <v>177</v>
      </c>
      <c r="H5199" t="s">
        <v>212</v>
      </c>
      <c r="I5199" t="s">
        <v>232</v>
      </c>
      <c r="J5199" t="s">
        <v>251</v>
      </c>
      <c r="K5199" t="s">
        <v>265</v>
      </c>
      <c r="L5199" t="s">
        <v>277</v>
      </c>
      <c r="M5199" t="s">
        <v>286</v>
      </c>
      <c r="N5199" t="s">
        <v>296</v>
      </c>
      <c r="O5199" t="s">
        <v>304</v>
      </c>
      <c r="P5199" t="s">
        <v>311</v>
      </c>
      <c r="Q5199" t="s">
        <v>318</v>
      </c>
      <c r="R5199" t="s">
        <v>185</v>
      </c>
      <c r="S5199" t="s">
        <v>159</v>
      </c>
      <c r="T5199" t="s">
        <v>185</v>
      </c>
      <c r="U5199" t="s">
        <v>339</v>
      </c>
      <c r="V5199" t="s">
        <v>72</v>
      </c>
      <c r="W5199" t="s">
        <v>347</v>
      </c>
      <c r="X5199" t="s">
        <v>72</v>
      </c>
      <c r="Y5199" t="s">
        <v>96</v>
      </c>
      <c r="AK5199" t="s">
        <v>362</v>
      </c>
    </row>
    <row r="5200" spans="1:37">
      <c r="B5200" t="s">
        <v>58</v>
      </c>
      <c r="C5200" t="s">
        <v>80</v>
      </c>
      <c r="D5200" t="s">
        <v>99</v>
      </c>
      <c r="E5200" t="s">
        <v>118</v>
      </c>
      <c r="F5200" t="s">
        <v>152</v>
      </c>
      <c r="G5200" t="s">
        <v>178</v>
      </c>
      <c r="H5200" t="s">
        <v>213</v>
      </c>
      <c r="I5200" t="s">
        <v>233</v>
      </c>
      <c r="J5200" t="s">
        <v>252</v>
      </c>
      <c r="K5200" t="s">
        <v>266</v>
      </c>
      <c r="L5200" t="s">
        <v>278</v>
      </c>
      <c r="M5200" t="s">
        <v>287</v>
      </c>
      <c r="N5200" t="s">
        <v>297</v>
      </c>
      <c r="O5200" t="s">
        <v>305</v>
      </c>
      <c r="P5200" t="s">
        <v>312</v>
      </c>
      <c r="Q5200" t="s">
        <v>319</v>
      </c>
      <c r="R5200">
        <f>&gt;10       ветра      1.6     11   4 11</f>
        <v>0</v>
      </c>
      <c r="AK5200" t="s">
        <v>362</v>
      </c>
    </row>
    <row r="5201" spans="1:37">
      <c r="A5201" t="s">
        <v>40</v>
      </c>
      <c r="B5201" t="s">
        <v>59</v>
      </c>
      <c r="C5201" t="s">
        <v>81</v>
      </c>
      <c r="D5201" t="s">
        <v>100</v>
      </c>
      <c r="E5201" t="s">
        <v>119</v>
      </c>
      <c r="F5201" t="s">
        <v>153</v>
      </c>
      <c r="G5201" t="s">
        <v>179</v>
      </c>
      <c r="H5201" t="s">
        <v>214</v>
      </c>
      <c r="I5201" t="s">
        <v>234</v>
      </c>
      <c r="AK5201" t="s">
        <v>362</v>
      </c>
    </row>
    <row r="5202" spans="1:37">
      <c r="A5202" t="s">
        <v>40</v>
      </c>
      <c r="B5202" t="s">
        <v>60</v>
      </c>
      <c r="C5202" t="s">
        <v>82</v>
      </c>
      <c r="D5202" t="s">
        <v>101</v>
      </c>
      <c r="E5202" t="s">
        <v>120</v>
      </c>
      <c r="F5202" t="s">
        <v>154</v>
      </c>
      <c r="G5202" t="s">
        <v>180</v>
      </c>
      <c r="H5202" t="s">
        <v>215</v>
      </c>
      <c r="I5202" t="s">
        <v>235</v>
      </c>
      <c r="J5202" t="s">
        <v>253</v>
      </c>
      <c r="K5202" t="s">
        <v>267</v>
      </c>
      <c r="L5202" t="s">
        <v>279</v>
      </c>
      <c r="M5202" t="s">
        <v>288</v>
      </c>
      <c r="N5202" t="s">
        <v>100</v>
      </c>
      <c r="O5202" t="s">
        <v>306</v>
      </c>
      <c r="P5202" t="s">
        <v>313</v>
      </c>
      <c r="Q5202" t="s">
        <v>320</v>
      </c>
      <c r="R5202" t="s">
        <v>325</v>
      </c>
      <c r="S5202" t="s">
        <v>332</v>
      </c>
      <c r="T5202" t="s">
        <v>119</v>
      </c>
      <c r="U5202" t="s">
        <v>234</v>
      </c>
      <c r="V5202" t="s">
        <v>343</v>
      </c>
      <c r="W5202" t="s">
        <v>348</v>
      </c>
      <c r="X5202" t="s">
        <v>352</v>
      </c>
      <c r="Y5202" t="s">
        <v>354</v>
      </c>
      <c r="AK5202" t="s">
        <v>362</v>
      </c>
    </row>
    <row r="5203" spans="1:37">
      <c r="A5203" t="s">
        <v>41</v>
      </c>
      <c r="B5203" t="s">
        <v>61</v>
      </c>
      <c r="C5203" t="s">
        <v>83</v>
      </c>
      <c r="D5203" t="s">
        <v>102</v>
      </c>
      <c r="E5203" t="s">
        <v>121</v>
      </c>
      <c r="F5203" t="s">
        <v>155</v>
      </c>
      <c r="G5203" t="s">
        <v>181</v>
      </c>
      <c r="H5203" t="s">
        <v>216</v>
      </c>
      <c r="I5203" t="s">
        <v>236</v>
      </c>
      <c r="AK5203" t="s">
        <v>362</v>
      </c>
    </row>
    <row r="5204" spans="1:37">
      <c r="A5204" t="s">
        <v>42</v>
      </c>
      <c r="B5204" t="s">
        <v>62</v>
      </c>
      <c r="C5204" t="s">
        <v>84</v>
      </c>
      <c r="D5204" t="s">
        <v>103</v>
      </c>
      <c r="E5204" t="s">
        <v>122</v>
      </c>
      <c r="F5204" t="s">
        <v>156</v>
      </c>
      <c r="G5204" t="s">
        <v>182</v>
      </c>
      <c r="H5204" t="s">
        <v>83</v>
      </c>
      <c r="I5204" t="s">
        <v>237</v>
      </c>
      <c r="J5204" t="s">
        <v>254</v>
      </c>
      <c r="K5204" t="s">
        <v>268</v>
      </c>
      <c r="L5204" t="s">
        <v>280</v>
      </c>
      <c r="M5204" t="s">
        <v>289</v>
      </c>
      <c r="N5204" t="s">
        <v>298</v>
      </c>
      <c r="O5204" t="s">
        <v>307</v>
      </c>
      <c r="P5204" t="s">
        <v>314</v>
      </c>
      <c r="Q5204" t="s">
        <v>216</v>
      </c>
      <c r="R5204" t="s">
        <v>326</v>
      </c>
      <c r="S5204" t="s">
        <v>333</v>
      </c>
      <c r="T5204" t="s">
        <v>335</v>
      </c>
      <c r="U5204" t="s">
        <v>340</v>
      </c>
      <c r="V5204" t="s">
        <v>344</v>
      </c>
      <c r="W5204" t="s">
        <v>349</v>
      </c>
      <c r="AK5204" t="s">
        <v>362</v>
      </c>
    </row>
    <row r="5205" spans="1:37">
      <c r="A5205" t="s">
        <v>43</v>
      </c>
      <c r="B5205" t="s">
        <v>63</v>
      </c>
      <c r="C5205" t="s">
        <v>85</v>
      </c>
      <c r="D5205" t="s">
        <v>104</v>
      </c>
      <c r="E5205" t="s">
        <v>123</v>
      </c>
      <c r="F5205" t="s">
        <v>157</v>
      </c>
      <c r="G5205" t="s">
        <v>183</v>
      </c>
      <c r="AK5205" t="s">
        <v>362</v>
      </c>
    </row>
    <row r="5206" spans="1:37">
      <c r="A5206" t="s">
        <v>44</v>
      </c>
      <c r="B5206" t="s">
        <v>64</v>
      </c>
      <c r="C5206" t="s">
        <v>86</v>
      </c>
      <c r="D5206" t="s">
        <v>105</v>
      </c>
      <c r="E5206" t="s">
        <v>124</v>
      </c>
      <c r="F5206" t="s">
        <v>158</v>
      </c>
      <c r="G5206" t="s">
        <v>184</v>
      </c>
      <c r="AK5206" t="s">
        <v>362</v>
      </c>
    </row>
    <row r="5207" spans="1:37">
      <c r="A5207" t="s">
        <v>45</v>
      </c>
      <c r="B5207" t="s">
        <v>65</v>
      </c>
      <c r="C5207" t="s">
        <v>87</v>
      </c>
      <c r="D5207" t="s">
        <v>106</v>
      </c>
      <c r="E5207" t="s">
        <v>125</v>
      </c>
      <c r="F5207" t="s">
        <v>159</v>
      </c>
      <c r="G5207" t="s">
        <v>185</v>
      </c>
      <c r="H5207" t="s">
        <v>159</v>
      </c>
      <c r="I5207" t="s">
        <v>185</v>
      </c>
      <c r="J5207" t="s">
        <v>255</v>
      </c>
      <c r="AK5207" t="s">
        <v>362</v>
      </c>
    </row>
    <row r="5208" spans="1:37">
      <c r="A5208" t="s">
        <v>46</v>
      </c>
      <c r="B5208" t="s">
        <v>66</v>
      </c>
      <c r="C5208" t="s">
        <v>88</v>
      </c>
      <c r="D5208" t="s">
        <v>76</v>
      </c>
      <c r="E5208" t="s">
        <v>126</v>
      </c>
      <c r="F5208" t="s">
        <v>160</v>
      </c>
      <c r="G5208" t="s">
        <v>186</v>
      </c>
      <c r="H5208" t="s">
        <v>217</v>
      </c>
      <c r="I5208" t="s">
        <v>238</v>
      </c>
      <c r="J5208" t="s">
        <v>256</v>
      </c>
      <c r="K5208" t="s">
        <v>265</v>
      </c>
      <c r="L5208" t="s">
        <v>281</v>
      </c>
      <c r="M5208" t="s">
        <v>290</v>
      </c>
      <c r="N5208" t="s">
        <v>299</v>
      </c>
      <c r="O5208" t="s">
        <v>308</v>
      </c>
      <c r="P5208" t="s">
        <v>228</v>
      </c>
      <c r="Q5208" t="s">
        <v>72</v>
      </c>
      <c r="R5208" t="s">
        <v>327</v>
      </c>
      <c r="S5208" t="s">
        <v>327</v>
      </c>
      <c r="T5208" t="s">
        <v>336</v>
      </c>
      <c r="U5208" t="s">
        <v>336</v>
      </c>
      <c r="V5208" t="s">
        <v>336</v>
      </c>
      <c r="W5208" t="s">
        <v>336</v>
      </c>
      <c r="X5208" t="s">
        <v>353</v>
      </c>
      <c r="AK5208" t="s">
        <v>362</v>
      </c>
    </row>
    <row r="5209" spans="1:37">
      <c r="B5209" t="s">
        <v>67</v>
      </c>
      <c r="C5209" t="s">
        <v>89</v>
      </c>
      <c r="D5209" t="s">
        <v>107</v>
      </c>
      <c r="AK5209" t="s">
        <v>362</v>
      </c>
    </row>
    <row r="5210" spans="1:37">
      <c r="B5210" t="s">
        <v>68</v>
      </c>
      <c r="C5210" t="s">
        <v>90</v>
      </c>
      <c r="D5210" t="s">
        <v>108</v>
      </c>
      <c r="AK5210" t="s">
        <v>362</v>
      </c>
    </row>
    <row r="5211" spans="1:37">
      <c r="A5211" t="s">
        <v>47</v>
      </c>
      <c r="B5211" t="s">
        <v>69</v>
      </c>
      <c r="C5211" t="s">
        <v>91</v>
      </c>
      <c r="D5211" t="s">
        <v>109</v>
      </c>
      <c r="E5211" t="s">
        <v>109</v>
      </c>
      <c r="F5211" t="s">
        <v>109</v>
      </c>
      <c r="G5211" t="s">
        <v>109</v>
      </c>
      <c r="H5211" t="s">
        <v>109</v>
      </c>
      <c r="I5211" t="s">
        <v>239</v>
      </c>
      <c r="AK5211" t="s">
        <v>362</v>
      </c>
    </row>
    <row r="5212" spans="1:37">
      <c r="B5212" t="s">
        <v>70</v>
      </c>
      <c r="C5212" t="s">
        <v>92</v>
      </c>
      <c r="D5212" t="s">
        <v>110</v>
      </c>
      <c r="E5212" t="s">
        <v>127</v>
      </c>
      <c r="F5212" t="s">
        <v>161</v>
      </c>
      <c r="G5212" t="s">
        <v>187</v>
      </c>
      <c r="H5212" t="s">
        <v>218</v>
      </c>
      <c r="AK5212" t="s">
        <v>362</v>
      </c>
    </row>
    <row r="5213" spans="1:37">
      <c r="B5213" t="s">
        <v>71</v>
      </c>
      <c r="C5213" t="s">
        <v>93</v>
      </c>
      <c r="D5213" t="s">
        <v>111</v>
      </c>
      <c r="E5213" t="s">
        <v>128</v>
      </c>
      <c r="F5213" t="s">
        <v>162</v>
      </c>
      <c r="G5213" t="s">
        <v>188</v>
      </c>
      <c r="H5213" t="s">
        <v>219</v>
      </c>
      <c r="I5213" t="s">
        <v>240</v>
      </c>
      <c r="J5213" t="s">
        <v>257</v>
      </c>
      <c r="K5213" t="s">
        <v>269</v>
      </c>
      <c r="L5213" t="s">
        <v>109</v>
      </c>
      <c r="M5213" t="s">
        <v>109</v>
      </c>
      <c r="N5213" t="s">
        <v>109</v>
      </c>
      <c r="O5213" t="s">
        <v>109</v>
      </c>
      <c r="P5213" t="s">
        <v>109</v>
      </c>
      <c r="Q5213" t="s">
        <v>321</v>
      </c>
      <c r="AK5213" t="s">
        <v>362</v>
      </c>
    </row>
    <row r="5214" spans="1:37">
      <c r="A5214" t="s">
        <v>48</v>
      </c>
      <c r="B5214" t="s">
        <v>71</v>
      </c>
      <c r="C5214" t="s">
        <v>93</v>
      </c>
      <c r="D5214" t="s">
        <v>111</v>
      </c>
      <c r="E5214" t="s">
        <v>128</v>
      </c>
      <c r="F5214" t="s">
        <v>163</v>
      </c>
      <c r="G5214" t="s">
        <v>189</v>
      </c>
      <c r="H5214" t="s">
        <v>220</v>
      </c>
      <c r="I5214" t="s">
        <v>241</v>
      </c>
      <c r="J5214" t="s">
        <v>258</v>
      </c>
      <c r="K5214" t="s">
        <v>270</v>
      </c>
      <c r="AK5214" t="s">
        <v>362</v>
      </c>
    </row>
    <row r="5215" spans="1:37">
      <c r="B5215" t="s">
        <v>72</v>
      </c>
      <c r="C5215" t="s">
        <v>72</v>
      </c>
      <c r="D5215" t="s">
        <v>72</v>
      </c>
      <c r="E5215" t="s">
        <v>72</v>
      </c>
      <c r="F5215" t="s">
        <v>72</v>
      </c>
      <c r="G5215" t="s">
        <v>72</v>
      </c>
      <c r="H5215" t="s">
        <v>72</v>
      </c>
      <c r="I5215" t="s">
        <v>72</v>
      </c>
      <c r="J5215" t="s">
        <v>72</v>
      </c>
      <c r="K5215" t="s">
        <v>272</v>
      </c>
      <c r="AK5215" t="s">
        <v>362</v>
      </c>
    </row>
    <row r="5216" spans="1:37">
      <c r="A5216" t="s">
        <v>37</v>
      </c>
      <c r="B5216" t="s">
        <v>49</v>
      </c>
      <c r="C5216" t="s">
        <v>73</v>
      </c>
      <c r="D5216" t="s">
        <v>94</v>
      </c>
      <c r="E5216" t="s">
        <v>112</v>
      </c>
      <c r="F5216" t="s">
        <v>146</v>
      </c>
      <c r="G5216" t="s">
        <v>172</v>
      </c>
      <c r="H5216" t="s">
        <v>207</v>
      </c>
      <c r="I5216" t="s">
        <v>226</v>
      </c>
      <c r="J5216" t="s">
        <v>246</v>
      </c>
      <c r="K5216" t="s">
        <v>259</v>
      </c>
      <c r="AK5216" t="s">
        <v>362</v>
      </c>
    </row>
    <row r="5217" spans="1:37">
      <c r="A5217" t="s">
        <v>38</v>
      </c>
      <c r="B5217" t="s">
        <v>50</v>
      </c>
      <c r="C5217" t="s">
        <v>74</v>
      </c>
      <c r="D5217" t="s">
        <v>95</v>
      </c>
      <c r="E5217" t="s">
        <v>113</v>
      </c>
      <c r="F5217" t="s">
        <v>147</v>
      </c>
      <c r="G5217" t="s">
        <v>173</v>
      </c>
      <c r="H5217" t="s">
        <v>208</v>
      </c>
      <c r="I5217" t="s">
        <v>227</v>
      </c>
      <c r="J5217" t="s">
        <v>115</v>
      </c>
      <c r="K5217" t="s">
        <v>260</v>
      </c>
      <c r="L5217" t="s">
        <v>273</v>
      </c>
      <c r="M5217" t="s">
        <v>282</v>
      </c>
      <c r="N5217" t="s">
        <v>291</v>
      </c>
      <c r="AK5217" t="s">
        <v>362</v>
      </c>
    </row>
    <row r="5218" spans="1:37">
      <c r="B5218" t="s">
        <v>51</v>
      </c>
      <c r="C5218" t="s">
        <v>75</v>
      </c>
      <c r="D5218" t="s">
        <v>52</v>
      </c>
      <c r="E5218" t="s">
        <v>114</v>
      </c>
      <c r="F5218" t="s">
        <v>148</v>
      </c>
      <c r="G5218" t="s">
        <v>148</v>
      </c>
      <c r="H5218" t="s">
        <v>209</v>
      </c>
      <c r="I5218" t="s">
        <v>228</v>
      </c>
      <c r="J5218" t="s">
        <v>247</v>
      </c>
      <c r="K5218" t="s">
        <v>261</v>
      </c>
      <c r="L5218" t="s">
        <v>274</v>
      </c>
      <c r="M5218" t="s">
        <v>283</v>
      </c>
      <c r="N5218" t="s">
        <v>292</v>
      </c>
      <c r="O5218" t="s">
        <v>300</v>
      </c>
      <c r="AK5218" t="s">
        <v>362</v>
      </c>
    </row>
    <row r="5219" spans="1:37">
      <c r="B5219" t="s">
        <v>52</v>
      </c>
      <c r="C5219" t="s">
        <v>76</v>
      </c>
      <c r="D5219" t="s">
        <v>96</v>
      </c>
      <c r="E5219" t="s">
        <v>115</v>
      </c>
      <c r="F5219" t="s">
        <v>149</v>
      </c>
      <c r="G5219" t="s">
        <v>174</v>
      </c>
      <c r="H5219" t="s">
        <v>96</v>
      </c>
      <c r="I5219" t="s">
        <v>229</v>
      </c>
      <c r="J5219" t="s">
        <v>248</v>
      </c>
      <c r="K5219" t="s">
        <v>262</v>
      </c>
      <c r="L5219" t="s">
        <v>52</v>
      </c>
      <c r="M5219" t="s">
        <v>76</v>
      </c>
      <c r="N5219" t="s">
        <v>293</v>
      </c>
      <c r="O5219" t="s">
        <v>301</v>
      </c>
      <c r="P5219" t="s">
        <v>309</v>
      </c>
      <c r="Q5219" t="s">
        <v>315</v>
      </c>
      <c r="R5219" t="s">
        <v>228</v>
      </c>
      <c r="S5219" t="s">
        <v>328</v>
      </c>
      <c r="T5219" t="s">
        <v>149</v>
      </c>
      <c r="U5219" t="s">
        <v>337</v>
      </c>
      <c r="V5219" t="s">
        <v>341</v>
      </c>
      <c r="W5219" t="s">
        <v>345</v>
      </c>
      <c r="X5219" t="s">
        <v>350</v>
      </c>
      <c r="AK5219" t="s">
        <v>362</v>
      </c>
    </row>
    <row r="5220" spans="1:37">
      <c r="B5220" t="s">
        <v>53</v>
      </c>
      <c r="C5220" t="s">
        <v>77</v>
      </c>
      <c r="D5220" t="s">
        <v>97</v>
      </c>
      <c r="E5220" t="s">
        <v>116</v>
      </c>
      <c r="F5220" t="s">
        <v>150</v>
      </c>
      <c r="G5220" t="s">
        <v>175</v>
      </c>
      <c r="H5220" t="s">
        <v>210</v>
      </c>
      <c r="I5220" t="s">
        <v>230</v>
      </c>
      <c r="J5220" t="s">
        <v>249</v>
      </c>
      <c r="K5220" t="s">
        <v>263</v>
      </c>
      <c r="L5220" t="s">
        <v>275</v>
      </c>
      <c r="M5220" t="s">
        <v>284</v>
      </c>
      <c r="N5220" t="s">
        <v>294</v>
      </c>
      <c r="O5220" t="s">
        <v>302</v>
      </c>
      <c r="P5220" t="s">
        <v>310</v>
      </c>
      <c r="Q5220" t="s">
        <v>316</v>
      </c>
      <c r="R5220" t="s">
        <v>322</v>
      </c>
      <c r="S5220" t="s">
        <v>329</v>
      </c>
      <c r="AK5220" t="s">
        <v>362</v>
      </c>
    </row>
    <row r="5221" spans="1:37">
      <c r="A5221" t="s">
        <v>39</v>
      </c>
      <c r="B5221" t="s">
        <v>54</v>
      </c>
      <c r="C5221" t="s">
        <v>54</v>
      </c>
      <c r="D5221" t="s">
        <v>54</v>
      </c>
      <c r="E5221" t="s">
        <v>54</v>
      </c>
      <c r="F5221" t="s">
        <v>54</v>
      </c>
      <c r="G5221" t="s">
        <v>54</v>
      </c>
      <c r="H5221" t="s">
        <v>54</v>
      </c>
      <c r="I5221" t="s">
        <v>54</v>
      </c>
      <c r="J5221" t="s">
        <v>54</v>
      </c>
      <c r="K5221" t="s">
        <v>54</v>
      </c>
      <c r="L5221" t="s">
        <v>54</v>
      </c>
      <c r="M5221" t="s">
        <v>54</v>
      </c>
      <c r="N5221" t="s">
        <v>54</v>
      </c>
      <c r="O5221" t="s">
        <v>54</v>
      </c>
      <c r="P5221" t="s">
        <v>54</v>
      </c>
      <c r="Q5221" t="s">
        <v>54</v>
      </c>
      <c r="R5221" t="s">
        <v>323</v>
      </c>
      <c r="S5221" t="s">
        <v>330</v>
      </c>
      <c r="AK5221" t="s">
        <v>362</v>
      </c>
    </row>
    <row r="5222" spans="1:37">
      <c r="B5222" t="s">
        <v>55</v>
      </c>
      <c r="C5222" t="s">
        <v>78</v>
      </c>
      <c r="D5222" t="s">
        <v>55</v>
      </c>
      <c r="E5222" t="s">
        <v>78</v>
      </c>
      <c r="F5222" t="s">
        <v>55</v>
      </c>
      <c r="G5222" t="s">
        <v>78</v>
      </c>
      <c r="H5222" t="s">
        <v>55</v>
      </c>
      <c r="I5222" t="s">
        <v>78</v>
      </c>
      <c r="J5222" t="s">
        <v>55</v>
      </c>
      <c r="K5222" t="s">
        <v>78</v>
      </c>
      <c r="L5222" t="s">
        <v>55</v>
      </c>
      <c r="M5222" t="s">
        <v>78</v>
      </c>
      <c r="N5222" t="s">
        <v>55</v>
      </c>
      <c r="O5222" t="s">
        <v>78</v>
      </c>
      <c r="P5222" t="s">
        <v>55</v>
      </c>
      <c r="Q5222" t="s">
        <v>78</v>
      </c>
      <c r="R5222" t="s">
        <v>55</v>
      </c>
      <c r="S5222" t="s">
        <v>78</v>
      </c>
      <c r="T5222" t="s">
        <v>55</v>
      </c>
      <c r="U5222" t="s">
        <v>78</v>
      </c>
      <c r="V5222" t="s">
        <v>55</v>
      </c>
      <c r="W5222" t="s">
        <v>78</v>
      </c>
      <c r="X5222" t="s">
        <v>55</v>
      </c>
      <c r="Y5222" t="s">
        <v>78</v>
      </c>
      <c r="Z5222" t="s">
        <v>55</v>
      </c>
      <c r="AA5222" t="s">
        <v>78</v>
      </c>
      <c r="AB5222" t="s">
        <v>55</v>
      </c>
      <c r="AC5222" t="s">
        <v>78</v>
      </c>
      <c r="AD5222" t="s">
        <v>55</v>
      </c>
      <c r="AE5222" t="s">
        <v>78</v>
      </c>
      <c r="AF5222" t="s">
        <v>55</v>
      </c>
      <c r="AG5222" t="s">
        <v>78</v>
      </c>
      <c r="AH5222" t="s">
        <v>55</v>
      </c>
      <c r="AI5222" t="s">
        <v>78</v>
      </c>
      <c r="AK5222" t="s">
        <v>362</v>
      </c>
    </row>
    <row r="5223" spans="1:37">
      <c r="B5223" t="s">
        <v>56</v>
      </c>
      <c r="C5223" t="s">
        <v>56</v>
      </c>
      <c r="D5223" t="s">
        <v>56</v>
      </c>
      <c r="E5223" t="s">
        <v>56</v>
      </c>
      <c r="F5223" t="s">
        <v>56</v>
      </c>
      <c r="G5223" t="s">
        <v>176</v>
      </c>
      <c r="H5223" t="s">
        <v>211</v>
      </c>
      <c r="I5223" t="s">
        <v>231</v>
      </c>
      <c r="J5223" t="s">
        <v>250</v>
      </c>
      <c r="K5223" t="s">
        <v>264</v>
      </c>
      <c r="L5223" t="s">
        <v>276</v>
      </c>
      <c r="M5223" t="s">
        <v>285</v>
      </c>
      <c r="N5223" t="s">
        <v>295</v>
      </c>
      <c r="O5223" t="s">
        <v>303</v>
      </c>
      <c r="P5223" t="s">
        <v>56</v>
      </c>
      <c r="Q5223" t="s">
        <v>317</v>
      </c>
      <c r="R5223" t="s">
        <v>324</v>
      </c>
      <c r="S5223" t="s">
        <v>331</v>
      </c>
      <c r="T5223" t="s">
        <v>334</v>
      </c>
      <c r="U5223" t="s">
        <v>338</v>
      </c>
      <c r="V5223" t="s">
        <v>342</v>
      </c>
      <c r="W5223" t="s">
        <v>346</v>
      </c>
      <c r="X5223" t="s">
        <v>351</v>
      </c>
      <c r="AK5223" t="s">
        <v>362</v>
      </c>
    </row>
    <row r="5224" spans="1:37">
      <c r="B5224" t="s">
        <v>57</v>
      </c>
      <c r="C5224" t="s">
        <v>79</v>
      </c>
      <c r="D5224" t="s">
        <v>98</v>
      </c>
      <c r="E5224" t="s">
        <v>117</v>
      </c>
      <c r="F5224" t="s">
        <v>151</v>
      </c>
      <c r="G5224" t="s">
        <v>177</v>
      </c>
      <c r="H5224" t="s">
        <v>212</v>
      </c>
      <c r="I5224" t="s">
        <v>232</v>
      </c>
      <c r="J5224" t="s">
        <v>251</v>
      </c>
      <c r="K5224" t="s">
        <v>265</v>
      </c>
      <c r="L5224" t="s">
        <v>277</v>
      </c>
      <c r="M5224" t="s">
        <v>286</v>
      </c>
      <c r="N5224" t="s">
        <v>296</v>
      </c>
      <c r="O5224" t="s">
        <v>304</v>
      </c>
      <c r="P5224" t="s">
        <v>311</v>
      </c>
      <c r="Q5224" t="s">
        <v>318</v>
      </c>
      <c r="R5224" t="s">
        <v>185</v>
      </c>
      <c r="S5224" t="s">
        <v>159</v>
      </c>
      <c r="T5224" t="s">
        <v>185</v>
      </c>
      <c r="U5224" t="s">
        <v>339</v>
      </c>
      <c r="V5224" t="s">
        <v>72</v>
      </c>
      <c r="W5224" t="s">
        <v>347</v>
      </c>
      <c r="X5224" t="s">
        <v>72</v>
      </c>
      <c r="Y5224" t="s">
        <v>96</v>
      </c>
      <c r="AK5224" t="s">
        <v>362</v>
      </c>
    </row>
    <row r="5225" spans="1:37">
      <c r="B5225" t="s">
        <v>58</v>
      </c>
      <c r="C5225" t="s">
        <v>80</v>
      </c>
      <c r="D5225" t="s">
        <v>99</v>
      </c>
      <c r="E5225" t="s">
        <v>118</v>
      </c>
      <c r="F5225" t="s">
        <v>152</v>
      </c>
      <c r="G5225" t="s">
        <v>178</v>
      </c>
      <c r="H5225" t="s">
        <v>213</v>
      </c>
      <c r="I5225" t="s">
        <v>233</v>
      </c>
      <c r="J5225" t="s">
        <v>252</v>
      </c>
      <c r="K5225" t="s">
        <v>266</v>
      </c>
      <c r="L5225" t="s">
        <v>278</v>
      </c>
      <c r="M5225" t="s">
        <v>287</v>
      </c>
      <c r="N5225" t="s">
        <v>297</v>
      </c>
      <c r="O5225" t="s">
        <v>305</v>
      </c>
      <c r="P5225" t="s">
        <v>312</v>
      </c>
      <c r="Q5225" t="s">
        <v>319</v>
      </c>
      <c r="R5225">
        <f>&gt;10       ветра      3.1     14   1  9</f>
        <v>0</v>
      </c>
      <c r="AK5225" t="s">
        <v>362</v>
      </c>
    </row>
    <row r="5226" spans="1:37">
      <c r="A5226" t="s">
        <v>40</v>
      </c>
      <c r="B5226" t="s">
        <v>59</v>
      </c>
      <c r="C5226" t="s">
        <v>81</v>
      </c>
      <c r="D5226" t="s">
        <v>100</v>
      </c>
      <c r="E5226" t="s">
        <v>119</v>
      </c>
      <c r="F5226" t="s">
        <v>153</v>
      </c>
      <c r="G5226" t="s">
        <v>179</v>
      </c>
      <c r="H5226" t="s">
        <v>214</v>
      </c>
      <c r="I5226" t="s">
        <v>234</v>
      </c>
      <c r="AK5226" t="s">
        <v>362</v>
      </c>
    </row>
    <row r="5227" spans="1:37">
      <c r="A5227" t="s">
        <v>40</v>
      </c>
      <c r="B5227" t="s">
        <v>60</v>
      </c>
      <c r="C5227" t="s">
        <v>82</v>
      </c>
      <c r="D5227" t="s">
        <v>101</v>
      </c>
      <c r="E5227" t="s">
        <v>120</v>
      </c>
      <c r="F5227" t="s">
        <v>154</v>
      </c>
      <c r="G5227" t="s">
        <v>180</v>
      </c>
      <c r="H5227" t="s">
        <v>215</v>
      </c>
      <c r="I5227" t="s">
        <v>235</v>
      </c>
      <c r="J5227" t="s">
        <v>253</v>
      </c>
      <c r="K5227" t="s">
        <v>267</v>
      </c>
      <c r="L5227" t="s">
        <v>279</v>
      </c>
      <c r="M5227" t="s">
        <v>288</v>
      </c>
      <c r="N5227" t="s">
        <v>100</v>
      </c>
      <c r="O5227" t="s">
        <v>306</v>
      </c>
      <c r="P5227" t="s">
        <v>313</v>
      </c>
      <c r="Q5227" t="s">
        <v>320</v>
      </c>
      <c r="R5227" t="s">
        <v>325</v>
      </c>
      <c r="S5227" t="s">
        <v>332</v>
      </c>
      <c r="T5227" t="s">
        <v>119</v>
      </c>
      <c r="U5227" t="s">
        <v>234</v>
      </c>
      <c r="V5227" t="s">
        <v>343</v>
      </c>
      <c r="W5227" t="s">
        <v>348</v>
      </c>
      <c r="X5227" t="s">
        <v>352</v>
      </c>
      <c r="Y5227" t="s">
        <v>354</v>
      </c>
      <c r="AK5227" t="s">
        <v>362</v>
      </c>
    </row>
    <row r="5228" spans="1:37">
      <c r="A5228" t="s">
        <v>41</v>
      </c>
      <c r="B5228" t="s">
        <v>61</v>
      </c>
      <c r="C5228" t="s">
        <v>83</v>
      </c>
      <c r="D5228" t="s">
        <v>102</v>
      </c>
      <c r="E5228" t="s">
        <v>121</v>
      </c>
      <c r="F5228" t="s">
        <v>155</v>
      </c>
      <c r="G5228" t="s">
        <v>181</v>
      </c>
      <c r="H5228" t="s">
        <v>216</v>
      </c>
      <c r="I5228" t="s">
        <v>236</v>
      </c>
      <c r="AK5228" t="s">
        <v>362</v>
      </c>
    </row>
    <row r="5229" spans="1:37">
      <c r="A5229" t="s">
        <v>42</v>
      </c>
      <c r="B5229" t="s">
        <v>62</v>
      </c>
      <c r="C5229" t="s">
        <v>84</v>
      </c>
      <c r="D5229" t="s">
        <v>103</v>
      </c>
      <c r="E5229" t="s">
        <v>122</v>
      </c>
      <c r="F5229" t="s">
        <v>156</v>
      </c>
      <c r="G5229" t="s">
        <v>182</v>
      </c>
      <c r="H5229" t="s">
        <v>83</v>
      </c>
      <c r="I5229" t="s">
        <v>237</v>
      </c>
      <c r="J5229" t="s">
        <v>254</v>
      </c>
      <c r="K5229" t="s">
        <v>268</v>
      </c>
      <c r="L5229" t="s">
        <v>280</v>
      </c>
      <c r="M5229" t="s">
        <v>289</v>
      </c>
      <c r="N5229" t="s">
        <v>298</v>
      </c>
      <c r="O5229" t="s">
        <v>307</v>
      </c>
      <c r="P5229" t="s">
        <v>314</v>
      </c>
      <c r="Q5229" t="s">
        <v>216</v>
      </c>
      <c r="R5229" t="s">
        <v>326</v>
      </c>
      <c r="S5229" t="s">
        <v>333</v>
      </c>
      <c r="T5229" t="s">
        <v>335</v>
      </c>
      <c r="U5229" t="s">
        <v>340</v>
      </c>
      <c r="V5229" t="s">
        <v>344</v>
      </c>
      <c r="W5229" t="s">
        <v>349</v>
      </c>
      <c r="AK5229" t="s">
        <v>362</v>
      </c>
    </row>
    <row r="5230" spans="1:37">
      <c r="A5230" t="s">
        <v>43</v>
      </c>
      <c r="B5230" t="s">
        <v>63</v>
      </c>
      <c r="C5230" t="s">
        <v>85</v>
      </c>
      <c r="D5230" t="s">
        <v>104</v>
      </c>
      <c r="E5230" t="s">
        <v>123</v>
      </c>
      <c r="F5230" t="s">
        <v>157</v>
      </c>
      <c r="G5230" t="s">
        <v>183</v>
      </c>
      <c r="AK5230" t="s">
        <v>362</v>
      </c>
    </row>
    <row r="5231" spans="1:37">
      <c r="A5231" t="s">
        <v>44</v>
      </c>
      <c r="B5231" t="s">
        <v>64</v>
      </c>
      <c r="C5231" t="s">
        <v>86</v>
      </c>
      <c r="D5231" t="s">
        <v>105</v>
      </c>
      <c r="E5231" t="s">
        <v>124</v>
      </c>
      <c r="F5231" t="s">
        <v>158</v>
      </c>
      <c r="G5231" t="s">
        <v>184</v>
      </c>
      <c r="AK5231" t="s">
        <v>362</v>
      </c>
    </row>
    <row r="5232" spans="1:37">
      <c r="A5232" t="s">
        <v>45</v>
      </c>
      <c r="B5232" t="s">
        <v>65</v>
      </c>
      <c r="C5232" t="s">
        <v>87</v>
      </c>
      <c r="D5232" t="s">
        <v>106</v>
      </c>
      <c r="E5232" t="s">
        <v>125</v>
      </c>
      <c r="F5232" t="s">
        <v>159</v>
      </c>
      <c r="G5232" t="s">
        <v>185</v>
      </c>
      <c r="H5232" t="s">
        <v>159</v>
      </c>
      <c r="I5232" t="s">
        <v>185</v>
      </c>
      <c r="J5232" t="s">
        <v>255</v>
      </c>
      <c r="AK5232" t="s">
        <v>362</v>
      </c>
    </row>
    <row r="5233" spans="1:37">
      <c r="A5233" t="s">
        <v>46</v>
      </c>
      <c r="B5233" t="s">
        <v>66</v>
      </c>
      <c r="C5233" t="s">
        <v>88</v>
      </c>
      <c r="D5233" t="s">
        <v>76</v>
      </c>
      <c r="E5233" t="s">
        <v>126</v>
      </c>
      <c r="F5233" t="s">
        <v>160</v>
      </c>
      <c r="G5233" t="s">
        <v>186</v>
      </c>
      <c r="H5233" t="s">
        <v>217</v>
      </c>
      <c r="I5233" t="s">
        <v>238</v>
      </c>
      <c r="J5233" t="s">
        <v>256</v>
      </c>
      <c r="K5233" t="s">
        <v>265</v>
      </c>
      <c r="L5233" t="s">
        <v>281</v>
      </c>
      <c r="M5233" t="s">
        <v>290</v>
      </c>
      <c r="N5233" t="s">
        <v>299</v>
      </c>
      <c r="O5233" t="s">
        <v>308</v>
      </c>
      <c r="P5233" t="s">
        <v>228</v>
      </c>
      <c r="Q5233" t="s">
        <v>72</v>
      </c>
      <c r="R5233" t="s">
        <v>327</v>
      </c>
      <c r="S5233" t="s">
        <v>327</v>
      </c>
      <c r="T5233" t="s">
        <v>336</v>
      </c>
      <c r="U5233" t="s">
        <v>336</v>
      </c>
      <c r="V5233" t="s">
        <v>336</v>
      </c>
      <c r="W5233" t="s">
        <v>336</v>
      </c>
      <c r="X5233" t="s">
        <v>353</v>
      </c>
      <c r="AK5233" t="s">
        <v>362</v>
      </c>
    </row>
    <row r="5234" spans="1:37">
      <c r="B5234" t="s">
        <v>67</v>
      </c>
      <c r="C5234" t="s">
        <v>89</v>
      </c>
      <c r="D5234" t="s">
        <v>107</v>
      </c>
      <c r="AK5234" t="s">
        <v>362</v>
      </c>
    </row>
    <row r="5235" spans="1:37">
      <c r="B5235" t="s">
        <v>68</v>
      </c>
      <c r="C5235" t="s">
        <v>90</v>
      </c>
      <c r="D5235" t="s">
        <v>108</v>
      </c>
      <c r="AK5235" t="s">
        <v>362</v>
      </c>
    </row>
    <row r="5236" spans="1:37">
      <c r="A5236" t="s">
        <v>47</v>
      </c>
      <c r="B5236" t="s">
        <v>69</v>
      </c>
      <c r="C5236" t="s">
        <v>91</v>
      </c>
      <c r="D5236" t="s">
        <v>109</v>
      </c>
      <c r="E5236" t="s">
        <v>109</v>
      </c>
      <c r="F5236" t="s">
        <v>109</v>
      </c>
      <c r="G5236" t="s">
        <v>109</v>
      </c>
      <c r="H5236" t="s">
        <v>109</v>
      </c>
      <c r="I5236" t="s">
        <v>239</v>
      </c>
      <c r="AK5236" t="s">
        <v>362</v>
      </c>
    </row>
    <row r="5237" spans="1:37">
      <c r="B5237" t="s">
        <v>70</v>
      </c>
      <c r="C5237" t="s">
        <v>92</v>
      </c>
      <c r="D5237" t="s">
        <v>110</v>
      </c>
      <c r="E5237" t="s">
        <v>127</v>
      </c>
      <c r="F5237" t="s">
        <v>161</v>
      </c>
      <c r="G5237" t="s">
        <v>187</v>
      </c>
      <c r="H5237" t="s">
        <v>218</v>
      </c>
      <c r="AK5237" t="s">
        <v>362</v>
      </c>
    </row>
    <row r="5238" spans="1:37">
      <c r="B5238" t="s">
        <v>71</v>
      </c>
      <c r="C5238" t="s">
        <v>93</v>
      </c>
      <c r="D5238" t="s">
        <v>111</v>
      </c>
      <c r="E5238" t="s">
        <v>128</v>
      </c>
      <c r="F5238" t="s">
        <v>162</v>
      </c>
      <c r="G5238" t="s">
        <v>188</v>
      </c>
      <c r="H5238" t="s">
        <v>219</v>
      </c>
      <c r="I5238" t="s">
        <v>240</v>
      </c>
      <c r="J5238" t="s">
        <v>257</v>
      </c>
      <c r="K5238" t="s">
        <v>269</v>
      </c>
      <c r="L5238" t="s">
        <v>109</v>
      </c>
      <c r="M5238" t="s">
        <v>109</v>
      </c>
      <c r="N5238" t="s">
        <v>109</v>
      </c>
      <c r="O5238" t="s">
        <v>109</v>
      </c>
      <c r="P5238" t="s">
        <v>109</v>
      </c>
      <c r="Q5238" t="s">
        <v>321</v>
      </c>
      <c r="AK5238" t="s">
        <v>362</v>
      </c>
    </row>
    <row r="5239" spans="1:37">
      <c r="A5239" t="s">
        <v>48</v>
      </c>
      <c r="B5239" t="s">
        <v>71</v>
      </c>
      <c r="C5239" t="s">
        <v>93</v>
      </c>
      <c r="D5239" t="s">
        <v>111</v>
      </c>
      <c r="E5239" t="s">
        <v>128</v>
      </c>
      <c r="F5239" t="s">
        <v>163</v>
      </c>
      <c r="G5239" t="s">
        <v>189</v>
      </c>
      <c r="H5239" t="s">
        <v>220</v>
      </c>
      <c r="I5239" t="s">
        <v>241</v>
      </c>
      <c r="J5239" t="s">
        <v>258</v>
      </c>
      <c r="K5239" t="s">
        <v>270</v>
      </c>
      <c r="AK5239" t="s">
        <v>362</v>
      </c>
    </row>
    <row r="5240" spans="1:37">
      <c r="B5240" t="s">
        <v>72</v>
      </c>
      <c r="C5240" t="s">
        <v>72</v>
      </c>
      <c r="D5240" t="s">
        <v>72</v>
      </c>
      <c r="E5240" t="s">
        <v>72</v>
      </c>
      <c r="F5240" t="s">
        <v>72</v>
      </c>
      <c r="G5240" t="s">
        <v>72</v>
      </c>
      <c r="H5240" t="s">
        <v>72</v>
      </c>
      <c r="I5240" t="s">
        <v>72</v>
      </c>
      <c r="J5240" t="s">
        <v>72</v>
      </c>
      <c r="K5240" t="s">
        <v>272</v>
      </c>
      <c r="AK5240" t="s">
        <v>362</v>
      </c>
    </row>
    <row r="5241" spans="1:37">
      <c r="A5241" t="s">
        <v>37</v>
      </c>
      <c r="B5241" t="s">
        <v>49</v>
      </c>
      <c r="C5241" t="s">
        <v>73</v>
      </c>
      <c r="D5241" t="s">
        <v>94</v>
      </c>
      <c r="E5241" t="s">
        <v>112</v>
      </c>
      <c r="F5241" t="s">
        <v>146</v>
      </c>
      <c r="G5241" t="s">
        <v>172</v>
      </c>
      <c r="H5241" t="s">
        <v>207</v>
      </c>
      <c r="I5241" t="s">
        <v>226</v>
      </c>
      <c r="J5241" t="s">
        <v>246</v>
      </c>
      <c r="K5241" t="s">
        <v>259</v>
      </c>
      <c r="AK5241" t="s">
        <v>362</v>
      </c>
    </row>
    <row r="5242" spans="1:37">
      <c r="A5242" t="s">
        <v>38</v>
      </c>
      <c r="B5242" t="s">
        <v>50</v>
      </c>
      <c r="C5242" t="s">
        <v>74</v>
      </c>
      <c r="D5242" t="s">
        <v>95</v>
      </c>
      <c r="E5242" t="s">
        <v>113</v>
      </c>
      <c r="F5242" t="s">
        <v>147</v>
      </c>
      <c r="G5242" t="s">
        <v>173</v>
      </c>
      <c r="H5242" t="s">
        <v>208</v>
      </c>
      <c r="I5242" t="s">
        <v>227</v>
      </c>
      <c r="J5242" t="s">
        <v>115</v>
      </c>
      <c r="K5242" t="s">
        <v>260</v>
      </c>
      <c r="L5242" t="s">
        <v>273</v>
      </c>
      <c r="M5242" t="s">
        <v>282</v>
      </c>
      <c r="N5242" t="s">
        <v>291</v>
      </c>
      <c r="AK5242" t="s">
        <v>362</v>
      </c>
    </row>
    <row r="5243" spans="1:37">
      <c r="B5243" t="s">
        <v>51</v>
      </c>
      <c r="C5243" t="s">
        <v>75</v>
      </c>
      <c r="D5243" t="s">
        <v>52</v>
      </c>
      <c r="E5243" t="s">
        <v>114</v>
      </c>
      <c r="F5243" t="s">
        <v>148</v>
      </c>
      <c r="G5243" t="s">
        <v>148</v>
      </c>
      <c r="H5243" t="s">
        <v>209</v>
      </c>
      <c r="I5243" t="s">
        <v>228</v>
      </c>
      <c r="J5243" t="s">
        <v>247</v>
      </c>
      <c r="K5243" t="s">
        <v>261</v>
      </c>
      <c r="L5243" t="s">
        <v>274</v>
      </c>
      <c r="M5243" t="s">
        <v>283</v>
      </c>
      <c r="N5243" t="s">
        <v>292</v>
      </c>
      <c r="O5243" t="s">
        <v>300</v>
      </c>
      <c r="AK5243" t="s">
        <v>362</v>
      </c>
    </row>
    <row r="5244" spans="1:37">
      <c r="B5244" t="s">
        <v>52</v>
      </c>
      <c r="C5244" t="s">
        <v>76</v>
      </c>
      <c r="D5244" t="s">
        <v>96</v>
      </c>
      <c r="E5244" t="s">
        <v>115</v>
      </c>
      <c r="F5244" t="s">
        <v>149</v>
      </c>
      <c r="G5244" t="s">
        <v>174</v>
      </c>
      <c r="H5244" t="s">
        <v>96</v>
      </c>
      <c r="I5244" t="s">
        <v>229</v>
      </c>
      <c r="J5244" t="s">
        <v>248</v>
      </c>
      <c r="K5244" t="s">
        <v>262</v>
      </c>
      <c r="L5244" t="s">
        <v>52</v>
      </c>
      <c r="M5244" t="s">
        <v>76</v>
      </c>
      <c r="N5244" t="s">
        <v>293</v>
      </c>
      <c r="O5244" t="s">
        <v>301</v>
      </c>
      <c r="P5244" t="s">
        <v>309</v>
      </c>
      <c r="Q5244" t="s">
        <v>315</v>
      </c>
      <c r="R5244" t="s">
        <v>228</v>
      </c>
      <c r="S5244" t="s">
        <v>328</v>
      </c>
      <c r="T5244" t="s">
        <v>149</v>
      </c>
      <c r="U5244" t="s">
        <v>337</v>
      </c>
      <c r="V5244" t="s">
        <v>341</v>
      </c>
      <c r="W5244" t="s">
        <v>345</v>
      </c>
      <c r="X5244" t="s">
        <v>350</v>
      </c>
      <c r="AK5244" t="s">
        <v>362</v>
      </c>
    </row>
    <row r="5245" spans="1:37">
      <c r="B5245" t="s">
        <v>53</v>
      </c>
      <c r="C5245" t="s">
        <v>77</v>
      </c>
      <c r="D5245" t="s">
        <v>97</v>
      </c>
      <c r="E5245" t="s">
        <v>116</v>
      </c>
      <c r="F5245" t="s">
        <v>150</v>
      </c>
      <c r="G5245" t="s">
        <v>175</v>
      </c>
      <c r="H5245" t="s">
        <v>210</v>
      </c>
      <c r="I5245" t="s">
        <v>230</v>
      </c>
      <c r="J5245" t="s">
        <v>249</v>
      </c>
      <c r="K5245" t="s">
        <v>263</v>
      </c>
      <c r="L5245" t="s">
        <v>275</v>
      </c>
      <c r="M5245" t="s">
        <v>284</v>
      </c>
      <c r="N5245" t="s">
        <v>294</v>
      </c>
      <c r="O5245" t="s">
        <v>302</v>
      </c>
      <c r="P5245" t="s">
        <v>310</v>
      </c>
      <c r="Q5245" t="s">
        <v>316</v>
      </c>
      <c r="R5245" t="s">
        <v>322</v>
      </c>
      <c r="S5245" t="s">
        <v>329</v>
      </c>
      <c r="AK5245" t="s">
        <v>362</v>
      </c>
    </row>
    <row r="5246" spans="1:37">
      <c r="A5246" t="s">
        <v>39</v>
      </c>
      <c r="B5246" t="s">
        <v>54</v>
      </c>
      <c r="C5246" t="s">
        <v>54</v>
      </c>
      <c r="D5246" t="s">
        <v>54</v>
      </c>
      <c r="E5246" t="s">
        <v>54</v>
      </c>
      <c r="F5246" t="s">
        <v>54</v>
      </c>
      <c r="G5246" t="s">
        <v>54</v>
      </c>
      <c r="H5246" t="s">
        <v>54</v>
      </c>
      <c r="I5246" t="s">
        <v>54</v>
      </c>
      <c r="J5246" t="s">
        <v>54</v>
      </c>
      <c r="K5246" t="s">
        <v>54</v>
      </c>
      <c r="L5246" t="s">
        <v>54</v>
      </c>
      <c r="M5246" t="s">
        <v>54</v>
      </c>
      <c r="N5246" t="s">
        <v>54</v>
      </c>
      <c r="O5246" t="s">
        <v>54</v>
      </c>
      <c r="P5246" t="s">
        <v>54</v>
      </c>
      <c r="Q5246" t="s">
        <v>54</v>
      </c>
      <c r="R5246" t="s">
        <v>323</v>
      </c>
      <c r="S5246" t="s">
        <v>330</v>
      </c>
      <c r="AK5246" t="s">
        <v>362</v>
      </c>
    </row>
    <row r="5247" spans="1:37">
      <c r="B5247" t="s">
        <v>55</v>
      </c>
      <c r="C5247" t="s">
        <v>78</v>
      </c>
      <c r="D5247" t="s">
        <v>55</v>
      </c>
      <c r="E5247" t="s">
        <v>78</v>
      </c>
      <c r="F5247" t="s">
        <v>55</v>
      </c>
      <c r="G5247" t="s">
        <v>78</v>
      </c>
      <c r="H5247" t="s">
        <v>55</v>
      </c>
      <c r="I5247" t="s">
        <v>78</v>
      </c>
      <c r="J5247" t="s">
        <v>55</v>
      </c>
      <c r="K5247" t="s">
        <v>78</v>
      </c>
      <c r="L5247" t="s">
        <v>55</v>
      </c>
      <c r="M5247" t="s">
        <v>78</v>
      </c>
      <c r="N5247" t="s">
        <v>55</v>
      </c>
      <c r="O5247" t="s">
        <v>78</v>
      </c>
      <c r="P5247" t="s">
        <v>55</v>
      </c>
      <c r="Q5247" t="s">
        <v>78</v>
      </c>
      <c r="R5247" t="s">
        <v>55</v>
      </c>
      <c r="S5247" t="s">
        <v>78</v>
      </c>
      <c r="T5247" t="s">
        <v>55</v>
      </c>
      <c r="U5247" t="s">
        <v>78</v>
      </c>
      <c r="V5247" t="s">
        <v>55</v>
      </c>
      <c r="W5247" t="s">
        <v>78</v>
      </c>
      <c r="X5247" t="s">
        <v>55</v>
      </c>
      <c r="Y5247" t="s">
        <v>78</v>
      </c>
      <c r="Z5247" t="s">
        <v>55</v>
      </c>
      <c r="AA5247" t="s">
        <v>78</v>
      </c>
      <c r="AB5247" t="s">
        <v>55</v>
      </c>
      <c r="AC5247" t="s">
        <v>78</v>
      </c>
      <c r="AD5247" t="s">
        <v>55</v>
      </c>
      <c r="AE5247" t="s">
        <v>78</v>
      </c>
      <c r="AF5247" t="s">
        <v>55</v>
      </c>
      <c r="AG5247" t="s">
        <v>78</v>
      </c>
      <c r="AH5247" t="s">
        <v>55</v>
      </c>
      <c r="AI5247" t="s">
        <v>78</v>
      </c>
      <c r="AK5247" t="s">
        <v>362</v>
      </c>
    </row>
    <row r="5248" spans="1:37">
      <c r="B5248" t="s">
        <v>56</v>
      </c>
      <c r="C5248" t="s">
        <v>56</v>
      </c>
      <c r="D5248" t="s">
        <v>56</v>
      </c>
      <c r="E5248" t="s">
        <v>56</v>
      </c>
      <c r="F5248" t="s">
        <v>56</v>
      </c>
      <c r="G5248" t="s">
        <v>176</v>
      </c>
      <c r="H5248" t="s">
        <v>211</v>
      </c>
      <c r="I5248" t="s">
        <v>231</v>
      </c>
      <c r="J5248" t="s">
        <v>250</v>
      </c>
      <c r="K5248" t="s">
        <v>264</v>
      </c>
      <c r="L5248" t="s">
        <v>276</v>
      </c>
      <c r="M5248" t="s">
        <v>285</v>
      </c>
      <c r="N5248" t="s">
        <v>295</v>
      </c>
      <c r="O5248" t="s">
        <v>303</v>
      </c>
      <c r="P5248" t="s">
        <v>56</v>
      </c>
      <c r="Q5248" t="s">
        <v>317</v>
      </c>
      <c r="R5248" t="s">
        <v>324</v>
      </c>
      <c r="S5248" t="s">
        <v>331</v>
      </c>
      <c r="T5248" t="s">
        <v>334</v>
      </c>
      <c r="U5248" t="s">
        <v>338</v>
      </c>
      <c r="V5248" t="s">
        <v>342</v>
      </c>
      <c r="W5248" t="s">
        <v>346</v>
      </c>
      <c r="X5248" t="s">
        <v>351</v>
      </c>
      <c r="AK5248" t="s">
        <v>362</v>
      </c>
    </row>
    <row r="5249" spans="1:37">
      <c r="B5249" t="s">
        <v>57</v>
      </c>
      <c r="C5249" t="s">
        <v>79</v>
      </c>
      <c r="D5249" t="s">
        <v>98</v>
      </c>
      <c r="E5249" t="s">
        <v>117</v>
      </c>
      <c r="F5249" t="s">
        <v>151</v>
      </c>
      <c r="G5249" t="s">
        <v>177</v>
      </c>
      <c r="H5249" t="s">
        <v>212</v>
      </c>
      <c r="I5249" t="s">
        <v>232</v>
      </c>
      <c r="J5249" t="s">
        <v>251</v>
      </c>
      <c r="K5249" t="s">
        <v>265</v>
      </c>
      <c r="L5249" t="s">
        <v>277</v>
      </c>
      <c r="M5249" t="s">
        <v>286</v>
      </c>
      <c r="N5249" t="s">
        <v>296</v>
      </c>
      <c r="O5249" t="s">
        <v>304</v>
      </c>
      <c r="P5249" t="s">
        <v>311</v>
      </c>
      <c r="Q5249" t="s">
        <v>318</v>
      </c>
      <c r="R5249" t="s">
        <v>185</v>
      </c>
      <c r="S5249" t="s">
        <v>159</v>
      </c>
      <c r="T5249" t="s">
        <v>185</v>
      </c>
      <c r="U5249" t="s">
        <v>339</v>
      </c>
      <c r="V5249" t="s">
        <v>72</v>
      </c>
      <c r="W5249" t="s">
        <v>347</v>
      </c>
      <c r="X5249" t="s">
        <v>72</v>
      </c>
      <c r="Y5249" t="s">
        <v>96</v>
      </c>
      <c r="AK5249" t="s">
        <v>362</v>
      </c>
    </row>
    <row r="5250" spans="1:37">
      <c r="B5250" t="s">
        <v>58</v>
      </c>
      <c r="C5250" t="s">
        <v>80</v>
      </c>
      <c r="D5250" t="s">
        <v>99</v>
      </c>
      <c r="E5250" t="s">
        <v>118</v>
      </c>
      <c r="F5250" t="s">
        <v>152</v>
      </c>
      <c r="G5250" t="s">
        <v>178</v>
      </c>
      <c r="H5250" t="s">
        <v>213</v>
      </c>
      <c r="I5250" t="s">
        <v>233</v>
      </c>
      <c r="J5250" t="s">
        <v>252</v>
      </c>
      <c r="K5250" t="s">
        <v>266</v>
      </c>
      <c r="L5250" t="s">
        <v>278</v>
      </c>
      <c r="M5250" t="s">
        <v>287</v>
      </c>
      <c r="N5250" t="s">
        <v>297</v>
      </c>
      <c r="O5250" t="s">
        <v>305</v>
      </c>
      <c r="P5250" t="s">
        <v>312</v>
      </c>
      <c r="Q5250" t="s">
        <v>319</v>
      </c>
      <c r="R5250">
        <f>&gt;10       ветра      1.4     11  10</f>
        <v>0</v>
      </c>
      <c r="AK5250" t="s">
        <v>362</v>
      </c>
    </row>
    <row r="5251" spans="1:37">
      <c r="A5251" t="s">
        <v>40</v>
      </c>
      <c r="B5251" t="s">
        <v>59</v>
      </c>
      <c r="C5251" t="s">
        <v>81</v>
      </c>
      <c r="D5251" t="s">
        <v>100</v>
      </c>
      <c r="E5251" t="s">
        <v>119</v>
      </c>
      <c r="F5251" t="s">
        <v>153</v>
      </c>
      <c r="G5251" t="s">
        <v>179</v>
      </c>
      <c r="H5251" t="s">
        <v>214</v>
      </c>
      <c r="I5251" t="s">
        <v>234</v>
      </c>
      <c r="AK5251" t="s">
        <v>362</v>
      </c>
    </row>
    <row r="5252" spans="1:37">
      <c r="A5252" t="s">
        <v>40</v>
      </c>
      <c r="B5252" t="s">
        <v>60</v>
      </c>
      <c r="C5252" t="s">
        <v>82</v>
      </c>
      <c r="D5252" t="s">
        <v>101</v>
      </c>
      <c r="E5252" t="s">
        <v>120</v>
      </c>
      <c r="F5252" t="s">
        <v>154</v>
      </c>
      <c r="G5252" t="s">
        <v>180</v>
      </c>
      <c r="H5252" t="s">
        <v>215</v>
      </c>
      <c r="I5252" t="s">
        <v>235</v>
      </c>
      <c r="J5252" t="s">
        <v>253</v>
      </c>
      <c r="K5252" t="s">
        <v>267</v>
      </c>
      <c r="L5252" t="s">
        <v>279</v>
      </c>
      <c r="M5252" t="s">
        <v>288</v>
      </c>
      <c r="N5252" t="s">
        <v>100</v>
      </c>
      <c r="O5252" t="s">
        <v>306</v>
      </c>
      <c r="P5252" t="s">
        <v>313</v>
      </c>
      <c r="Q5252" t="s">
        <v>320</v>
      </c>
      <c r="R5252" t="s">
        <v>325</v>
      </c>
      <c r="S5252" t="s">
        <v>332</v>
      </c>
      <c r="T5252" t="s">
        <v>119</v>
      </c>
      <c r="U5252" t="s">
        <v>234</v>
      </c>
      <c r="V5252" t="s">
        <v>343</v>
      </c>
      <c r="W5252" t="s">
        <v>348</v>
      </c>
      <c r="X5252" t="s">
        <v>352</v>
      </c>
      <c r="Y5252" t="s">
        <v>354</v>
      </c>
      <c r="AK5252" t="s">
        <v>362</v>
      </c>
    </row>
    <row r="5253" spans="1:37">
      <c r="A5253" t="s">
        <v>41</v>
      </c>
      <c r="B5253" t="s">
        <v>61</v>
      </c>
      <c r="C5253" t="s">
        <v>83</v>
      </c>
      <c r="D5253" t="s">
        <v>102</v>
      </c>
      <c r="E5253" t="s">
        <v>121</v>
      </c>
      <c r="F5253" t="s">
        <v>155</v>
      </c>
      <c r="G5253" t="s">
        <v>181</v>
      </c>
      <c r="H5253" t="s">
        <v>216</v>
      </c>
      <c r="I5253" t="s">
        <v>236</v>
      </c>
      <c r="AK5253" t="s">
        <v>362</v>
      </c>
    </row>
    <row r="5254" spans="1:37">
      <c r="A5254" t="s">
        <v>42</v>
      </c>
      <c r="B5254" t="s">
        <v>62</v>
      </c>
      <c r="C5254" t="s">
        <v>84</v>
      </c>
      <c r="D5254" t="s">
        <v>103</v>
      </c>
      <c r="E5254" t="s">
        <v>122</v>
      </c>
      <c r="F5254" t="s">
        <v>156</v>
      </c>
      <c r="G5254" t="s">
        <v>182</v>
      </c>
      <c r="H5254" t="s">
        <v>83</v>
      </c>
      <c r="I5254" t="s">
        <v>237</v>
      </c>
      <c r="J5254" t="s">
        <v>254</v>
      </c>
      <c r="K5254" t="s">
        <v>268</v>
      </c>
      <c r="L5254" t="s">
        <v>280</v>
      </c>
      <c r="M5254" t="s">
        <v>289</v>
      </c>
      <c r="N5254" t="s">
        <v>298</v>
      </c>
      <c r="O5254" t="s">
        <v>307</v>
      </c>
      <c r="P5254" t="s">
        <v>314</v>
      </c>
      <c r="Q5254" t="s">
        <v>216</v>
      </c>
      <c r="R5254" t="s">
        <v>326</v>
      </c>
      <c r="S5254" t="s">
        <v>333</v>
      </c>
      <c r="T5254" t="s">
        <v>335</v>
      </c>
      <c r="U5254" t="s">
        <v>340</v>
      </c>
      <c r="V5254" t="s">
        <v>344</v>
      </c>
      <c r="W5254" t="s">
        <v>349</v>
      </c>
      <c r="AK5254" t="s">
        <v>362</v>
      </c>
    </row>
    <row r="5255" spans="1:37">
      <c r="A5255" t="s">
        <v>43</v>
      </c>
      <c r="B5255" t="s">
        <v>63</v>
      </c>
      <c r="C5255" t="s">
        <v>85</v>
      </c>
      <c r="D5255" t="s">
        <v>104</v>
      </c>
      <c r="E5255" t="s">
        <v>123</v>
      </c>
      <c r="F5255" t="s">
        <v>157</v>
      </c>
      <c r="G5255" t="s">
        <v>183</v>
      </c>
      <c r="AK5255" t="s">
        <v>362</v>
      </c>
    </row>
    <row r="5256" spans="1:37">
      <c r="A5256" t="s">
        <v>44</v>
      </c>
      <c r="B5256" t="s">
        <v>64</v>
      </c>
      <c r="C5256" t="s">
        <v>86</v>
      </c>
      <c r="D5256" t="s">
        <v>105</v>
      </c>
      <c r="E5256" t="s">
        <v>124</v>
      </c>
      <c r="F5256" t="s">
        <v>158</v>
      </c>
      <c r="G5256" t="s">
        <v>184</v>
      </c>
      <c r="AK5256" t="s">
        <v>362</v>
      </c>
    </row>
    <row r="5257" spans="1:37">
      <c r="A5257" t="s">
        <v>45</v>
      </c>
      <c r="B5257" t="s">
        <v>65</v>
      </c>
      <c r="C5257" t="s">
        <v>87</v>
      </c>
      <c r="D5257" t="s">
        <v>106</v>
      </c>
      <c r="E5257" t="s">
        <v>125</v>
      </c>
      <c r="F5257" t="s">
        <v>159</v>
      </c>
      <c r="G5257" t="s">
        <v>185</v>
      </c>
      <c r="H5257" t="s">
        <v>159</v>
      </c>
      <c r="I5257" t="s">
        <v>185</v>
      </c>
      <c r="J5257" t="s">
        <v>255</v>
      </c>
      <c r="AK5257" t="s">
        <v>362</v>
      </c>
    </row>
    <row r="5258" spans="1:37">
      <c r="A5258" t="s">
        <v>46</v>
      </c>
      <c r="B5258" t="s">
        <v>66</v>
      </c>
      <c r="C5258" t="s">
        <v>88</v>
      </c>
      <c r="D5258" t="s">
        <v>76</v>
      </c>
      <c r="E5258" t="s">
        <v>126</v>
      </c>
      <c r="F5258" t="s">
        <v>160</v>
      </c>
      <c r="G5258" t="s">
        <v>186</v>
      </c>
      <c r="H5258" t="s">
        <v>217</v>
      </c>
      <c r="I5258" t="s">
        <v>238</v>
      </c>
      <c r="J5258" t="s">
        <v>256</v>
      </c>
      <c r="K5258" t="s">
        <v>265</v>
      </c>
      <c r="L5258" t="s">
        <v>281</v>
      </c>
      <c r="M5258" t="s">
        <v>290</v>
      </c>
      <c r="N5258" t="s">
        <v>299</v>
      </c>
      <c r="O5258" t="s">
        <v>308</v>
      </c>
      <c r="P5258" t="s">
        <v>228</v>
      </c>
      <c r="Q5258" t="s">
        <v>72</v>
      </c>
      <c r="R5258" t="s">
        <v>327</v>
      </c>
      <c r="S5258" t="s">
        <v>327</v>
      </c>
      <c r="T5258" t="s">
        <v>336</v>
      </c>
      <c r="U5258" t="s">
        <v>336</v>
      </c>
      <c r="V5258" t="s">
        <v>336</v>
      </c>
      <c r="W5258" t="s">
        <v>336</v>
      </c>
      <c r="X5258" t="s">
        <v>353</v>
      </c>
      <c r="AK5258" t="s">
        <v>362</v>
      </c>
    </row>
    <row r="5259" spans="1:37">
      <c r="B5259" t="s">
        <v>67</v>
      </c>
      <c r="C5259" t="s">
        <v>89</v>
      </c>
      <c r="D5259" t="s">
        <v>107</v>
      </c>
      <c r="AK5259" t="s">
        <v>362</v>
      </c>
    </row>
    <row r="5260" spans="1:37">
      <c r="B5260" t="s">
        <v>68</v>
      </c>
      <c r="C5260" t="s">
        <v>90</v>
      </c>
      <c r="D5260" t="s">
        <v>108</v>
      </c>
      <c r="AK5260" t="s">
        <v>362</v>
      </c>
    </row>
    <row r="5261" spans="1:37">
      <c r="A5261" t="s">
        <v>47</v>
      </c>
      <c r="B5261" t="s">
        <v>69</v>
      </c>
      <c r="C5261" t="s">
        <v>91</v>
      </c>
      <c r="D5261" t="s">
        <v>109</v>
      </c>
      <c r="E5261" t="s">
        <v>109</v>
      </c>
      <c r="F5261" t="s">
        <v>109</v>
      </c>
      <c r="G5261" t="s">
        <v>109</v>
      </c>
      <c r="H5261" t="s">
        <v>109</v>
      </c>
      <c r="I5261" t="s">
        <v>239</v>
      </c>
      <c r="AK5261" t="s">
        <v>362</v>
      </c>
    </row>
    <row r="5262" spans="1:37">
      <c r="B5262" t="s">
        <v>70</v>
      </c>
      <c r="C5262" t="s">
        <v>92</v>
      </c>
      <c r="D5262" t="s">
        <v>110</v>
      </c>
      <c r="E5262" t="s">
        <v>127</v>
      </c>
      <c r="F5262" t="s">
        <v>161</v>
      </c>
      <c r="G5262" t="s">
        <v>187</v>
      </c>
      <c r="H5262" t="s">
        <v>218</v>
      </c>
      <c r="AK5262" t="s">
        <v>362</v>
      </c>
    </row>
    <row r="5263" spans="1:37">
      <c r="B5263" t="s">
        <v>71</v>
      </c>
      <c r="C5263" t="s">
        <v>93</v>
      </c>
      <c r="D5263" t="s">
        <v>111</v>
      </c>
      <c r="E5263" t="s">
        <v>128</v>
      </c>
      <c r="F5263" t="s">
        <v>162</v>
      </c>
      <c r="G5263" t="s">
        <v>188</v>
      </c>
      <c r="H5263" t="s">
        <v>219</v>
      </c>
      <c r="I5263" t="s">
        <v>240</v>
      </c>
      <c r="J5263" t="s">
        <v>257</v>
      </c>
      <c r="K5263" t="s">
        <v>269</v>
      </c>
      <c r="L5263" t="s">
        <v>109</v>
      </c>
      <c r="M5263" t="s">
        <v>109</v>
      </c>
      <c r="N5263" t="s">
        <v>109</v>
      </c>
      <c r="O5263" t="s">
        <v>109</v>
      </c>
      <c r="P5263" t="s">
        <v>109</v>
      </c>
      <c r="Q5263" t="s">
        <v>321</v>
      </c>
      <c r="AK5263" t="s">
        <v>362</v>
      </c>
    </row>
    <row r="5264" spans="1:37">
      <c r="A5264" t="s">
        <v>48</v>
      </c>
      <c r="B5264" t="s">
        <v>71</v>
      </c>
      <c r="C5264" t="s">
        <v>93</v>
      </c>
      <c r="D5264" t="s">
        <v>111</v>
      </c>
      <c r="E5264" t="s">
        <v>128</v>
      </c>
      <c r="F5264" t="s">
        <v>163</v>
      </c>
      <c r="G5264" t="s">
        <v>189</v>
      </c>
      <c r="H5264" t="s">
        <v>220</v>
      </c>
      <c r="I5264" t="s">
        <v>241</v>
      </c>
      <c r="J5264" t="s">
        <v>258</v>
      </c>
      <c r="K5264" t="s">
        <v>270</v>
      </c>
      <c r="AK5264" t="s">
        <v>362</v>
      </c>
    </row>
    <row r="5265" spans="1:37">
      <c r="B5265" t="s">
        <v>72</v>
      </c>
      <c r="C5265" t="s">
        <v>72</v>
      </c>
      <c r="D5265" t="s">
        <v>72</v>
      </c>
      <c r="E5265" t="s">
        <v>72</v>
      </c>
      <c r="F5265" t="s">
        <v>72</v>
      </c>
      <c r="G5265" t="s">
        <v>72</v>
      </c>
      <c r="H5265" t="s">
        <v>72</v>
      </c>
      <c r="I5265" t="s">
        <v>72</v>
      </c>
      <c r="J5265" t="s">
        <v>72</v>
      </c>
      <c r="K5265" t="s">
        <v>272</v>
      </c>
      <c r="AK5265" t="s">
        <v>362</v>
      </c>
    </row>
    <row r="5266" spans="1:37">
      <c r="A5266" t="s">
        <v>37</v>
      </c>
      <c r="B5266" t="s">
        <v>49</v>
      </c>
      <c r="C5266" t="s">
        <v>73</v>
      </c>
      <c r="D5266" t="s">
        <v>94</v>
      </c>
      <c r="E5266" t="s">
        <v>112</v>
      </c>
      <c r="F5266" t="s">
        <v>146</v>
      </c>
      <c r="G5266" t="s">
        <v>172</v>
      </c>
      <c r="H5266" t="s">
        <v>207</v>
      </c>
      <c r="I5266" t="s">
        <v>226</v>
      </c>
      <c r="J5266" t="s">
        <v>246</v>
      </c>
      <c r="K5266" t="s">
        <v>259</v>
      </c>
      <c r="AK5266" t="s">
        <v>362</v>
      </c>
    </row>
    <row r="5267" spans="1:37">
      <c r="A5267" t="s">
        <v>38</v>
      </c>
      <c r="B5267" t="s">
        <v>50</v>
      </c>
      <c r="C5267" t="s">
        <v>74</v>
      </c>
      <c r="D5267" t="s">
        <v>95</v>
      </c>
      <c r="E5267" t="s">
        <v>113</v>
      </c>
      <c r="F5267" t="s">
        <v>147</v>
      </c>
      <c r="G5267" t="s">
        <v>173</v>
      </c>
      <c r="H5267" t="s">
        <v>208</v>
      </c>
      <c r="I5267" t="s">
        <v>227</v>
      </c>
      <c r="J5267" t="s">
        <v>115</v>
      </c>
      <c r="K5267" t="s">
        <v>260</v>
      </c>
      <c r="L5267" t="s">
        <v>273</v>
      </c>
      <c r="M5267" t="s">
        <v>282</v>
      </c>
      <c r="N5267" t="s">
        <v>291</v>
      </c>
      <c r="AK5267" t="s">
        <v>362</v>
      </c>
    </row>
    <row r="5268" spans="1:37">
      <c r="B5268" t="s">
        <v>51</v>
      </c>
      <c r="C5268" t="s">
        <v>75</v>
      </c>
      <c r="D5268" t="s">
        <v>52</v>
      </c>
      <c r="E5268" t="s">
        <v>114</v>
      </c>
      <c r="F5268" t="s">
        <v>148</v>
      </c>
      <c r="G5268" t="s">
        <v>148</v>
      </c>
      <c r="H5268" t="s">
        <v>209</v>
      </c>
      <c r="I5268" t="s">
        <v>228</v>
      </c>
      <c r="J5268" t="s">
        <v>247</v>
      </c>
      <c r="K5268" t="s">
        <v>261</v>
      </c>
      <c r="L5268" t="s">
        <v>274</v>
      </c>
      <c r="M5268" t="s">
        <v>283</v>
      </c>
      <c r="N5268" t="s">
        <v>292</v>
      </c>
      <c r="O5268" t="s">
        <v>300</v>
      </c>
      <c r="AK5268" t="s">
        <v>362</v>
      </c>
    </row>
    <row r="5269" spans="1:37">
      <c r="B5269" t="s">
        <v>52</v>
      </c>
      <c r="C5269" t="s">
        <v>76</v>
      </c>
      <c r="D5269" t="s">
        <v>96</v>
      </c>
      <c r="E5269" t="s">
        <v>115</v>
      </c>
      <c r="F5269" t="s">
        <v>149</v>
      </c>
      <c r="G5269" t="s">
        <v>174</v>
      </c>
      <c r="H5269" t="s">
        <v>96</v>
      </c>
      <c r="I5269" t="s">
        <v>229</v>
      </c>
      <c r="J5269" t="s">
        <v>248</v>
      </c>
      <c r="K5269" t="s">
        <v>262</v>
      </c>
      <c r="L5269" t="s">
        <v>52</v>
      </c>
      <c r="M5269" t="s">
        <v>76</v>
      </c>
      <c r="N5269" t="s">
        <v>293</v>
      </c>
      <c r="O5269" t="s">
        <v>301</v>
      </c>
      <c r="P5269" t="s">
        <v>309</v>
      </c>
      <c r="Q5269" t="s">
        <v>315</v>
      </c>
      <c r="R5269" t="s">
        <v>228</v>
      </c>
      <c r="S5269" t="s">
        <v>328</v>
      </c>
      <c r="T5269" t="s">
        <v>149</v>
      </c>
      <c r="U5269" t="s">
        <v>337</v>
      </c>
      <c r="V5269" t="s">
        <v>341</v>
      </c>
      <c r="W5269" t="s">
        <v>345</v>
      </c>
      <c r="X5269" t="s">
        <v>350</v>
      </c>
      <c r="AK5269" t="s">
        <v>362</v>
      </c>
    </row>
    <row r="5270" spans="1:37">
      <c r="B5270" t="s">
        <v>53</v>
      </c>
      <c r="C5270" t="s">
        <v>77</v>
      </c>
      <c r="D5270" t="s">
        <v>97</v>
      </c>
      <c r="E5270" t="s">
        <v>116</v>
      </c>
      <c r="F5270" t="s">
        <v>150</v>
      </c>
      <c r="G5270" t="s">
        <v>175</v>
      </c>
      <c r="H5270" t="s">
        <v>210</v>
      </c>
      <c r="I5270" t="s">
        <v>230</v>
      </c>
      <c r="J5270" t="s">
        <v>249</v>
      </c>
      <c r="K5270" t="s">
        <v>263</v>
      </c>
      <c r="L5270" t="s">
        <v>275</v>
      </c>
      <c r="M5270" t="s">
        <v>284</v>
      </c>
      <c r="N5270" t="s">
        <v>294</v>
      </c>
      <c r="O5270" t="s">
        <v>302</v>
      </c>
      <c r="P5270" t="s">
        <v>310</v>
      </c>
      <c r="Q5270" t="s">
        <v>316</v>
      </c>
      <c r="R5270" t="s">
        <v>322</v>
      </c>
      <c r="S5270" t="s">
        <v>329</v>
      </c>
      <c r="AK5270" t="s">
        <v>362</v>
      </c>
    </row>
    <row r="5271" spans="1:37">
      <c r="A5271" t="s">
        <v>39</v>
      </c>
      <c r="B5271" t="s">
        <v>54</v>
      </c>
      <c r="C5271" t="s">
        <v>54</v>
      </c>
      <c r="D5271" t="s">
        <v>54</v>
      </c>
      <c r="E5271" t="s">
        <v>54</v>
      </c>
      <c r="F5271" t="s">
        <v>54</v>
      </c>
      <c r="G5271" t="s">
        <v>54</v>
      </c>
      <c r="H5271" t="s">
        <v>54</v>
      </c>
      <c r="I5271" t="s">
        <v>54</v>
      </c>
      <c r="J5271" t="s">
        <v>54</v>
      </c>
      <c r="K5271" t="s">
        <v>54</v>
      </c>
      <c r="L5271" t="s">
        <v>54</v>
      </c>
      <c r="M5271" t="s">
        <v>54</v>
      </c>
      <c r="N5271" t="s">
        <v>54</v>
      </c>
      <c r="O5271" t="s">
        <v>54</v>
      </c>
      <c r="P5271" t="s">
        <v>54</v>
      </c>
      <c r="Q5271" t="s">
        <v>54</v>
      </c>
      <c r="R5271" t="s">
        <v>323</v>
      </c>
      <c r="S5271" t="s">
        <v>330</v>
      </c>
      <c r="AK5271" t="s">
        <v>362</v>
      </c>
    </row>
    <row r="5272" spans="1:37">
      <c r="B5272" t="s">
        <v>55</v>
      </c>
      <c r="C5272" t="s">
        <v>78</v>
      </c>
      <c r="D5272" t="s">
        <v>55</v>
      </c>
      <c r="E5272" t="s">
        <v>78</v>
      </c>
      <c r="F5272" t="s">
        <v>55</v>
      </c>
      <c r="G5272" t="s">
        <v>78</v>
      </c>
      <c r="H5272" t="s">
        <v>55</v>
      </c>
      <c r="I5272" t="s">
        <v>78</v>
      </c>
      <c r="J5272" t="s">
        <v>55</v>
      </c>
      <c r="K5272" t="s">
        <v>78</v>
      </c>
      <c r="L5272" t="s">
        <v>55</v>
      </c>
      <c r="M5272" t="s">
        <v>78</v>
      </c>
      <c r="N5272" t="s">
        <v>55</v>
      </c>
      <c r="O5272" t="s">
        <v>78</v>
      </c>
      <c r="P5272" t="s">
        <v>55</v>
      </c>
      <c r="Q5272" t="s">
        <v>78</v>
      </c>
      <c r="R5272" t="s">
        <v>55</v>
      </c>
      <c r="S5272" t="s">
        <v>78</v>
      </c>
      <c r="T5272" t="s">
        <v>55</v>
      </c>
      <c r="U5272" t="s">
        <v>78</v>
      </c>
      <c r="V5272" t="s">
        <v>55</v>
      </c>
      <c r="W5272" t="s">
        <v>78</v>
      </c>
      <c r="X5272" t="s">
        <v>55</v>
      </c>
      <c r="Y5272" t="s">
        <v>78</v>
      </c>
      <c r="Z5272" t="s">
        <v>55</v>
      </c>
      <c r="AA5272" t="s">
        <v>78</v>
      </c>
      <c r="AB5272" t="s">
        <v>55</v>
      </c>
      <c r="AC5272" t="s">
        <v>78</v>
      </c>
      <c r="AD5272" t="s">
        <v>55</v>
      </c>
      <c r="AE5272" t="s">
        <v>78</v>
      </c>
      <c r="AF5272" t="s">
        <v>55</v>
      </c>
      <c r="AG5272" t="s">
        <v>78</v>
      </c>
      <c r="AH5272" t="s">
        <v>55</v>
      </c>
      <c r="AI5272" t="s">
        <v>78</v>
      </c>
      <c r="AK5272" t="s">
        <v>362</v>
      </c>
    </row>
    <row r="5273" spans="1:37">
      <c r="B5273" t="s">
        <v>56</v>
      </c>
      <c r="C5273" t="s">
        <v>56</v>
      </c>
      <c r="D5273" t="s">
        <v>56</v>
      </c>
      <c r="E5273" t="s">
        <v>56</v>
      </c>
      <c r="F5273" t="s">
        <v>56</v>
      </c>
      <c r="G5273" t="s">
        <v>176</v>
      </c>
      <c r="H5273" t="s">
        <v>211</v>
      </c>
      <c r="I5273" t="s">
        <v>231</v>
      </c>
      <c r="J5273" t="s">
        <v>250</v>
      </c>
      <c r="K5273" t="s">
        <v>264</v>
      </c>
      <c r="L5273" t="s">
        <v>276</v>
      </c>
      <c r="M5273" t="s">
        <v>285</v>
      </c>
      <c r="N5273" t="s">
        <v>295</v>
      </c>
      <c r="O5273" t="s">
        <v>303</v>
      </c>
      <c r="P5273" t="s">
        <v>56</v>
      </c>
      <c r="Q5273" t="s">
        <v>317</v>
      </c>
      <c r="R5273" t="s">
        <v>324</v>
      </c>
      <c r="S5273" t="s">
        <v>331</v>
      </c>
      <c r="T5273" t="s">
        <v>334</v>
      </c>
      <c r="U5273" t="s">
        <v>338</v>
      </c>
      <c r="V5273" t="s">
        <v>342</v>
      </c>
      <c r="W5273" t="s">
        <v>346</v>
      </c>
      <c r="X5273" t="s">
        <v>351</v>
      </c>
      <c r="AK5273" t="s">
        <v>362</v>
      </c>
    </row>
    <row r="5274" spans="1:37">
      <c r="B5274" t="s">
        <v>57</v>
      </c>
      <c r="C5274" t="s">
        <v>79</v>
      </c>
      <c r="D5274" t="s">
        <v>98</v>
      </c>
      <c r="E5274" t="s">
        <v>117</v>
      </c>
      <c r="F5274" t="s">
        <v>151</v>
      </c>
      <c r="G5274" t="s">
        <v>177</v>
      </c>
      <c r="H5274" t="s">
        <v>212</v>
      </c>
      <c r="I5274" t="s">
        <v>232</v>
      </c>
      <c r="J5274" t="s">
        <v>251</v>
      </c>
      <c r="K5274" t="s">
        <v>265</v>
      </c>
      <c r="L5274" t="s">
        <v>277</v>
      </c>
      <c r="M5274" t="s">
        <v>286</v>
      </c>
      <c r="N5274" t="s">
        <v>296</v>
      </c>
      <c r="O5274" t="s">
        <v>304</v>
      </c>
      <c r="P5274" t="s">
        <v>311</v>
      </c>
      <c r="Q5274" t="s">
        <v>318</v>
      </c>
      <c r="R5274" t="s">
        <v>185</v>
      </c>
      <c r="S5274" t="s">
        <v>159</v>
      </c>
      <c r="T5274" t="s">
        <v>185</v>
      </c>
      <c r="U5274" t="s">
        <v>339</v>
      </c>
      <c r="V5274" t="s">
        <v>72</v>
      </c>
      <c r="W5274" t="s">
        <v>347</v>
      </c>
      <c r="X5274" t="s">
        <v>72</v>
      </c>
      <c r="Y5274" t="s">
        <v>96</v>
      </c>
      <c r="AK5274" t="s">
        <v>362</v>
      </c>
    </row>
    <row r="5275" spans="1:37">
      <c r="B5275" t="s">
        <v>58</v>
      </c>
      <c r="C5275" t="s">
        <v>80</v>
      </c>
      <c r="D5275" t="s">
        <v>99</v>
      </c>
      <c r="E5275" t="s">
        <v>118</v>
      </c>
      <c r="F5275" t="s">
        <v>152</v>
      </c>
      <c r="G5275" t="s">
        <v>178</v>
      </c>
      <c r="H5275" t="s">
        <v>213</v>
      </c>
      <c r="I5275" t="s">
        <v>233</v>
      </c>
      <c r="J5275" t="s">
        <v>252</v>
      </c>
      <c r="K5275" t="s">
        <v>266</v>
      </c>
      <c r="L5275" t="s">
        <v>278</v>
      </c>
      <c r="M5275" t="s">
        <v>287</v>
      </c>
      <c r="N5275" t="s">
        <v>297</v>
      </c>
      <c r="O5275" t="s">
        <v>305</v>
      </c>
      <c r="P5275" t="s">
        <v>312</v>
      </c>
      <c r="Q5275" t="s">
        <v>319</v>
      </c>
      <c r="R5275">
        <f>&gt;10       ветра      1.7     14   1</f>
        <v>0</v>
      </c>
      <c r="AK5275" t="s">
        <v>362</v>
      </c>
    </row>
    <row r="5276" spans="1:37">
      <c r="A5276" t="s">
        <v>40</v>
      </c>
      <c r="B5276" t="s">
        <v>59</v>
      </c>
      <c r="C5276" t="s">
        <v>81</v>
      </c>
      <c r="D5276" t="s">
        <v>100</v>
      </c>
      <c r="E5276" t="s">
        <v>119</v>
      </c>
      <c r="F5276" t="s">
        <v>153</v>
      </c>
      <c r="G5276" t="s">
        <v>179</v>
      </c>
      <c r="H5276" t="s">
        <v>214</v>
      </c>
      <c r="I5276" t="s">
        <v>234</v>
      </c>
      <c r="AK5276" t="s">
        <v>362</v>
      </c>
    </row>
    <row r="5277" spans="1:37">
      <c r="A5277" t="s">
        <v>40</v>
      </c>
      <c r="B5277" t="s">
        <v>60</v>
      </c>
      <c r="C5277" t="s">
        <v>82</v>
      </c>
      <c r="D5277" t="s">
        <v>101</v>
      </c>
      <c r="E5277" t="s">
        <v>120</v>
      </c>
      <c r="F5277" t="s">
        <v>154</v>
      </c>
      <c r="G5277" t="s">
        <v>180</v>
      </c>
      <c r="H5277" t="s">
        <v>215</v>
      </c>
      <c r="I5277" t="s">
        <v>235</v>
      </c>
      <c r="J5277" t="s">
        <v>253</v>
      </c>
      <c r="K5277" t="s">
        <v>267</v>
      </c>
      <c r="L5277" t="s">
        <v>279</v>
      </c>
      <c r="M5277" t="s">
        <v>288</v>
      </c>
      <c r="N5277" t="s">
        <v>100</v>
      </c>
      <c r="O5277" t="s">
        <v>306</v>
      </c>
      <c r="P5277" t="s">
        <v>313</v>
      </c>
      <c r="Q5277" t="s">
        <v>320</v>
      </c>
      <c r="R5277" t="s">
        <v>325</v>
      </c>
      <c r="S5277" t="s">
        <v>332</v>
      </c>
      <c r="T5277" t="s">
        <v>119</v>
      </c>
      <c r="U5277" t="s">
        <v>234</v>
      </c>
      <c r="V5277" t="s">
        <v>343</v>
      </c>
      <c r="W5277" t="s">
        <v>348</v>
      </c>
      <c r="X5277" t="s">
        <v>352</v>
      </c>
      <c r="Y5277" t="s">
        <v>354</v>
      </c>
      <c r="AK5277" t="s">
        <v>362</v>
      </c>
    </row>
    <row r="5278" spans="1:37">
      <c r="A5278" t="s">
        <v>41</v>
      </c>
      <c r="B5278" t="s">
        <v>61</v>
      </c>
      <c r="C5278" t="s">
        <v>83</v>
      </c>
      <c r="D5278" t="s">
        <v>102</v>
      </c>
      <c r="E5278" t="s">
        <v>121</v>
      </c>
      <c r="F5278" t="s">
        <v>155</v>
      </c>
      <c r="G5278" t="s">
        <v>181</v>
      </c>
      <c r="H5278" t="s">
        <v>216</v>
      </c>
      <c r="I5278" t="s">
        <v>236</v>
      </c>
      <c r="AK5278" t="s">
        <v>362</v>
      </c>
    </row>
    <row r="5279" spans="1:37">
      <c r="A5279" t="s">
        <v>42</v>
      </c>
      <c r="B5279" t="s">
        <v>62</v>
      </c>
      <c r="C5279" t="s">
        <v>84</v>
      </c>
      <c r="D5279" t="s">
        <v>103</v>
      </c>
      <c r="E5279" t="s">
        <v>122</v>
      </c>
      <c r="F5279" t="s">
        <v>156</v>
      </c>
      <c r="G5279" t="s">
        <v>182</v>
      </c>
      <c r="H5279" t="s">
        <v>83</v>
      </c>
      <c r="I5279" t="s">
        <v>237</v>
      </c>
      <c r="J5279" t="s">
        <v>254</v>
      </c>
      <c r="K5279" t="s">
        <v>268</v>
      </c>
      <c r="L5279" t="s">
        <v>280</v>
      </c>
      <c r="M5279" t="s">
        <v>289</v>
      </c>
      <c r="N5279" t="s">
        <v>298</v>
      </c>
      <c r="O5279" t="s">
        <v>307</v>
      </c>
      <c r="P5279" t="s">
        <v>314</v>
      </c>
      <c r="Q5279" t="s">
        <v>216</v>
      </c>
      <c r="R5279" t="s">
        <v>326</v>
      </c>
      <c r="S5279" t="s">
        <v>333</v>
      </c>
      <c r="T5279" t="s">
        <v>335</v>
      </c>
      <c r="U5279" t="s">
        <v>340</v>
      </c>
      <c r="V5279" t="s">
        <v>344</v>
      </c>
      <c r="W5279" t="s">
        <v>349</v>
      </c>
      <c r="AK5279" t="s">
        <v>362</v>
      </c>
    </row>
    <row r="5280" spans="1:37">
      <c r="A5280" t="s">
        <v>43</v>
      </c>
      <c r="B5280" t="s">
        <v>63</v>
      </c>
      <c r="C5280" t="s">
        <v>85</v>
      </c>
      <c r="D5280" t="s">
        <v>104</v>
      </c>
      <c r="E5280" t="s">
        <v>123</v>
      </c>
      <c r="F5280" t="s">
        <v>157</v>
      </c>
      <c r="G5280" t="s">
        <v>183</v>
      </c>
      <c r="AK5280" t="s">
        <v>362</v>
      </c>
    </row>
    <row r="5281" spans="1:37">
      <c r="A5281" t="s">
        <v>44</v>
      </c>
      <c r="B5281" t="s">
        <v>64</v>
      </c>
      <c r="C5281" t="s">
        <v>86</v>
      </c>
      <c r="D5281" t="s">
        <v>105</v>
      </c>
      <c r="E5281" t="s">
        <v>124</v>
      </c>
      <c r="F5281" t="s">
        <v>158</v>
      </c>
      <c r="G5281" t="s">
        <v>184</v>
      </c>
      <c r="AK5281" t="s">
        <v>362</v>
      </c>
    </row>
    <row r="5282" spans="1:37">
      <c r="A5282" t="s">
        <v>45</v>
      </c>
      <c r="B5282" t="s">
        <v>65</v>
      </c>
      <c r="C5282" t="s">
        <v>87</v>
      </c>
      <c r="D5282" t="s">
        <v>106</v>
      </c>
      <c r="E5282" t="s">
        <v>125</v>
      </c>
      <c r="F5282" t="s">
        <v>159</v>
      </c>
      <c r="G5282" t="s">
        <v>185</v>
      </c>
      <c r="H5282" t="s">
        <v>159</v>
      </c>
      <c r="I5282" t="s">
        <v>185</v>
      </c>
      <c r="J5282" t="s">
        <v>255</v>
      </c>
      <c r="AK5282" t="s">
        <v>362</v>
      </c>
    </row>
    <row r="5283" spans="1:37">
      <c r="A5283" t="s">
        <v>46</v>
      </c>
      <c r="B5283" t="s">
        <v>66</v>
      </c>
      <c r="C5283" t="s">
        <v>88</v>
      </c>
      <c r="D5283" t="s">
        <v>76</v>
      </c>
      <c r="E5283" t="s">
        <v>126</v>
      </c>
      <c r="F5283" t="s">
        <v>160</v>
      </c>
      <c r="G5283" t="s">
        <v>186</v>
      </c>
      <c r="H5283" t="s">
        <v>217</v>
      </c>
      <c r="I5283" t="s">
        <v>238</v>
      </c>
      <c r="J5283" t="s">
        <v>256</v>
      </c>
      <c r="K5283" t="s">
        <v>265</v>
      </c>
      <c r="L5283" t="s">
        <v>281</v>
      </c>
      <c r="M5283" t="s">
        <v>290</v>
      </c>
      <c r="N5283" t="s">
        <v>299</v>
      </c>
      <c r="O5283" t="s">
        <v>308</v>
      </c>
      <c r="P5283" t="s">
        <v>228</v>
      </c>
      <c r="Q5283" t="s">
        <v>72</v>
      </c>
      <c r="R5283" t="s">
        <v>327</v>
      </c>
      <c r="S5283" t="s">
        <v>327</v>
      </c>
      <c r="T5283" t="s">
        <v>336</v>
      </c>
      <c r="U5283" t="s">
        <v>336</v>
      </c>
      <c r="V5283" t="s">
        <v>336</v>
      </c>
      <c r="W5283" t="s">
        <v>336</v>
      </c>
      <c r="X5283" t="s">
        <v>353</v>
      </c>
      <c r="AK5283" t="s">
        <v>362</v>
      </c>
    </row>
    <row r="5284" spans="1:37">
      <c r="B5284" t="s">
        <v>67</v>
      </c>
      <c r="C5284" t="s">
        <v>89</v>
      </c>
      <c r="D5284" t="s">
        <v>107</v>
      </c>
      <c r="AK5284" t="s">
        <v>362</v>
      </c>
    </row>
    <row r="5285" spans="1:37">
      <c r="B5285" t="s">
        <v>68</v>
      </c>
      <c r="C5285" t="s">
        <v>90</v>
      </c>
      <c r="D5285" t="s">
        <v>108</v>
      </c>
      <c r="AK5285" t="s">
        <v>362</v>
      </c>
    </row>
    <row r="5286" spans="1:37">
      <c r="A5286" t="s">
        <v>47</v>
      </c>
      <c r="B5286" t="s">
        <v>69</v>
      </c>
      <c r="C5286" t="s">
        <v>91</v>
      </c>
      <c r="D5286" t="s">
        <v>109</v>
      </c>
      <c r="E5286" t="s">
        <v>109</v>
      </c>
      <c r="F5286" t="s">
        <v>109</v>
      </c>
      <c r="G5286" t="s">
        <v>109</v>
      </c>
      <c r="H5286" t="s">
        <v>109</v>
      </c>
      <c r="I5286" t="s">
        <v>239</v>
      </c>
      <c r="AK5286" t="s">
        <v>362</v>
      </c>
    </row>
    <row r="5287" spans="1:37">
      <c r="B5287" t="s">
        <v>70</v>
      </c>
      <c r="C5287" t="s">
        <v>92</v>
      </c>
      <c r="D5287" t="s">
        <v>110</v>
      </c>
      <c r="E5287" t="s">
        <v>127</v>
      </c>
      <c r="F5287" t="s">
        <v>161</v>
      </c>
      <c r="G5287" t="s">
        <v>187</v>
      </c>
      <c r="H5287" t="s">
        <v>218</v>
      </c>
      <c r="AK5287" t="s">
        <v>362</v>
      </c>
    </row>
    <row r="5288" spans="1:37">
      <c r="B5288" t="s">
        <v>71</v>
      </c>
      <c r="C5288" t="s">
        <v>93</v>
      </c>
      <c r="D5288" t="s">
        <v>111</v>
      </c>
      <c r="E5288" t="s">
        <v>128</v>
      </c>
      <c r="F5288" t="s">
        <v>162</v>
      </c>
      <c r="G5288" t="s">
        <v>188</v>
      </c>
      <c r="H5288" t="s">
        <v>219</v>
      </c>
      <c r="I5288" t="s">
        <v>240</v>
      </c>
      <c r="J5288" t="s">
        <v>257</v>
      </c>
      <c r="K5288" t="s">
        <v>269</v>
      </c>
      <c r="L5288" t="s">
        <v>109</v>
      </c>
      <c r="M5288" t="s">
        <v>109</v>
      </c>
      <c r="N5288" t="s">
        <v>109</v>
      </c>
      <c r="O5288" t="s">
        <v>109</v>
      </c>
      <c r="P5288" t="s">
        <v>109</v>
      </c>
      <c r="Q5288" t="s">
        <v>321</v>
      </c>
      <c r="AK5288" t="s">
        <v>362</v>
      </c>
    </row>
    <row r="5289" spans="1:37">
      <c r="A5289" t="s">
        <v>48</v>
      </c>
      <c r="B5289" t="s">
        <v>71</v>
      </c>
      <c r="C5289" t="s">
        <v>93</v>
      </c>
      <c r="D5289" t="s">
        <v>111</v>
      </c>
      <c r="E5289" t="s">
        <v>128</v>
      </c>
      <c r="F5289" t="s">
        <v>163</v>
      </c>
      <c r="G5289" t="s">
        <v>189</v>
      </c>
      <c r="H5289" t="s">
        <v>220</v>
      </c>
      <c r="I5289" t="s">
        <v>241</v>
      </c>
      <c r="J5289" t="s">
        <v>258</v>
      </c>
      <c r="K5289" t="s">
        <v>270</v>
      </c>
      <c r="AK5289" t="s">
        <v>362</v>
      </c>
    </row>
    <row r="5290" spans="1:37">
      <c r="B5290" t="s">
        <v>72</v>
      </c>
      <c r="C5290" t="s">
        <v>72</v>
      </c>
      <c r="D5290" t="s">
        <v>72</v>
      </c>
      <c r="E5290" t="s">
        <v>139</v>
      </c>
      <c r="F5290" t="s">
        <v>169</v>
      </c>
      <c r="G5290" t="s">
        <v>192</v>
      </c>
      <c r="H5290" t="s">
        <v>192</v>
      </c>
      <c r="I5290" t="s">
        <v>192</v>
      </c>
      <c r="J5290" t="s">
        <v>192</v>
      </c>
      <c r="K5290" t="s">
        <v>271</v>
      </c>
      <c r="AK5290" t="s">
        <v>362</v>
      </c>
    </row>
    <row r="5291" spans="1:37">
      <c r="A5291" t="s">
        <v>37</v>
      </c>
      <c r="B5291" t="s">
        <v>49</v>
      </c>
      <c r="C5291" t="s">
        <v>73</v>
      </c>
      <c r="D5291" t="s">
        <v>94</v>
      </c>
      <c r="E5291" t="s">
        <v>112</v>
      </c>
      <c r="F5291" t="s">
        <v>146</v>
      </c>
      <c r="G5291" t="s">
        <v>172</v>
      </c>
      <c r="H5291" t="s">
        <v>207</v>
      </c>
      <c r="I5291" t="s">
        <v>226</v>
      </c>
      <c r="J5291" t="s">
        <v>246</v>
      </c>
      <c r="K5291" t="s">
        <v>259</v>
      </c>
      <c r="AK5291" t="s">
        <v>362</v>
      </c>
    </row>
    <row r="5292" spans="1:37">
      <c r="A5292" t="s">
        <v>38</v>
      </c>
      <c r="B5292" t="s">
        <v>50</v>
      </c>
      <c r="C5292" t="s">
        <v>74</v>
      </c>
      <c r="D5292" t="s">
        <v>95</v>
      </c>
      <c r="E5292" t="s">
        <v>113</v>
      </c>
      <c r="F5292" t="s">
        <v>147</v>
      </c>
      <c r="G5292" t="s">
        <v>173</v>
      </c>
      <c r="H5292" t="s">
        <v>208</v>
      </c>
      <c r="I5292" t="s">
        <v>227</v>
      </c>
      <c r="J5292" t="s">
        <v>115</v>
      </c>
      <c r="K5292" t="s">
        <v>260</v>
      </c>
      <c r="L5292" t="s">
        <v>273</v>
      </c>
      <c r="M5292" t="s">
        <v>282</v>
      </c>
      <c r="N5292" t="s">
        <v>291</v>
      </c>
      <c r="AK5292" t="s">
        <v>362</v>
      </c>
    </row>
    <row r="5293" spans="1:37">
      <c r="B5293" t="s">
        <v>51</v>
      </c>
      <c r="C5293" t="s">
        <v>75</v>
      </c>
      <c r="D5293" t="s">
        <v>52</v>
      </c>
      <c r="E5293" t="s">
        <v>114</v>
      </c>
      <c r="F5293" t="s">
        <v>148</v>
      </c>
      <c r="G5293" t="s">
        <v>148</v>
      </c>
      <c r="H5293" t="s">
        <v>209</v>
      </c>
      <c r="I5293" t="s">
        <v>228</v>
      </c>
      <c r="J5293" t="s">
        <v>247</v>
      </c>
      <c r="K5293" t="s">
        <v>261</v>
      </c>
      <c r="L5293" t="s">
        <v>274</v>
      </c>
      <c r="M5293" t="s">
        <v>283</v>
      </c>
      <c r="N5293" t="s">
        <v>292</v>
      </c>
      <c r="O5293" t="s">
        <v>300</v>
      </c>
      <c r="AK5293" t="s">
        <v>362</v>
      </c>
    </row>
    <row r="5294" spans="1:37">
      <c r="B5294" t="s">
        <v>52</v>
      </c>
      <c r="C5294" t="s">
        <v>76</v>
      </c>
      <c r="D5294" t="s">
        <v>96</v>
      </c>
      <c r="E5294" t="s">
        <v>115</v>
      </c>
      <c r="F5294" t="s">
        <v>149</v>
      </c>
      <c r="G5294" t="s">
        <v>174</v>
      </c>
      <c r="H5294" t="s">
        <v>96</v>
      </c>
      <c r="I5294" t="s">
        <v>229</v>
      </c>
      <c r="J5294" t="s">
        <v>248</v>
      </c>
      <c r="K5294" t="s">
        <v>262</v>
      </c>
      <c r="L5294" t="s">
        <v>52</v>
      </c>
      <c r="M5294" t="s">
        <v>76</v>
      </c>
      <c r="N5294" t="s">
        <v>293</v>
      </c>
      <c r="O5294" t="s">
        <v>301</v>
      </c>
      <c r="P5294" t="s">
        <v>309</v>
      </c>
      <c r="Q5294" t="s">
        <v>315</v>
      </c>
      <c r="R5294" t="s">
        <v>228</v>
      </c>
      <c r="S5294" t="s">
        <v>328</v>
      </c>
      <c r="T5294" t="s">
        <v>149</v>
      </c>
      <c r="U5294" t="s">
        <v>337</v>
      </c>
      <c r="V5294" t="s">
        <v>341</v>
      </c>
      <c r="W5294" t="s">
        <v>345</v>
      </c>
      <c r="X5294" t="s">
        <v>350</v>
      </c>
      <c r="AK5294" t="s">
        <v>362</v>
      </c>
    </row>
    <row r="5295" spans="1:37">
      <c r="B5295" t="s">
        <v>53</v>
      </c>
      <c r="C5295" t="s">
        <v>77</v>
      </c>
      <c r="D5295" t="s">
        <v>97</v>
      </c>
      <c r="E5295" t="s">
        <v>116</v>
      </c>
      <c r="F5295" t="s">
        <v>150</v>
      </c>
      <c r="G5295" t="s">
        <v>175</v>
      </c>
      <c r="H5295" t="s">
        <v>210</v>
      </c>
      <c r="I5295" t="s">
        <v>230</v>
      </c>
      <c r="J5295" t="s">
        <v>249</v>
      </c>
      <c r="K5295" t="s">
        <v>263</v>
      </c>
      <c r="L5295" t="s">
        <v>275</v>
      </c>
      <c r="M5295" t="s">
        <v>284</v>
      </c>
      <c r="N5295" t="s">
        <v>294</v>
      </c>
      <c r="O5295" t="s">
        <v>302</v>
      </c>
      <c r="P5295" t="s">
        <v>310</v>
      </c>
      <c r="Q5295" t="s">
        <v>316</v>
      </c>
      <c r="R5295" t="s">
        <v>322</v>
      </c>
      <c r="S5295" t="s">
        <v>329</v>
      </c>
      <c r="AK5295" t="s">
        <v>362</v>
      </c>
    </row>
    <row r="5296" spans="1:37">
      <c r="A5296" t="s">
        <v>39</v>
      </c>
      <c r="B5296" t="s">
        <v>54</v>
      </c>
      <c r="C5296" t="s">
        <v>54</v>
      </c>
      <c r="D5296" t="s">
        <v>54</v>
      </c>
      <c r="E5296" t="s">
        <v>54</v>
      </c>
      <c r="F5296" t="s">
        <v>54</v>
      </c>
      <c r="G5296" t="s">
        <v>54</v>
      </c>
      <c r="H5296" t="s">
        <v>54</v>
      </c>
      <c r="I5296" t="s">
        <v>54</v>
      </c>
      <c r="J5296" t="s">
        <v>54</v>
      </c>
      <c r="K5296" t="s">
        <v>54</v>
      </c>
      <c r="L5296" t="s">
        <v>54</v>
      </c>
      <c r="M5296" t="s">
        <v>54</v>
      </c>
      <c r="N5296" t="s">
        <v>54</v>
      </c>
      <c r="O5296" t="s">
        <v>54</v>
      </c>
      <c r="P5296" t="s">
        <v>54</v>
      </c>
      <c r="Q5296" t="s">
        <v>54</v>
      </c>
      <c r="R5296" t="s">
        <v>323</v>
      </c>
      <c r="S5296" t="s">
        <v>330</v>
      </c>
      <c r="AK5296" t="s">
        <v>362</v>
      </c>
    </row>
    <row r="5297" spans="1:37">
      <c r="B5297" t="s">
        <v>55</v>
      </c>
      <c r="C5297" t="s">
        <v>78</v>
      </c>
      <c r="D5297" t="s">
        <v>55</v>
      </c>
      <c r="E5297" t="s">
        <v>78</v>
      </c>
      <c r="F5297" t="s">
        <v>55</v>
      </c>
      <c r="G5297" t="s">
        <v>78</v>
      </c>
      <c r="H5297" t="s">
        <v>55</v>
      </c>
      <c r="I5297" t="s">
        <v>78</v>
      </c>
      <c r="J5297" t="s">
        <v>55</v>
      </c>
      <c r="K5297" t="s">
        <v>78</v>
      </c>
      <c r="L5297" t="s">
        <v>55</v>
      </c>
      <c r="M5297" t="s">
        <v>78</v>
      </c>
      <c r="N5297" t="s">
        <v>55</v>
      </c>
      <c r="O5297" t="s">
        <v>78</v>
      </c>
      <c r="P5297" t="s">
        <v>55</v>
      </c>
      <c r="Q5297" t="s">
        <v>78</v>
      </c>
      <c r="R5297" t="s">
        <v>55</v>
      </c>
      <c r="S5297" t="s">
        <v>78</v>
      </c>
      <c r="T5297" t="s">
        <v>55</v>
      </c>
      <c r="U5297" t="s">
        <v>78</v>
      </c>
      <c r="V5297" t="s">
        <v>55</v>
      </c>
      <c r="W5297" t="s">
        <v>78</v>
      </c>
      <c r="X5297" t="s">
        <v>55</v>
      </c>
      <c r="Y5297" t="s">
        <v>78</v>
      </c>
      <c r="Z5297" t="s">
        <v>55</v>
      </c>
      <c r="AA5297" t="s">
        <v>78</v>
      </c>
      <c r="AB5297" t="s">
        <v>55</v>
      </c>
      <c r="AC5297" t="s">
        <v>78</v>
      </c>
      <c r="AD5297" t="s">
        <v>55</v>
      </c>
      <c r="AE5297" t="s">
        <v>78</v>
      </c>
      <c r="AF5297" t="s">
        <v>55</v>
      </c>
      <c r="AG5297" t="s">
        <v>78</v>
      </c>
      <c r="AH5297" t="s">
        <v>55</v>
      </c>
      <c r="AI5297" t="s">
        <v>78</v>
      </c>
      <c r="AK5297" t="s">
        <v>362</v>
      </c>
    </row>
    <row r="5298" spans="1:37">
      <c r="B5298" t="s">
        <v>56</v>
      </c>
      <c r="C5298" t="s">
        <v>56</v>
      </c>
      <c r="D5298" t="s">
        <v>56</v>
      </c>
      <c r="E5298" t="s">
        <v>56</v>
      </c>
      <c r="F5298" t="s">
        <v>56</v>
      </c>
      <c r="G5298" t="s">
        <v>176</v>
      </c>
      <c r="H5298" t="s">
        <v>211</v>
      </c>
      <c r="I5298" t="s">
        <v>231</v>
      </c>
      <c r="J5298" t="s">
        <v>250</v>
      </c>
      <c r="K5298" t="s">
        <v>264</v>
      </c>
      <c r="L5298" t="s">
        <v>276</v>
      </c>
      <c r="M5298" t="s">
        <v>285</v>
      </c>
      <c r="N5298" t="s">
        <v>295</v>
      </c>
      <c r="O5298" t="s">
        <v>303</v>
      </c>
      <c r="P5298" t="s">
        <v>56</v>
      </c>
      <c r="Q5298" t="s">
        <v>317</v>
      </c>
      <c r="R5298" t="s">
        <v>324</v>
      </c>
      <c r="S5298" t="s">
        <v>331</v>
      </c>
      <c r="T5298" t="s">
        <v>334</v>
      </c>
      <c r="U5298" t="s">
        <v>338</v>
      </c>
      <c r="V5298" t="s">
        <v>342</v>
      </c>
      <c r="W5298" t="s">
        <v>346</v>
      </c>
      <c r="X5298" t="s">
        <v>351</v>
      </c>
      <c r="AK5298" t="s">
        <v>362</v>
      </c>
    </row>
    <row r="5299" spans="1:37">
      <c r="B5299" t="s">
        <v>57</v>
      </c>
      <c r="C5299" t="s">
        <v>79</v>
      </c>
      <c r="D5299" t="s">
        <v>98</v>
      </c>
      <c r="E5299" t="s">
        <v>117</v>
      </c>
      <c r="F5299" t="s">
        <v>151</v>
      </c>
      <c r="G5299" t="s">
        <v>177</v>
      </c>
      <c r="H5299" t="s">
        <v>212</v>
      </c>
      <c r="I5299" t="s">
        <v>232</v>
      </c>
      <c r="J5299" t="s">
        <v>251</v>
      </c>
      <c r="K5299" t="s">
        <v>265</v>
      </c>
      <c r="L5299" t="s">
        <v>277</v>
      </c>
      <c r="M5299" t="s">
        <v>286</v>
      </c>
      <c r="N5299" t="s">
        <v>296</v>
      </c>
      <c r="O5299" t="s">
        <v>304</v>
      </c>
      <c r="P5299" t="s">
        <v>311</v>
      </c>
      <c r="Q5299" t="s">
        <v>318</v>
      </c>
      <c r="R5299" t="s">
        <v>185</v>
      </c>
      <c r="S5299" t="s">
        <v>159</v>
      </c>
      <c r="T5299" t="s">
        <v>185</v>
      </c>
      <c r="U5299" t="s">
        <v>339</v>
      </c>
      <c r="V5299" t="s">
        <v>72</v>
      </c>
      <c r="W5299" t="s">
        <v>347</v>
      </c>
      <c r="X5299" t="s">
        <v>72</v>
      </c>
      <c r="Y5299" t="s">
        <v>96</v>
      </c>
      <c r="AK5299" t="s">
        <v>362</v>
      </c>
    </row>
    <row r="5300" spans="1:37">
      <c r="B5300" t="s">
        <v>58</v>
      </c>
      <c r="C5300" t="s">
        <v>80</v>
      </c>
      <c r="D5300" t="s">
        <v>99</v>
      </c>
      <c r="E5300" t="s">
        <v>118</v>
      </c>
      <c r="F5300" t="s">
        <v>152</v>
      </c>
      <c r="G5300" t="s">
        <v>178</v>
      </c>
      <c r="H5300" t="s">
        <v>213</v>
      </c>
      <c r="I5300" t="s">
        <v>233</v>
      </c>
      <c r="J5300" t="s">
        <v>252</v>
      </c>
      <c r="K5300" t="s">
        <v>266</v>
      </c>
      <c r="L5300" t="s">
        <v>278</v>
      </c>
      <c r="M5300" t="s">
        <v>287</v>
      </c>
      <c r="N5300" t="s">
        <v>297</v>
      </c>
      <c r="O5300" t="s">
        <v>305</v>
      </c>
      <c r="P5300" t="s">
        <v>312</v>
      </c>
      <c r="Q5300" t="s">
        <v>319</v>
      </c>
      <c r="R5300">
        <f>&gt;10       ветра      1.3     13   9 26</f>
        <v>0</v>
      </c>
      <c r="AK5300" t="s">
        <v>362</v>
      </c>
    </row>
    <row r="5301" spans="1:37">
      <c r="A5301" t="s">
        <v>40</v>
      </c>
      <c r="B5301" t="s">
        <v>59</v>
      </c>
      <c r="C5301" t="s">
        <v>81</v>
      </c>
      <c r="D5301" t="s">
        <v>100</v>
      </c>
      <c r="E5301" t="s">
        <v>119</v>
      </c>
      <c r="F5301" t="s">
        <v>153</v>
      </c>
      <c r="G5301" t="s">
        <v>179</v>
      </c>
      <c r="H5301" t="s">
        <v>214</v>
      </c>
      <c r="I5301" t="s">
        <v>234</v>
      </c>
      <c r="AK5301" t="s">
        <v>362</v>
      </c>
    </row>
    <row r="5302" spans="1:37">
      <c r="A5302" t="s">
        <v>40</v>
      </c>
      <c r="B5302" t="s">
        <v>60</v>
      </c>
      <c r="C5302" t="s">
        <v>82</v>
      </c>
      <c r="D5302" t="s">
        <v>101</v>
      </c>
      <c r="E5302" t="s">
        <v>120</v>
      </c>
      <c r="F5302" t="s">
        <v>154</v>
      </c>
      <c r="G5302" t="s">
        <v>180</v>
      </c>
      <c r="H5302" t="s">
        <v>215</v>
      </c>
      <c r="I5302" t="s">
        <v>235</v>
      </c>
      <c r="J5302" t="s">
        <v>253</v>
      </c>
      <c r="K5302" t="s">
        <v>267</v>
      </c>
      <c r="L5302" t="s">
        <v>279</v>
      </c>
      <c r="M5302" t="s">
        <v>288</v>
      </c>
      <c r="N5302" t="s">
        <v>100</v>
      </c>
      <c r="O5302" t="s">
        <v>306</v>
      </c>
      <c r="P5302" t="s">
        <v>313</v>
      </c>
      <c r="Q5302" t="s">
        <v>320</v>
      </c>
      <c r="R5302" t="s">
        <v>325</v>
      </c>
      <c r="S5302" t="s">
        <v>332</v>
      </c>
      <c r="T5302" t="s">
        <v>119</v>
      </c>
      <c r="U5302" t="s">
        <v>234</v>
      </c>
      <c r="V5302" t="s">
        <v>343</v>
      </c>
      <c r="W5302" t="s">
        <v>348</v>
      </c>
      <c r="X5302" t="s">
        <v>352</v>
      </c>
      <c r="Y5302" t="s">
        <v>354</v>
      </c>
      <c r="AK5302" t="s">
        <v>362</v>
      </c>
    </row>
    <row r="5303" spans="1:37">
      <c r="A5303" t="s">
        <v>41</v>
      </c>
      <c r="B5303" t="s">
        <v>61</v>
      </c>
      <c r="C5303" t="s">
        <v>83</v>
      </c>
      <c r="D5303" t="s">
        <v>102</v>
      </c>
      <c r="E5303" t="s">
        <v>121</v>
      </c>
      <c r="F5303" t="s">
        <v>155</v>
      </c>
      <c r="G5303" t="s">
        <v>181</v>
      </c>
      <c r="H5303" t="s">
        <v>216</v>
      </c>
      <c r="I5303" t="s">
        <v>236</v>
      </c>
      <c r="AK5303" t="s">
        <v>362</v>
      </c>
    </row>
    <row r="5304" spans="1:37">
      <c r="A5304" t="s">
        <v>42</v>
      </c>
      <c r="B5304" t="s">
        <v>62</v>
      </c>
      <c r="C5304" t="s">
        <v>84</v>
      </c>
      <c r="D5304" t="s">
        <v>103</v>
      </c>
      <c r="E5304" t="s">
        <v>122</v>
      </c>
      <c r="F5304" t="s">
        <v>156</v>
      </c>
      <c r="G5304" t="s">
        <v>182</v>
      </c>
      <c r="H5304" t="s">
        <v>83</v>
      </c>
      <c r="I5304" t="s">
        <v>237</v>
      </c>
      <c r="J5304" t="s">
        <v>254</v>
      </c>
      <c r="K5304" t="s">
        <v>268</v>
      </c>
      <c r="L5304" t="s">
        <v>280</v>
      </c>
      <c r="M5304" t="s">
        <v>289</v>
      </c>
      <c r="N5304" t="s">
        <v>298</v>
      </c>
      <c r="O5304" t="s">
        <v>307</v>
      </c>
      <c r="P5304" t="s">
        <v>314</v>
      </c>
      <c r="Q5304" t="s">
        <v>216</v>
      </c>
      <c r="R5304" t="s">
        <v>326</v>
      </c>
      <c r="S5304" t="s">
        <v>333</v>
      </c>
      <c r="T5304" t="s">
        <v>335</v>
      </c>
      <c r="U5304" t="s">
        <v>340</v>
      </c>
      <c r="V5304" t="s">
        <v>344</v>
      </c>
      <c r="W5304" t="s">
        <v>349</v>
      </c>
      <c r="AK5304" t="s">
        <v>362</v>
      </c>
    </row>
    <row r="5305" spans="1:37">
      <c r="A5305" t="s">
        <v>43</v>
      </c>
      <c r="B5305" t="s">
        <v>63</v>
      </c>
      <c r="C5305" t="s">
        <v>85</v>
      </c>
      <c r="D5305" t="s">
        <v>104</v>
      </c>
      <c r="E5305" t="s">
        <v>123</v>
      </c>
      <c r="F5305" t="s">
        <v>157</v>
      </c>
      <c r="G5305" t="s">
        <v>183</v>
      </c>
      <c r="AK5305" t="s">
        <v>362</v>
      </c>
    </row>
    <row r="5306" spans="1:37">
      <c r="A5306" t="s">
        <v>44</v>
      </c>
      <c r="B5306" t="s">
        <v>64</v>
      </c>
      <c r="C5306" t="s">
        <v>86</v>
      </c>
      <c r="D5306" t="s">
        <v>105</v>
      </c>
      <c r="E5306" t="s">
        <v>124</v>
      </c>
      <c r="F5306" t="s">
        <v>158</v>
      </c>
      <c r="G5306" t="s">
        <v>184</v>
      </c>
      <c r="AK5306" t="s">
        <v>362</v>
      </c>
    </row>
    <row r="5307" spans="1:37">
      <c r="A5307" t="s">
        <v>45</v>
      </c>
      <c r="B5307" t="s">
        <v>65</v>
      </c>
      <c r="C5307" t="s">
        <v>87</v>
      </c>
      <c r="D5307" t="s">
        <v>106</v>
      </c>
      <c r="E5307" t="s">
        <v>125</v>
      </c>
      <c r="F5307" t="s">
        <v>159</v>
      </c>
      <c r="G5307" t="s">
        <v>185</v>
      </c>
      <c r="H5307" t="s">
        <v>159</v>
      </c>
      <c r="I5307" t="s">
        <v>185</v>
      </c>
      <c r="J5307" t="s">
        <v>255</v>
      </c>
      <c r="AK5307" t="s">
        <v>362</v>
      </c>
    </row>
    <row r="5308" spans="1:37">
      <c r="A5308" t="s">
        <v>46</v>
      </c>
      <c r="B5308" t="s">
        <v>66</v>
      </c>
      <c r="C5308" t="s">
        <v>88</v>
      </c>
      <c r="D5308" t="s">
        <v>76</v>
      </c>
      <c r="E5308" t="s">
        <v>126</v>
      </c>
      <c r="F5308" t="s">
        <v>160</v>
      </c>
      <c r="G5308" t="s">
        <v>186</v>
      </c>
      <c r="H5308" t="s">
        <v>217</v>
      </c>
      <c r="I5308" t="s">
        <v>238</v>
      </c>
      <c r="J5308" t="s">
        <v>256</v>
      </c>
      <c r="K5308" t="s">
        <v>265</v>
      </c>
      <c r="L5308" t="s">
        <v>281</v>
      </c>
      <c r="M5308" t="s">
        <v>290</v>
      </c>
      <c r="N5308" t="s">
        <v>299</v>
      </c>
      <c r="O5308" t="s">
        <v>308</v>
      </c>
      <c r="P5308" t="s">
        <v>228</v>
      </c>
      <c r="Q5308" t="s">
        <v>72</v>
      </c>
      <c r="R5308" t="s">
        <v>327</v>
      </c>
      <c r="S5308" t="s">
        <v>327</v>
      </c>
      <c r="T5308" t="s">
        <v>336</v>
      </c>
      <c r="U5308" t="s">
        <v>336</v>
      </c>
      <c r="V5308" t="s">
        <v>336</v>
      </c>
      <c r="W5308" t="s">
        <v>336</v>
      </c>
      <c r="X5308" t="s">
        <v>353</v>
      </c>
      <c r="AK5308" t="s">
        <v>362</v>
      </c>
    </row>
    <row r="5309" spans="1:37">
      <c r="B5309" t="s">
        <v>67</v>
      </c>
      <c r="C5309" t="s">
        <v>89</v>
      </c>
      <c r="D5309" t="s">
        <v>107</v>
      </c>
      <c r="AK5309" t="s">
        <v>362</v>
      </c>
    </row>
    <row r="5310" spans="1:37">
      <c r="B5310" t="s">
        <v>68</v>
      </c>
      <c r="C5310" t="s">
        <v>90</v>
      </c>
      <c r="D5310" t="s">
        <v>108</v>
      </c>
      <c r="AK5310" t="s">
        <v>362</v>
      </c>
    </row>
    <row r="5311" spans="1:37">
      <c r="A5311" t="s">
        <v>47</v>
      </c>
      <c r="B5311" t="s">
        <v>69</v>
      </c>
      <c r="C5311" t="s">
        <v>91</v>
      </c>
      <c r="D5311" t="s">
        <v>109</v>
      </c>
      <c r="E5311" t="s">
        <v>109</v>
      </c>
      <c r="F5311" t="s">
        <v>109</v>
      </c>
      <c r="G5311" t="s">
        <v>109</v>
      </c>
      <c r="H5311" t="s">
        <v>109</v>
      </c>
      <c r="I5311" t="s">
        <v>239</v>
      </c>
      <c r="AK5311" t="s">
        <v>362</v>
      </c>
    </row>
    <row r="5312" spans="1:37">
      <c r="B5312" t="s">
        <v>70</v>
      </c>
      <c r="C5312" t="s">
        <v>92</v>
      </c>
      <c r="D5312" t="s">
        <v>110</v>
      </c>
      <c r="E5312" t="s">
        <v>127</v>
      </c>
      <c r="F5312" t="s">
        <v>161</v>
      </c>
      <c r="G5312" t="s">
        <v>187</v>
      </c>
      <c r="H5312" t="s">
        <v>218</v>
      </c>
      <c r="AK5312" t="s">
        <v>362</v>
      </c>
    </row>
    <row r="5313" spans="1:37">
      <c r="B5313" t="s">
        <v>71</v>
      </c>
      <c r="C5313" t="s">
        <v>93</v>
      </c>
      <c r="D5313" t="s">
        <v>111</v>
      </c>
      <c r="E5313" t="s">
        <v>128</v>
      </c>
      <c r="F5313" t="s">
        <v>162</v>
      </c>
      <c r="G5313" t="s">
        <v>188</v>
      </c>
      <c r="H5313" t="s">
        <v>219</v>
      </c>
      <c r="I5313" t="s">
        <v>240</v>
      </c>
      <c r="J5313" t="s">
        <v>257</v>
      </c>
      <c r="K5313" t="s">
        <v>269</v>
      </c>
      <c r="L5313" t="s">
        <v>109</v>
      </c>
      <c r="M5313" t="s">
        <v>109</v>
      </c>
      <c r="N5313" t="s">
        <v>109</v>
      </c>
      <c r="O5313" t="s">
        <v>109</v>
      </c>
      <c r="P5313" t="s">
        <v>109</v>
      </c>
      <c r="Q5313" t="s">
        <v>321</v>
      </c>
      <c r="AK5313" t="s">
        <v>362</v>
      </c>
    </row>
    <row r="5314" spans="1:37">
      <c r="A5314" t="s">
        <v>48</v>
      </c>
      <c r="B5314" t="s">
        <v>71</v>
      </c>
      <c r="C5314" t="s">
        <v>93</v>
      </c>
      <c r="D5314" t="s">
        <v>111</v>
      </c>
      <c r="E5314" t="s">
        <v>128</v>
      </c>
      <c r="F5314" t="s">
        <v>163</v>
      </c>
      <c r="G5314" t="s">
        <v>189</v>
      </c>
      <c r="H5314" t="s">
        <v>220</v>
      </c>
      <c r="I5314" t="s">
        <v>241</v>
      </c>
      <c r="J5314" t="s">
        <v>258</v>
      </c>
      <c r="K5314" t="s">
        <v>270</v>
      </c>
      <c r="AK5314" t="s">
        <v>362</v>
      </c>
    </row>
    <row r="5315" spans="1:37">
      <c r="B5315" t="s">
        <v>72</v>
      </c>
      <c r="C5315" t="s">
        <v>72</v>
      </c>
      <c r="D5315" t="s">
        <v>72</v>
      </c>
      <c r="E5315" t="s">
        <v>72</v>
      </c>
      <c r="F5315" t="s">
        <v>72</v>
      </c>
      <c r="G5315" t="s">
        <v>72</v>
      </c>
      <c r="H5315" t="s">
        <v>72</v>
      </c>
      <c r="I5315" t="s">
        <v>72</v>
      </c>
      <c r="J5315" t="s">
        <v>72</v>
      </c>
      <c r="K5315" t="s">
        <v>272</v>
      </c>
      <c r="AK5315" t="s">
        <v>362</v>
      </c>
    </row>
    <row r="5316" spans="1:37">
      <c r="A5316" t="s">
        <v>37</v>
      </c>
      <c r="B5316" t="s">
        <v>49</v>
      </c>
      <c r="C5316" t="s">
        <v>73</v>
      </c>
      <c r="D5316" t="s">
        <v>94</v>
      </c>
      <c r="E5316" t="s">
        <v>112</v>
      </c>
      <c r="F5316" t="s">
        <v>146</v>
      </c>
      <c r="G5316" t="s">
        <v>172</v>
      </c>
      <c r="H5316" t="s">
        <v>207</v>
      </c>
      <c r="I5316" t="s">
        <v>226</v>
      </c>
      <c r="J5316" t="s">
        <v>246</v>
      </c>
      <c r="K5316" t="s">
        <v>259</v>
      </c>
      <c r="AK5316" t="s">
        <v>362</v>
      </c>
    </row>
    <row r="5317" spans="1:37">
      <c r="A5317" t="s">
        <v>38</v>
      </c>
      <c r="B5317" t="s">
        <v>50</v>
      </c>
      <c r="C5317" t="s">
        <v>74</v>
      </c>
      <c r="D5317" t="s">
        <v>95</v>
      </c>
      <c r="E5317" t="s">
        <v>113</v>
      </c>
      <c r="F5317" t="s">
        <v>147</v>
      </c>
      <c r="G5317" t="s">
        <v>173</v>
      </c>
      <c r="H5317" t="s">
        <v>208</v>
      </c>
      <c r="I5317" t="s">
        <v>227</v>
      </c>
      <c r="J5317" t="s">
        <v>115</v>
      </c>
      <c r="K5317" t="s">
        <v>260</v>
      </c>
      <c r="L5317" t="s">
        <v>273</v>
      </c>
      <c r="M5317" t="s">
        <v>282</v>
      </c>
      <c r="N5317" t="s">
        <v>291</v>
      </c>
      <c r="AK5317" t="s">
        <v>362</v>
      </c>
    </row>
    <row r="5318" spans="1:37">
      <c r="B5318" t="s">
        <v>51</v>
      </c>
      <c r="C5318" t="s">
        <v>75</v>
      </c>
      <c r="D5318" t="s">
        <v>52</v>
      </c>
      <c r="E5318" t="s">
        <v>114</v>
      </c>
      <c r="F5318" t="s">
        <v>148</v>
      </c>
      <c r="G5318" t="s">
        <v>148</v>
      </c>
      <c r="H5318" t="s">
        <v>209</v>
      </c>
      <c r="I5318" t="s">
        <v>228</v>
      </c>
      <c r="J5318" t="s">
        <v>247</v>
      </c>
      <c r="K5318" t="s">
        <v>261</v>
      </c>
      <c r="L5318" t="s">
        <v>274</v>
      </c>
      <c r="M5318" t="s">
        <v>283</v>
      </c>
      <c r="N5318" t="s">
        <v>292</v>
      </c>
      <c r="O5318" t="s">
        <v>300</v>
      </c>
      <c r="AK5318" t="s">
        <v>362</v>
      </c>
    </row>
    <row r="5319" spans="1:37">
      <c r="B5319" t="s">
        <v>52</v>
      </c>
      <c r="C5319" t="s">
        <v>76</v>
      </c>
      <c r="D5319" t="s">
        <v>96</v>
      </c>
      <c r="E5319" t="s">
        <v>115</v>
      </c>
      <c r="F5319" t="s">
        <v>149</v>
      </c>
      <c r="G5319" t="s">
        <v>174</v>
      </c>
      <c r="H5319" t="s">
        <v>96</v>
      </c>
      <c r="I5319" t="s">
        <v>229</v>
      </c>
      <c r="J5319" t="s">
        <v>248</v>
      </c>
      <c r="K5319" t="s">
        <v>262</v>
      </c>
      <c r="L5319" t="s">
        <v>52</v>
      </c>
      <c r="M5319" t="s">
        <v>76</v>
      </c>
      <c r="N5319" t="s">
        <v>293</v>
      </c>
      <c r="O5319" t="s">
        <v>301</v>
      </c>
      <c r="P5319" t="s">
        <v>309</v>
      </c>
      <c r="Q5319" t="s">
        <v>315</v>
      </c>
      <c r="R5319" t="s">
        <v>228</v>
      </c>
      <c r="S5319" t="s">
        <v>328</v>
      </c>
      <c r="T5319" t="s">
        <v>149</v>
      </c>
      <c r="U5319" t="s">
        <v>337</v>
      </c>
      <c r="V5319" t="s">
        <v>341</v>
      </c>
      <c r="W5319" t="s">
        <v>345</v>
      </c>
      <c r="X5319" t="s">
        <v>350</v>
      </c>
      <c r="AK5319" t="s">
        <v>362</v>
      </c>
    </row>
    <row r="5320" spans="1:37">
      <c r="B5320" t="s">
        <v>53</v>
      </c>
      <c r="C5320" t="s">
        <v>77</v>
      </c>
      <c r="D5320" t="s">
        <v>97</v>
      </c>
      <c r="E5320" t="s">
        <v>116</v>
      </c>
      <c r="F5320" t="s">
        <v>150</v>
      </c>
      <c r="G5320" t="s">
        <v>175</v>
      </c>
      <c r="H5320" t="s">
        <v>210</v>
      </c>
      <c r="I5320" t="s">
        <v>230</v>
      </c>
      <c r="J5320" t="s">
        <v>249</v>
      </c>
      <c r="K5320" t="s">
        <v>263</v>
      </c>
      <c r="L5320" t="s">
        <v>275</v>
      </c>
      <c r="M5320" t="s">
        <v>284</v>
      </c>
      <c r="N5320" t="s">
        <v>294</v>
      </c>
      <c r="O5320" t="s">
        <v>302</v>
      </c>
      <c r="P5320" t="s">
        <v>310</v>
      </c>
      <c r="Q5320" t="s">
        <v>316</v>
      </c>
      <c r="R5320" t="s">
        <v>322</v>
      </c>
      <c r="S5320" t="s">
        <v>329</v>
      </c>
      <c r="AK5320" t="s">
        <v>362</v>
      </c>
    </row>
    <row r="5321" spans="1:37">
      <c r="A5321" t="s">
        <v>39</v>
      </c>
      <c r="B5321" t="s">
        <v>54</v>
      </c>
      <c r="C5321" t="s">
        <v>54</v>
      </c>
      <c r="D5321" t="s">
        <v>54</v>
      </c>
      <c r="E5321" t="s">
        <v>54</v>
      </c>
      <c r="F5321" t="s">
        <v>54</v>
      </c>
      <c r="G5321" t="s">
        <v>54</v>
      </c>
      <c r="H5321" t="s">
        <v>54</v>
      </c>
      <c r="I5321" t="s">
        <v>54</v>
      </c>
      <c r="J5321" t="s">
        <v>54</v>
      </c>
      <c r="K5321" t="s">
        <v>54</v>
      </c>
      <c r="L5321" t="s">
        <v>54</v>
      </c>
      <c r="M5321" t="s">
        <v>54</v>
      </c>
      <c r="N5321" t="s">
        <v>54</v>
      </c>
      <c r="O5321" t="s">
        <v>54</v>
      </c>
      <c r="P5321" t="s">
        <v>54</v>
      </c>
      <c r="Q5321" t="s">
        <v>54</v>
      </c>
      <c r="R5321" t="s">
        <v>323</v>
      </c>
      <c r="S5321" t="s">
        <v>330</v>
      </c>
      <c r="AK5321" t="s">
        <v>362</v>
      </c>
    </row>
    <row r="5322" spans="1:37">
      <c r="B5322" t="s">
        <v>55</v>
      </c>
      <c r="C5322" t="s">
        <v>78</v>
      </c>
      <c r="D5322" t="s">
        <v>55</v>
      </c>
      <c r="E5322" t="s">
        <v>78</v>
      </c>
      <c r="F5322" t="s">
        <v>55</v>
      </c>
      <c r="G5322" t="s">
        <v>78</v>
      </c>
      <c r="H5322" t="s">
        <v>55</v>
      </c>
      <c r="I5322" t="s">
        <v>78</v>
      </c>
      <c r="J5322" t="s">
        <v>55</v>
      </c>
      <c r="K5322" t="s">
        <v>78</v>
      </c>
      <c r="L5322" t="s">
        <v>55</v>
      </c>
      <c r="M5322" t="s">
        <v>78</v>
      </c>
      <c r="N5322" t="s">
        <v>55</v>
      </c>
      <c r="O5322" t="s">
        <v>78</v>
      </c>
      <c r="P5322" t="s">
        <v>55</v>
      </c>
      <c r="Q5322" t="s">
        <v>78</v>
      </c>
      <c r="R5322" t="s">
        <v>55</v>
      </c>
      <c r="S5322" t="s">
        <v>78</v>
      </c>
      <c r="T5322" t="s">
        <v>55</v>
      </c>
      <c r="U5322" t="s">
        <v>78</v>
      </c>
      <c r="V5322" t="s">
        <v>55</v>
      </c>
      <c r="W5322" t="s">
        <v>78</v>
      </c>
      <c r="X5322" t="s">
        <v>55</v>
      </c>
      <c r="Y5322" t="s">
        <v>78</v>
      </c>
      <c r="Z5322" t="s">
        <v>55</v>
      </c>
      <c r="AA5322" t="s">
        <v>78</v>
      </c>
      <c r="AB5322" t="s">
        <v>55</v>
      </c>
      <c r="AC5322" t="s">
        <v>78</v>
      </c>
      <c r="AD5322" t="s">
        <v>55</v>
      </c>
      <c r="AE5322" t="s">
        <v>78</v>
      </c>
      <c r="AF5322" t="s">
        <v>55</v>
      </c>
      <c r="AG5322" t="s">
        <v>78</v>
      </c>
      <c r="AH5322" t="s">
        <v>55</v>
      </c>
      <c r="AI5322" t="s">
        <v>78</v>
      </c>
      <c r="AK5322" t="s">
        <v>362</v>
      </c>
    </row>
    <row r="5323" spans="1:37">
      <c r="B5323" t="s">
        <v>56</v>
      </c>
      <c r="C5323" t="s">
        <v>56</v>
      </c>
      <c r="D5323" t="s">
        <v>56</v>
      </c>
      <c r="E5323" t="s">
        <v>56</v>
      </c>
      <c r="F5323" t="s">
        <v>56</v>
      </c>
      <c r="G5323" t="s">
        <v>176</v>
      </c>
      <c r="H5323" t="s">
        <v>211</v>
      </c>
      <c r="I5323" t="s">
        <v>231</v>
      </c>
      <c r="J5323" t="s">
        <v>250</v>
      </c>
      <c r="K5323" t="s">
        <v>264</v>
      </c>
      <c r="L5323" t="s">
        <v>276</v>
      </c>
      <c r="M5323" t="s">
        <v>285</v>
      </c>
      <c r="N5323" t="s">
        <v>295</v>
      </c>
      <c r="O5323" t="s">
        <v>303</v>
      </c>
      <c r="P5323" t="s">
        <v>56</v>
      </c>
      <c r="Q5323" t="s">
        <v>317</v>
      </c>
      <c r="R5323" t="s">
        <v>324</v>
      </c>
      <c r="S5323" t="s">
        <v>331</v>
      </c>
      <c r="T5323" t="s">
        <v>334</v>
      </c>
      <c r="U5323" t="s">
        <v>338</v>
      </c>
      <c r="V5323" t="s">
        <v>342</v>
      </c>
      <c r="W5323" t="s">
        <v>346</v>
      </c>
      <c r="X5323" t="s">
        <v>351</v>
      </c>
      <c r="AK5323" t="s">
        <v>362</v>
      </c>
    </row>
    <row r="5324" spans="1:37">
      <c r="B5324" t="s">
        <v>57</v>
      </c>
      <c r="C5324" t="s">
        <v>79</v>
      </c>
      <c r="D5324" t="s">
        <v>98</v>
      </c>
      <c r="E5324" t="s">
        <v>117</v>
      </c>
      <c r="F5324" t="s">
        <v>151</v>
      </c>
      <c r="G5324" t="s">
        <v>177</v>
      </c>
      <c r="H5324" t="s">
        <v>212</v>
      </c>
      <c r="I5324" t="s">
        <v>232</v>
      </c>
      <c r="J5324" t="s">
        <v>251</v>
      </c>
      <c r="K5324" t="s">
        <v>265</v>
      </c>
      <c r="L5324" t="s">
        <v>277</v>
      </c>
      <c r="M5324" t="s">
        <v>286</v>
      </c>
      <c r="N5324" t="s">
        <v>296</v>
      </c>
      <c r="O5324" t="s">
        <v>304</v>
      </c>
      <c r="P5324" t="s">
        <v>311</v>
      </c>
      <c r="Q5324" t="s">
        <v>318</v>
      </c>
      <c r="R5324" t="s">
        <v>185</v>
      </c>
      <c r="S5324" t="s">
        <v>159</v>
      </c>
      <c r="T5324" t="s">
        <v>185</v>
      </c>
      <c r="U5324" t="s">
        <v>339</v>
      </c>
      <c r="V5324" t="s">
        <v>72</v>
      </c>
      <c r="W5324" t="s">
        <v>347</v>
      </c>
      <c r="X5324" t="s">
        <v>72</v>
      </c>
      <c r="Y5324" t="s">
        <v>96</v>
      </c>
      <c r="AK5324" t="s">
        <v>362</v>
      </c>
    </row>
    <row r="5325" spans="1:37">
      <c r="B5325" t="s">
        <v>58</v>
      </c>
      <c r="C5325" t="s">
        <v>80</v>
      </c>
      <c r="D5325" t="s">
        <v>99</v>
      </c>
      <c r="E5325" t="s">
        <v>118</v>
      </c>
      <c r="F5325" t="s">
        <v>152</v>
      </c>
      <c r="G5325" t="s">
        <v>178</v>
      </c>
      <c r="H5325" t="s">
        <v>213</v>
      </c>
      <c r="I5325" t="s">
        <v>233</v>
      </c>
      <c r="J5325" t="s">
        <v>252</v>
      </c>
      <c r="K5325" t="s">
        <v>266</v>
      </c>
      <c r="L5325" t="s">
        <v>278</v>
      </c>
      <c r="M5325" t="s">
        <v>287</v>
      </c>
      <c r="N5325" t="s">
        <v>297</v>
      </c>
      <c r="O5325" t="s">
        <v>305</v>
      </c>
      <c r="P5325" t="s">
        <v>312</v>
      </c>
      <c r="Q5325" t="s">
        <v>319</v>
      </c>
      <c r="R5325">
        <f>&gt;10       ветра      1.6     15  10</f>
        <v>0</v>
      </c>
      <c r="AK5325" t="s">
        <v>362</v>
      </c>
    </row>
    <row r="5326" spans="1:37">
      <c r="A5326" t="s">
        <v>40</v>
      </c>
      <c r="B5326" t="s">
        <v>59</v>
      </c>
      <c r="C5326" t="s">
        <v>81</v>
      </c>
      <c r="D5326" t="s">
        <v>100</v>
      </c>
      <c r="E5326" t="s">
        <v>119</v>
      </c>
      <c r="F5326" t="s">
        <v>153</v>
      </c>
      <c r="G5326" t="s">
        <v>179</v>
      </c>
      <c r="H5326" t="s">
        <v>214</v>
      </c>
      <c r="I5326" t="s">
        <v>234</v>
      </c>
      <c r="AK5326" t="s">
        <v>362</v>
      </c>
    </row>
    <row r="5327" spans="1:37">
      <c r="A5327" t="s">
        <v>40</v>
      </c>
      <c r="B5327" t="s">
        <v>60</v>
      </c>
      <c r="C5327" t="s">
        <v>82</v>
      </c>
      <c r="D5327" t="s">
        <v>101</v>
      </c>
      <c r="E5327" t="s">
        <v>120</v>
      </c>
      <c r="F5327" t="s">
        <v>154</v>
      </c>
      <c r="G5327" t="s">
        <v>180</v>
      </c>
      <c r="H5327" t="s">
        <v>215</v>
      </c>
      <c r="I5327" t="s">
        <v>235</v>
      </c>
      <c r="J5327" t="s">
        <v>253</v>
      </c>
      <c r="K5327" t="s">
        <v>267</v>
      </c>
      <c r="L5327" t="s">
        <v>279</v>
      </c>
      <c r="M5327" t="s">
        <v>288</v>
      </c>
      <c r="N5327" t="s">
        <v>100</v>
      </c>
      <c r="O5327" t="s">
        <v>306</v>
      </c>
      <c r="P5327" t="s">
        <v>313</v>
      </c>
      <c r="Q5327" t="s">
        <v>320</v>
      </c>
      <c r="R5327" t="s">
        <v>325</v>
      </c>
      <c r="S5327" t="s">
        <v>332</v>
      </c>
      <c r="T5327" t="s">
        <v>119</v>
      </c>
      <c r="U5327" t="s">
        <v>234</v>
      </c>
      <c r="V5327" t="s">
        <v>343</v>
      </c>
      <c r="W5327" t="s">
        <v>348</v>
      </c>
      <c r="X5327" t="s">
        <v>352</v>
      </c>
      <c r="Y5327" t="s">
        <v>354</v>
      </c>
      <c r="AK5327" t="s">
        <v>362</v>
      </c>
    </row>
    <row r="5328" spans="1:37">
      <c r="A5328" t="s">
        <v>41</v>
      </c>
      <c r="B5328" t="s">
        <v>61</v>
      </c>
      <c r="C5328" t="s">
        <v>83</v>
      </c>
      <c r="D5328" t="s">
        <v>102</v>
      </c>
      <c r="E5328" t="s">
        <v>121</v>
      </c>
      <c r="F5328" t="s">
        <v>155</v>
      </c>
      <c r="G5328" t="s">
        <v>181</v>
      </c>
      <c r="H5328" t="s">
        <v>216</v>
      </c>
      <c r="I5328" t="s">
        <v>236</v>
      </c>
      <c r="AK5328" t="s">
        <v>362</v>
      </c>
    </row>
    <row r="5329" spans="1:37">
      <c r="A5329" t="s">
        <v>42</v>
      </c>
      <c r="B5329" t="s">
        <v>62</v>
      </c>
      <c r="C5329" t="s">
        <v>84</v>
      </c>
      <c r="D5329" t="s">
        <v>103</v>
      </c>
      <c r="E5329" t="s">
        <v>122</v>
      </c>
      <c r="F5329" t="s">
        <v>156</v>
      </c>
      <c r="G5329" t="s">
        <v>182</v>
      </c>
      <c r="H5329" t="s">
        <v>83</v>
      </c>
      <c r="I5329" t="s">
        <v>237</v>
      </c>
      <c r="J5329" t="s">
        <v>254</v>
      </c>
      <c r="K5329" t="s">
        <v>268</v>
      </c>
      <c r="L5329" t="s">
        <v>280</v>
      </c>
      <c r="M5329" t="s">
        <v>289</v>
      </c>
      <c r="N5329" t="s">
        <v>298</v>
      </c>
      <c r="O5329" t="s">
        <v>307</v>
      </c>
      <c r="P5329" t="s">
        <v>314</v>
      </c>
      <c r="Q5329" t="s">
        <v>216</v>
      </c>
      <c r="R5329" t="s">
        <v>326</v>
      </c>
      <c r="S5329" t="s">
        <v>333</v>
      </c>
      <c r="T5329" t="s">
        <v>335</v>
      </c>
      <c r="U5329" t="s">
        <v>340</v>
      </c>
      <c r="V5329" t="s">
        <v>344</v>
      </c>
      <c r="W5329" t="s">
        <v>349</v>
      </c>
      <c r="AK5329" t="s">
        <v>362</v>
      </c>
    </row>
    <row r="5330" spans="1:37">
      <c r="A5330" t="s">
        <v>43</v>
      </c>
      <c r="B5330" t="s">
        <v>63</v>
      </c>
      <c r="C5330" t="s">
        <v>85</v>
      </c>
      <c r="D5330" t="s">
        <v>104</v>
      </c>
      <c r="E5330" t="s">
        <v>123</v>
      </c>
      <c r="F5330" t="s">
        <v>157</v>
      </c>
      <c r="G5330" t="s">
        <v>183</v>
      </c>
      <c r="AK5330" t="s">
        <v>362</v>
      </c>
    </row>
    <row r="5331" spans="1:37">
      <c r="A5331" t="s">
        <v>44</v>
      </c>
      <c r="B5331" t="s">
        <v>64</v>
      </c>
      <c r="C5331" t="s">
        <v>86</v>
      </c>
      <c r="D5331" t="s">
        <v>105</v>
      </c>
      <c r="E5331" t="s">
        <v>124</v>
      </c>
      <c r="F5331" t="s">
        <v>158</v>
      </c>
      <c r="G5331" t="s">
        <v>184</v>
      </c>
      <c r="AK5331" t="s">
        <v>362</v>
      </c>
    </row>
    <row r="5332" spans="1:37">
      <c r="A5332" t="s">
        <v>45</v>
      </c>
      <c r="B5332" t="s">
        <v>65</v>
      </c>
      <c r="C5332" t="s">
        <v>87</v>
      </c>
      <c r="D5332" t="s">
        <v>106</v>
      </c>
      <c r="E5332" t="s">
        <v>125</v>
      </c>
      <c r="F5332" t="s">
        <v>159</v>
      </c>
      <c r="G5332" t="s">
        <v>185</v>
      </c>
      <c r="H5332" t="s">
        <v>159</v>
      </c>
      <c r="I5332" t="s">
        <v>185</v>
      </c>
      <c r="J5332" t="s">
        <v>255</v>
      </c>
      <c r="AK5332" t="s">
        <v>362</v>
      </c>
    </row>
    <row r="5333" spans="1:37">
      <c r="A5333" t="s">
        <v>46</v>
      </c>
      <c r="B5333" t="s">
        <v>66</v>
      </c>
      <c r="C5333" t="s">
        <v>88</v>
      </c>
      <c r="D5333" t="s">
        <v>76</v>
      </c>
      <c r="E5333" t="s">
        <v>126</v>
      </c>
      <c r="F5333" t="s">
        <v>160</v>
      </c>
      <c r="G5333" t="s">
        <v>186</v>
      </c>
      <c r="H5333" t="s">
        <v>217</v>
      </c>
      <c r="I5333" t="s">
        <v>238</v>
      </c>
      <c r="J5333" t="s">
        <v>256</v>
      </c>
      <c r="K5333" t="s">
        <v>265</v>
      </c>
      <c r="L5333" t="s">
        <v>281</v>
      </c>
      <c r="M5333" t="s">
        <v>290</v>
      </c>
      <c r="N5333" t="s">
        <v>299</v>
      </c>
      <c r="O5333" t="s">
        <v>308</v>
      </c>
      <c r="P5333" t="s">
        <v>228</v>
      </c>
      <c r="Q5333" t="s">
        <v>72</v>
      </c>
      <c r="R5333" t="s">
        <v>327</v>
      </c>
      <c r="S5333" t="s">
        <v>327</v>
      </c>
      <c r="T5333" t="s">
        <v>336</v>
      </c>
      <c r="U5333" t="s">
        <v>336</v>
      </c>
      <c r="V5333" t="s">
        <v>336</v>
      </c>
      <c r="W5333" t="s">
        <v>336</v>
      </c>
      <c r="X5333" t="s">
        <v>353</v>
      </c>
      <c r="AK5333" t="s">
        <v>362</v>
      </c>
    </row>
    <row r="5334" spans="1:37">
      <c r="B5334" t="s">
        <v>67</v>
      </c>
      <c r="C5334" t="s">
        <v>89</v>
      </c>
      <c r="D5334" t="s">
        <v>107</v>
      </c>
      <c r="AK5334" t="s">
        <v>362</v>
      </c>
    </row>
    <row r="5335" spans="1:37">
      <c r="B5335" t="s">
        <v>68</v>
      </c>
      <c r="C5335" t="s">
        <v>90</v>
      </c>
      <c r="D5335" t="s">
        <v>108</v>
      </c>
      <c r="AK5335" t="s">
        <v>362</v>
      </c>
    </row>
    <row r="5336" spans="1:37">
      <c r="A5336" t="s">
        <v>47</v>
      </c>
      <c r="B5336" t="s">
        <v>69</v>
      </c>
      <c r="C5336" t="s">
        <v>91</v>
      </c>
      <c r="D5336" t="s">
        <v>109</v>
      </c>
      <c r="E5336" t="s">
        <v>109</v>
      </c>
      <c r="F5336" t="s">
        <v>109</v>
      </c>
      <c r="G5336" t="s">
        <v>109</v>
      </c>
      <c r="H5336" t="s">
        <v>109</v>
      </c>
      <c r="I5336" t="s">
        <v>239</v>
      </c>
      <c r="AK5336" t="s">
        <v>362</v>
      </c>
    </row>
    <row r="5337" spans="1:37">
      <c r="B5337" t="s">
        <v>70</v>
      </c>
      <c r="C5337" t="s">
        <v>92</v>
      </c>
      <c r="D5337" t="s">
        <v>110</v>
      </c>
      <c r="E5337" t="s">
        <v>127</v>
      </c>
      <c r="F5337" t="s">
        <v>161</v>
      </c>
      <c r="G5337" t="s">
        <v>187</v>
      </c>
      <c r="H5337" t="s">
        <v>218</v>
      </c>
      <c r="AK5337" t="s">
        <v>362</v>
      </c>
    </row>
    <row r="5338" spans="1:37">
      <c r="B5338" t="s">
        <v>71</v>
      </c>
      <c r="C5338" t="s">
        <v>93</v>
      </c>
      <c r="D5338" t="s">
        <v>111</v>
      </c>
      <c r="E5338" t="s">
        <v>128</v>
      </c>
      <c r="F5338" t="s">
        <v>162</v>
      </c>
      <c r="G5338" t="s">
        <v>188</v>
      </c>
      <c r="H5338" t="s">
        <v>219</v>
      </c>
      <c r="I5338" t="s">
        <v>240</v>
      </c>
      <c r="J5338" t="s">
        <v>257</v>
      </c>
      <c r="K5338" t="s">
        <v>269</v>
      </c>
      <c r="L5338" t="s">
        <v>109</v>
      </c>
      <c r="M5338" t="s">
        <v>109</v>
      </c>
      <c r="N5338" t="s">
        <v>109</v>
      </c>
      <c r="O5338" t="s">
        <v>109</v>
      </c>
      <c r="P5338" t="s">
        <v>109</v>
      </c>
      <c r="Q5338" t="s">
        <v>321</v>
      </c>
      <c r="AK5338" t="s">
        <v>362</v>
      </c>
    </row>
    <row r="5339" spans="1:37">
      <c r="A5339" t="s">
        <v>48</v>
      </c>
      <c r="B5339" t="s">
        <v>71</v>
      </c>
      <c r="C5339" t="s">
        <v>93</v>
      </c>
      <c r="D5339" t="s">
        <v>111</v>
      </c>
      <c r="E5339" t="s">
        <v>128</v>
      </c>
      <c r="F5339" t="s">
        <v>163</v>
      </c>
      <c r="G5339" t="s">
        <v>189</v>
      </c>
      <c r="H5339" t="s">
        <v>220</v>
      </c>
      <c r="I5339" t="s">
        <v>241</v>
      </c>
      <c r="J5339" t="s">
        <v>258</v>
      </c>
      <c r="K5339" t="s">
        <v>270</v>
      </c>
      <c r="AK5339" t="s">
        <v>362</v>
      </c>
    </row>
    <row r="5340" spans="1:37">
      <c r="B5340" t="s">
        <v>72</v>
      </c>
      <c r="C5340" t="s">
        <v>72</v>
      </c>
      <c r="D5340" t="s">
        <v>72</v>
      </c>
      <c r="E5340" t="s">
        <v>139</v>
      </c>
      <c r="F5340" t="s">
        <v>139</v>
      </c>
      <c r="G5340" t="s">
        <v>192</v>
      </c>
      <c r="H5340" t="s">
        <v>192</v>
      </c>
      <c r="I5340" t="s">
        <v>192</v>
      </c>
      <c r="J5340" t="s">
        <v>192</v>
      </c>
      <c r="K5340" t="s">
        <v>272</v>
      </c>
      <c r="AK5340" t="s">
        <v>362</v>
      </c>
    </row>
    <row r="5341" spans="1:37">
      <c r="A5341" t="s">
        <v>37</v>
      </c>
      <c r="B5341" t="s">
        <v>49</v>
      </c>
      <c r="C5341" t="s">
        <v>73</v>
      </c>
      <c r="D5341" t="s">
        <v>94</v>
      </c>
      <c r="E5341" t="s">
        <v>112</v>
      </c>
      <c r="F5341" t="s">
        <v>146</v>
      </c>
      <c r="G5341" t="s">
        <v>172</v>
      </c>
      <c r="H5341" t="s">
        <v>207</v>
      </c>
      <c r="I5341" t="s">
        <v>226</v>
      </c>
      <c r="J5341" t="s">
        <v>246</v>
      </c>
      <c r="K5341" t="s">
        <v>259</v>
      </c>
      <c r="AK5341" t="s">
        <v>362</v>
      </c>
    </row>
    <row r="5342" spans="1:37">
      <c r="A5342" t="s">
        <v>38</v>
      </c>
      <c r="B5342" t="s">
        <v>50</v>
      </c>
      <c r="C5342" t="s">
        <v>74</v>
      </c>
      <c r="D5342" t="s">
        <v>95</v>
      </c>
      <c r="E5342" t="s">
        <v>113</v>
      </c>
      <c r="F5342" t="s">
        <v>147</v>
      </c>
      <c r="G5342" t="s">
        <v>173</v>
      </c>
      <c r="H5342" t="s">
        <v>208</v>
      </c>
      <c r="I5342" t="s">
        <v>227</v>
      </c>
      <c r="J5342" t="s">
        <v>115</v>
      </c>
      <c r="K5342" t="s">
        <v>260</v>
      </c>
      <c r="L5342" t="s">
        <v>273</v>
      </c>
      <c r="M5342" t="s">
        <v>282</v>
      </c>
      <c r="N5342" t="s">
        <v>291</v>
      </c>
      <c r="AK5342" t="s">
        <v>362</v>
      </c>
    </row>
    <row r="5343" spans="1:37">
      <c r="B5343" t="s">
        <v>51</v>
      </c>
      <c r="C5343" t="s">
        <v>75</v>
      </c>
      <c r="D5343" t="s">
        <v>52</v>
      </c>
      <c r="E5343" t="s">
        <v>114</v>
      </c>
      <c r="F5343" t="s">
        <v>148</v>
      </c>
      <c r="G5343" t="s">
        <v>148</v>
      </c>
      <c r="H5343" t="s">
        <v>209</v>
      </c>
      <c r="I5343" t="s">
        <v>228</v>
      </c>
      <c r="J5343" t="s">
        <v>247</v>
      </c>
      <c r="K5343" t="s">
        <v>261</v>
      </c>
      <c r="L5343" t="s">
        <v>274</v>
      </c>
      <c r="M5343" t="s">
        <v>283</v>
      </c>
      <c r="N5343" t="s">
        <v>292</v>
      </c>
      <c r="O5343" t="s">
        <v>300</v>
      </c>
      <c r="AK5343" t="s">
        <v>362</v>
      </c>
    </row>
    <row r="5344" spans="1:37">
      <c r="B5344" t="s">
        <v>52</v>
      </c>
      <c r="C5344" t="s">
        <v>76</v>
      </c>
      <c r="D5344" t="s">
        <v>96</v>
      </c>
      <c r="E5344" t="s">
        <v>115</v>
      </c>
      <c r="F5344" t="s">
        <v>149</v>
      </c>
      <c r="G5344" t="s">
        <v>174</v>
      </c>
      <c r="H5344" t="s">
        <v>96</v>
      </c>
      <c r="I5344" t="s">
        <v>229</v>
      </c>
      <c r="J5344" t="s">
        <v>248</v>
      </c>
      <c r="K5344" t="s">
        <v>262</v>
      </c>
      <c r="L5344" t="s">
        <v>52</v>
      </c>
      <c r="M5344" t="s">
        <v>76</v>
      </c>
      <c r="N5344" t="s">
        <v>293</v>
      </c>
      <c r="O5344" t="s">
        <v>301</v>
      </c>
      <c r="P5344" t="s">
        <v>309</v>
      </c>
      <c r="Q5344" t="s">
        <v>315</v>
      </c>
      <c r="R5344" t="s">
        <v>228</v>
      </c>
      <c r="S5344" t="s">
        <v>328</v>
      </c>
      <c r="T5344" t="s">
        <v>149</v>
      </c>
      <c r="U5344" t="s">
        <v>337</v>
      </c>
      <c r="V5344" t="s">
        <v>341</v>
      </c>
      <c r="W5344" t="s">
        <v>345</v>
      </c>
      <c r="X5344" t="s">
        <v>350</v>
      </c>
      <c r="AK5344" t="s">
        <v>362</v>
      </c>
    </row>
    <row r="5345" spans="1:37">
      <c r="B5345" t="s">
        <v>53</v>
      </c>
      <c r="C5345" t="s">
        <v>77</v>
      </c>
      <c r="D5345" t="s">
        <v>97</v>
      </c>
      <c r="E5345" t="s">
        <v>116</v>
      </c>
      <c r="F5345" t="s">
        <v>150</v>
      </c>
      <c r="G5345" t="s">
        <v>175</v>
      </c>
      <c r="H5345" t="s">
        <v>210</v>
      </c>
      <c r="I5345" t="s">
        <v>230</v>
      </c>
      <c r="J5345" t="s">
        <v>249</v>
      </c>
      <c r="K5345" t="s">
        <v>263</v>
      </c>
      <c r="L5345" t="s">
        <v>275</v>
      </c>
      <c r="M5345" t="s">
        <v>284</v>
      </c>
      <c r="N5345" t="s">
        <v>294</v>
      </c>
      <c r="O5345" t="s">
        <v>302</v>
      </c>
      <c r="P5345" t="s">
        <v>310</v>
      </c>
      <c r="Q5345" t="s">
        <v>316</v>
      </c>
      <c r="R5345" t="s">
        <v>322</v>
      </c>
      <c r="S5345" t="s">
        <v>329</v>
      </c>
      <c r="AK5345" t="s">
        <v>362</v>
      </c>
    </row>
    <row r="5346" spans="1:37">
      <c r="A5346" t="s">
        <v>39</v>
      </c>
      <c r="B5346" t="s">
        <v>54</v>
      </c>
      <c r="C5346" t="s">
        <v>54</v>
      </c>
      <c r="D5346" t="s">
        <v>54</v>
      </c>
      <c r="E5346" t="s">
        <v>54</v>
      </c>
      <c r="F5346" t="s">
        <v>54</v>
      </c>
      <c r="G5346" t="s">
        <v>54</v>
      </c>
      <c r="H5346" t="s">
        <v>54</v>
      </c>
      <c r="I5346" t="s">
        <v>54</v>
      </c>
      <c r="J5346" t="s">
        <v>54</v>
      </c>
      <c r="K5346" t="s">
        <v>54</v>
      </c>
      <c r="L5346" t="s">
        <v>54</v>
      </c>
      <c r="M5346" t="s">
        <v>54</v>
      </c>
      <c r="N5346" t="s">
        <v>54</v>
      </c>
      <c r="O5346" t="s">
        <v>54</v>
      </c>
      <c r="P5346" t="s">
        <v>54</v>
      </c>
      <c r="Q5346" t="s">
        <v>54</v>
      </c>
      <c r="R5346" t="s">
        <v>323</v>
      </c>
      <c r="S5346" t="s">
        <v>330</v>
      </c>
      <c r="AK5346" t="s">
        <v>362</v>
      </c>
    </row>
    <row r="5347" spans="1:37">
      <c r="B5347" t="s">
        <v>55</v>
      </c>
      <c r="C5347" t="s">
        <v>78</v>
      </c>
      <c r="D5347" t="s">
        <v>55</v>
      </c>
      <c r="E5347" t="s">
        <v>78</v>
      </c>
      <c r="F5347" t="s">
        <v>55</v>
      </c>
      <c r="G5347" t="s">
        <v>78</v>
      </c>
      <c r="H5347" t="s">
        <v>55</v>
      </c>
      <c r="I5347" t="s">
        <v>78</v>
      </c>
      <c r="J5347" t="s">
        <v>55</v>
      </c>
      <c r="K5347" t="s">
        <v>78</v>
      </c>
      <c r="L5347" t="s">
        <v>55</v>
      </c>
      <c r="M5347" t="s">
        <v>78</v>
      </c>
      <c r="N5347" t="s">
        <v>55</v>
      </c>
      <c r="O5347" t="s">
        <v>78</v>
      </c>
      <c r="P5347" t="s">
        <v>55</v>
      </c>
      <c r="Q5347" t="s">
        <v>78</v>
      </c>
      <c r="R5347" t="s">
        <v>55</v>
      </c>
      <c r="S5347" t="s">
        <v>78</v>
      </c>
      <c r="T5347" t="s">
        <v>55</v>
      </c>
      <c r="U5347" t="s">
        <v>78</v>
      </c>
      <c r="V5347" t="s">
        <v>55</v>
      </c>
      <c r="W5347" t="s">
        <v>78</v>
      </c>
      <c r="X5347" t="s">
        <v>55</v>
      </c>
      <c r="Y5347" t="s">
        <v>78</v>
      </c>
      <c r="Z5347" t="s">
        <v>55</v>
      </c>
      <c r="AA5347" t="s">
        <v>78</v>
      </c>
      <c r="AB5347" t="s">
        <v>55</v>
      </c>
      <c r="AC5347" t="s">
        <v>78</v>
      </c>
      <c r="AD5347" t="s">
        <v>55</v>
      </c>
      <c r="AE5347" t="s">
        <v>78</v>
      </c>
      <c r="AF5347" t="s">
        <v>55</v>
      </c>
      <c r="AG5347" t="s">
        <v>78</v>
      </c>
      <c r="AH5347" t="s">
        <v>55</v>
      </c>
      <c r="AI5347" t="s">
        <v>78</v>
      </c>
      <c r="AK5347" t="s">
        <v>362</v>
      </c>
    </row>
    <row r="5348" spans="1:37">
      <c r="B5348" t="s">
        <v>56</v>
      </c>
      <c r="C5348" t="s">
        <v>56</v>
      </c>
      <c r="D5348" t="s">
        <v>56</v>
      </c>
      <c r="E5348" t="s">
        <v>56</v>
      </c>
      <c r="F5348" t="s">
        <v>56</v>
      </c>
      <c r="G5348" t="s">
        <v>176</v>
      </c>
      <c r="H5348" t="s">
        <v>211</v>
      </c>
      <c r="I5348" t="s">
        <v>231</v>
      </c>
      <c r="J5348" t="s">
        <v>250</v>
      </c>
      <c r="K5348" t="s">
        <v>264</v>
      </c>
      <c r="L5348" t="s">
        <v>276</v>
      </c>
      <c r="M5348" t="s">
        <v>285</v>
      </c>
      <c r="N5348" t="s">
        <v>295</v>
      </c>
      <c r="O5348" t="s">
        <v>303</v>
      </c>
      <c r="P5348" t="s">
        <v>56</v>
      </c>
      <c r="Q5348" t="s">
        <v>317</v>
      </c>
      <c r="R5348" t="s">
        <v>324</v>
      </c>
      <c r="S5348" t="s">
        <v>331</v>
      </c>
      <c r="T5348" t="s">
        <v>334</v>
      </c>
      <c r="U5348" t="s">
        <v>338</v>
      </c>
      <c r="V5348" t="s">
        <v>342</v>
      </c>
      <c r="W5348" t="s">
        <v>346</v>
      </c>
      <c r="X5348" t="s">
        <v>351</v>
      </c>
      <c r="AK5348" t="s">
        <v>362</v>
      </c>
    </row>
    <row r="5349" spans="1:37">
      <c r="B5349" t="s">
        <v>57</v>
      </c>
      <c r="C5349" t="s">
        <v>79</v>
      </c>
      <c r="D5349" t="s">
        <v>98</v>
      </c>
      <c r="E5349" t="s">
        <v>117</v>
      </c>
      <c r="F5349" t="s">
        <v>151</v>
      </c>
      <c r="G5349" t="s">
        <v>177</v>
      </c>
      <c r="H5349" t="s">
        <v>212</v>
      </c>
      <c r="I5349" t="s">
        <v>232</v>
      </c>
      <c r="J5349" t="s">
        <v>251</v>
      </c>
      <c r="K5349" t="s">
        <v>265</v>
      </c>
      <c r="L5349" t="s">
        <v>277</v>
      </c>
      <c r="M5349" t="s">
        <v>286</v>
      </c>
      <c r="N5349" t="s">
        <v>296</v>
      </c>
      <c r="O5349" t="s">
        <v>304</v>
      </c>
      <c r="P5349" t="s">
        <v>311</v>
      </c>
      <c r="Q5349" t="s">
        <v>318</v>
      </c>
      <c r="R5349" t="s">
        <v>185</v>
      </c>
      <c r="S5349" t="s">
        <v>159</v>
      </c>
      <c r="T5349" t="s">
        <v>185</v>
      </c>
      <c r="U5349" t="s">
        <v>339</v>
      </c>
      <c r="V5349" t="s">
        <v>72</v>
      </c>
      <c r="W5349" t="s">
        <v>347</v>
      </c>
      <c r="X5349" t="s">
        <v>72</v>
      </c>
      <c r="Y5349" t="s">
        <v>96</v>
      </c>
      <c r="AK5349" t="s">
        <v>362</v>
      </c>
    </row>
    <row r="5350" spans="1:37">
      <c r="B5350" t="s">
        <v>58</v>
      </c>
      <c r="C5350" t="s">
        <v>80</v>
      </c>
      <c r="D5350" t="s">
        <v>99</v>
      </c>
      <c r="E5350" t="s">
        <v>118</v>
      </c>
      <c r="F5350" t="s">
        <v>152</v>
      </c>
      <c r="G5350" t="s">
        <v>178</v>
      </c>
      <c r="H5350" t="s">
        <v>213</v>
      </c>
      <c r="I5350" t="s">
        <v>233</v>
      </c>
      <c r="J5350" t="s">
        <v>252</v>
      </c>
      <c r="K5350" t="s">
        <v>266</v>
      </c>
      <c r="L5350" t="s">
        <v>278</v>
      </c>
      <c r="M5350" t="s">
        <v>287</v>
      </c>
      <c r="N5350" t="s">
        <v>297</v>
      </c>
      <c r="O5350" t="s">
        <v>305</v>
      </c>
      <c r="P5350" t="s">
        <v>312</v>
      </c>
      <c r="Q5350" t="s">
        <v>319</v>
      </c>
      <c r="R5350">
        <f>&gt;10       ветра      3.1     16   1</f>
        <v>0</v>
      </c>
      <c r="AK5350" t="s">
        <v>362</v>
      </c>
    </row>
    <row r="5351" spans="1:37">
      <c r="A5351" t="s">
        <v>40</v>
      </c>
      <c r="B5351" t="s">
        <v>59</v>
      </c>
      <c r="C5351" t="s">
        <v>81</v>
      </c>
      <c r="D5351" t="s">
        <v>100</v>
      </c>
      <c r="E5351" t="s">
        <v>119</v>
      </c>
      <c r="F5351" t="s">
        <v>153</v>
      </c>
      <c r="G5351" t="s">
        <v>179</v>
      </c>
      <c r="H5351" t="s">
        <v>214</v>
      </c>
      <c r="I5351" t="s">
        <v>234</v>
      </c>
      <c r="AK5351" t="s">
        <v>362</v>
      </c>
    </row>
    <row r="5352" spans="1:37">
      <c r="A5352" t="s">
        <v>40</v>
      </c>
      <c r="B5352" t="s">
        <v>60</v>
      </c>
      <c r="C5352" t="s">
        <v>82</v>
      </c>
      <c r="D5352" t="s">
        <v>101</v>
      </c>
      <c r="E5352" t="s">
        <v>120</v>
      </c>
      <c r="F5352" t="s">
        <v>154</v>
      </c>
      <c r="G5352" t="s">
        <v>180</v>
      </c>
      <c r="H5352" t="s">
        <v>215</v>
      </c>
      <c r="I5352" t="s">
        <v>235</v>
      </c>
      <c r="J5352" t="s">
        <v>253</v>
      </c>
      <c r="K5352" t="s">
        <v>267</v>
      </c>
      <c r="L5352" t="s">
        <v>279</v>
      </c>
      <c r="M5352" t="s">
        <v>288</v>
      </c>
      <c r="N5352" t="s">
        <v>100</v>
      </c>
      <c r="O5352" t="s">
        <v>306</v>
      </c>
      <c r="P5352" t="s">
        <v>313</v>
      </c>
      <c r="Q5352" t="s">
        <v>320</v>
      </c>
      <c r="R5352" t="s">
        <v>325</v>
      </c>
      <c r="S5352" t="s">
        <v>332</v>
      </c>
      <c r="T5352" t="s">
        <v>119</v>
      </c>
      <c r="U5352" t="s">
        <v>234</v>
      </c>
      <c r="V5352" t="s">
        <v>343</v>
      </c>
      <c r="W5352" t="s">
        <v>348</v>
      </c>
      <c r="X5352" t="s">
        <v>352</v>
      </c>
      <c r="Y5352" t="s">
        <v>354</v>
      </c>
      <c r="AK5352" t="s">
        <v>362</v>
      </c>
    </row>
    <row r="5353" spans="1:37">
      <c r="A5353" t="s">
        <v>41</v>
      </c>
      <c r="B5353" t="s">
        <v>61</v>
      </c>
      <c r="C5353" t="s">
        <v>83</v>
      </c>
      <c r="D5353" t="s">
        <v>102</v>
      </c>
      <c r="E5353" t="s">
        <v>121</v>
      </c>
      <c r="F5353" t="s">
        <v>155</v>
      </c>
      <c r="G5353" t="s">
        <v>181</v>
      </c>
      <c r="H5353" t="s">
        <v>216</v>
      </c>
      <c r="I5353" t="s">
        <v>236</v>
      </c>
      <c r="AK5353" t="s">
        <v>362</v>
      </c>
    </row>
    <row r="5354" spans="1:37">
      <c r="A5354" t="s">
        <v>42</v>
      </c>
      <c r="B5354" t="s">
        <v>62</v>
      </c>
      <c r="C5354" t="s">
        <v>84</v>
      </c>
      <c r="D5354" t="s">
        <v>103</v>
      </c>
      <c r="E5354" t="s">
        <v>122</v>
      </c>
      <c r="F5354" t="s">
        <v>156</v>
      </c>
      <c r="G5354" t="s">
        <v>182</v>
      </c>
      <c r="H5354" t="s">
        <v>83</v>
      </c>
      <c r="I5354" t="s">
        <v>237</v>
      </c>
      <c r="J5354" t="s">
        <v>254</v>
      </c>
      <c r="K5354" t="s">
        <v>268</v>
      </c>
      <c r="L5354" t="s">
        <v>280</v>
      </c>
      <c r="M5354" t="s">
        <v>289</v>
      </c>
      <c r="N5354" t="s">
        <v>298</v>
      </c>
      <c r="O5354" t="s">
        <v>307</v>
      </c>
      <c r="P5354" t="s">
        <v>314</v>
      </c>
      <c r="Q5354" t="s">
        <v>216</v>
      </c>
      <c r="R5354" t="s">
        <v>326</v>
      </c>
      <c r="S5354" t="s">
        <v>333</v>
      </c>
      <c r="T5354" t="s">
        <v>335</v>
      </c>
      <c r="U5354" t="s">
        <v>340</v>
      </c>
      <c r="V5354" t="s">
        <v>344</v>
      </c>
      <c r="W5354" t="s">
        <v>349</v>
      </c>
      <c r="AK5354" t="s">
        <v>362</v>
      </c>
    </row>
    <row r="5355" spans="1:37">
      <c r="A5355" t="s">
        <v>43</v>
      </c>
      <c r="B5355" t="s">
        <v>63</v>
      </c>
      <c r="C5355" t="s">
        <v>85</v>
      </c>
      <c r="D5355" t="s">
        <v>104</v>
      </c>
      <c r="E5355" t="s">
        <v>123</v>
      </c>
      <c r="F5355" t="s">
        <v>157</v>
      </c>
      <c r="G5355" t="s">
        <v>183</v>
      </c>
      <c r="AK5355" t="s">
        <v>362</v>
      </c>
    </row>
    <row r="5356" spans="1:37">
      <c r="A5356" t="s">
        <v>44</v>
      </c>
      <c r="B5356" t="s">
        <v>64</v>
      </c>
      <c r="C5356" t="s">
        <v>86</v>
      </c>
      <c r="D5356" t="s">
        <v>105</v>
      </c>
      <c r="E5356" t="s">
        <v>124</v>
      </c>
      <c r="F5356" t="s">
        <v>158</v>
      </c>
      <c r="G5356" t="s">
        <v>184</v>
      </c>
      <c r="AK5356" t="s">
        <v>362</v>
      </c>
    </row>
    <row r="5357" spans="1:37">
      <c r="A5357" t="s">
        <v>45</v>
      </c>
      <c r="B5357" t="s">
        <v>65</v>
      </c>
      <c r="C5357" t="s">
        <v>87</v>
      </c>
      <c r="D5357" t="s">
        <v>106</v>
      </c>
      <c r="E5357" t="s">
        <v>125</v>
      </c>
      <c r="F5357" t="s">
        <v>159</v>
      </c>
      <c r="G5357" t="s">
        <v>185</v>
      </c>
      <c r="H5357" t="s">
        <v>159</v>
      </c>
      <c r="I5357" t="s">
        <v>185</v>
      </c>
      <c r="J5357" t="s">
        <v>255</v>
      </c>
      <c r="AK5357" t="s">
        <v>362</v>
      </c>
    </row>
    <row r="5358" spans="1:37">
      <c r="A5358" t="s">
        <v>46</v>
      </c>
      <c r="B5358" t="s">
        <v>66</v>
      </c>
      <c r="C5358" t="s">
        <v>88</v>
      </c>
      <c r="D5358" t="s">
        <v>76</v>
      </c>
      <c r="E5358" t="s">
        <v>126</v>
      </c>
      <c r="F5358" t="s">
        <v>160</v>
      </c>
      <c r="G5358" t="s">
        <v>186</v>
      </c>
      <c r="H5358" t="s">
        <v>217</v>
      </c>
      <c r="I5358" t="s">
        <v>238</v>
      </c>
      <c r="J5358" t="s">
        <v>256</v>
      </c>
      <c r="K5358" t="s">
        <v>265</v>
      </c>
      <c r="L5358" t="s">
        <v>281</v>
      </c>
      <c r="M5358" t="s">
        <v>290</v>
      </c>
      <c r="N5358" t="s">
        <v>299</v>
      </c>
      <c r="O5358" t="s">
        <v>308</v>
      </c>
      <c r="P5358" t="s">
        <v>228</v>
      </c>
      <c r="Q5358" t="s">
        <v>72</v>
      </c>
      <c r="R5358" t="s">
        <v>327</v>
      </c>
      <c r="S5358" t="s">
        <v>327</v>
      </c>
      <c r="T5358" t="s">
        <v>336</v>
      </c>
      <c r="U5358" t="s">
        <v>336</v>
      </c>
      <c r="V5358" t="s">
        <v>336</v>
      </c>
      <c r="W5358" t="s">
        <v>336</v>
      </c>
      <c r="X5358" t="s">
        <v>353</v>
      </c>
      <c r="AK5358" t="s">
        <v>362</v>
      </c>
    </row>
    <row r="5359" spans="1:37">
      <c r="B5359" t="s">
        <v>67</v>
      </c>
      <c r="C5359" t="s">
        <v>89</v>
      </c>
      <c r="D5359" t="s">
        <v>107</v>
      </c>
      <c r="AK5359" t="s">
        <v>362</v>
      </c>
    </row>
    <row r="5360" spans="1:37">
      <c r="B5360" t="s">
        <v>68</v>
      </c>
      <c r="C5360" t="s">
        <v>90</v>
      </c>
      <c r="D5360" t="s">
        <v>108</v>
      </c>
      <c r="AK5360" t="s">
        <v>362</v>
      </c>
    </row>
    <row r="5361" spans="1:37">
      <c r="A5361" t="s">
        <v>47</v>
      </c>
      <c r="B5361" t="s">
        <v>69</v>
      </c>
      <c r="C5361" t="s">
        <v>91</v>
      </c>
      <c r="D5361" t="s">
        <v>109</v>
      </c>
      <c r="E5361" t="s">
        <v>109</v>
      </c>
      <c r="F5361" t="s">
        <v>109</v>
      </c>
      <c r="G5361" t="s">
        <v>109</v>
      </c>
      <c r="H5361" t="s">
        <v>109</v>
      </c>
      <c r="I5361" t="s">
        <v>239</v>
      </c>
      <c r="AK5361" t="s">
        <v>362</v>
      </c>
    </row>
    <row r="5362" spans="1:37">
      <c r="B5362" t="s">
        <v>70</v>
      </c>
      <c r="C5362" t="s">
        <v>92</v>
      </c>
      <c r="D5362" t="s">
        <v>110</v>
      </c>
      <c r="E5362" t="s">
        <v>127</v>
      </c>
      <c r="F5362" t="s">
        <v>161</v>
      </c>
      <c r="G5362" t="s">
        <v>187</v>
      </c>
      <c r="H5362" t="s">
        <v>218</v>
      </c>
      <c r="AK5362" t="s">
        <v>362</v>
      </c>
    </row>
    <row r="5363" spans="1:37">
      <c r="B5363" t="s">
        <v>71</v>
      </c>
      <c r="C5363" t="s">
        <v>93</v>
      </c>
      <c r="D5363" t="s">
        <v>111</v>
      </c>
      <c r="E5363" t="s">
        <v>128</v>
      </c>
      <c r="F5363" t="s">
        <v>162</v>
      </c>
      <c r="G5363" t="s">
        <v>188</v>
      </c>
      <c r="H5363" t="s">
        <v>219</v>
      </c>
      <c r="I5363" t="s">
        <v>240</v>
      </c>
      <c r="J5363" t="s">
        <v>257</v>
      </c>
      <c r="K5363" t="s">
        <v>269</v>
      </c>
      <c r="L5363" t="s">
        <v>109</v>
      </c>
      <c r="M5363" t="s">
        <v>109</v>
      </c>
      <c r="N5363" t="s">
        <v>109</v>
      </c>
      <c r="O5363" t="s">
        <v>109</v>
      </c>
      <c r="P5363" t="s">
        <v>109</v>
      </c>
      <c r="Q5363" t="s">
        <v>321</v>
      </c>
      <c r="AK5363" t="s">
        <v>362</v>
      </c>
    </row>
    <row r="5364" spans="1:37">
      <c r="A5364" t="s">
        <v>48</v>
      </c>
      <c r="B5364" t="s">
        <v>71</v>
      </c>
      <c r="C5364" t="s">
        <v>93</v>
      </c>
      <c r="D5364" t="s">
        <v>111</v>
      </c>
      <c r="E5364" t="s">
        <v>128</v>
      </c>
      <c r="F5364" t="s">
        <v>163</v>
      </c>
      <c r="G5364" t="s">
        <v>189</v>
      </c>
      <c r="H5364" t="s">
        <v>220</v>
      </c>
      <c r="I5364" t="s">
        <v>241</v>
      </c>
      <c r="J5364" t="s">
        <v>258</v>
      </c>
      <c r="K5364" t="s">
        <v>270</v>
      </c>
      <c r="AK5364" t="s">
        <v>362</v>
      </c>
    </row>
    <row r="5365" spans="1:37">
      <c r="B5365" t="s">
        <v>72</v>
      </c>
      <c r="C5365" t="s">
        <v>72</v>
      </c>
      <c r="D5365" t="s">
        <v>72</v>
      </c>
      <c r="E5365" t="s">
        <v>139</v>
      </c>
      <c r="F5365" t="s">
        <v>139</v>
      </c>
      <c r="G5365" t="s">
        <v>192</v>
      </c>
      <c r="H5365" t="s">
        <v>192</v>
      </c>
      <c r="I5365" t="s">
        <v>192</v>
      </c>
      <c r="J5365" t="s">
        <v>192</v>
      </c>
      <c r="K5365" t="s">
        <v>271</v>
      </c>
      <c r="AK5365" t="s">
        <v>362</v>
      </c>
    </row>
    <row r="5366" spans="1:37">
      <c r="A5366" t="s">
        <v>37</v>
      </c>
      <c r="B5366" t="s">
        <v>49</v>
      </c>
      <c r="C5366" t="s">
        <v>73</v>
      </c>
      <c r="D5366" t="s">
        <v>94</v>
      </c>
      <c r="E5366" t="s">
        <v>112</v>
      </c>
      <c r="F5366" t="s">
        <v>146</v>
      </c>
      <c r="G5366" t="s">
        <v>172</v>
      </c>
      <c r="H5366" t="s">
        <v>207</v>
      </c>
      <c r="I5366" t="s">
        <v>226</v>
      </c>
      <c r="J5366" t="s">
        <v>246</v>
      </c>
      <c r="K5366" t="s">
        <v>259</v>
      </c>
      <c r="AK5366" t="s">
        <v>362</v>
      </c>
    </row>
    <row r="5367" spans="1:37">
      <c r="A5367" t="s">
        <v>38</v>
      </c>
      <c r="B5367" t="s">
        <v>50</v>
      </c>
      <c r="C5367" t="s">
        <v>74</v>
      </c>
      <c r="D5367" t="s">
        <v>95</v>
      </c>
      <c r="E5367" t="s">
        <v>113</v>
      </c>
      <c r="F5367" t="s">
        <v>147</v>
      </c>
      <c r="G5367" t="s">
        <v>173</v>
      </c>
      <c r="H5367" t="s">
        <v>208</v>
      </c>
      <c r="I5367" t="s">
        <v>227</v>
      </c>
      <c r="J5367" t="s">
        <v>115</v>
      </c>
      <c r="K5367" t="s">
        <v>260</v>
      </c>
      <c r="L5367" t="s">
        <v>273</v>
      </c>
      <c r="M5367" t="s">
        <v>282</v>
      </c>
      <c r="N5367" t="s">
        <v>291</v>
      </c>
      <c r="AK5367" t="s">
        <v>362</v>
      </c>
    </row>
    <row r="5368" spans="1:37">
      <c r="B5368" t="s">
        <v>51</v>
      </c>
      <c r="C5368" t="s">
        <v>75</v>
      </c>
      <c r="D5368" t="s">
        <v>52</v>
      </c>
      <c r="E5368" t="s">
        <v>114</v>
      </c>
      <c r="F5368" t="s">
        <v>148</v>
      </c>
      <c r="G5368" t="s">
        <v>148</v>
      </c>
      <c r="H5368" t="s">
        <v>209</v>
      </c>
      <c r="I5368" t="s">
        <v>228</v>
      </c>
      <c r="J5368" t="s">
        <v>247</v>
      </c>
      <c r="K5368" t="s">
        <v>261</v>
      </c>
      <c r="L5368" t="s">
        <v>274</v>
      </c>
      <c r="M5368" t="s">
        <v>283</v>
      </c>
      <c r="N5368" t="s">
        <v>292</v>
      </c>
      <c r="O5368" t="s">
        <v>300</v>
      </c>
      <c r="AK5368" t="s">
        <v>362</v>
      </c>
    </row>
    <row r="5369" spans="1:37">
      <c r="B5369" t="s">
        <v>52</v>
      </c>
      <c r="C5369" t="s">
        <v>76</v>
      </c>
      <c r="D5369" t="s">
        <v>96</v>
      </c>
      <c r="E5369" t="s">
        <v>115</v>
      </c>
      <c r="F5369" t="s">
        <v>149</v>
      </c>
      <c r="G5369" t="s">
        <v>174</v>
      </c>
      <c r="H5369" t="s">
        <v>96</v>
      </c>
      <c r="I5369" t="s">
        <v>229</v>
      </c>
      <c r="J5369" t="s">
        <v>248</v>
      </c>
      <c r="K5369" t="s">
        <v>262</v>
      </c>
      <c r="L5369" t="s">
        <v>52</v>
      </c>
      <c r="M5369" t="s">
        <v>76</v>
      </c>
      <c r="N5369" t="s">
        <v>293</v>
      </c>
      <c r="O5369" t="s">
        <v>301</v>
      </c>
      <c r="P5369" t="s">
        <v>309</v>
      </c>
      <c r="Q5369" t="s">
        <v>315</v>
      </c>
      <c r="R5369" t="s">
        <v>228</v>
      </c>
      <c r="S5369" t="s">
        <v>328</v>
      </c>
      <c r="T5369" t="s">
        <v>149</v>
      </c>
      <c r="U5369" t="s">
        <v>337</v>
      </c>
      <c r="V5369" t="s">
        <v>341</v>
      </c>
      <c r="W5369" t="s">
        <v>345</v>
      </c>
      <c r="X5369" t="s">
        <v>350</v>
      </c>
      <c r="AK5369" t="s">
        <v>362</v>
      </c>
    </row>
    <row r="5370" spans="1:37">
      <c r="B5370" t="s">
        <v>53</v>
      </c>
      <c r="C5370" t="s">
        <v>77</v>
      </c>
      <c r="D5370" t="s">
        <v>97</v>
      </c>
      <c r="E5370" t="s">
        <v>116</v>
      </c>
      <c r="F5370" t="s">
        <v>150</v>
      </c>
      <c r="G5370" t="s">
        <v>175</v>
      </c>
      <c r="H5370" t="s">
        <v>210</v>
      </c>
      <c r="I5370" t="s">
        <v>230</v>
      </c>
      <c r="J5370" t="s">
        <v>249</v>
      </c>
      <c r="K5370" t="s">
        <v>263</v>
      </c>
      <c r="L5370" t="s">
        <v>275</v>
      </c>
      <c r="M5370" t="s">
        <v>284</v>
      </c>
      <c r="N5370" t="s">
        <v>294</v>
      </c>
      <c r="O5370" t="s">
        <v>302</v>
      </c>
      <c r="P5370" t="s">
        <v>310</v>
      </c>
      <c r="Q5370" t="s">
        <v>316</v>
      </c>
      <c r="R5370" t="s">
        <v>322</v>
      </c>
      <c r="S5370" t="s">
        <v>329</v>
      </c>
      <c r="AK5370" t="s">
        <v>362</v>
      </c>
    </row>
    <row r="5371" spans="1:37">
      <c r="A5371" t="s">
        <v>39</v>
      </c>
      <c r="B5371" t="s">
        <v>54</v>
      </c>
      <c r="C5371" t="s">
        <v>54</v>
      </c>
      <c r="D5371" t="s">
        <v>54</v>
      </c>
      <c r="E5371" t="s">
        <v>54</v>
      </c>
      <c r="F5371" t="s">
        <v>54</v>
      </c>
      <c r="G5371" t="s">
        <v>54</v>
      </c>
      <c r="H5371" t="s">
        <v>54</v>
      </c>
      <c r="I5371" t="s">
        <v>54</v>
      </c>
      <c r="J5371" t="s">
        <v>54</v>
      </c>
      <c r="K5371" t="s">
        <v>54</v>
      </c>
      <c r="L5371" t="s">
        <v>54</v>
      </c>
      <c r="M5371" t="s">
        <v>54</v>
      </c>
      <c r="N5371" t="s">
        <v>54</v>
      </c>
      <c r="O5371" t="s">
        <v>54</v>
      </c>
      <c r="P5371" t="s">
        <v>54</v>
      </c>
      <c r="Q5371" t="s">
        <v>54</v>
      </c>
      <c r="R5371" t="s">
        <v>323</v>
      </c>
      <c r="S5371" t="s">
        <v>330</v>
      </c>
      <c r="AK5371" t="s">
        <v>362</v>
      </c>
    </row>
    <row r="5372" spans="1:37">
      <c r="B5372" t="s">
        <v>55</v>
      </c>
      <c r="C5372" t="s">
        <v>78</v>
      </c>
      <c r="D5372" t="s">
        <v>55</v>
      </c>
      <c r="E5372" t="s">
        <v>78</v>
      </c>
      <c r="F5372" t="s">
        <v>55</v>
      </c>
      <c r="G5372" t="s">
        <v>78</v>
      </c>
      <c r="H5372" t="s">
        <v>55</v>
      </c>
      <c r="I5372" t="s">
        <v>78</v>
      </c>
      <c r="J5372" t="s">
        <v>55</v>
      </c>
      <c r="K5372" t="s">
        <v>78</v>
      </c>
      <c r="L5372" t="s">
        <v>55</v>
      </c>
      <c r="M5372" t="s">
        <v>78</v>
      </c>
      <c r="N5372" t="s">
        <v>55</v>
      </c>
      <c r="O5372" t="s">
        <v>78</v>
      </c>
      <c r="P5372" t="s">
        <v>55</v>
      </c>
      <c r="Q5372" t="s">
        <v>78</v>
      </c>
      <c r="R5372" t="s">
        <v>55</v>
      </c>
      <c r="S5372" t="s">
        <v>78</v>
      </c>
      <c r="T5372" t="s">
        <v>55</v>
      </c>
      <c r="U5372" t="s">
        <v>78</v>
      </c>
      <c r="V5372" t="s">
        <v>55</v>
      </c>
      <c r="W5372" t="s">
        <v>78</v>
      </c>
      <c r="X5372" t="s">
        <v>55</v>
      </c>
      <c r="Y5372" t="s">
        <v>78</v>
      </c>
      <c r="Z5372" t="s">
        <v>55</v>
      </c>
      <c r="AA5372" t="s">
        <v>78</v>
      </c>
      <c r="AB5372" t="s">
        <v>55</v>
      </c>
      <c r="AC5372" t="s">
        <v>78</v>
      </c>
      <c r="AD5372" t="s">
        <v>55</v>
      </c>
      <c r="AE5372" t="s">
        <v>78</v>
      </c>
      <c r="AF5372" t="s">
        <v>55</v>
      </c>
      <c r="AG5372" t="s">
        <v>78</v>
      </c>
      <c r="AH5372" t="s">
        <v>55</v>
      </c>
      <c r="AI5372" t="s">
        <v>78</v>
      </c>
      <c r="AK5372" t="s">
        <v>362</v>
      </c>
    </row>
    <row r="5373" spans="1:37">
      <c r="B5373" t="s">
        <v>56</v>
      </c>
      <c r="C5373" t="s">
        <v>56</v>
      </c>
      <c r="D5373" t="s">
        <v>56</v>
      </c>
      <c r="E5373" t="s">
        <v>56</v>
      </c>
      <c r="F5373" t="s">
        <v>56</v>
      </c>
      <c r="G5373" t="s">
        <v>176</v>
      </c>
      <c r="H5373" t="s">
        <v>211</v>
      </c>
      <c r="I5373" t="s">
        <v>231</v>
      </c>
      <c r="J5373" t="s">
        <v>250</v>
      </c>
      <c r="K5373" t="s">
        <v>264</v>
      </c>
      <c r="L5373" t="s">
        <v>276</v>
      </c>
      <c r="M5373" t="s">
        <v>285</v>
      </c>
      <c r="N5373" t="s">
        <v>295</v>
      </c>
      <c r="O5373" t="s">
        <v>303</v>
      </c>
      <c r="P5373" t="s">
        <v>56</v>
      </c>
      <c r="Q5373" t="s">
        <v>317</v>
      </c>
      <c r="R5373" t="s">
        <v>324</v>
      </c>
      <c r="S5373" t="s">
        <v>331</v>
      </c>
      <c r="T5373" t="s">
        <v>334</v>
      </c>
      <c r="U5373" t="s">
        <v>338</v>
      </c>
      <c r="V5373" t="s">
        <v>342</v>
      </c>
      <c r="W5373" t="s">
        <v>346</v>
      </c>
      <c r="X5373" t="s">
        <v>351</v>
      </c>
      <c r="AK5373" t="s">
        <v>362</v>
      </c>
    </row>
    <row r="5374" spans="1:37">
      <c r="B5374" t="s">
        <v>57</v>
      </c>
      <c r="C5374" t="s">
        <v>79</v>
      </c>
      <c r="D5374" t="s">
        <v>98</v>
      </c>
      <c r="E5374" t="s">
        <v>117</v>
      </c>
      <c r="F5374" t="s">
        <v>151</v>
      </c>
      <c r="G5374" t="s">
        <v>177</v>
      </c>
      <c r="H5374" t="s">
        <v>212</v>
      </c>
      <c r="I5374" t="s">
        <v>232</v>
      </c>
      <c r="J5374" t="s">
        <v>251</v>
      </c>
      <c r="K5374" t="s">
        <v>265</v>
      </c>
      <c r="L5374" t="s">
        <v>277</v>
      </c>
      <c r="M5374" t="s">
        <v>286</v>
      </c>
      <c r="N5374" t="s">
        <v>296</v>
      </c>
      <c r="O5374" t="s">
        <v>304</v>
      </c>
      <c r="P5374" t="s">
        <v>311</v>
      </c>
      <c r="Q5374" t="s">
        <v>318</v>
      </c>
      <c r="R5374" t="s">
        <v>185</v>
      </c>
      <c r="S5374" t="s">
        <v>159</v>
      </c>
      <c r="T5374" t="s">
        <v>185</v>
      </c>
      <c r="U5374" t="s">
        <v>339</v>
      </c>
      <c r="V5374" t="s">
        <v>72</v>
      </c>
      <c r="W5374" t="s">
        <v>347</v>
      </c>
      <c r="X5374" t="s">
        <v>72</v>
      </c>
      <c r="Y5374" t="s">
        <v>96</v>
      </c>
      <c r="AK5374" t="s">
        <v>362</v>
      </c>
    </row>
    <row r="5375" spans="1:37">
      <c r="B5375" t="s">
        <v>58</v>
      </c>
      <c r="C5375" t="s">
        <v>80</v>
      </c>
      <c r="D5375" t="s">
        <v>99</v>
      </c>
      <c r="E5375" t="s">
        <v>118</v>
      </c>
      <c r="F5375" t="s">
        <v>152</v>
      </c>
      <c r="G5375" t="s">
        <v>178</v>
      </c>
      <c r="H5375" t="s">
        <v>213</v>
      </c>
      <c r="I5375" t="s">
        <v>233</v>
      </c>
      <c r="J5375" t="s">
        <v>252</v>
      </c>
      <c r="K5375" t="s">
        <v>266</v>
      </c>
      <c r="L5375" t="s">
        <v>278</v>
      </c>
      <c r="M5375" t="s">
        <v>287</v>
      </c>
      <c r="N5375" t="s">
        <v>297</v>
      </c>
      <c r="O5375" t="s">
        <v>305</v>
      </c>
      <c r="P5375" t="s">
        <v>312</v>
      </c>
      <c r="Q5375" t="s">
        <v>319</v>
      </c>
      <c r="R5375">
        <f>&gt;10       ветра      1.7     15  26 30</f>
        <v>0</v>
      </c>
      <c r="AK5375" t="s">
        <v>362</v>
      </c>
    </row>
    <row r="5376" spans="1:37">
      <c r="A5376" t="s">
        <v>40</v>
      </c>
      <c r="B5376" t="s">
        <v>59</v>
      </c>
      <c r="C5376" t="s">
        <v>81</v>
      </c>
      <c r="D5376" t="s">
        <v>100</v>
      </c>
      <c r="E5376" t="s">
        <v>119</v>
      </c>
      <c r="F5376" t="s">
        <v>153</v>
      </c>
      <c r="G5376" t="s">
        <v>179</v>
      </c>
      <c r="H5376" t="s">
        <v>214</v>
      </c>
      <c r="I5376" t="s">
        <v>234</v>
      </c>
      <c r="AK5376" t="s">
        <v>362</v>
      </c>
    </row>
    <row r="5377" spans="1:37">
      <c r="A5377" t="s">
        <v>40</v>
      </c>
      <c r="B5377" t="s">
        <v>60</v>
      </c>
      <c r="C5377" t="s">
        <v>82</v>
      </c>
      <c r="D5377" t="s">
        <v>101</v>
      </c>
      <c r="E5377" t="s">
        <v>120</v>
      </c>
      <c r="F5377" t="s">
        <v>154</v>
      </c>
      <c r="G5377" t="s">
        <v>180</v>
      </c>
      <c r="H5377" t="s">
        <v>215</v>
      </c>
      <c r="I5377" t="s">
        <v>235</v>
      </c>
      <c r="J5377" t="s">
        <v>253</v>
      </c>
      <c r="K5377" t="s">
        <v>267</v>
      </c>
      <c r="L5377" t="s">
        <v>279</v>
      </c>
      <c r="M5377" t="s">
        <v>288</v>
      </c>
      <c r="N5377" t="s">
        <v>100</v>
      </c>
      <c r="O5377" t="s">
        <v>306</v>
      </c>
      <c r="P5377" t="s">
        <v>313</v>
      </c>
      <c r="Q5377" t="s">
        <v>320</v>
      </c>
      <c r="R5377" t="s">
        <v>325</v>
      </c>
      <c r="S5377" t="s">
        <v>332</v>
      </c>
      <c r="T5377" t="s">
        <v>119</v>
      </c>
      <c r="U5377" t="s">
        <v>234</v>
      </c>
      <c r="V5377" t="s">
        <v>343</v>
      </c>
      <c r="W5377" t="s">
        <v>348</v>
      </c>
      <c r="X5377" t="s">
        <v>352</v>
      </c>
      <c r="Y5377" t="s">
        <v>354</v>
      </c>
      <c r="AK5377" t="s">
        <v>362</v>
      </c>
    </row>
    <row r="5378" spans="1:37">
      <c r="A5378" t="s">
        <v>41</v>
      </c>
      <c r="B5378" t="s">
        <v>61</v>
      </c>
      <c r="C5378" t="s">
        <v>83</v>
      </c>
      <c r="D5378" t="s">
        <v>102</v>
      </c>
      <c r="E5378" t="s">
        <v>121</v>
      </c>
      <c r="F5378" t="s">
        <v>155</v>
      </c>
      <c r="G5378" t="s">
        <v>181</v>
      </c>
      <c r="H5378" t="s">
        <v>216</v>
      </c>
      <c r="I5378" t="s">
        <v>236</v>
      </c>
      <c r="AK5378" t="s">
        <v>362</v>
      </c>
    </row>
    <row r="5379" spans="1:37">
      <c r="A5379" t="s">
        <v>42</v>
      </c>
      <c r="B5379" t="s">
        <v>62</v>
      </c>
      <c r="C5379" t="s">
        <v>84</v>
      </c>
      <c r="D5379" t="s">
        <v>103</v>
      </c>
      <c r="E5379" t="s">
        <v>122</v>
      </c>
      <c r="F5379" t="s">
        <v>156</v>
      </c>
      <c r="G5379" t="s">
        <v>182</v>
      </c>
      <c r="H5379" t="s">
        <v>83</v>
      </c>
      <c r="I5379" t="s">
        <v>237</v>
      </c>
      <c r="J5379" t="s">
        <v>254</v>
      </c>
      <c r="K5379" t="s">
        <v>268</v>
      </c>
      <c r="L5379" t="s">
        <v>280</v>
      </c>
      <c r="M5379" t="s">
        <v>289</v>
      </c>
      <c r="N5379" t="s">
        <v>298</v>
      </c>
      <c r="O5379" t="s">
        <v>307</v>
      </c>
      <c r="P5379" t="s">
        <v>314</v>
      </c>
      <c r="Q5379" t="s">
        <v>216</v>
      </c>
      <c r="R5379" t="s">
        <v>326</v>
      </c>
      <c r="S5379" t="s">
        <v>333</v>
      </c>
      <c r="T5379" t="s">
        <v>335</v>
      </c>
      <c r="U5379" t="s">
        <v>340</v>
      </c>
      <c r="V5379" t="s">
        <v>344</v>
      </c>
      <c r="W5379" t="s">
        <v>349</v>
      </c>
      <c r="AK5379" t="s">
        <v>362</v>
      </c>
    </row>
    <row r="5380" spans="1:37">
      <c r="A5380" t="s">
        <v>43</v>
      </c>
      <c r="B5380" t="s">
        <v>63</v>
      </c>
      <c r="C5380" t="s">
        <v>85</v>
      </c>
      <c r="D5380" t="s">
        <v>104</v>
      </c>
      <c r="E5380" t="s">
        <v>123</v>
      </c>
      <c r="F5380" t="s">
        <v>157</v>
      </c>
      <c r="G5380" t="s">
        <v>183</v>
      </c>
      <c r="AK5380" t="s">
        <v>362</v>
      </c>
    </row>
    <row r="5381" spans="1:37">
      <c r="A5381" t="s">
        <v>44</v>
      </c>
      <c r="B5381" t="s">
        <v>64</v>
      </c>
      <c r="C5381" t="s">
        <v>86</v>
      </c>
      <c r="D5381" t="s">
        <v>105</v>
      </c>
      <c r="E5381" t="s">
        <v>124</v>
      </c>
      <c r="F5381" t="s">
        <v>158</v>
      </c>
      <c r="G5381" t="s">
        <v>184</v>
      </c>
      <c r="AK5381" t="s">
        <v>362</v>
      </c>
    </row>
    <row r="5382" spans="1:37">
      <c r="A5382" t="s">
        <v>45</v>
      </c>
      <c r="B5382" t="s">
        <v>65</v>
      </c>
      <c r="C5382" t="s">
        <v>87</v>
      </c>
      <c r="D5382" t="s">
        <v>106</v>
      </c>
      <c r="E5382" t="s">
        <v>125</v>
      </c>
      <c r="F5382" t="s">
        <v>159</v>
      </c>
      <c r="G5382" t="s">
        <v>185</v>
      </c>
      <c r="H5382" t="s">
        <v>159</v>
      </c>
      <c r="I5382" t="s">
        <v>185</v>
      </c>
      <c r="J5382" t="s">
        <v>255</v>
      </c>
      <c r="AK5382" t="s">
        <v>362</v>
      </c>
    </row>
    <row r="5383" spans="1:37">
      <c r="A5383" t="s">
        <v>46</v>
      </c>
      <c r="B5383" t="s">
        <v>66</v>
      </c>
      <c r="C5383" t="s">
        <v>88</v>
      </c>
      <c r="D5383" t="s">
        <v>76</v>
      </c>
      <c r="E5383" t="s">
        <v>126</v>
      </c>
      <c r="F5383" t="s">
        <v>160</v>
      </c>
      <c r="G5383" t="s">
        <v>186</v>
      </c>
      <c r="H5383" t="s">
        <v>217</v>
      </c>
      <c r="I5383" t="s">
        <v>238</v>
      </c>
      <c r="J5383" t="s">
        <v>256</v>
      </c>
      <c r="K5383" t="s">
        <v>265</v>
      </c>
      <c r="L5383" t="s">
        <v>281</v>
      </c>
      <c r="M5383" t="s">
        <v>290</v>
      </c>
      <c r="N5383" t="s">
        <v>299</v>
      </c>
      <c r="O5383" t="s">
        <v>308</v>
      </c>
      <c r="P5383" t="s">
        <v>228</v>
      </c>
      <c r="Q5383" t="s">
        <v>72</v>
      </c>
      <c r="R5383" t="s">
        <v>327</v>
      </c>
      <c r="S5383" t="s">
        <v>327</v>
      </c>
      <c r="T5383" t="s">
        <v>336</v>
      </c>
      <c r="U5383" t="s">
        <v>336</v>
      </c>
      <c r="V5383" t="s">
        <v>336</v>
      </c>
      <c r="W5383" t="s">
        <v>336</v>
      </c>
      <c r="X5383" t="s">
        <v>353</v>
      </c>
      <c r="AK5383" t="s">
        <v>362</v>
      </c>
    </row>
    <row r="5384" spans="1:37">
      <c r="B5384" t="s">
        <v>67</v>
      </c>
      <c r="C5384" t="s">
        <v>89</v>
      </c>
      <c r="D5384" t="s">
        <v>107</v>
      </c>
      <c r="AK5384" t="s">
        <v>362</v>
      </c>
    </row>
    <row r="5385" spans="1:37">
      <c r="B5385" t="s">
        <v>68</v>
      </c>
      <c r="C5385" t="s">
        <v>90</v>
      </c>
      <c r="D5385" t="s">
        <v>108</v>
      </c>
      <c r="AK5385" t="s">
        <v>362</v>
      </c>
    </row>
    <row r="5386" spans="1:37">
      <c r="A5386" t="s">
        <v>47</v>
      </c>
      <c r="B5386" t="s">
        <v>69</v>
      </c>
      <c r="C5386" t="s">
        <v>91</v>
      </c>
      <c r="D5386" t="s">
        <v>109</v>
      </c>
      <c r="E5386" t="s">
        <v>109</v>
      </c>
      <c r="F5386" t="s">
        <v>109</v>
      </c>
      <c r="G5386" t="s">
        <v>109</v>
      </c>
      <c r="H5386" t="s">
        <v>109</v>
      </c>
      <c r="I5386" t="s">
        <v>239</v>
      </c>
      <c r="AK5386" t="s">
        <v>362</v>
      </c>
    </row>
    <row r="5387" spans="1:37">
      <c r="B5387" t="s">
        <v>70</v>
      </c>
      <c r="C5387" t="s">
        <v>92</v>
      </c>
      <c r="D5387" t="s">
        <v>110</v>
      </c>
      <c r="E5387" t="s">
        <v>127</v>
      </c>
      <c r="F5387" t="s">
        <v>161</v>
      </c>
      <c r="G5387" t="s">
        <v>187</v>
      </c>
      <c r="H5387" t="s">
        <v>218</v>
      </c>
      <c r="AK5387" t="s">
        <v>362</v>
      </c>
    </row>
    <row r="5388" spans="1:37">
      <c r="B5388" t="s">
        <v>71</v>
      </c>
      <c r="C5388" t="s">
        <v>93</v>
      </c>
      <c r="D5388" t="s">
        <v>111</v>
      </c>
      <c r="E5388" t="s">
        <v>128</v>
      </c>
      <c r="F5388" t="s">
        <v>162</v>
      </c>
      <c r="G5388" t="s">
        <v>188</v>
      </c>
      <c r="H5388" t="s">
        <v>219</v>
      </c>
      <c r="I5388" t="s">
        <v>240</v>
      </c>
      <c r="J5388" t="s">
        <v>257</v>
      </c>
      <c r="K5388" t="s">
        <v>269</v>
      </c>
      <c r="L5388" t="s">
        <v>109</v>
      </c>
      <c r="M5388" t="s">
        <v>109</v>
      </c>
      <c r="N5388" t="s">
        <v>109</v>
      </c>
      <c r="O5388" t="s">
        <v>109</v>
      </c>
      <c r="P5388" t="s">
        <v>109</v>
      </c>
      <c r="Q5388" t="s">
        <v>321</v>
      </c>
      <c r="AK5388" t="s">
        <v>362</v>
      </c>
    </row>
    <row r="5389" spans="1:37">
      <c r="A5389" t="s">
        <v>48</v>
      </c>
      <c r="B5389" t="s">
        <v>71</v>
      </c>
      <c r="C5389" t="s">
        <v>93</v>
      </c>
      <c r="D5389" t="s">
        <v>111</v>
      </c>
      <c r="E5389" t="s">
        <v>128</v>
      </c>
      <c r="F5389" t="s">
        <v>163</v>
      </c>
      <c r="G5389" t="s">
        <v>189</v>
      </c>
      <c r="H5389" t="s">
        <v>220</v>
      </c>
      <c r="I5389" t="s">
        <v>241</v>
      </c>
      <c r="J5389" t="s">
        <v>258</v>
      </c>
      <c r="K5389" t="s">
        <v>270</v>
      </c>
      <c r="AK5389" t="s">
        <v>362</v>
      </c>
    </row>
    <row r="5390" spans="1:37">
      <c r="B5390" t="s">
        <v>72</v>
      </c>
      <c r="C5390" t="s">
        <v>72</v>
      </c>
      <c r="D5390" t="s">
        <v>72</v>
      </c>
      <c r="E5390" t="s">
        <v>72</v>
      </c>
      <c r="F5390" t="s">
        <v>72</v>
      </c>
      <c r="G5390" t="s">
        <v>72</v>
      </c>
      <c r="H5390" t="s">
        <v>72</v>
      </c>
      <c r="I5390" t="s">
        <v>72</v>
      </c>
      <c r="J5390" t="s">
        <v>72</v>
      </c>
      <c r="K5390" t="s">
        <v>272</v>
      </c>
      <c r="AK5390" t="s">
        <v>362</v>
      </c>
    </row>
    <row r="5391" spans="1:37">
      <c r="A5391" t="s">
        <v>37</v>
      </c>
      <c r="B5391" t="s">
        <v>49</v>
      </c>
      <c r="C5391" t="s">
        <v>73</v>
      </c>
      <c r="D5391" t="s">
        <v>94</v>
      </c>
      <c r="E5391" t="s">
        <v>112</v>
      </c>
      <c r="F5391" t="s">
        <v>146</v>
      </c>
      <c r="G5391" t="s">
        <v>172</v>
      </c>
      <c r="H5391" t="s">
        <v>207</v>
      </c>
      <c r="I5391" t="s">
        <v>226</v>
      </c>
      <c r="J5391" t="s">
        <v>246</v>
      </c>
      <c r="K5391" t="s">
        <v>259</v>
      </c>
      <c r="AK5391" t="s">
        <v>362</v>
      </c>
    </row>
    <row r="5392" spans="1:37">
      <c r="A5392" t="s">
        <v>38</v>
      </c>
      <c r="B5392" t="s">
        <v>50</v>
      </c>
      <c r="C5392" t="s">
        <v>74</v>
      </c>
      <c r="D5392" t="s">
        <v>95</v>
      </c>
      <c r="E5392" t="s">
        <v>113</v>
      </c>
      <c r="F5392" t="s">
        <v>147</v>
      </c>
      <c r="G5392" t="s">
        <v>173</v>
      </c>
      <c r="H5392" t="s">
        <v>208</v>
      </c>
      <c r="I5392" t="s">
        <v>227</v>
      </c>
      <c r="J5392" t="s">
        <v>115</v>
      </c>
      <c r="K5392" t="s">
        <v>260</v>
      </c>
      <c r="L5392" t="s">
        <v>273</v>
      </c>
      <c r="M5392" t="s">
        <v>282</v>
      </c>
      <c r="N5392" t="s">
        <v>291</v>
      </c>
      <c r="AK5392" t="s">
        <v>362</v>
      </c>
    </row>
    <row r="5393" spans="1:37">
      <c r="B5393" t="s">
        <v>51</v>
      </c>
      <c r="C5393" t="s">
        <v>75</v>
      </c>
      <c r="D5393" t="s">
        <v>52</v>
      </c>
      <c r="E5393" t="s">
        <v>114</v>
      </c>
      <c r="F5393" t="s">
        <v>148</v>
      </c>
      <c r="G5393" t="s">
        <v>148</v>
      </c>
      <c r="H5393" t="s">
        <v>209</v>
      </c>
      <c r="I5393" t="s">
        <v>228</v>
      </c>
      <c r="J5393" t="s">
        <v>247</v>
      </c>
      <c r="K5393" t="s">
        <v>261</v>
      </c>
      <c r="L5393" t="s">
        <v>274</v>
      </c>
      <c r="M5393" t="s">
        <v>283</v>
      </c>
      <c r="N5393" t="s">
        <v>292</v>
      </c>
      <c r="O5393" t="s">
        <v>300</v>
      </c>
      <c r="AK5393" t="s">
        <v>362</v>
      </c>
    </row>
    <row r="5394" spans="1:37">
      <c r="B5394" t="s">
        <v>52</v>
      </c>
      <c r="C5394" t="s">
        <v>76</v>
      </c>
      <c r="D5394" t="s">
        <v>96</v>
      </c>
      <c r="E5394" t="s">
        <v>115</v>
      </c>
      <c r="F5394" t="s">
        <v>149</v>
      </c>
      <c r="G5394" t="s">
        <v>174</v>
      </c>
      <c r="H5394" t="s">
        <v>96</v>
      </c>
      <c r="I5394" t="s">
        <v>229</v>
      </c>
      <c r="J5394" t="s">
        <v>248</v>
      </c>
      <c r="K5394" t="s">
        <v>262</v>
      </c>
      <c r="L5394" t="s">
        <v>52</v>
      </c>
      <c r="M5394" t="s">
        <v>76</v>
      </c>
      <c r="N5394" t="s">
        <v>293</v>
      </c>
      <c r="O5394" t="s">
        <v>301</v>
      </c>
      <c r="P5394" t="s">
        <v>309</v>
      </c>
      <c r="Q5394" t="s">
        <v>315</v>
      </c>
      <c r="R5394" t="s">
        <v>228</v>
      </c>
      <c r="S5394" t="s">
        <v>328</v>
      </c>
      <c r="T5394" t="s">
        <v>149</v>
      </c>
      <c r="U5394" t="s">
        <v>337</v>
      </c>
      <c r="V5394" t="s">
        <v>341</v>
      </c>
      <c r="W5394" t="s">
        <v>345</v>
      </c>
      <c r="X5394" t="s">
        <v>350</v>
      </c>
      <c r="AK5394" t="s">
        <v>362</v>
      </c>
    </row>
    <row r="5395" spans="1:37">
      <c r="B5395" t="s">
        <v>53</v>
      </c>
      <c r="C5395" t="s">
        <v>77</v>
      </c>
      <c r="D5395" t="s">
        <v>97</v>
      </c>
      <c r="E5395" t="s">
        <v>116</v>
      </c>
      <c r="F5395" t="s">
        <v>150</v>
      </c>
      <c r="G5395" t="s">
        <v>175</v>
      </c>
      <c r="H5395" t="s">
        <v>210</v>
      </c>
      <c r="I5395" t="s">
        <v>230</v>
      </c>
      <c r="J5395" t="s">
        <v>249</v>
      </c>
      <c r="K5395" t="s">
        <v>263</v>
      </c>
      <c r="L5395" t="s">
        <v>275</v>
      </c>
      <c r="M5395" t="s">
        <v>284</v>
      </c>
      <c r="N5395" t="s">
        <v>294</v>
      </c>
      <c r="O5395" t="s">
        <v>302</v>
      </c>
      <c r="P5395" t="s">
        <v>310</v>
      </c>
      <c r="Q5395" t="s">
        <v>316</v>
      </c>
      <c r="R5395" t="s">
        <v>322</v>
      </c>
      <c r="S5395" t="s">
        <v>329</v>
      </c>
      <c r="AK5395" t="s">
        <v>362</v>
      </c>
    </row>
    <row r="5396" spans="1:37">
      <c r="A5396" t="s">
        <v>39</v>
      </c>
      <c r="B5396" t="s">
        <v>54</v>
      </c>
      <c r="C5396" t="s">
        <v>54</v>
      </c>
      <c r="D5396" t="s">
        <v>54</v>
      </c>
      <c r="E5396" t="s">
        <v>54</v>
      </c>
      <c r="F5396" t="s">
        <v>54</v>
      </c>
      <c r="G5396" t="s">
        <v>54</v>
      </c>
      <c r="H5396" t="s">
        <v>54</v>
      </c>
      <c r="I5396" t="s">
        <v>54</v>
      </c>
      <c r="J5396" t="s">
        <v>54</v>
      </c>
      <c r="K5396" t="s">
        <v>54</v>
      </c>
      <c r="L5396" t="s">
        <v>54</v>
      </c>
      <c r="M5396" t="s">
        <v>54</v>
      </c>
      <c r="N5396" t="s">
        <v>54</v>
      </c>
      <c r="O5396" t="s">
        <v>54</v>
      </c>
      <c r="P5396" t="s">
        <v>54</v>
      </c>
      <c r="Q5396" t="s">
        <v>54</v>
      </c>
      <c r="R5396" t="s">
        <v>323</v>
      </c>
      <c r="S5396" t="s">
        <v>330</v>
      </c>
      <c r="AK5396" t="s">
        <v>362</v>
      </c>
    </row>
    <row r="5397" spans="1:37">
      <c r="B5397" t="s">
        <v>55</v>
      </c>
      <c r="C5397" t="s">
        <v>78</v>
      </c>
      <c r="D5397" t="s">
        <v>55</v>
      </c>
      <c r="E5397" t="s">
        <v>78</v>
      </c>
      <c r="F5397" t="s">
        <v>55</v>
      </c>
      <c r="G5397" t="s">
        <v>78</v>
      </c>
      <c r="H5397" t="s">
        <v>55</v>
      </c>
      <c r="I5397" t="s">
        <v>78</v>
      </c>
      <c r="J5397" t="s">
        <v>55</v>
      </c>
      <c r="K5397" t="s">
        <v>78</v>
      </c>
      <c r="L5397" t="s">
        <v>55</v>
      </c>
      <c r="M5397" t="s">
        <v>78</v>
      </c>
      <c r="N5397" t="s">
        <v>55</v>
      </c>
      <c r="O5397" t="s">
        <v>78</v>
      </c>
      <c r="P5397" t="s">
        <v>55</v>
      </c>
      <c r="Q5397" t="s">
        <v>78</v>
      </c>
      <c r="R5397" t="s">
        <v>55</v>
      </c>
      <c r="S5397" t="s">
        <v>78</v>
      </c>
      <c r="T5397" t="s">
        <v>55</v>
      </c>
      <c r="U5397" t="s">
        <v>78</v>
      </c>
      <c r="V5397" t="s">
        <v>55</v>
      </c>
      <c r="W5397" t="s">
        <v>78</v>
      </c>
      <c r="X5397" t="s">
        <v>55</v>
      </c>
      <c r="Y5397" t="s">
        <v>78</v>
      </c>
      <c r="Z5397" t="s">
        <v>55</v>
      </c>
      <c r="AA5397" t="s">
        <v>78</v>
      </c>
      <c r="AB5397" t="s">
        <v>55</v>
      </c>
      <c r="AC5397" t="s">
        <v>78</v>
      </c>
      <c r="AD5397" t="s">
        <v>55</v>
      </c>
      <c r="AE5397" t="s">
        <v>78</v>
      </c>
      <c r="AF5397" t="s">
        <v>55</v>
      </c>
      <c r="AG5397" t="s">
        <v>78</v>
      </c>
      <c r="AH5397" t="s">
        <v>55</v>
      </c>
      <c r="AI5397" t="s">
        <v>78</v>
      </c>
      <c r="AK5397" t="s">
        <v>362</v>
      </c>
    </row>
    <row r="5398" spans="1:37">
      <c r="B5398" t="s">
        <v>56</v>
      </c>
      <c r="C5398" t="s">
        <v>56</v>
      </c>
      <c r="D5398" t="s">
        <v>56</v>
      </c>
      <c r="E5398" t="s">
        <v>56</v>
      </c>
      <c r="F5398" t="s">
        <v>56</v>
      </c>
      <c r="G5398" t="s">
        <v>176</v>
      </c>
      <c r="H5398" t="s">
        <v>211</v>
      </c>
      <c r="I5398" t="s">
        <v>231</v>
      </c>
      <c r="J5398" t="s">
        <v>250</v>
      </c>
      <c r="K5398" t="s">
        <v>264</v>
      </c>
      <c r="L5398" t="s">
        <v>276</v>
      </c>
      <c r="M5398" t="s">
        <v>285</v>
      </c>
      <c r="N5398" t="s">
        <v>295</v>
      </c>
      <c r="O5398" t="s">
        <v>303</v>
      </c>
      <c r="P5398" t="s">
        <v>56</v>
      </c>
      <c r="Q5398" t="s">
        <v>317</v>
      </c>
      <c r="R5398" t="s">
        <v>324</v>
      </c>
      <c r="S5398" t="s">
        <v>331</v>
      </c>
      <c r="T5398" t="s">
        <v>334</v>
      </c>
      <c r="U5398" t="s">
        <v>338</v>
      </c>
      <c r="V5398" t="s">
        <v>342</v>
      </c>
      <c r="W5398" t="s">
        <v>346</v>
      </c>
      <c r="X5398" t="s">
        <v>351</v>
      </c>
      <c r="AK5398" t="s">
        <v>362</v>
      </c>
    </row>
    <row r="5399" spans="1:37">
      <c r="B5399" t="s">
        <v>57</v>
      </c>
      <c r="C5399" t="s">
        <v>79</v>
      </c>
      <c r="D5399" t="s">
        <v>98</v>
      </c>
      <c r="E5399" t="s">
        <v>117</v>
      </c>
      <c r="F5399" t="s">
        <v>151</v>
      </c>
      <c r="G5399" t="s">
        <v>177</v>
      </c>
      <c r="H5399" t="s">
        <v>212</v>
      </c>
      <c r="I5399" t="s">
        <v>232</v>
      </c>
      <c r="J5399" t="s">
        <v>251</v>
      </c>
      <c r="K5399" t="s">
        <v>265</v>
      </c>
      <c r="L5399" t="s">
        <v>277</v>
      </c>
      <c r="M5399" t="s">
        <v>286</v>
      </c>
      <c r="N5399" t="s">
        <v>296</v>
      </c>
      <c r="O5399" t="s">
        <v>304</v>
      </c>
      <c r="P5399" t="s">
        <v>311</v>
      </c>
      <c r="Q5399" t="s">
        <v>318</v>
      </c>
      <c r="R5399" t="s">
        <v>185</v>
      </c>
      <c r="S5399" t="s">
        <v>159</v>
      </c>
      <c r="T5399" t="s">
        <v>185</v>
      </c>
      <c r="U5399" t="s">
        <v>339</v>
      </c>
      <c r="V5399" t="s">
        <v>72</v>
      </c>
      <c r="W5399" t="s">
        <v>347</v>
      </c>
      <c r="X5399" t="s">
        <v>72</v>
      </c>
      <c r="Y5399" t="s">
        <v>96</v>
      </c>
      <c r="AK5399" t="s">
        <v>362</v>
      </c>
    </row>
    <row r="5400" spans="1:37">
      <c r="B5400" t="s">
        <v>58</v>
      </c>
      <c r="C5400" t="s">
        <v>80</v>
      </c>
      <c r="D5400" t="s">
        <v>99</v>
      </c>
      <c r="E5400" t="s">
        <v>118</v>
      </c>
      <c r="F5400" t="s">
        <v>152</v>
      </c>
      <c r="G5400" t="s">
        <v>178</v>
      </c>
      <c r="H5400" t="s">
        <v>213</v>
      </c>
      <c r="I5400" t="s">
        <v>233</v>
      </c>
      <c r="J5400" t="s">
        <v>252</v>
      </c>
      <c r="K5400" t="s">
        <v>266</v>
      </c>
      <c r="L5400" t="s">
        <v>278</v>
      </c>
      <c r="M5400" t="s">
        <v>287</v>
      </c>
      <c r="N5400" t="s">
        <v>297</v>
      </c>
      <c r="O5400" t="s">
        <v>305</v>
      </c>
      <c r="P5400" t="s">
        <v>312</v>
      </c>
      <c r="Q5400" t="s">
        <v>319</v>
      </c>
      <c r="R5400">
        <f>&gt;10       ветра      2.2     18   4</f>
        <v>0</v>
      </c>
      <c r="AK5400" t="s">
        <v>362</v>
      </c>
    </row>
    <row r="5401" spans="1:37">
      <c r="A5401" t="s">
        <v>40</v>
      </c>
      <c r="B5401" t="s">
        <v>59</v>
      </c>
      <c r="C5401" t="s">
        <v>81</v>
      </c>
      <c r="D5401" t="s">
        <v>100</v>
      </c>
      <c r="E5401" t="s">
        <v>119</v>
      </c>
      <c r="F5401" t="s">
        <v>153</v>
      </c>
      <c r="G5401" t="s">
        <v>179</v>
      </c>
      <c r="H5401" t="s">
        <v>214</v>
      </c>
      <c r="I5401" t="s">
        <v>234</v>
      </c>
      <c r="AK5401" t="s">
        <v>362</v>
      </c>
    </row>
    <row r="5402" spans="1:37">
      <c r="A5402" t="s">
        <v>40</v>
      </c>
      <c r="B5402" t="s">
        <v>60</v>
      </c>
      <c r="C5402" t="s">
        <v>82</v>
      </c>
      <c r="D5402" t="s">
        <v>101</v>
      </c>
      <c r="E5402" t="s">
        <v>120</v>
      </c>
      <c r="F5402" t="s">
        <v>154</v>
      </c>
      <c r="G5402" t="s">
        <v>180</v>
      </c>
      <c r="H5402" t="s">
        <v>215</v>
      </c>
      <c r="I5402" t="s">
        <v>235</v>
      </c>
      <c r="J5402" t="s">
        <v>253</v>
      </c>
      <c r="K5402" t="s">
        <v>267</v>
      </c>
      <c r="L5402" t="s">
        <v>279</v>
      </c>
      <c r="M5402" t="s">
        <v>288</v>
      </c>
      <c r="N5402" t="s">
        <v>100</v>
      </c>
      <c r="O5402" t="s">
        <v>306</v>
      </c>
      <c r="P5402" t="s">
        <v>313</v>
      </c>
      <c r="Q5402" t="s">
        <v>320</v>
      </c>
      <c r="R5402" t="s">
        <v>325</v>
      </c>
      <c r="S5402" t="s">
        <v>332</v>
      </c>
      <c r="T5402" t="s">
        <v>119</v>
      </c>
      <c r="U5402" t="s">
        <v>234</v>
      </c>
      <c r="V5402" t="s">
        <v>343</v>
      </c>
      <c r="W5402" t="s">
        <v>348</v>
      </c>
      <c r="X5402" t="s">
        <v>352</v>
      </c>
      <c r="Y5402" t="s">
        <v>354</v>
      </c>
      <c r="AK5402" t="s">
        <v>362</v>
      </c>
    </row>
    <row r="5403" spans="1:37">
      <c r="A5403" t="s">
        <v>41</v>
      </c>
      <c r="B5403" t="s">
        <v>61</v>
      </c>
      <c r="C5403" t="s">
        <v>83</v>
      </c>
      <c r="D5403" t="s">
        <v>102</v>
      </c>
      <c r="E5403" t="s">
        <v>121</v>
      </c>
      <c r="F5403" t="s">
        <v>155</v>
      </c>
      <c r="G5403" t="s">
        <v>181</v>
      </c>
      <c r="H5403" t="s">
        <v>216</v>
      </c>
      <c r="I5403" t="s">
        <v>236</v>
      </c>
      <c r="AK5403" t="s">
        <v>362</v>
      </c>
    </row>
    <row r="5404" spans="1:37">
      <c r="A5404" t="s">
        <v>42</v>
      </c>
      <c r="B5404" t="s">
        <v>62</v>
      </c>
      <c r="C5404" t="s">
        <v>84</v>
      </c>
      <c r="D5404" t="s">
        <v>103</v>
      </c>
      <c r="E5404" t="s">
        <v>122</v>
      </c>
      <c r="F5404" t="s">
        <v>156</v>
      </c>
      <c r="G5404" t="s">
        <v>182</v>
      </c>
      <c r="H5404" t="s">
        <v>83</v>
      </c>
      <c r="I5404" t="s">
        <v>237</v>
      </c>
      <c r="J5404" t="s">
        <v>254</v>
      </c>
      <c r="K5404" t="s">
        <v>268</v>
      </c>
      <c r="L5404" t="s">
        <v>280</v>
      </c>
      <c r="M5404" t="s">
        <v>289</v>
      </c>
      <c r="N5404" t="s">
        <v>298</v>
      </c>
      <c r="O5404" t="s">
        <v>307</v>
      </c>
      <c r="P5404" t="s">
        <v>314</v>
      </c>
      <c r="Q5404" t="s">
        <v>216</v>
      </c>
      <c r="R5404" t="s">
        <v>326</v>
      </c>
      <c r="S5404" t="s">
        <v>333</v>
      </c>
      <c r="T5404" t="s">
        <v>335</v>
      </c>
      <c r="U5404" t="s">
        <v>340</v>
      </c>
      <c r="V5404" t="s">
        <v>344</v>
      </c>
      <c r="W5404" t="s">
        <v>349</v>
      </c>
      <c r="AK5404" t="s">
        <v>362</v>
      </c>
    </row>
    <row r="5405" spans="1:37">
      <c r="A5405" t="s">
        <v>43</v>
      </c>
      <c r="B5405" t="s">
        <v>63</v>
      </c>
      <c r="C5405" t="s">
        <v>85</v>
      </c>
      <c r="D5405" t="s">
        <v>104</v>
      </c>
      <c r="E5405" t="s">
        <v>123</v>
      </c>
      <c r="F5405" t="s">
        <v>157</v>
      </c>
      <c r="G5405" t="s">
        <v>183</v>
      </c>
      <c r="AK5405" t="s">
        <v>362</v>
      </c>
    </row>
    <row r="5406" spans="1:37">
      <c r="A5406" t="s">
        <v>44</v>
      </c>
      <c r="B5406" t="s">
        <v>64</v>
      </c>
      <c r="C5406" t="s">
        <v>86</v>
      </c>
      <c r="D5406" t="s">
        <v>105</v>
      </c>
      <c r="E5406" t="s">
        <v>124</v>
      </c>
      <c r="F5406" t="s">
        <v>158</v>
      </c>
      <c r="G5406" t="s">
        <v>184</v>
      </c>
      <c r="AK5406" t="s">
        <v>362</v>
      </c>
    </row>
    <row r="5407" spans="1:37">
      <c r="A5407" t="s">
        <v>45</v>
      </c>
      <c r="B5407" t="s">
        <v>65</v>
      </c>
      <c r="C5407" t="s">
        <v>87</v>
      </c>
      <c r="D5407" t="s">
        <v>106</v>
      </c>
      <c r="E5407" t="s">
        <v>125</v>
      </c>
      <c r="F5407" t="s">
        <v>159</v>
      </c>
      <c r="G5407" t="s">
        <v>185</v>
      </c>
      <c r="H5407" t="s">
        <v>159</v>
      </c>
      <c r="I5407" t="s">
        <v>185</v>
      </c>
      <c r="J5407" t="s">
        <v>255</v>
      </c>
      <c r="AK5407" t="s">
        <v>362</v>
      </c>
    </row>
    <row r="5408" spans="1:37">
      <c r="A5408" t="s">
        <v>46</v>
      </c>
      <c r="B5408" t="s">
        <v>66</v>
      </c>
      <c r="C5408" t="s">
        <v>88</v>
      </c>
      <c r="D5408" t="s">
        <v>76</v>
      </c>
      <c r="E5408" t="s">
        <v>126</v>
      </c>
      <c r="F5408" t="s">
        <v>160</v>
      </c>
      <c r="G5408" t="s">
        <v>186</v>
      </c>
      <c r="H5408" t="s">
        <v>217</v>
      </c>
      <c r="I5408" t="s">
        <v>238</v>
      </c>
      <c r="J5408" t="s">
        <v>256</v>
      </c>
      <c r="K5408" t="s">
        <v>265</v>
      </c>
      <c r="L5408" t="s">
        <v>281</v>
      </c>
      <c r="M5408" t="s">
        <v>290</v>
      </c>
      <c r="N5408" t="s">
        <v>299</v>
      </c>
      <c r="O5408" t="s">
        <v>308</v>
      </c>
      <c r="P5408" t="s">
        <v>228</v>
      </c>
      <c r="Q5408" t="s">
        <v>72</v>
      </c>
      <c r="R5408" t="s">
        <v>327</v>
      </c>
      <c r="S5408" t="s">
        <v>327</v>
      </c>
      <c r="T5408" t="s">
        <v>336</v>
      </c>
      <c r="U5408" t="s">
        <v>336</v>
      </c>
      <c r="V5408" t="s">
        <v>336</v>
      </c>
      <c r="W5408" t="s">
        <v>336</v>
      </c>
      <c r="X5408" t="s">
        <v>353</v>
      </c>
      <c r="AK5408" t="s">
        <v>362</v>
      </c>
    </row>
    <row r="5409" spans="1:37">
      <c r="B5409" t="s">
        <v>67</v>
      </c>
      <c r="C5409" t="s">
        <v>89</v>
      </c>
      <c r="D5409" t="s">
        <v>107</v>
      </c>
      <c r="AK5409" t="s">
        <v>362</v>
      </c>
    </row>
    <row r="5410" spans="1:37">
      <c r="B5410" t="s">
        <v>68</v>
      </c>
      <c r="C5410" t="s">
        <v>90</v>
      </c>
      <c r="D5410" t="s">
        <v>108</v>
      </c>
      <c r="AK5410" t="s">
        <v>362</v>
      </c>
    </row>
    <row r="5411" spans="1:37">
      <c r="A5411" t="s">
        <v>47</v>
      </c>
      <c r="B5411" t="s">
        <v>69</v>
      </c>
      <c r="C5411" t="s">
        <v>91</v>
      </c>
      <c r="D5411" t="s">
        <v>109</v>
      </c>
      <c r="E5411" t="s">
        <v>109</v>
      </c>
      <c r="F5411" t="s">
        <v>109</v>
      </c>
      <c r="G5411" t="s">
        <v>109</v>
      </c>
      <c r="H5411" t="s">
        <v>109</v>
      </c>
      <c r="I5411" t="s">
        <v>239</v>
      </c>
      <c r="AK5411" t="s">
        <v>362</v>
      </c>
    </row>
    <row r="5412" spans="1:37">
      <c r="B5412" t="s">
        <v>70</v>
      </c>
      <c r="C5412" t="s">
        <v>92</v>
      </c>
      <c r="D5412" t="s">
        <v>110</v>
      </c>
      <c r="E5412" t="s">
        <v>127</v>
      </c>
      <c r="F5412" t="s">
        <v>161</v>
      </c>
      <c r="G5412" t="s">
        <v>187</v>
      </c>
      <c r="H5412" t="s">
        <v>218</v>
      </c>
      <c r="AK5412" t="s">
        <v>362</v>
      </c>
    </row>
    <row r="5413" spans="1:37">
      <c r="B5413" t="s">
        <v>71</v>
      </c>
      <c r="C5413" t="s">
        <v>93</v>
      </c>
      <c r="D5413" t="s">
        <v>111</v>
      </c>
      <c r="E5413" t="s">
        <v>128</v>
      </c>
      <c r="F5413" t="s">
        <v>162</v>
      </c>
      <c r="G5413" t="s">
        <v>188</v>
      </c>
      <c r="H5413" t="s">
        <v>219</v>
      </c>
      <c r="I5413" t="s">
        <v>240</v>
      </c>
      <c r="J5413" t="s">
        <v>257</v>
      </c>
      <c r="K5413" t="s">
        <v>269</v>
      </c>
      <c r="L5413" t="s">
        <v>109</v>
      </c>
      <c r="M5413" t="s">
        <v>109</v>
      </c>
      <c r="N5413" t="s">
        <v>109</v>
      </c>
      <c r="O5413" t="s">
        <v>109</v>
      </c>
      <c r="P5413" t="s">
        <v>109</v>
      </c>
      <c r="Q5413" t="s">
        <v>321</v>
      </c>
      <c r="AK5413" t="s">
        <v>362</v>
      </c>
    </row>
    <row r="5414" spans="1:37">
      <c r="A5414" t="s">
        <v>48</v>
      </c>
      <c r="B5414" t="s">
        <v>71</v>
      </c>
      <c r="C5414" t="s">
        <v>93</v>
      </c>
      <c r="D5414" t="s">
        <v>111</v>
      </c>
      <c r="E5414" t="s">
        <v>128</v>
      </c>
      <c r="F5414" t="s">
        <v>163</v>
      </c>
      <c r="G5414" t="s">
        <v>189</v>
      </c>
      <c r="H5414" t="s">
        <v>220</v>
      </c>
      <c r="I5414" t="s">
        <v>241</v>
      </c>
      <c r="J5414" t="s">
        <v>258</v>
      </c>
      <c r="K5414" t="s">
        <v>270</v>
      </c>
      <c r="AK5414" t="s">
        <v>362</v>
      </c>
    </row>
    <row r="5415" spans="1:37">
      <c r="B5415" t="s">
        <v>72</v>
      </c>
      <c r="C5415" t="s">
        <v>72</v>
      </c>
      <c r="D5415" t="s">
        <v>72</v>
      </c>
      <c r="E5415" t="s">
        <v>72</v>
      </c>
      <c r="F5415" t="s">
        <v>72</v>
      </c>
      <c r="G5415" t="s">
        <v>72</v>
      </c>
      <c r="H5415" t="s">
        <v>72</v>
      </c>
      <c r="I5415" t="s">
        <v>72</v>
      </c>
      <c r="J5415" t="s">
        <v>72</v>
      </c>
      <c r="K5415" t="s">
        <v>272</v>
      </c>
      <c r="AK5415" t="s">
        <v>362</v>
      </c>
    </row>
    <row r="5416" spans="1:37">
      <c r="A5416" t="s">
        <v>37</v>
      </c>
      <c r="B5416" t="s">
        <v>49</v>
      </c>
      <c r="C5416" t="s">
        <v>73</v>
      </c>
      <c r="D5416" t="s">
        <v>94</v>
      </c>
      <c r="E5416" t="s">
        <v>112</v>
      </c>
      <c r="F5416" t="s">
        <v>146</v>
      </c>
      <c r="G5416" t="s">
        <v>172</v>
      </c>
      <c r="H5416" t="s">
        <v>207</v>
      </c>
      <c r="I5416" t="s">
        <v>226</v>
      </c>
      <c r="J5416" t="s">
        <v>246</v>
      </c>
      <c r="K5416" t="s">
        <v>259</v>
      </c>
      <c r="AK5416" t="s">
        <v>362</v>
      </c>
    </row>
    <row r="5417" spans="1:37">
      <c r="A5417" t="s">
        <v>38</v>
      </c>
      <c r="B5417" t="s">
        <v>50</v>
      </c>
      <c r="C5417" t="s">
        <v>74</v>
      </c>
      <c r="D5417" t="s">
        <v>95</v>
      </c>
      <c r="E5417" t="s">
        <v>113</v>
      </c>
      <c r="F5417" t="s">
        <v>147</v>
      </c>
      <c r="G5417" t="s">
        <v>173</v>
      </c>
      <c r="H5417" t="s">
        <v>208</v>
      </c>
      <c r="I5417" t="s">
        <v>227</v>
      </c>
      <c r="J5417" t="s">
        <v>115</v>
      </c>
      <c r="K5417" t="s">
        <v>260</v>
      </c>
      <c r="L5417" t="s">
        <v>273</v>
      </c>
      <c r="M5417" t="s">
        <v>282</v>
      </c>
      <c r="N5417" t="s">
        <v>291</v>
      </c>
      <c r="AK5417" t="s">
        <v>362</v>
      </c>
    </row>
    <row r="5418" spans="1:37">
      <c r="B5418" t="s">
        <v>51</v>
      </c>
      <c r="C5418" t="s">
        <v>75</v>
      </c>
      <c r="D5418" t="s">
        <v>52</v>
      </c>
      <c r="E5418" t="s">
        <v>114</v>
      </c>
      <c r="F5418" t="s">
        <v>148</v>
      </c>
      <c r="G5418" t="s">
        <v>148</v>
      </c>
      <c r="H5418" t="s">
        <v>209</v>
      </c>
      <c r="I5418" t="s">
        <v>228</v>
      </c>
      <c r="J5418" t="s">
        <v>247</v>
      </c>
      <c r="K5418" t="s">
        <v>261</v>
      </c>
      <c r="L5418" t="s">
        <v>274</v>
      </c>
      <c r="M5418" t="s">
        <v>283</v>
      </c>
      <c r="N5418" t="s">
        <v>292</v>
      </c>
      <c r="O5418" t="s">
        <v>300</v>
      </c>
      <c r="AK5418" t="s">
        <v>362</v>
      </c>
    </row>
    <row r="5419" spans="1:37">
      <c r="B5419" t="s">
        <v>52</v>
      </c>
      <c r="C5419" t="s">
        <v>76</v>
      </c>
      <c r="D5419" t="s">
        <v>96</v>
      </c>
      <c r="E5419" t="s">
        <v>115</v>
      </c>
      <c r="F5419" t="s">
        <v>149</v>
      </c>
      <c r="G5419" t="s">
        <v>174</v>
      </c>
      <c r="H5419" t="s">
        <v>96</v>
      </c>
      <c r="I5419" t="s">
        <v>229</v>
      </c>
      <c r="J5419" t="s">
        <v>248</v>
      </c>
      <c r="K5419" t="s">
        <v>262</v>
      </c>
      <c r="L5419" t="s">
        <v>52</v>
      </c>
      <c r="M5419" t="s">
        <v>76</v>
      </c>
      <c r="N5419" t="s">
        <v>293</v>
      </c>
      <c r="O5419" t="s">
        <v>301</v>
      </c>
      <c r="P5419" t="s">
        <v>309</v>
      </c>
      <c r="Q5419" t="s">
        <v>315</v>
      </c>
      <c r="R5419" t="s">
        <v>228</v>
      </c>
      <c r="S5419" t="s">
        <v>328</v>
      </c>
      <c r="T5419" t="s">
        <v>149</v>
      </c>
      <c r="U5419" t="s">
        <v>337</v>
      </c>
      <c r="V5419" t="s">
        <v>341</v>
      </c>
      <c r="W5419" t="s">
        <v>345</v>
      </c>
      <c r="X5419" t="s">
        <v>350</v>
      </c>
      <c r="AK5419" t="s">
        <v>362</v>
      </c>
    </row>
    <row r="5420" spans="1:37">
      <c r="B5420" t="s">
        <v>53</v>
      </c>
      <c r="C5420" t="s">
        <v>77</v>
      </c>
      <c r="D5420" t="s">
        <v>97</v>
      </c>
      <c r="E5420" t="s">
        <v>116</v>
      </c>
      <c r="F5420" t="s">
        <v>150</v>
      </c>
      <c r="G5420" t="s">
        <v>175</v>
      </c>
      <c r="H5420" t="s">
        <v>210</v>
      </c>
      <c r="I5420" t="s">
        <v>230</v>
      </c>
      <c r="J5420" t="s">
        <v>249</v>
      </c>
      <c r="K5420" t="s">
        <v>263</v>
      </c>
      <c r="L5420" t="s">
        <v>275</v>
      </c>
      <c r="M5420" t="s">
        <v>284</v>
      </c>
      <c r="N5420" t="s">
        <v>294</v>
      </c>
      <c r="O5420" t="s">
        <v>302</v>
      </c>
      <c r="P5420" t="s">
        <v>310</v>
      </c>
      <c r="Q5420" t="s">
        <v>316</v>
      </c>
      <c r="R5420" t="s">
        <v>322</v>
      </c>
      <c r="S5420" t="s">
        <v>329</v>
      </c>
      <c r="AK5420" t="s">
        <v>362</v>
      </c>
    </row>
    <row r="5421" spans="1:37">
      <c r="A5421" t="s">
        <v>39</v>
      </c>
      <c r="B5421" t="s">
        <v>54</v>
      </c>
      <c r="C5421" t="s">
        <v>54</v>
      </c>
      <c r="D5421" t="s">
        <v>54</v>
      </c>
      <c r="E5421" t="s">
        <v>54</v>
      </c>
      <c r="F5421" t="s">
        <v>54</v>
      </c>
      <c r="G5421" t="s">
        <v>54</v>
      </c>
      <c r="H5421" t="s">
        <v>54</v>
      </c>
      <c r="I5421" t="s">
        <v>54</v>
      </c>
      <c r="J5421" t="s">
        <v>54</v>
      </c>
      <c r="K5421" t="s">
        <v>54</v>
      </c>
      <c r="L5421" t="s">
        <v>54</v>
      </c>
      <c r="M5421" t="s">
        <v>54</v>
      </c>
      <c r="N5421" t="s">
        <v>54</v>
      </c>
      <c r="O5421" t="s">
        <v>54</v>
      </c>
      <c r="P5421" t="s">
        <v>54</v>
      </c>
      <c r="Q5421" t="s">
        <v>54</v>
      </c>
      <c r="R5421" t="s">
        <v>323</v>
      </c>
      <c r="S5421" t="s">
        <v>330</v>
      </c>
      <c r="AK5421" t="s">
        <v>362</v>
      </c>
    </row>
    <row r="5422" spans="1:37">
      <c r="B5422" t="s">
        <v>55</v>
      </c>
      <c r="C5422" t="s">
        <v>78</v>
      </c>
      <c r="D5422" t="s">
        <v>55</v>
      </c>
      <c r="E5422" t="s">
        <v>78</v>
      </c>
      <c r="F5422" t="s">
        <v>55</v>
      </c>
      <c r="G5422" t="s">
        <v>78</v>
      </c>
      <c r="H5422" t="s">
        <v>55</v>
      </c>
      <c r="I5422" t="s">
        <v>78</v>
      </c>
      <c r="J5422" t="s">
        <v>55</v>
      </c>
      <c r="K5422" t="s">
        <v>78</v>
      </c>
      <c r="L5422" t="s">
        <v>55</v>
      </c>
      <c r="M5422" t="s">
        <v>78</v>
      </c>
      <c r="N5422" t="s">
        <v>55</v>
      </c>
      <c r="O5422" t="s">
        <v>78</v>
      </c>
      <c r="P5422" t="s">
        <v>55</v>
      </c>
      <c r="Q5422" t="s">
        <v>78</v>
      </c>
      <c r="R5422" t="s">
        <v>55</v>
      </c>
      <c r="S5422" t="s">
        <v>78</v>
      </c>
      <c r="T5422" t="s">
        <v>55</v>
      </c>
      <c r="U5422" t="s">
        <v>78</v>
      </c>
      <c r="V5422" t="s">
        <v>55</v>
      </c>
      <c r="W5422" t="s">
        <v>78</v>
      </c>
      <c r="X5422" t="s">
        <v>55</v>
      </c>
      <c r="Y5422" t="s">
        <v>78</v>
      </c>
      <c r="Z5422" t="s">
        <v>55</v>
      </c>
      <c r="AA5422" t="s">
        <v>78</v>
      </c>
      <c r="AB5422" t="s">
        <v>55</v>
      </c>
      <c r="AC5422" t="s">
        <v>78</v>
      </c>
      <c r="AD5422" t="s">
        <v>55</v>
      </c>
      <c r="AE5422" t="s">
        <v>78</v>
      </c>
      <c r="AF5422" t="s">
        <v>55</v>
      </c>
      <c r="AG5422" t="s">
        <v>78</v>
      </c>
      <c r="AH5422" t="s">
        <v>55</v>
      </c>
      <c r="AI5422" t="s">
        <v>78</v>
      </c>
      <c r="AK5422" t="s">
        <v>362</v>
      </c>
    </row>
    <row r="5423" spans="1:37">
      <c r="B5423" t="s">
        <v>56</v>
      </c>
      <c r="C5423" t="s">
        <v>56</v>
      </c>
      <c r="D5423" t="s">
        <v>56</v>
      </c>
      <c r="E5423" t="s">
        <v>56</v>
      </c>
      <c r="F5423" t="s">
        <v>56</v>
      </c>
      <c r="G5423" t="s">
        <v>176</v>
      </c>
      <c r="H5423" t="s">
        <v>211</v>
      </c>
      <c r="I5423" t="s">
        <v>231</v>
      </c>
      <c r="J5423" t="s">
        <v>250</v>
      </c>
      <c r="K5423" t="s">
        <v>264</v>
      </c>
      <c r="L5423" t="s">
        <v>276</v>
      </c>
      <c r="M5423" t="s">
        <v>285</v>
      </c>
      <c r="N5423" t="s">
        <v>295</v>
      </c>
      <c r="O5423" t="s">
        <v>303</v>
      </c>
      <c r="P5423" t="s">
        <v>56</v>
      </c>
      <c r="Q5423" t="s">
        <v>317</v>
      </c>
      <c r="R5423" t="s">
        <v>324</v>
      </c>
      <c r="S5423" t="s">
        <v>331</v>
      </c>
      <c r="T5423" t="s">
        <v>334</v>
      </c>
      <c r="U5423" t="s">
        <v>338</v>
      </c>
      <c r="V5423" t="s">
        <v>342</v>
      </c>
      <c r="W5423" t="s">
        <v>346</v>
      </c>
      <c r="X5423" t="s">
        <v>351</v>
      </c>
      <c r="AK5423" t="s">
        <v>362</v>
      </c>
    </row>
    <row r="5424" spans="1:37">
      <c r="B5424" t="s">
        <v>57</v>
      </c>
      <c r="C5424" t="s">
        <v>79</v>
      </c>
      <c r="D5424" t="s">
        <v>98</v>
      </c>
      <c r="E5424" t="s">
        <v>117</v>
      </c>
      <c r="F5424" t="s">
        <v>151</v>
      </c>
      <c r="G5424" t="s">
        <v>177</v>
      </c>
      <c r="H5424" t="s">
        <v>212</v>
      </c>
      <c r="I5424" t="s">
        <v>232</v>
      </c>
      <c r="J5424" t="s">
        <v>251</v>
      </c>
      <c r="K5424" t="s">
        <v>265</v>
      </c>
      <c r="L5424" t="s">
        <v>277</v>
      </c>
      <c r="M5424" t="s">
        <v>286</v>
      </c>
      <c r="N5424" t="s">
        <v>296</v>
      </c>
      <c r="O5424" t="s">
        <v>304</v>
      </c>
      <c r="P5424" t="s">
        <v>311</v>
      </c>
      <c r="Q5424" t="s">
        <v>318</v>
      </c>
      <c r="R5424" t="s">
        <v>185</v>
      </c>
      <c r="S5424" t="s">
        <v>159</v>
      </c>
      <c r="T5424" t="s">
        <v>185</v>
      </c>
      <c r="U5424" t="s">
        <v>339</v>
      </c>
      <c r="V5424" t="s">
        <v>72</v>
      </c>
      <c r="W5424" t="s">
        <v>347</v>
      </c>
      <c r="X5424" t="s">
        <v>72</v>
      </c>
      <c r="Y5424" t="s">
        <v>96</v>
      </c>
      <c r="AK5424" t="s">
        <v>362</v>
      </c>
    </row>
    <row r="5425" spans="1:37">
      <c r="B5425" t="s">
        <v>58</v>
      </c>
      <c r="C5425" t="s">
        <v>80</v>
      </c>
      <c r="D5425" t="s">
        <v>99</v>
      </c>
      <c r="E5425" t="s">
        <v>118</v>
      </c>
      <c r="F5425" t="s">
        <v>152</v>
      </c>
      <c r="G5425" t="s">
        <v>178</v>
      </c>
      <c r="H5425" t="s">
        <v>213</v>
      </c>
      <c r="I5425" t="s">
        <v>233</v>
      </c>
      <c r="J5425" t="s">
        <v>252</v>
      </c>
      <c r="K5425" t="s">
        <v>266</v>
      </c>
      <c r="L5425" t="s">
        <v>278</v>
      </c>
      <c r="M5425" t="s">
        <v>287</v>
      </c>
      <c r="N5425" t="s">
        <v>297</v>
      </c>
      <c r="O5425" t="s">
        <v>305</v>
      </c>
      <c r="P5425" t="s">
        <v>312</v>
      </c>
      <c r="Q5425" t="s">
        <v>319</v>
      </c>
      <c r="R5425">
        <f>&gt;10       ветра      1.4     13  10 11</f>
        <v>0</v>
      </c>
      <c r="AK5425" t="s">
        <v>362</v>
      </c>
    </row>
    <row r="5426" spans="1:37">
      <c r="A5426" t="s">
        <v>40</v>
      </c>
      <c r="B5426" t="s">
        <v>59</v>
      </c>
      <c r="C5426" t="s">
        <v>81</v>
      </c>
      <c r="D5426" t="s">
        <v>100</v>
      </c>
      <c r="E5426" t="s">
        <v>119</v>
      </c>
      <c r="F5426" t="s">
        <v>153</v>
      </c>
      <c r="G5426" t="s">
        <v>179</v>
      </c>
      <c r="H5426" t="s">
        <v>214</v>
      </c>
      <c r="I5426" t="s">
        <v>234</v>
      </c>
      <c r="AK5426" t="s">
        <v>362</v>
      </c>
    </row>
    <row r="5427" spans="1:37">
      <c r="A5427" t="s">
        <v>40</v>
      </c>
      <c r="B5427" t="s">
        <v>60</v>
      </c>
      <c r="C5427" t="s">
        <v>82</v>
      </c>
      <c r="D5427" t="s">
        <v>101</v>
      </c>
      <c r="E5427" t="s">
        <v>120</v>
      </c>
      <c r="F5427" t="s">
        <v>154</v>
      </c>
      <c r="G5427" t="s">
        <v>180</v>
      </c>
      <c r="H5427" t="s">
        <v>215</v>
      </c>
      <c r="I5427" t="s">
        <v>235</v>
      </c>
      <c r="J5427" t="s">
        <v>253</v>
      </c>
      <c r="K5427" t="s">
        <v>267</v>
      </c>
      <c r="L5427" t="s">
        <v>279</v>
      </c>
      <c r="M5427" t="s">
        <v>288</v>
      </c>
      <c r="N5427" t="s">
        <v>100</v>
      </c>
      <c r="O5427" t="s">
        <v>306</v>
      </c>
      <c r="P5427" t="s">
        <v>313</v>
      </c>
      <c r="Q5427" t="s">
        <v>320</v>
      </c>
      <c r="R5427" t="s">
        <v>325</v>
      </c>
      <c r="S5427" t="s">
        <v>332</v>
      </c>
      <c r="T5427" t="s">
        <v>119</v>
      </c>
      <c r="U5427" t="s">
        <v>234</v>
      </c>
      <c r="V5427" t="s">
        <v>343</v>
      </c>
      <c r="W5427" t="s">
        <v>348</v>
      </c>
      <c r="X5427" t="s">
        <v>352</v>
      </c>
      <c r="Y5427" t="s">
        <v>354</v>
      </c>
      <c r="AK5427" t="s">
        <v>362</v>
      </c>
    </row>
    <row r="5428" spans="1:37">
      <c r="A5428" t="s">
        <v>41</v>
      </c>
      <c r="B5428" t="s">
        <v>61</v>
      </c>
      <c r="C5428" t="s">
        <v>83</v>
      </c>
      <c r="D5428" t="s">
        <v>102</v>
      </c>
      <c r="E5428" t="s">
        <v>121</v>
      </c>
      <c r="F5428" t="s">
        <v>155</v>
      </c>
      <c r="G5428" t="s">
        <v>181</v>
      </c>
      <c r="H5428" t="s">
        <v>216</v>
      </c>
      <c r="I5428" t="s">
        <v>236</v>
      </c>
      <c r="AK5428" t="s">
        <v>362</v>
      </c>
    </row>
    <row r="5429" spans="1:37">
      <c r="A5429" t="s">
        <v>42</v>
      </c>
      <c r="B5429" t="s">
        <v>62</v>
      </c>
      <c r="C5429" t="s">
        <v>84</v>
      </c>
      <c r="D5429" t="s">
        <v>103</v>
      </c>
      <c r="E5429" t="s">
        <v>122</v>
      </c>
      <c r="F5429" t="s">
        <v>156</v>
      </c>
      <c r="G5429" t="s">
        <v>182</v>
      </c>
      <c r="H5429" t="s">
        <v>83</v>
      </c>
      <c r="I5429" t="s">
        <v>237</v>
      </c>
      <c r="J5429" t="s">
        <v>254</v>
      </c>
      <c r="K5429" t="s">
        <v>268</v>
      </c>
      <c r="L5429" t="s">
        <v>280</v>
      </c>
      <c r="M5429" t="s">
        <v>289</v>
      </c>
      <c r="N5429" t="s">
        <v>298</v>
      </c>
      <c r="O5429" t="s">
        <v>307</v>
      </c>
      <c r="P5429" t="s">
        <v>314</v>
      </c>
      <c r="Q5429" t="s">
        <v>216</v>
      </c>
      <c r="R5429" t="s">
        <v>326</v>
      </c>
      <c r="S5429" t="s">
        <v>333</v>
      </c>
      <c r="T5429" t="s">
        <v>335</v>
      </c>
      <c r="U5429" t="s">
        <v>340</v>
      </c>
      <c r="V5429" t="s">
        <v>344</v>
      </c>
      <c r="W5429" t="s">
        <v>349</v>
      </c>
      <c r="AK5429" t="s">
        <v>362</v>
      </c>
    </row>
    <row r="5430" spans="1:37">
      <c r="A5430" t="s">
        <v>43</v>
      </c>
      <c r="B5430" t="s">
        <v>63</v>
      </c>
      <c r="C5430" t="s">
        <v>85</v>
      </c>
      <c r="D5430" t="s">
        <v>104</v>
      </c>
      <c r="E5430" t="s">
        <v>123</v>
      </c>
      <c r="F5430" t="s">
        <v>157</v>
      </c>
      <c r="G5430" t="s">
        <v>183</v>
      </c>
      <c r="AK5430" t="s">
        <v>362</v>
      </c>
    </row>
    <row r="5431" spans="1:37">
      <c r="A5431" t="s">
        <v>44</v>
      </c>
      <c r="B5431" t="s">
        <v>64</v>
      </c>
      <c r="C5431" t="s">
        <v>86</v>
      </c>
      <c r="D5431" t="s">
        <v>105</v>
      </c>
      <c r="E5431" t="s">
        <v>124</v>
      </c>
      <c r="F5431" t="s">
        <v>158</v>
      </c>
      <c r="G5431" t="s">
        <v>184</v>
      </c>
      <c r="AK5431" t="s">
        <v>362</v>
      </c>
    </row>
    <row r="5432" spans="1:37">
      <c r="A5432" t="s">
        <v>45</v>
      </c>
      <c r="B5432" t="s">
        <v>65</v>
      </c>
      <c r="C5432" t="s">
        <v>87</v>
      </c>
      <c r="D5432" t="s">
        <v>106</v>
      </c>
      <c r="E5432" t="s">
        <v>125</v>
      </c>
      <c r="F5432" t="s">
        <v>159</v>
      </c>
      <c r="G5432" t="s">
        <v>185</v>
      </c>
      <c r="H5432" t="s">
        <v>159</v>
      </c>
      <c r="I5432" t="s">
        <v>185</v>
      </c>
      <c r="J5432" t="s">
        <v>255</v>
      </c>
      <c r="AK5432" t="s">
        <v>362</v>
      </c>
    </row>
    <row r="5433" spans="1:37">
      <c r="A5433" t="s">
        <v>46</v>
      </c>
      <c r="B5433" t="s">
        <v>66</v>
      </c>
      <c r="C5433" t="s">
        <v>88</v>
      </c>
      <c r="D5433" t="s">
        <v>76</v>
      </c>
      <c r="E5433" t="s">
        <v>126</v>
      </c>
      <c r="F5433" t="s">
        <v>160</v>
      </c>
      <c r="G5433" t="s">
        <v>186</v>
      </c>
      <c r="H5433" t="s">
        <v>217</v>
      </c>
      <c r="I5433" t="s">
        <v>238</v>
      </c>
      <c r="J5433" t="s">
        <v>256</v>
      </c>
      <c r="K5433" t="s">
        <v>265</v>
      </c>
      <c r="L5433" t="s">
        <v>281</v>
      </c>
      <c r="M5433" t="s">
        <v>290</v>
      </c>
      <c r="N5433" t="s">
        <v>299</v>
      </c>
      <c r="O5433" t="s">
        <v>308</v>
      </c>
      <c r="P5433" t="s">
        <v>228</v>
      </c>
      <c r="Q5433" t="s">
        <v>72</v>
      </c>
      <c r="R5433" t="s">
        <v>327</v>
      </c>
      <c r="S5433" t="s">
        <v>327</v>
      </c>
      <c r="T5433" t="s">
        <v>336</v>
      </c>
      <c r="U5433" t="s">
        <v>336</v>
      </c>
      <c r="V5433" t="s">
        <v>336</v>
      </c>
      <c r="W5433" t="s">
        <v>336</v>
      </c>
      <c r="X5433" t="s">
        <v>353</v>
      </c>
      <c r="AK5433" t="s">
        <v>362</v>
      </c>
    </row>
    <row r="5434" spans="1:37">
      <c r="B5434" t="s">
        <v>67</v>
      </c>
      <c r="C5434" t="s">
        <v>89</v>
      </c>
      <c r="D5434" t="s">
        <v>107</v>
      </c>
      <c r="AK5434" t="s">
        <v>362</v>
      </c>
    </row>
    <row r="5435" spans="1:37">
      <c r="B5435" t="s">
        <v>68</v>
      </c>
      <c r="C5435" t="s">
        <v>90</v>
      </c>
      <c r="D5435" t="s">
        <v>108</v>
      </c>
      <c r="AK5435" t="s">
        <v>362</v>
      </c>
    </row>
    <row r="5436" spans="1:37">
      <c r="A5436" t="s">
        <v>47</v>
      </c>
      <c r="B5436" t="s">
        <v>69</v>
      </c>
      <c r="C5436" t="s">
        <v>91</v>
      </c>
      <c r="D5436" t="s">
        <v>109</v>
      </c>
      <c r="E5436" t="s">
        <v>109</v>
      </c>
      <c r="F5436" t="s">
        <v>109</v>
      </c>
      <c r="G5436" t="s">
        <v>109</v>
      </c>
      <c r="H5436" t="s">
        <v>109</v>
      </c>
      <c r="I5436" t="s">
        <v>239</v>
      </c>
      <c r="AK5436" t="s">
        <v>362</v>
      </c>
    </row>
    <row r="5437" spans="1:37">
      <c r="B5437" t="s">
        <v>70</v>
      </c>
      <c r="C5437" t="s">
        <v>92</v>
      </c>
      <c r="D5437" t="s">
        <v>110</v>
      </c>
      <c r="E5437" t="s">
        <v>127</v>
      </c>
      <c r="F5437" t="s">
        <v>161</v>
      </c>
      <c r="G5437" t="s">
        <v>187</v>
      </c>
      <c r="H5437" t="s">
        <v>218</v>
      </c>
      <c r="AK5437" t="s">
        <v>362</v>
      </c>
    </row>
    <row r="5438" spans="1:37">
      <c r="B5438" t="s">
        <v>71</v>
      </c>
      <c r="C5438" t="s">
        <v>93</v>
      </c>
      <c r="D5438" t="s">
        <v>111</v>
      </c>
      <c r="E5438" t="s">
        <v>128</v>
      </c>
      <c r="F5438" t="s">
        <v>162</v>
      </c>
      <c r="G5438" t="s">
        <v>188</v>
      </c>
      <c r="H5438" t="s">
        <v>219</v>
      </c>
      <c r="I5438" t="s">
        <v>240</v>
      </c>
      <c r="J5438" t="s">
        <v>257</v>
      </c>
      <c r="K5438" t="s">
        <v>269</v>
      </c>
      <c r="L5438" t="s">
        <v>109</v>
      </c>
      <c r="M5438" t="s">
        <v>109</v>
      </c>
      <c r="N5438" t="s">
        <v>109</v>
      </c>
      <c r="O5438" t="s">
        <v>109</v>
      </c>
      <c r="P5438" t="s">
        <v>109</v>
      </c>
      <c r="Q5438" t="s">
        <v>321</v>
      </c>
      <c r="AK5438" t="s">
        <v>362</v>
      </c>
    </row>
    <row r="5439" spans="1:37">
      <c r="A5439" t="s">
        <v>48</v>
      </c>
      <c r="B5439" t="s">
        <v>71</v>
      </c>
      <c r="C5439" t="s">
        <v>93</v>
      </c>
      <c r="D5439" t="s">
        <v>111</v>
      </c>
      <c r="E5439" t="s">
        <v>128</v>
      </c>
      <c r="F5439" t="s">
        <v>163</v>
      </c>
      <c r="G5439" t="s">
        <v>189</v>
      </c>
      <c r="H5439" t="s">
        <v>220</v>
      </c>
      <c r="I5439" t="s">
        <v>241</v>
      </c>
      <c r="J5439" t="s">
        <v>258</v>
      </c>
      <c r="K5439" t="s">
        <v>270</v>
      </c>
      <c r="AK5439" t="s">
        <v>362</v>
      </c>
    </row>
    <row r="5440" spans="1:37">
      <c r="B5440" t="s">
        <v>72</v>
      </c>
      <c r="C5440" t="s">
        <v>72</v>
      </c>
      <c r="D5440" t="s">
        <v>72</v>
      </c>
      <c r="E5440" t="s">
        <v>72</v>
      </c>
      <c r="F5440" t="s">
        <v>72</v>
      </c>
      <c r="G5440" t="s">
        <v>72</v>
      </c>
      <c r="H5440" t="s">
        <v>72</v>
      </c>
      <c r="I5440" t="s">
        <v>72</v>
      </c>
      <c r="J5440" t="s">
        <v>72</v>
      </c>
      <c r="K5440" t="s">
        <v>272</v>
      </c>
      <c r="AK5440" t="s">
        <v>362</v>
      </c>
    </row>
    <row r="5441" spans="1:37">
      <c r="A5441" t="s">
        <v>37</v>
      </c>
      <c r="B5441" t="s">
        <v>49</v>
      </c>
      <c r="C5441" t="s">
        <v>73</v>
      </c>
      <c r="D5441" t="s">
        <v>94</v>
      </c>
      <c r="E5441" t="s">
        <v>112</v>
      </c>
      <c r="F5441" t="s">
        <v>146</v>
      </c>
      <c r="G5441" t="s">
        <v>172</v>
      </c>
      <c r="H5441" t="s">
        <v>207</v>
      </c>
      <c r="I5441" t="s">
        <v>226</v>
      </c>
      <c r="J5441" t="s">
        <v>246</v>
      </c>
      <c r="K5441" t="s">
        <v>259</v>
      </c>
      <c r="AK5441" t="s">
        <v>362</v>
      </c>
    </row>
    <row r="5442" spans="1:37">
      <c r="A5442" t="s">
        <v>38</v>
      </c>
      <c r="B5442" t="s">
        <v>50</v>
      </c>
      <c r="C5442" t="s">
        <v>74</v>
      </c>
      <c r="D5442" t="s">
        <v>95</v>
      </c>
      <c r="E5442" t="s">
        <v>113</v>
      </c>
      <c r="F5442" t="s">
        <v>147</v>
      </c>
      <c r="G5442" t="s">
        <v>173</v>
      </c>
      <c r="H5442" t="s">
        <v>208</v>
      </c>
      <c r="I5442" t="s">
        <v>227</v>
      </c>
      <c r="J5442" t="s">
        <v>115</v>
      </c>
      <c r="K5442" t="s">
        <v>260</v>
      </c>
      <c r="L5442" t="s">
        <v>273</v>
      </c>
      <c r="M5442" t="s">
        <v>282</v>
      </c>
      <c r="N5442" t="s">
        <v>291</v>
      </c>
      <c r="AK5442" t="s">
        <v>362</v>
      </c>
    </row>
    <row r="5443" spans="1:37">
      <c r="B5443" t="s">
        <v>51</v>
      </c>
      <c r="C5443" t="s">
        <v>75</v>
      </c>
      <c r="D5443" t="s">
        <v>52</v>
      </c>
      <c r="E5443" t="s">
        <v>114</v>
      </c>
      <c r="F5443" t="s">
        <v>148</v>
      </c>
      <c r="G5443" t="s">
        <v>148</v>
      </c>
      <c r="H5443" t="s">
        <v>209</v>
      </c>
      <c r="I5443" t="s">
        <v>228</v>
      </c>
      <c r="J5443" t="s">
        <v>247</v>
      </c>
      <c r="K5443" t="s">
        <v>261</v>
      </c>
      <c r="L5443" t="s">
        <v>274</v>
      </c>
      <c r="M5443" t="s">
        <v>283</v>
      </c>
      <c r="N5443" t="s">
        <v>292</v>
      </c>
      <c r="O5443" t="s">
        <v>300</v>
      </c>
      <c r="AK5443" t="s">
        <v>362</v>
      </c>
    </row>
    <row r="5444" spans="1:37">
      <c r="B5444" t="s">
        <v>52</v>
      </c>
      <c r="C5444" t="s">
        <v>76</v>
      </c>
      <c r="D5444" t="s">
        <v>96</v>
      </c>
      <c r="E5444" t="s">
        <v>115</v>
      </c>
      <c r="F5444" t="s">
        <v>149</v>
      </c>
      <c r="G5444" t="s">
        <v>174</v>
      </c>
      <c r="H5444" t="s">
        <v>96</v>
      </c>
      <c r="I5444" t="s">
        <v>229</v>
      </c>
      <c r="J5444" t="s">
        <v>248</v>
      </c>
      <c r="K5444" t="s">
        <v>262</v>
      </c>
      <c r="L5444" t="s">
        <v>52</v>
      </c>
      <c r="M5444" t="s">
        <v>76</v>
      </c>
      <c r="N5444" t="s">
        <v>293</v>
      </c>
      <c r="O5444" t="s">
        <v>301</v>
      </c>
      <c r="P5444" t="s">
        <v>309</v>
      </c>
      <c r="Q5444" t="s">
        <v>315</v>
      </c>
      <c r="R5444" t="s">
        <v>228</v>
      </c>
      <c r="S5444" t="s">
        <v>328</v>
      </c>
      <c r="T5444" t="s">
        <v>149</v>
      </c>
      <c r="U5444" t="s">
        <v>337</v>
      </c>
      <c r="V5444" t="s">
        <v>341</v>
      </c>
      <c r="W5444" t="s">
        <v>345</v>
      </c>
      <c r="X5444" t="s">
        <v>350</v>
      </c>
      <c r="AK5444" t="s">
        <v>362</v>
      </c>
    </row>
    <row r="5445" spans="1:37">
      <c r="B5445" t="s">
        <v>53</v>
      </c>
      <c r="C5445" t="s">
        <v>77</v>
      </c>
      <c r="D5445" t="s">
        <v>97</v>
      </c>
      <c r="E5445" t="s">
        <v>116</v>
      </c>
      <c r="F5445" t="s">
        <v>150</v>
      </c>
      <c r="G5445" t="s">
        <v>175</v>
      </c>
      <c r="H5445" t="s">
        <v>210</v>
      </c>
      <c r="I5445" t="s">
        <v>230</v>
      </c>
      <c r="J5445" t="s">
        <v>249</v>
      </c>
      <c r="K5445" t="s">
        <v>263</v>
      </c>
      <c r="L5445" t="s">
        <v>275</v>
      </c>
      <c r="M5445" t="s">
        <v>284</v>
      </c>
      <c r="N5445" t="s">
        <v>294</v>
      </c>
      <c r="O5445" t="s">
        <v>302</v>
      </c>
      <c r="P5445" t="s">
        <v>310</v>
      </c>
      <c r="Q5445" t="s">
        <v>316</v>
      </c>
      <c r="R5445" t="s">
        <v>322</v>
      </c>
      <c r="S5445" t="s">
        <v>329</v>
      </c>
      <c r="AK5445" t="s">
        <v>362</v>
      </c>
    </row>
    <row r="5446" spans="1:37">
      <c r="A5446" t="s">
        <v>39</v>
      </c>
      <c r="B5446" t="s">
        <v>54</v>
      </c>
      <c r="C5446" t="s">
        <v>54</v>
      </c>
      <c r="D5446" t="s">
        <v>54</v>
      </c>
      <c r="E5446" t="s">
        <v>54</v>
      </c>
      <c r="F5446" t="s">
        <v>54</v>
      </c>
      <c r="G5446" t="s">
        <v>54</v>
      </c>
      <c r="H5446" t="s">
        <v>54</v>
      </c>
      <c r="I5446" t="s">
        <v>54</v>
      </c>
      <c r="J5446" t="s">
        <v>54</v>
      </c>
      <c r="K5446" t="s">
        <v>54</v>
      </c>
      <c r="L5446" t="s">
        <v>54</v>
      </c>
      <c r="M5446" t="s">
        <v>54</v>
      </c>
      <c r="N5446" t="s">
        <v>54</v>
      </c>
      <c r="O5446" t="s">
        <v>54</v>
      </c>
      <c r="P5446" t="s">
        <v>54</v>
      </c>
      <c r="Q5446" t="s">
        <v>54</v>
      </c>
      <c r="R5446" t="s">
        <v>323</v>
      </c>
      <c r="S5446" t="s">
        <v>330</v>
      </c>
      <c r="AK5446" t="s">
        <v>362</v>
      </c>
    </row>
    <row r="5447" spans="1:37">
      <c r="B5447" t="s">
        <v>55</v>
      </c>
      <c r="C5447" t="s">
        <v>78</v>
      </c>
      <c r="D5447" t="s">
        <v>55</v>
      </c>
      <c r="E5447" t="s">
        <v>78</v>
      </c>
      <c r="F5447" t="s">
        <v>55</v>
      </c>
      <c r="G5447" t="s">
        <v>78</v>
      </c>
      <c r="H5447" t="s">
        <v>55</v>
      </c>
      <c r="I5447" t="s">
        <v>78</v>
      </c>
      <c r="J5447" t="s">
        <v>55</v>
      </c>
      <c r="K5447" t="s">
        <v>78</v>
      </c>
      <c r="L5447" t="s">
        <v>55</v>
      </c>
      <c r="M5447" t="s">
        <v>78</v>
      </c>
      <c r="N5447" t="s">
        <v>55</v>
      </c>
      <c r="O5447" t="s">
        <v>78</v>
      </c>
      <c r="P5447" t="s">
        <v>55</v>
      </c>
      <c r="Q5447" t="s">
        <v>78</v>
      </c>
      <c r="R5447" t="s">
        <v>55</v>
      </c>
      <c r="S5447" t="s">
        <v>78</v>
      </c>
      <c r="T5447" t="s">
        <v>55</v>
      </c>
      <c r="U5447" t="s">
        <v>78</v>
      </c>
      <c r="V5447" t="s">
        <v>55</v>
      </c>
      <c r="W5447" t="s">
        <v>78</v>
      </c>
      <c r="X5447" t="s">
        <v>55</v>
      </c>
      <c r="Y5447" t="s">
        <v>78</v>
      </c>
      <c r="Z5447" t="s">
        <v>55</v>
      </c>
      <c r="AA5447" t="s">
        <v>78</v>
      </c>
      <c r="AB5447" t="s">
        <v>55</v>
      </c>
      <c r="AC5447" t="s">
        <v>78</v>
      </c>
      <c r="AD5447" t="s">
        <v>55</v>
      </c>
      <c r="AE5447" t="s">
        <v>78</v>
      </c>
      <c r="AF5447" t="s">
        <v>55</v>
      </c>
      <c r="AG5447" t="s">
        <v>78</v>
      </c>
      <c r="AH5447" t="s">
        <v>55</v>
      </c>
      <c r="AI5447" t="s">
        <v>78</v>
      </c>
      <c r="AK5447" t="s">
        <v>362</v>
      </c>
    </row>
    <row r="5448" spans="1:37">
      <c r="B5448" t="s">
        <v>56</v>
      </c>
      <c r="C5448" t="s">
        <v>56</v>
      </c>
      <c r="D5448" t="s">
        <v>56</v>
      </c>
      <c r="E5448" t="s">
        <v>56</v>
      </c>
      <c r="F5448" t="s">
        <v>56</v>
      </c>
      <c r="G5448" t="s">
        <v>176</v>
      </c>
      <c r="H5448" t="s">
        <v>211</v>
      </c>
      <c r="I5448" t="s">
        <v>231</v>
      </c>
      <c r="J5448" t="s">
        <v>250</v>
      </c>
      <c r="K5448" t="s">
        <v>264</v>
      </c>
      <c r="L5448" t="s">
        <v>276</v>
      </c>
      <c r="M5448" t="s">
        <v>285</v>
      </c>
      <c r="N5448" t="s">
        <v>295</v>
      </c>
      <c r="O5448" t="s">
        <v>303</v>
      </c>
      <c r="P5448" t="s">
        <v>56</v>
      </c>
      <c r="Q5448" t="s">
        <v>317</v>
      </c>
      <c r="R5448" t="s">
        <v>324</v>
      </c>
      <c r="S5448" t="s">
        <v>331</v>
      </c>
      <c r="T5448" t="s">
        <v>334</v>
      </c>
      <c r="U5448" t="s">
        <v>338</v>
      </c>
      <c r="V5448" t="s">
        <v>342</v>
      </c>
      <c r="W5448" t="s">
        <v>346</v>
      </c>
      <c r="X5448" t="s">
        <v>351</v>
      </c>
      <c r="AK5448" t="s">
        <v>362</v>
      </c>
    </row>
    <row r="5449" spans="1:37">
      <c r="B5449" t="s">
        <v>57</v>
      </c>
      <c r="C5449" t="s">
        <v>79</v>
      </c>
      <c r="D5449" t="s">
        <v>98</v>
      </c>
      <c r="E5449" t="s">
        <v>117</v>
      </c>
      <c r="F5449" t="s">
        <v>151</v>
      </c>
      <c r="G5449" t="s">
        <v>177</v>
      </c>
      <c r="H5449" t="s">
        <v>212</v>
      </c>
      <c r="I5449" t="s">
        <v>232</v>
      </c>
      <c r="J5449" t="s">
        <v>251</v>
      </c>
      <c r="K5449" t="s">
        <v>265</v>
      </c>
      <c r="L5449" t="s">
        <v>277</v>
      </c>
      <c r="M5449" t="s">
        <v>286</v>
      </c>
      <c r="N5449" t="s">
        <v>296</v>
      </c>
      <c r="O5449" t="s">
        <v>304</v>
      </c>
      <c r="P5449" t="s">
        <v>311</v>
      </c>
      <c r="Q5449" t="s">
        <v>318</v>
      </c>
      <c r="R5449" t="s">
        <v>185</v>
      </c>
      <c r="S5449" t="s">
        <v>159</v>
      </c>
      <c r="T5449" t="s">
        <v>185</v>
      </c>
      <c r="U5449" t="s">
        <v>339</v>
      </c>
      <c r="V5449" t="s">
        <v>72</v>
      </c>
      <c r="W5449" t="s">
        <v>347</v>
      </c>
      <c r="X5449" t="s">
        <v>72</v>
      </c>
      <c r="Y5449" t="s">
        <v>96</v>
      </c>
      <c r="AK5449" t="s">
        <v>362</v>
      </c>
    </row>
    <row r="5450" spans="1:37">
      <c r="B5450" t="s">
        <v>58</v>
      </c>
      <c r="C5450" t="s">
        <v>80</v>
      </c>
      <c r="D5450" t="s">
        <v>99</v>
      </c>
      <c r="E5450" t="s">
        <v>118</v>
      </c>
      <c r="F5450" t="s">
        <v>152</v>
      </c>
      <c r="G5450" t="s">
        <v>178</v>
      </c>
      <c r="H5450" t="s">
        <v>213</v>
      </c>
      <c r="I5450" t="s">
        <v>233</v>
      </c>
      <c r="J5450" t="s">
        <v>252</v>
      </c>
      <c r="K5450" t="s">
        <v>266</v>
      </c>
      <c r="L5450" t="s">
        <v>278</v>
      </c>
      <c r="M5450" t="s">
        <v>287</v>
      </c>
      <c r="N5450" t="s">
        <v>297</v>
      </c>
      <c r="O5450" t="s">
        <v>305</v>
      </c>
      <c r="P5450" t="s">
        <v>312</v>
      </c>
      <c r="Q5450" t="s">
        <v>319</v>
      </c>
      <c r="R5450">
        <f>&gt;10       ветра      2.1     15  19</f>
        <v>0</v>
      </c>
      <c r="AK5450" t="s">
        <v>362</v>
      </c>
    </row>
    <row r="5451" spans="1:37">
      <c r="A5451" t="s">
        <v>40</v>
      </c>
      <c r="B5451" t="s">
        <v>59</v>
      </c>
      <c r="C5451" t="s">
        <v>81</v>
      </c>
      <c r="D5451" t="s">
        <v>100</v>
      </c>
      <c r="E5451" t="s">
        <v>119</v>
      </c>
      <c r="F5451" t="s">
        <v>153</v>
      </c>
      <c r="G5451" t="s">
        <v>179</v>
      </c>
      <c r="H5451" t="s">
        <v>214</v>
      </c>
      <c r="I5451" t="s">
        <v>234</v>
      </c>
      <c r="AK5451" t="s">
        <v>362</v>
      </c>
    </row>
    <row r="5452" spans="1:37">
      <c r="A5452" t="s">
        <v>40</v>
      </c>
      <c r="B5452" t="s">
        <v>60</v>
      </c>
      <c r="C5452" t="s">
        <v>82</v>
      </c>
      <c r="D5452" t="s">
        <v>101</v>
      </c>
      <c r="E5452" t="s">
        <v>120</v>
      </c>
      <c r="F5452" t="s">
        <v>154</v>
      </c>
      <c r="G5452" t="s">
        <v>180</v>
      </c>
      <c r="H5452" t="s">
        <v>215</v>
      </c>
      <c r="I5452" t="s">
        <v>235</v>
      </c>
      <c r="J5452" t="s">
        <v>253</v>
      </c>
      <c r="K5452" t="s">
        <v>267</v>
      </c>
      <c r="L5452" t="s">
        <v>279</v>
      </c>
      <c r="M5452" t="s">
        <v>288</v>
      </c>
      <c r="N5452" t="s">
        <v>100</v>
      </c>
      <c r="O5452" t="s">
        <v>306</v>
      </c>
      <c r="P5452" t="s">
        <v>313</v>
      </c>
      <c r="Q5452" t="s">
        <v>320</v>
      </c>
      <c r="R5452" t="s">
        <v>325</v>
      </c>
      <c r="S5452" t="s">
        <v>332</v>
      </c>
      <c r="T5452" t="s">
        <v>119</v>
      </c>
      <c r="U5452" t="s">
        <v>234</v>
      </c>
      <c r="V5452" t="s">
        <v>343</v>
      </c>
      <c r="W5452" t="s">
        <v>348</v>
      </c>
      <c r="X5452" t="s">
        <v>352</v>
      </c>
      <c r="Y5452" t="s">
        <v>354</v>
      </c>
      <c r="AK5452" t="s">
        <v>362</v>
      </c>
    </row>
    <row r="5453" spans="1:37">
      <c r="A5453" t="s">
        <v>41</v>
      </c>
      <c r="B5453" t="s">
        <v>61</v>
      </c>
      <c r="C5453" t="s">
        <v>83</v>
      </c>
      <c r="D5453" t="s">
        <v>102</v>
      </c>
      <c r="E5453" t="s">
        <v>121</v>
      </c>
      <c r="F5453" t="s">
        <v>155</v>
      </c>
      <c r="G5453" t="s">
        <v>181</v>
      </c>
      <c r="H5453" t="s">
        <v>216</v>
      </c>
      <c r="I5453" t="s">
        <v>236</v>
      </c>
      <c r="AK5453" t="s">
        <v>362</v>
      </c>
    </row>
    <row r="5454" spans="1:37">
      <c r="A5454" t="s">
        <v>42</v>
      </c>
      <c r="B5454" t="s">
        <v>62</v>
      </c>
      <c r="C5454" t="s">
        <v>84</v>
      </c>
      <c r="D5454" t="s">
        <v>103</v>
      </c>
      <c r="E5454" t="s">
        <v>122</v>
      </c>
      <c r="F5454" t="s">
        <v>156</v>
      </c>
      <c r="G5454" t="s">
        <v>182</v>
      </c>
      <c r="H5454" t="s">
        <v>83</v>
      </c>
      <c r="I5454" t="s">
        <v>237</v>
      </c>
      <c r="J5454" t="s">
        <v>254</v>
      </c>
      <c r="K5454" t="s">
        <v>268</v>
      </c>
      <c r="L5454" t="s">
        <v>280</v>
      </c>
      <c r="M5454" t="s">
        <v>289</v>
      </c>
      <c r="N5454" t="s">
        <v>298</v>
      </c>
      <c r="O5454" t="s">
        <v>307</v>
      </c>
      <c r="P5454" t="s">
        <v>314</v>
      </c>
      <c r="Q5454" t="s">
        <v>216</v>
      </c>
      <c r="R5454" t="s">
        <v>326</v>
      </c>
      <c r="S5454" t="s">
        <v>333</v>
      </c>
      <c r="T5454" t="s">
        <v>335</v>
      </c>
      <c r="U5454" t="s">
        <v>340</v>
      </c>
      <c r="V5454" t="s">
        <v>344</v>
      </c>
      <c r="W5454" t="s">
        <v>349</v>
      </c>
      <c r="AK5454" t="s">
        <v>362</v>
      </c>
    </row>
    <row r="5455" spans="1:37">
      <c r="A5455" t="s">
        <v>43</v>
      </c>
      <c r="B5455" t="s">
        <v>63</v>
      </c>
      <c r="C5455" t="s">
        <v>85</v>
      </c>
      <c r="D5455" t="s">
        <v>104</v>
      </c>
      <c r="E5455" t="s">
        <v>123</v>
      </c>
      <c r="F5455" t="s">
        <v>157</v>
      </c>
      <c r="G5455" t="s">
        <v>183</v>
      </c>
      <c r="AK5455" t="s">
        <v>362</v>
      </c>
    </row>
    <row r="5456" spans="1:37">
      <c r="A5456" t="s">
        <v>44</v>
      </c>
      <c r="B5456" t="s">
        <v>64</v>
      </c>
      <c r="C5456" t="s">
        <v>86</v>
      </c>
      <c r="D5456" t="s">
        <v>105</v>
      </c>
      <c r="E5456" t="s">
        <v>124</v>
      </c>
      <c r="F5456" t="s">
        <v>158</v>
      </c>
      <c r="G5456" t="s">
        <v>184</v>
      </c>
      <c r="AK5456" t="s">
        <v>362</v>
      </c>
    </row>
    <row r="5457" spans="1:37">
      <c r="A5457" t="s">
        <v>45</v>
      </c>
      <c r="B5457" t="s">
        <v>65</v>
      </c>
      <c r="C5457" t="s">
        <v>87</v>
      </c>
      <c r="D5457" t="s">
        <v>106</v>
      </c>
      <c r="E5457" t="s">
        <v>125</v>
      </c>
      <c r="F5457" t="s">
        <v>159</v>
      </c>
      <c r="G5457" t="s">
        <v>185</v>
      </c>
      <c r="H5457" t="s">
        <v>159</v>
      </c>
      <c r="I5457" t="s">
        <v>185</v>
      </c>
      <c r="J5457" t="s">
        <v>255</v>
      </c>
      <c r="AK5457" t="s">
        <v>362</v>
      </c>
    </row>
    <row r="5458" spans="1:37">
      <c r="A5458" t="s">
        <v>46</v>
      </c>
      <c r="B5458" t="s">
        <v>66</v>
      </c>
      <c r="C5458" t="s">
        <v>88</v>
      </c>
      <c r="D5458" t="s">
        <v>76</v>
      </c>
      <c r="E5458" t="s">
        <v>126</v>
      </c>
      <c r="F5458" t="s">
        <v>160</v>
      </c>
      <c r="G5458" t="s">
        <v>186</v>
      </c>
      <c r="H5458" t="s">
        <v>217</v>
      </c>
      <c r="I5458" t="s">
        <v>238</v>
      </c>
      <c r="J5458" t="s">
        <v>256</v>
      </c>
      <c r="K5458" t="s">
        <v>265</v>
      </c>
      <c r="L5458" t="s">
        <v>281</v>
      </c>
      <c r="M5458" t="s">
        <v>290</v>
      </c>
      <c r="N5458" t="s">
        <v>299</v>
      </c>
      <c r="O5458" t="s">
        <v>308</v>
      </c>
      <c r="P5458" t="s">
        <v>228</v>
      </c>
      <c r="Q5458" t="s">
        <v>72</v>
      </c>
      <c r="R5458" t="s">
        <v>327</v>
      </c>
      <c r="S5458" t="s">
        <v>327</v>
      </c>
      <c r="T5458" t="s">
        <v>336</v>
      </c>
      <c r="U5458" t="s">
        <v>336</v>
      </c>
      <c r="V5458" t="s">
        <v>336</v>
      </c>
      <c r="W5458" t="s">
        <v>336</v>
      </c>
      <c r="X5458" t="s">
        <v>353</v>
      </c>
      <c r="AK5458" t="s">
        <v>362</v>
      </c>
    </row>
    <row r="5459" spans="1:37">
      <c r="B5459" t="s">
        <v>67</v>
      </c>
      <c r="C5459" t="s">
        <v>89</v>
      </c>
      <c r="D5459" t="s">
        <v>107</v>
      </c>
      <c r="AK5459" t="s">
        <v>362</v>
      </c>
    </row>
    <row r="5460" spans="1:37">
      <c r="B5460" t="s">
        <v>68</v>
      </c>
      <c r="C5460" t="s">
        <v>90</v>
      </c>
      <c r="D5460" t="s">
        <v>108</v>
      </c>
      <c r="AK5460" t="s">
        <v>362</v>
      </c>
    </row>
    <row r="5461" spans="1:37">
      <c r="A5461" t="s">
        <v>47</v>
      </c>
      <c r="B5461" t="s">
        <v>69</v>
      </c>
      <c r="C5461" t="s">
        <v>91</v>
      </c>
      <c r="D5461" t="s">
        <v>109</v>
      </c>
      <c r="E5461" t="s">
        <v>109</v>
      </c>
      <c r="F5461" t="s">
        <v>109</v>
      </c>
      <c r="G5461" t="s">
        <v>109</v>
      </c>
      <c r="H5461" t="s">
        <v>109</v>
      </c>
      <c r="I5461" t="s">
        <v>239</v>
      </c>
      <c r="AK5461" t="s">
        <v>362</v>
      </c>
    </row>
    <row r="5462" spans="1:37">
      <c r="B5462" t="s">
        <v>70</v>
      </c>
      <c r="C5462" t="s">
        <v>92</v>
      </c>
      <c r="D5462" t="s">
        <v>110</v>
      </c>
      <c r="E5462" t="s">
        <v>127</v>
      </c>
      <c r="F5462" t="s">
        <v>161</v>
      </c>
      <c r="G5462" t="s">
        <v>187</v>
      </c>
      <c r="H5462" t="s">
        <v>218</v>
      </c>
      <c r="AK5462" t="s">
        <v>362</v>
      </c>
    </row>
    <row r="5463" spans="1:37">
      <c r="B5463" t="s">
        <v>71</v>
      </c>
      <c r="C5463" t="s">
        <v>93</v>
      </c>
      <c r="D5463" t="s">
        <v>111</v>
      </c>
      <c r="E5463" t="s">
        <v>128</v>
      </c>
      <c r="F5463" t="s">
        <v>162</v>
      </c>
      <c r="G5463" t="s">
        <v>188</v>
      </c>
      <c r="H5463" t="s">
        <v>219</v>
      </c>
      <c r="I5463" t="s">
        <v>240</v>
      </c>
      <c r="J5463" t="s">
        <v>257</v>
      </c>
      <c r="K5463" t="s">
        <v>269</v>
      </c>
      <c r="L5463" t="s">
        <v>109</v>
      </c>
      <c r="M5463" t="s">
        <v>109</v>
      </c>
      <c r="N5463" t="s">
        <v>109</v>
      </c>
      <c r="O5463" t="s">
        <v>109</v>
      </c>
      <c r="P5463" t="s">
        <v>109</v>
      </c>
      <c r="Q5463" t="s">
        <v>321</v>
      </c>
      <c r="AK5463" t="s">
        <v>362</v>
      </c>
    </row>
    <row r="5464" spans="1:37">
      <c r="A5464" t="s">
        <v>48</v>
      </c>
      <c r="B5464" t="s">
        <v>71</v>
      </c>
      <c r="C5464" t="s">
        <v>93</v>
      </c>
      <c r="D5464" t="s">
        <v>111</v>
      </c>
      <c r="E5464" t="s">
        <v>128</v>
      </c>
      <c r="F5464" t="s">
        <v>163</v>
      </c>
      <c r="G5464" t="s">
        <v>189</v>
      </c>
      <c r="H5464" t="s">
        <v>220</v>
      </c>
      <c r="I5464" t="s">
        <v>241</v>
      </c>
      <c r="J5464" t="s">
        <v>258</v>
      </c>
      <c r="K5464" t="s">
        <v>270</v>
      </c>
      <c r="AK5464" t="s">
        <v>362</v>
      </c>
    </row>
    <row r="5465" spans="1:37">
      <c r="B5465" t="s">
        <v>72</v>
      </c>
      <c r="C5465" t="s">
        <v>72</v>
      </c>
      <c r="D5465" t="s">
        <v>72</v>
      </c>
      <c r="E5465" t="s">
        <v>72</v>
      </c>
      <c r="F5465" t="s">
        <v>72</v>
      </c>
      <c r="G5465" t="s">
        <v>72</v>
      </c>
      <c r="H5465" t="s">
        <v>72</v>
      </c>
      <c r="I5465" t="s">
        <v>72</v>
      </c>
      <c r="J5465" t="s">
        <v>72</v>
      </c>
      <c r="K5465" t="s">
        <v>272</v>
      </c>
      <c r="AK5465" t="s">
        <v>362</v>
      </c>
    </row>
    <row r="5466" spans="1:37">
      <c r="A5466" t="s">
        <v>37</v>
      </c>
      <c r="B5466" t="s">
        <v>49</v>
      </c>
      <c r="C5466" t="s">
        <v>73</v>
      </c>
      <c r="D5466" t="s">
        <v>94</v>
      </c>
      <c r="E5466" t="s">
        <v>112</v>
      </c>
      <c r="F5466" t="s">
        <v>146</v>
      </c>
      <c r="G5466" t="s">
        <v>172</v>
      </c>
      <c r="H5466" t="s">
        <v>207</v>
      </c>
      <c r="I5466" t="s">
        <v>226</v>
      </c>
      <c r="J5466" t="s">
        <v>246</v>
      </c>
      <c r="K5466" t="s">
        <v>259</v>
      </c>
      <c r="AK5466" t="s">
        <v>362</v>
      </c>
    </row>
    <row r="5467" spans="1:37">
      <c r="A5467" t="s">
        <v>38</v>
      </c>
      <c r="B5467" t="s">
        <v>50</v>
      </c>
      <c r="C5467" t="s">
        <v>74</v>
      </c>
      <c r="D5467" t="s">
        <v>95</v>
      </c>
      <c r="E5467" t="s">
        <v>113</v>
      </c>
      <c r="F5467" t="s">
        <v>147</v>
      </c>
      <c r="G5467" t="s">
        <v>173</v>
      </c>
      <c r="H5467" t="s">
        <v>208</v>
      </c>
      <c r="I5467" t="s">
        <v>227</v>
      </c>
      <c r="J5467" t="s">
        <v>115</v>
      </c>
      <c r="K5467" t="s">
        <v>260</v>
      </c>
      <c r="L5467" t="s">
        <v>273</v>
      </c>
      <c r="M5467" t="s">
        <v>282</v>
      </c>
      <c r="N5467" t="s">
        <v>291</v>
      </c>
      <c r="AK5467" t="s">
        <v>362</v>
      </c>
    </row>
    <row r="5468" spans="1:37">
      <c r="B5468" t="s">
        <v>51</v>
      </c>
      <c r="C5468" t="s">
        <v>75</v>
      </c>
      <c r="D5468" t="s">
        <v>52</v>
      </c>
      <c r="E5468" t="s">
        <v>114</v>
      </c>
      <c r="F5468" t="s">
        <v>148</v>
      </c>
      <c r="G5468" t="s">
        <v>148</v>
      </c>
      <c r="H5468" t="s">
        <v>209</v>
      </c>
      <c r="I5468" t="s">
        <v>228</v>
      </c>
      <c r="J5468" t="s">
        <v>247</v>
      </c>
      <c r="K5468" t="s">
        <v>261</v>
      </c>
      <c r="L5468" t="s">
        <v>274</v>
      </c>
      <c r="M5468" t="s">
        <v>283</v>
      </c>
      <c r="N5468" t="s">
        <v>292</v>
      </c>
      <c r="O5468" t="s">
        <v>300</v>
      </c>
      <c r="AK5468" t="s">
        <v>362</v>
      </c>
    </row>
    <row r="5469" spans="1:37">
      <c r="B5469" t="s">
        <v>52</v>
      </c>
      <c r="C5469" t="s">
        <v>76</v>
      </c>
      <c r="D5469" t="s">
        <v>96</v>
      </c>
      <c r="E5469" t="s">
        <v>115</v>
      </c>
      <c r="F5469" t="s">
        <v>149</v>
      </c>
      <c r="G5469" t="s">
        <v>174</v>
      </c>
      <c r="H5469" t="s">
        <v>96</v>
      </c>
      <c r="I5469" t="s">
        <v>229</v>
      </c>
      <c r="J5469" t="s">
        <v>248</v>
      </c>
      <c r="K5469" t="s">
        <v>262</v>
      </c>
      <c r="L5469" t="s">
        <v>52</v>
      </c>
      <c r="M5469" t="s">
        <v>76</v>
      </c>
      <c r="N5469" t="s">
        <v>293</v>
      </c>
      <c r="O5469" t="s">
        <v>301</v>
      </c>
      <c r="P5469" t="s">
        <v>309</v>
      </c>
      <c r="Q5469" t="s">
        <v>315</v>
      </c>
      <c r="R5469" t="s">
        <v>228</v>
      </c>
      <c r="S5469" t="s">
        <v>328</v>
      </c>
      <c r="T5469" t="s">
        <v>149</v>
      </c>
      <c r="U5469" t="s">
        <v>337</v>
      </c>
      <c r="V5469" t="s">
        <v>341</v>
      </c>
      <c r="W5469" t="s">
        <v>345</v>
      </c>
      <c r="X5469" t="s">
        <v>350</v>
      </c>
      <c r="AK5469" t="s">
        <v>362</v>
      </c>
    </row>
    <row r="5470" spans="1:37">
      <c r="B5470" t="s">
        <v>53</v>
      </c>
      <c r="C5470" t="s">
        <v>77</v>
      </c>
      <c r="D5470" t="s">
        <v>97</v>
      </c>
      <c r="E5470" t="s">
        <v>116</v>
      </c>
      <c r="F5470" t="s">
        <v>150</v>
      </c>
      <c r="G5470" t="s">
        <v>175</v>
      </c>
      <c r="H5470" t="s">
        <v>210</v>
      </c>
      <c r="I5470" t="s">
        <v>230</v>
      </c>
      <c r="J5470" t="s">
        <v>249</v>
      </c>
      <c r="K5470" t="s">
        <v>263</v>
      </c>
      <c r="L5470" t="s">
        <v>275</v>
      </c>
      <c r="M5470" t="s">
        <v>284</v>
      </c>
      <c r="N5470" t="s">
        <v>294</v>
      </c>
      <c r="O5470" t="s">
        <v>302</v>
      </c>
      <c r="P5470" t="s">
        <v>310</v>
      </c>
      <c r="Q5470" t="s">
        <v>316</v>
      </c>
      <c r="R5470" t="s">
        <v>322</v>
      </c>
      <c r="S5470" t="s">
        <v>329</v>
      </c>
      <c r="AK5470" t="s">
        <v>362</v>
      </c>
    </row>
    <row r="5471" spans="1:37">
      <c r="A5471" t="s">
        <v>39</v>
      </c>
      <c r="B5471" t="s">
        <v>54</v>
      </c>
      <c r="C5471" t="s">
        <v>54</v>
      </c>
      <c r="D5471" t="s">
        <v>54</v>
      </c>
      <c r="E5471" t="s">
        <v>54</v>
      </c>
      <c r="F5471" t="s">
        <v>54</v>
      </c>
      <c r="G5471" t="s">
        <v>54</v>
      </c>
      <c r="H5471" t="s">
        <v>54</v>
      </c>
      <c r="I5471" t="s">
        <v>54</v>
      </c>
      <c r="J5471" t="s">
        <v>54</v>
      </c>
      <c r="K5471" t="s">
        <v>54</v>
      </c>
      <c r="L5471" t="s">
        <v>54</v>
      </c>
      <c r="M5471" t="s">
        <v>54</v>
      </c>
      <c r="N5471" t="s">
        <v>54</v>
      </c>
      <c r="O5471" t="s">
        <v>54</v>
      </c>
      <c r="P5471" t="s">
        <v>54</v>
      </c>
      <c r="Q5471" t="s">
        <v>54</v>
      </c>
      <c r="R5471" t="s">
        <v>323</v>
      </c>
      <c r="S5471" t="s">
        <v>330</v>
      </c>
      <c r="AK5471" t="s">
        <v>362</v>
      </c>
    </row>
    <row r="5472" spans="1:37">
      <c r="B5472" t="s">
        <v>55</v>
      </c>
      <c r="C5472" t="s">
        <v>78</v>
      </c>
      <c r="D5472" t="s">
        <v>55</v>
      </c>
      <c r="E5472" t="s">
        <v>78</v>
      </c>
      <c r="F5472" t="s">
        <v>55</v>
      </c>
      <c r="G5472" t="s">
        <v>78</v>
      </c>
      <c r="H5472" t="s">
        <v>55</v>
      </c>
      <c r="I5472" t="s">
        <v>78</v>
      </c>
      <c r="J5472" t="s">
        <v>55</v>
      </c>
      <c r="K5472" t="s">
        <v>78</v>
      </c>
      <c r="L5472" t="s">
        <v>55</v>
      </c>
      <c r="M5472" t="s">
        <v>78</v>
      </c>
      <c r="N5472" t="s">
        <v>55</v>
      </c>
      <c r="O5472" t="s">
        <v>78</v>
      </c>
      <c r="P5472" t="s">
        <v>55</v>
      </c>
      <c r="Q5472" t="s">
        <v>78</v>
      </c>
      <c r="R5472" t="s">
        <v>55</v>
      </c>
      <c r="S5472" t="s">
        <v>78</v>
      </c>
      <c r="T5472" t="s">
        <v>55</v>
      </c>
      <c r="U5472" t="s">
        <v>78</v>
      </c>
      <c r="V5472" t="s">
        <v>55</v>
      </c>
      <c r="W5472" t="s">
        <v>78</v>
      </c>
      <c r="X5472" t="s">
        <v>55</v>
      </c>
      <c r="Y5472" t="s">
        <v>78</v>
      </c>
      <c r="Z5472" t="s">
        <v>55</v>
      </c>
      <c r="AA5472" t="s">
        <v>78</v>
      </c>
      <c r="AB5472" t="s">
        <v>55</v>
      </c>
      <c r="AC5472" t="s">
        <v>78</v>
      </c>
      <c r="AD5472" t="s">
        <v>55</v>
      </c>
      <c r="AE5472" t="s">
        <v>78</v>
      </c>
      <c r="AF5472" t="s">
        <v>55</v>
      </c>
      <c r="AG5472" t="s">
        <v>78</v>
      </c>
      <c r="AH5472" t="s">
        <v>55</v>
      </c>
      <c r="AI5472" t="s">
        <v>78</v>
      </c>
      <c r="AK5472" t="s">
        <v>362</v>
      </c>
    </row>
    <row r="5473" spans="1:37">
      <c r="B5473" t="s">
        <v>56</v>
      </c>
      <c r="C5473" t="s">
        <v>56</v>
      </c>
      <c r="D5473" t="s">
        <v>56</v>
      </c>
      <c r="E5473" t="s">
        <v>56</v>
      </c>
      <c r="F5473" t="s">
        <v>56</v>
      </c>
      <c r="G5473" t="s">
        <v>176</v>
      </c>
      <c r="H5473" t="s">
        <v>211</v>
      </c>
      <c r="I5473" t="s">
        <v>231</v>
      </c>
      <c r="J5473" t="s">
        <v>250</v>
      </c>
      <c r="K5473" t="s">
        <v>264</v>
      </c>
      <c r="L5473" t="s">
        <v>276</v>
      </c>
      <c r="M5473" t="s">
        <v>285</v>
      </c>
      <c r="N5473" t="s">
        <v>295</v>
      </c>
      <c r="O5473" t="s">
        <v>303</v>
      </c>
      <c r="P5473" t="s">
        <v>56</v>
      </c>
      <c r="Q5473" t="s">
        <v>317</v>
      </c>
      <c r="R5473" t="s">
        <v>324</v>
      </c>
      <c r="S5473" t="s">
        <v>331</v>
      </c>
      <c r="T5473" t="s">
        <v>334</v>
      </c>
      <c r="U5473" t="s">
        <v>338</v>
      </c>
      <c r="V5473" t="s">
        <v>342</v>
      </c>
      <c r="W5473" t="s">
        <v>346</v>
      </c>
      <c r="X5473" t="s">
        <v>351</v>
      </c>
      <c r="AK5473" t="s">
        <v>362</v>
      </c>
    </row>
    <row r="5474" spans="1:37">
      <c r="B5474" t="s">
        <v>57</v>
      </c>
      <c r="C5474" t="s">
        <v>79</v>
      </c>
      <c r="D5474" t="s">
        <v>98</v>
      </c>
      <c r="E5474" t="s">
        <v>117</v>
      </c>
      <c r="F5474" t="s">
        <v>151</v>
      </c>
      <c r="G5474" t="s">
        <v>177</v>
      </c>
      <c r="H5474" t="s">
        <v>212</v>
      </c>
      <c r="I5474" t="s">
        <v>232</v>
      </c>
      <c r="J5474" t="s">
        <v>251</v>
      </c>
      <c r="K5474" t="s">
        <v>265</v>
      </c>
      <c r="L5474" t="s">
        <v>277</v>
      </c>
      <c r="M5474" t="s">
        <v>286</v>
      </c>
      <c r="N5474" t="s">
        <v>296</v>
      </c>
      <c r="O5474" t="s">
        <v>304</v>
      </c>
      <c r="P5474" t="s">
        <v>311</v>
      </c>
      <c r="Q5474" t="s">
        <v>318</v>
      </c>
      <c r="R5474" t="s">
        <v>185</v>
      </c>
      <c r="S5474" t="s">
        <v>159</v>
      </c>
      <c r="T5474" t="s">
        <v>185</v>
      </c>
      <c r="U5474" t="s">
        <v>339</v>
      </c>
      <c r="V5474" t="s">
        <v>72</v>
      </c>
      <c r="W5474" t="s">
        <v>347</v>
      </c>
      <c r="X5474" t="s">
        <v>72</v>
      </c>
      <c r="Y5474" t="s">
        <v>96</v>
      </c>
      <c r="AK5474" t="s">
        <v>362</v>
      </c>
    </row>
    <row r="5475" spans="1:37">
      <c r="B5475" t="s">
        <v>58</v>
      </c>
      <c r="C5475" t="s">
        <v>80</v>
      </c>
      <c r="D5475" t="s">
        <v>99</v>
      </c>
      <c r="E5475" t="s">
        <v>118</v>
      </c>
      <c r="F5475" t="s">
        <v>152</v>
      </c>
      <c r="G5475" t="s">
        <v>178</v>
      </c>
      <c r="H5475" t="s">
        <v>213</v>
      </c>
      <c r="I5475" t="s">
        <v>233</v>
      </c>
      <c r="J5475" t="s">
        <v>252</v>
      </c>
      <c r="K5475" t="s">
        <v>266</v>
      </c>
      <c r="L5475" t="s">
        <v>278</v>
      </c>
      <c r="M5475" t="s">
        <v>287</v>
      </c>
      <c r="N5475" t="s">
        <v>297</v>
      </c>
      <c r="O5475" t="s">
        <v>305</v>
      </c>
      <c r="P5475" t="s">
        <v>312</v>
      </c>
      <c r="Q5475" t="s">
        <v>319</v>
      </c>
      <c r="R5475">
        <f>&gt;10       ветра      3.2     16   4</f>
        <v>0</v>
      </c>
      <c r="AK5475" t="s">
        <v>362</v>
      </c>
    </row>
    <row r="5476" spans="1:37">
      <c r="A5476" t="s">
        <v>40</v>
      </c>
      <c r="B5476" t="s">
        <v>59</v>
      </c>
      <c r="C5476" t="s">
        <v>81</v>
      </c>
      <c r="D5476" t="s">
        <v>100</v>
      </c>
      <c r="E5476" t="s">
        <v>119</v>
      </c>
      <c r="F5476" t="s">
        <v>153</v>
      </c>
      <c r="G5476" t="s">
        <v>179</v>
      </c>
      <c r="H5476" t="s">
        <v>214</v>
      </c>
      <c r="I5476" t="s">
        <v>234</v>
      </c>
      <c r="AK5476" t="s">
        <v>362</v>
      </c>
    </row>
    <row r="5477" spans="1:37">
      <c r="A5477" t="s">
        <v>40</v>
      </c>
      <c r="B5477" t="s">
        <v>60</v>
      </c>
      <c r="C5477" t="s">
        <v>82</v>
      </c>
      <c r="D5477" t="s">
        <v>101</v>
      </c>
      <c r="E5477" t="s">
        <v>120</v>
      </c>
      <c r="F5477" t="s">
        <v>154</v>
      </c>
      <c r="G5477" t="s">
        <v>180</v>
      </c>
      <c r="H5477" t="s">
        <v>215</v>
      </c>
      <c r="I5477" t="s">
        <v>235</v>
      </c>
      <c r="J5477" t="s">
        <v>253</v>
      </c>
      <c r="K5477" t="s">
        <v>267</v>
      </c>
      <c r="L5477" t="s">
        <v>279</v>
      </c>
      <c r="M5477" t="s">
        <v>288</v>
      </c>
      <c r="N5477" t="s">
        <v>100</v>
      </c>
      <c r="O5477" t="s">
        <v>306</v>
      </c>
      <c r="P5477" t="s">
        <v>313</v>
      </c>
      <c r="Q5477" t="s">
        <v>320</v>
      </c>
      <c r="R5477" t="s">
        <v>325</v>
      </c>
      <c r="S5477" t="s">
        <v>332</v>
      </c>
      <c r="T5477" t="s">
        <v>119</v>
      </c>
      <c r="U5477" t="s">
        <v>234</v>
      </c>
      <c r="V5477" t="s">
        <v>343</v>
      </c>
      <c r="W5477" t="s">
        <v>348</v>
      </c>
      <c r="X5477" t="s">
        <v>352</v>
      </c>
      <c r="Y5477" t="s">
        <v>354</v>
      </c>
      <c r="AK5477" t="s">
        <v>362</v>
      </c>
    </row>
    <row r="5478" spans="1:37">
      <c r="A5478" t="s">
        <v>41</v>
      </c>
      <c r="B5478" t="s">
        <v>61</v>
      </c>
      <c r="C5478" t="s">
        <v>83</v>
      </c>
      <c r="D5478" t="s">
        <v>102</v>
      </c>
      <c r="E5478" t="s">
        <v>121</v>
      </c>
      <c r="F5478" t="s">
        <v>155</v>
      </c>
      <c r="G5478" t="s">
        <v>181</v>
      </c>
      <c r="H5478" t="s">
        <v>216</v>
      </c>
      <c r="I5478" t="s">
        <v>236</v>
      </c>
      <c r="AK5478" t="s">
        <v>362</v>
      </c>
    </row>
    <row r="5479" spans="1:37">
      <c r="A5479" t="s">
        <v>42</v>
      </c>
      <c r="B5479" t="s">
        <v>62</v>
      </c>
      <c r="C5479" t="s">
        <v>84</v>
      </c>
      <c r="D5479" t="s">
        <v>103</v>
      </c>
      <c r="E5479" t="s">
        <v>122</v>
      </c>
      <c r="F5479" t="s">
        <v>156</v>
      </c>
      <c r="G5479" t="s">
        <v>182</v>
      </c>
      <c r="H5479" t="s">
        <v>83</v>
      </c>
      <c r="I5479" t="s">
        <v>237</v>
      </c>
      <c r="J5479" t="s">
        <v>254</v>
      </c>
      <c r="K5479" t="s">
        <v>268</v>
      </c>
      <c r="L5479" t="s">
        <v>280</v>
      </c>
      <c r="M5479" t="s">
        <v>289</v>
      </c>
      <c r="N5479" t="s">
        <v>298</v>
      </c>
      <c r="O5479" t="s">
        <v>307</v>
      </c>
      <c r="P5479" t="s">
        <v>314</v>
      </c>
      <c r="Q5479" t="s">
        <v>216</v>
      </c>
      <c r="R5479" t="s">
        <v>326</v>
      </c>
      <c r="S5479" t="s">
        <v>333</v>
      </c>
      <c r="T5479" t="s">
        <v>335</v>
      </c>
      <c r="U5479" t="s">
        <v>340</v>
      </c>
      <c r="V5479" t="s">
        <v>344</v>
      </c>
      <c r="W5479" t="s">
        <v>349</v>
      </c>
      <c r="AK5479" t="s">
        <v>362</v>
      </c>
    </row>
    <row r="5480" spans="1:37">
      <c r="A5480" t="s">
        <v>43</v>
      </c>
      <c r="B5480" t="s">
        <v>63</v>
      </c>
      <c r="C5480" t="s">
        <v>85</v>
      </c>
      <c r="D5480" t="s">
        <v>104</v>
      </c>
      <c r="E5480" t="s">
        <v>123</v>
      </c>
      <c r="F5480" t="s">
        <v>157</v>
      </c>
      <c r="G5480" t="s">
        <v>183</v>
      </c>
      <c r="AK5480" t="s">
        <v>362</v>
      </c>
    </row>
    <row r="5481" spans="1:37">
      <c r="A5481" t="s">
        <v>44</v>
      </c>
      <c r="B5481" t="s">
        <v>64</v>
      </c>
      <c r="C5481" t="s">
        <v>86</v>
      </c>
      <c r="D5481" t="s">
        <v>105</v>
      </c>
      <c r="E5481" t="s">
        <v>124</v>
      </c>
      <c r="F5481" t="s">
        <v>158</v>
      </c>
      <c r="G5481" t="s">
        <v>184</v>
      </c>
      <c r="AK5481" t="s">
        <v>362</v>
      </c>
    </row>
    <row r="5482" spans="1:37">
      <c r="A5482" t="s">
        <v>45</v>
      </c>
      <c r="B5482" t="s">
        <v>65</v>
      </c>
      <c r="C5482" t="s">
        <v>87</v>
      </c>
      <c r="D5482" t="s">
        <v>106</v>
      </c>
      <c r="E5482" t="s">
        <v>125</v>
      </c>
      <c r="F5482" t="s">
        <v>159</v>
      </c>
      <c r="G5482" t="s">
        <v>185</v>
      </c>
      <c r="H5482" t="s">
        <v>159</v>
      </c>
      <c r="I5482" t="s">
        <v>185</v>
      </c>
      <c r="J5482" t="s">
        <v>255</v>
      </c>
      <c r="AK5482" t="s">
        <v>362</v>
      </c>
    </row>
    <row r="5483" spans="1:37">
      <c r="A5483" t="s">
        <v>46</v>
      </c>
      <c r="B5483" t="s">
        <v>66</v>
      </c>
      <c r="C5483" t="s">
        <v>88</v>
      </c>
      <c r="D5483" t="s">
        <v>76</v>
      </c>
      <c r="E5483" t="s">
        <v>126</v>
      </c>
      <c r="F5483" t="s">
        <v>160</v>
      </c>
      <c r="G5483" t="s">
        <v>186</v>
      </c>
      <c r="H5483" t="s">
        <v>217</v>
      </c>
      <c r="I5483" t="s">
        <v>238</v>
      </c>
      <c r="J5483" t="s">
        <v>256</v>
      </c>
      <c r="K5483" t="s">
        <v>265</v>
      </c>
      <c r="L5483" t="s">
        <v>281</v>
      </c>
      <c r="M5483" t="s">
        <v>290</v>
      </c>
      <c r="N5483" t="s">
        <v>299</v>
      </c>
      <c r="O5483" t="s">
        <v>308</v>
      </c>
      <c r="P5483" t="s">
        <v>228</v>
      </c>
      <c r="Q5483" t="s">
        <v>72</v>
      </c>
      <c r="R5483" t="s">
        <v>327</v>
      </c>
      <c r="S5483" t="s">
        <v>327</v>
      </c>
      <c r="T5483" t="s">
        <v>336</v>
      </c>
      <c r="U5483" t="s">
        <v>336</v>
      </c>
      <c r="V5483" t="s">
        <v>336</v>
      </c>
      <c r="W5483" t="s">
        <v>336</v>
      </c>
      <c r="X5483" t="s">
        <v>353</v>
      </c>
      <c r="AK5483" t="s">
        <v>362</v>
      </c>
    </row>
    <row r="5484" spans="1:37">
      <c r="B5484" t="s">
        <v>67</v>
      </c>
      <c r="C5484" t="s">
        <v>89</v>
      </c>
      <c r="D5484" t="s">
        <v>107</v>
      </c>
      <c r="AK5484" t="s">
        <v>362</v>
      </c>
    </row>
    <row r="5485" spans="1:37">
      <c r="B5485" t="s">
        <v>68</v>
      </c>
      <c r="C5485" t="s">
        <v>90</v>
      </c>
      <c r="D5485" t="s">
        <v>108</v>
      </c>
      <c r="AK5485" t="s">
        <v>362</v>
      </c>
    </row>
    <row r="5486" spans="1:37">
      <c r="A5486" t="s">
        <v>47</v>
      </c>
      <c r="B5486" t="s">
        <v>69</v>
      </c>
      <c r="C5486" t="s">
        <v>91</v>
      </c>
      <c r="D5486" t="s">
        <v>109</v>
      </c>
      <c r="E5486" t="s">
        <v>109</v>
      </c>
      <c r="F5486" t="s">
        <v>109</v>
      </c>
      <c r="G5486" t="s">
        <v>109</v>
      </c>
      <c r="H5486" t="s">
        <v>109</v>
      </c>
      <c r="I5486" t="s">
        <v>239</v>
      </c>
      <c r="AK5486" t="s">
        <v>362</v>
      </c>
    </row>
    <row r="5487" spans="1:37">
      <c r="B5487" t="s">
        <v>70</v>
      </c>
      <c r="C5487" t="s">
        <v>92</v>
      </c>
      <c r="D5487" t="s">
        <v>110</v>
      </c>
      <c r="E5487" t="s">
        <v>127</v>
      </c>
      <c r="F5487" t="s">
        <v>161</v>
      </c>
      <c r="G5487" t="s">
        <v>187</v>
      </c>
      <c r="H5487" t="s">
        <v>218</v>
      </c>
      <c r="AK5487" t="s">
        <v>362</v>
      </c>
    </row>
    <row r="5488" spans="1:37">
      <c r="B5488" t="s">
        <v>71</v>
      </c>
      <c r="C5488" t="s">
        <v>93</v>
      </c>
      <c r="D5488" t="s">
        <v>111</v>
      </c>
      <c r="E5488" t="s">
        <v>128</v>
      </c>
      <c r="F5488" t="s">
        <v>162</v>
      </c>
      <c r="G5488" t="s">
        <v>188</v>
      </c>
      <c r="H5488" t="s">
        <v>219</v>
      </c>
      <c r="I5488" t="s">
        <v>240</v>
      </c>
      <c r="J5488" t="s">
        <v>257</v>
      </c>
      <c r="K5488" t="s">
        <v>269</v>
      </c>
      <c r="L5488" t="s">
        <v>109</v>
      </c>
      <c r="M5488" t="s">
        <v>109</v>
      </c>
      <c r="N5488" t="s">
        <v>109</v>
      </c>
      <c r="O5488" t="s">
        <v>109</v>
      </c>
      <c r="P5488" t="s">
        <v>109</v>
      </c>
      <c r="Q5488" t="s">
        <v>321</v>
      </c>
      <c r="AK5488" t="s">
        <v>362</v>
      </c>
    </row>
    <row r="5489" spans="1:37">
      <c r="A5489" t="s">
        <v>48</v>
      </c>
      <c r="B5489" t="s">
        <v>71</v>
      </c>
      <c r="C5489" t="s">
        <v>93</v>
      </c>
      <c r="D5489" t="s">
        <v>111</v>
      </c>
      <c r="E5489" t="s">
        <v>128</v>
      </c>
      <c r="F5489" t="s">
        <v>163</v>
      </c>
      <c r="G5489" t="s">
        <v>189</v>
      </c>
      <c r="H5489" t="s">
        <v>220</v>
      </c>
      <c r="I5489" t="s">
        <v>241</v>
      </c>
      <c r="J5489" t="s">
        <v>258</v>
      </c>
      <c r="K5489" t="s">
        <v>270</v>
      </c>
      <c r="AK5489" t="s">
        <v>362</v>
      </c>
    </row>
    <row r="5490" spans="1:37">
      <c r="B5490" t="s">
        <v>72</v>
      </c>
      <c r="C5490" t="s">
        <v>72</v>
      </c>
      <c r="D5490" t="s">
        <v>72</v>
      </c>
      <c r="E5490" t="s">
        <v>72</v>
      </c>
      <c r="F5490" t="s">
        <v>72</v>
      </c>
      <c r="G5490" t="s">
        <v>72</v>
      </c>
      <c r="H5490" t="s">
        <v>72</v>
      </c>
      <c r="I5490" t="s">
        <v>72</v>
      </c>
      <c r="J5490" t="s">
        <v>72</v>
      </c>
      <c r="K5490" t="s">
        <v>272</v>
      </c>
      <c r="AK5490" t="s">
        <v>362</v>
      </c>
    </row>
    <row r="5491" spans="1:37">
      <c r="A5491" t="s">
        <v>37</v>
      </c>
      <c r="B5491" t="s">
        <v>49</v>
      </c>
      <c r="C5491" t="s">
        <v>73</v>
      </c>
      <c r="D5491" t="s">
        <v>94</v>
      </c>
      <c r="E5491" t="s">
        <v>112</v>
      </c>
      <c r="F5491" t="s">
        <v>146</v>
      </c>
      <c r="G5491" t="s">
        <v>172</v>
      </c>
      <c r="H5491" t="s">
        <v>207</v>
      </c>
      <c r="I5491" t="s">
        <v>226</v>
      </c>
      <c r="J5491" t="s">
        <v>246</v>
      </c>
      <c r="K5491" t="s">
        <v>259</v>
      </c>
      <c r="AK5491" t="s">
        <v>362</v>
      </c>
    </row>
    <row r="5492" spans="1:37">
      <c r="A5492" t="s">
        <v>38</v>
      </c>
      <c r="B5492" t="s">
        <v>50</v>
      </c>
      <c r="C5492" t="s">
        <v>74</v>
      </c>
      <c r="D5492" t="s">
        <v>95</v>
      </c>
      <c r="E5492" t="s">
        <v>113</v>
      </c>
      <c r="F5492" t="s">
        <v>147</v>
      </c>
      <c r="G5492" t="s">
        <v>173</v>
      </c>
      <c r="H5492" t="s">
        <v>208</v>
      </c>
      <c r="I5492" t="s">
        <v>227</v>
      </c>
      <c r="J5492" t="s">
        <v>115</v>
      </c>
      <c r="K5492" t="s">
        <v>260</v>
      </c>
      <c r="L5492" t="s">
        <v>273</v>
      </c>
      <c r="M5492" t="s">
        <v>282</v>
      </c>
      <c r="N5492" t="s">
        <v>291</v>
      </c>
      <c r="AK5492" t="s">
        <v>362</v>
      </c>
    </row>
    <row r="5493" spans="1:37">
      <c r="B5493" t="s">
        <v>51</v>
      </c>
      <c r="C5493" t="s">
        <v>75</v>
      </c>
      <c r="D5493" t="s">
        <v>52</v>
      </c>
      <c r="E5493" t="s">
        <v>114</v>
      </c>
      <c r="F5493" t="s">
        <v>148</v>
      </c>
      <c r="G5493" t="s">
        <v>148</v>
      </c>
      <c r="H5493" t="s">
        <v>209</v>
      </c>
      <c r="I5493" t="s">
        <v>228</v>
      </c>
      <c r="J5493" t="s">
        <v>247</v>
      </c>
      <c r="K5493" t="s">
        <v>261</v>
      </c>
      <c r="L5493" t="s">
        <v>274</v>
      </c>
      <c r="M5493" t="s">
        <v>283</v>
      </c>
      <c r="N5493" t="s">
        <v>292</v>
      </c>
      <c r="O5493" t="s">
        <v>300</v>
      </c>
      <c r="AK5493" t="s">
        <v>362</v>
      </c>
    </row>
    <row r="5494" spans="1:37">
      <c r="B5494" t="s">
        <v>52</v>
      </c>
      <c r="C5494" t="s">
        <v>76</v>
      </c>
      <c r="D5494" t="s">
        <v>96</v>
      </c>
      <c r="E5494" t="s">
        <v>115</v>
      </c>
      <c r="F5494" t="s">
        <v>149</v>
      </c>
      <c r="G5494" t="s">
        <v>174</v>
      </c>
      <c r="H5494" t="s">
        <v>96</v>
      </c>
      <c r="I5494" t="s">
        <v>229</v>
      </c>
      <c r="J5494" t="s">
        <v>248</v>
      </c>
      <c r="K5494" t="s">
        <v>262</v>
      </c>
      <c r="L5494" t="s">
        <v>52</v>
      </c>
      <c r="M5494" t="s">
        <v>76</v>
      </c>
      <c r="N5494" t="s">
        <v>293</v>
      </c>
      <c r="O5494" t="s">
        <v>301</v>
      </c>
      <c r="P5494" t="s">
        <v>309</v>
      </c>
      <c r="Q5494" t="s">
        <v>315</v>
      </c>
      <c r="R5494" t="s">
        <v>228</v>
      </c>
      <c r="S5494" t="s">
        <v>328</v>
      </c>
      <c r="T5494" t="s">
        <v>149</v>
      </c>
      <c r="U5494" t="s">
        <v>337</v>
      </c>
      <c r="V5494" t="s">
        <v>341</v>
      </c>
      <c r="W5494" t="s">
        <v>345</v>
      </c>
      <c r="X5494" t="s">
        <v>350</v>
      </c>
      <c r="AK5494" t="s">
        <v>362</v>
      </c>
    </row>
    <row r="5495" spans="1:37">
      <c r="B5495" t="s">
        <v>53</v>
      </c>
      <c r="C5495" t="s">
        <v>77</v>
      </c>
      <c r="D5495" t="s">
        <v>97</v>
      </c>
      <c r="E5495" t="s">
        <v>116</v>
      </c>
      <c r="F5495" t="s">
        <v>150</v>
      </c>
      <c r="G5495" t="s">
        <v>175</v>
      </c>
      <c r="H5495" t="s">
        <v>210</v>
      </c>
      <c r="I5495" t="s">
        <v>230</v>
      </c>
      <c r="J5495" t="s">
        <v>249</v>
      </c>
      <c r="K5495" t="s">
        <v>263</v>
      </c>
      <c r="L5495" t="s">
        <v>275</v>
      </c>
      <c r="M5495" t="s">
        <v>284</v>
      </c>
      <c r="N5495" t="s">
        <v>294</v>
      </c>
      <c r="O5495" t="s">
        <v>302</v>
      </c>
      <c r="P5495" t="s">
        <v>310</v>
      </c>
      <c r="Q5495" t="s">
        <v>316</v>
      </c>
      <c r="R5495" t="s">
        <v>322</v>
      </c>
      <c r="S5495" t="s">
        <v>329</v>
      </c>
      <c r="AK5495" t="s">
        <v>362</v>
      </c>
    </row>
    <row r="5496" spans="1:37">
      <c r="A5496" t="s">
        <v>39</v>
      </c>
      <c r="B5496" t="s">
        <v>54</v>
      </c>
      <c r="C5496" t="s">
        <v>54</v>
      </c>
      <c r="D5496" t="s">
        <v>54</v>
      </c>
      <c r="E5496" t="s">
        <v>54</v>
      </c>
      <c r="F5496" t="s">
        <v>54</v>
      </c>
      <c r="G5496" t="s">
        <v>54</v>
      </c>
      <c r="H5496" t="s">
        <v>54</v>
      </c>
      <c r="I5496" t="s">
        <v>54</v>
      </c>
      <c r="J5496" t="s">
        <v>54</v>
      </c>
      <c r="K5496" t="s">
        <v>54</v>
      </c>
      <c r="L5496" t="s">
        <v>54</v>
      </c>
      <c r="M5496" t="s">
        <v>54</v>
      </c>
      <c r="N5496" t="s">
        <v>54</v>
      </c>
      <c r="O5496" t="s">
        <v>54</v>
      </c>
      <c r="P5496" t="s">
        <v>54</v>
      </c>
      <c r="Q5496" t="s">
        <v>54</v>
      </c>
      <c r="R5496" t="s">
        <v>323</v>
      </c>
      <c r="S5496" t="s">
        <v>330</v>
      </c>
      <c r="AK5496" t="s">
        <v>362</v>
      </c>
    </row>
    <row r="5497" spans="1:37">
      <c r="B5497" t="s">
        <v>55</v>
      </c>
      <c r="C5497" t="s">
        <v>78</v>
      </c>
      <c r="D5497" t="s">
        <v>55</v>
      </c>
      <c r="E5497" t="s">
        <v>78</v>
      </c>
      <c r="F5497" t="s">
        <v>55</v>
      </c>
      <c r="G5497" t="s">
        <v>78</v>
      </c>
      <c r="H5497" t="s">
        <v>55</v>
      </c>
      <c r="I5497" t="s">
        <v>78</v>
      </c>
      <c r="J5497" t="s">
        <v>55</v>
      </c>
      <c r="K5497" t="s">
        <v>78</v>
      </c>
      <c r="L5497" t="s">
        <v>55</v>
      </c>
      <c r="M5497" t="s">
        <v>78</v>
      </c>
      <c r="N5497" t="s">
        <v>55</v>
      </c>
      <c r="O5497" t="s">
        <v>78</v>
      </c>
      <c r="P5497" t="s">
        <v>55</v>
      </c>
      <c r="Q5497" t="s">
        <v>78</v>
      </c>
      <c r="R5497" t="s">
        <v>55</v>
      </c>
      <c r="S5497" t="s">
        <v>78</v>
      </c>
      <c r="T5497" t="s">
        <v>55</v>
      </c>
      <c r="U5497" t="s">
        <v>78</v>
      </c>
      <c r="V5497" t="s">
        <v>55</v>
      </c>
      <c r="W5497" t="s">
        <v>78</v>
      </c>
      <c r="X5497" t="s">
        <v>55</v>
      </c>
      <c r="Y5497" t="s">
        <v>78</v>
      </c>
      <c r="Z5497" t="s">
        <v>55</v>
      </c>
      <c r="AA5497" t="s">
        <v>78</v>
      </c>
      <c r="AB5497" t="s">
        <v>55</v>
      </c>
      <c r="AC5497" t="s">
        <v>78</v>
      </c>
      <c r="AD5497" t="s">
        <v>55</v>
      </c>
      <c r="AE5497" t="s">
        <v>78</v>
      </c>
      <c r="AF5497" t="s">
        <v>55</v>
      </c>
      <c r="AG5497" t="s">
        <v>78</v>
      </c>
      <c r="AH5497" t="s">
        <v>55</v>
      </c>
      <c r="AI5497" t="s">
        <v>78</v>
      </c>
      <c r="AK5497" t="s">
        <v>362</v>
      </c>
    </row>
    <row r="5498" spans="1:37">
      <c r="B5498" t="s">
        <v>56</v>
      </c>
      <c r="C5498" t="s">
        <v>56</v>
      </c>
      <c r="D5498" t="s">
        <v>56</v>
      </c>
      <c r="E5498" t="s">
        <v>56</v>
      </c>
      <c r="F5498" t="s">
        <v>56</v>
      </c>
      <c r="G5498" t="s">
        <v>176</v>
      </c>
      <c r="H5498" t="s">
        <v>211</v>
      </c>
      <c r="I5498" t="s">
        <v>231</v>
      </c>
      <c r="J5498" t="s">
        <v>250</v>
      </c>
      <c r="K5498" t="s">
        <v>264</v>
      </c>
      <c r="L5498" t="s">
        <v>276</v>
      </c>
      <c r="M5498" t="s">
        <v>285</v>
      </c>
      <c r="N5498" t="s">
        <v>295</v>
      </c>
      <c r="O5498" t="s">
        <v>303</v>
      </c>
      <c r="P5498" t="s">
        <v>56</v>
      </c>
      <c r="Q5498" t="s">
        <v>317</v>
      </c>
      <c r="R5498" t="s">
        <v>324</v>
      </c>
      <c r="S5498" t="s">
        <v>331</v>
      </c>
      <c r="T5498" t="s">
        <v>334</v>
      </c>
      <c r="U5498" t="s">
        <v>338</v>
      </c>
      <c r="V5498" t="s">
        <v>342</v>
      </c>
      <c r="W5498" t="s">
        <v>346</v>
      </c>
      <c r="X5498" t="s">
        <v>351</v>
      </c>
      <c r="AK5498" t="s">
        <v>362</v>
      </c>
    </row>
    <row r="5499" spans="1:37">
      <c r="B5499" t="s">
        <v>57</v>
      </c>
      <c r="C5499" t="s">
        <v>79</v>
      </c>
      <c r="D5499" t="s">
        <v>98</v>
      </c>
      <c r="E5499" t="s">
        <v>117</v>
      </c>
      <c r="F5499" t="s">
        <v>151</v>
      </c>
      <c r="G5499" t="s">
        <v>177</v>
      </c>
      <c r="H5499" t="s">
        <v>212</v>
      </c>
      <c r="I5499" t="s">
        <v>232</v>
      </c>
      <c r="J5499" t="s">
        <v>251</v>
      </c>
      <c r="K5499" t="s">
        <v>265</v>
      </c>
      <c r="L5499" t="s">
        <v>277</v>
      </c>
      <c r="M5499" t="s">
        <v>286</v>
      </c>
      <c r="N5499" t="s">
        <v>296</v>
      </c>
      <c r="O5499" t="s">
        <v>304</v>
      </c>
      <c r="P5499" t="s">
        <v>311</v>
      </c>
      <c r="Q5499" t="s">
        <v>318</v>
      </c>
      <c r="R5499" t="s">
        <v>185</v>
      </c>
      <c r="S5499" t="s">
        <v>159</v>
      </c>
      <c r="T5499" t="s">
        <v>185</v>
      </c>
      <c r="U5499" t="s">
        <v>339</v>
      </c>
      <c r="V5499" t="s">
        <v>72</v>
      </c>
      <c r="W5499" t="s">
        <v>347</v>
      </c>
      <c r="X5499" t="s">
        <v>72</v>
      </c>
      <c r="Y5499" t="s">
        <v>96</v>
      </c>
      <c r="AK5499" t="s">
        <v>362</v>
      </c>
    </row>
    <row r="5500" spans="1:37">
      <c r="B5500" t="s">
        <v>58</v>
      </c>
      <c r="C5500" t="s">
        <v>80</v>
      </c>
      <c r="D5500" t="s">
        <v>99</v>
      </c>
      <c r="E5500" t="s">
        <v>118</v>
      </c>
      <c r="F5500" t="s">
        <v>152</v>
      </c>
      <c r="G5500" t="s">
        <v>178</v>
      </c>
      <c r="H5500" t="s">
        <v>213</v>
      </c>
      <c r="I5500" t="s">
        <v>233</v>
      </c>
      <c r="J5500" t="s">
        <v>252</v>
      </c>
      <c r="K5500" t="s">
        <v>266</v>
      </c>
      <c r="L5500" t="s">
        <v>278</v>
      </c>
      <c r="M5500" t="s">
        <v>287</v>
      </c>
      <c r="N5500" t="s">
        <v>297</v>
      </c>
      <c r="O5500" t="s">
        <v>305</v>
      </c>
      <c r="P5500" t="s">
        <v>312</v>
      </c>
      <c r="Q5500" t="s">
        <v>319</v>
      </c>
      <c r="R5500">
        <f>&gt;10       ветра      2.2     14  10</f>
        <v>0</v>
      </c>
      <c r="AK5500" t="s">
        <v>362</v>
      </c>
    </row>
    <row r="5501" spans="1:37">
      <c r="A5501" t="s">
        <v>40</v>
      </c>
      <c r="B5501" t="s">
        <v>59</v>
      </c>
      <c r="C5501" t="s">
        <v>81</v>
      </c>
      <c r="D5501" t="s">
        <v>100</v>
      </c>
      <c r="E5501" t="s">
        <v>119</v>
      </c>
      <c r="F5501" t="s">
        <v>153</v>
      </c>
      <c r="G5501" t="s">
        <v>179</v>
      </c>
      <c r="H5501" t="s">
        <v>214</v>
      </c>
      <c r="I5501" t="s">
        <v>234</v>
      </c>
      <c r="AK5501" t="s">
        <v>362</v>
      </c>
    </row>
    <row r="5502" spans="1:37">
      <c r="A5502" t="s">
        <v>40</v>
      </c>
      <c r="B5502" t="s">
        <v>60</v>
      </c>
      <c r="C5502" t="s">
        <v>82</v>
      </c>
      <c r="D5502" t="s">
        <v>101</v>
      </c>
      <c r="E5502" t="s">
        <v>120</v>
      </c>
      <c r="F5502" t="s">
        <v>154</v>
      </c>
      <c r="G5502" t="s">
        <v>180</v>
      </c>
      <c r="H5502" t="s">
        <v>215</v>
      </c>
      <c r="I5502" t="s">
        <v>235</v>
      </c>
      <c r="J5502" t="s">
        <v>253</v>
      </c>
      <c r="K5502" t="s">
        <v>267</v>
      </c>
      <c r="L5502" t="s">
        <v>279</v>
      </c>
      <c r="M5502" t="s">
        <v>288</v>
      </c>
      <c r="N5502" t="s">
        <v>100</v>
      </c>
      <c r="O5502" t="s">
        <v>306</v>
      </c>
      <c r="P5502" t="s">
        <v>313</v>
      </c>
      <c r="Q5502" t="s">
        <v>320</v>
      </c>
      <c r="R5502" t="s">
        <v>325</v>
      </c>
      <c r="S5502" t="s">
        <v>332</v>
      </c>
      <c r="T5502" t="s">
        <v>119</v>
      </c>
      <c r="U5502" t="s">
        <v>234</v>
      </c>
      <c r="V5502" t="s">
        <v>343</v>
      </c>
      <c r="W5502" t="s">
        <v>348</v>
      </c>
      <c r="X5502" t="s">
        <v>352</v>
      </c>
      <c r="Y5502" t="s">
        <v>354</v>
      </c>
      <c r="AK5502" t="s">
        <v>362</v>
      </c>
    </row>
    <row r="5503" spans="1:37">
      <c r="A5503" t="s">
        <v>41</v>
      </c>
      <c r="B5503" t="s">
        <v>61</v>
      </c>
      <c r="C5503" t="s">
        <v>83</v>
      </c>
      <c r="D5503" t="s">
        <v>102</v>
      </c>
      <c r="E5503" t="s">
        <v>121</v>
      </c>
      <c r="F5503" t="s">
        <v>155</v>
      </c>
      <c r="G5503" t="s">
        <v>181</v>
      </c>
      <c r="H5503" t="s">
        <v>216</v>
      </c>
      <c r="I5503" t="s">
        <v>236</v>
      </c>
      <c r="AK5503" t="s">
        <v>362</v>
      </c>
    </row>
    <row r="5504" spans="1:37">
      <c r="A5504" t="s">
        <v>42</v>
      </c>
      <c r="B5504" t="s">
        <v>62</v>
      </c>
      <c r="C5504" t="s">
        <v>84</v>
      </c>
      <c r="D5504" t="s">
        <v>103</v>
      </c>
      <c r="E5504" t="s">
        <v>122</v>
      </c>
      <c r="F5504" t="s">
        <v>156</v>
      </c>
      <c r="G5504" t="s">
        <v>182</v>
      </c>
      <c r="H5504" t="s">
        <v>83</v>
      </c>
      <c r="I5504" t="s">
        <v>237</v>
      </c>
      <c r="J5504" t="s">
        <v>254</v>
      </c>
      <c r="K5504" t="s">
        <v>268</v>
      </c>
      <c r="L5504" t="s">
        <v>280</v>
      </c>
      <c r="M5504" t="s">
        <v>289</v>
      </c>
      <c r="N5504" t="s">
        <v>298</v>
      </c>
      <c r="O5504" t="s">
        <v>307</v>
      </c>
      <c r="P5504" t="s">
        <v>314</v>
      </c>
      <c r="Q5504" t="s">
        <v>216</v>
      </c>
      <c r="R5504" t="s">
        <v>326</v>
      </c>
      <c r="S5504" t="s">
        <v>333</v>
      </c>
      <c r="T5504" t="s">
        <v>335</v>
      </c>
      <c r="U5504" t="s">
        <v>340</v>
      </c>
      <c r="V5504" t="s">
        <v>344</v>
      </c>
      <c r="W5504" t="s">
        <v>349</v>
      </c>
      <c r="AK5504" t="s">
        <v>362</v>
      </c>
    </row>
    <row r="5505" spans="1:37">
      <c r="A5505" t="s">
        <v>43</v>
      </c>
      <c r="B5505" t="s">
        <v>63</v>
      </c>
      <c r="C5505" t="s">
        <v>85</v>
      </c>
      <c r="D5505" t="s">
        <v>104</v>
      </c>
      <c r="E5505" t="s">
        <v>123</v>
      </c>
      <c r="F5505" t="s">
        <v>157</v>
      </c>
      <c r="G5505" t="s">
        <v>183</v>
      </c>
      <c r="AK5505" t="s">
        <v>362</v>
      </c>
    </row>
    <row r="5506" spans="1:37">
      <c r="A5506" t="s">
        <v>44</v>
      </c>
      <c r="B5506" t="s">
        <v>64</v>
      </c>
      <c r="C5506" t="s">
        <v>86</v>
      </c>
      <c r="D5506" t="s">
        <v>105</v>
      </c>
      <c r="E5506" t="s">
        <v>124</v>
      </c>
      <c r="F5506" t="s">
        <v>158</v>
      </c>
      <c r="G5506" t="s">
        <v>184</v>
      </c>
      <c r="AK5506" t="s">
        <v>362</v>
      </c>
    </row>
    <row r="5507" spans="1:37">
      <c r="A5507" t="s">
        <v>45</v>
      </c>
      <c r="B5507" t="s">
        <v>65</v>
      </c>
      <c r="C5507" t="s">
        <v>87</v>
      </c>
      <c r="D5507" t="s">
        <v>106</v>
      </c>
      <c r="E5507" t="s">
        <v>125</v>
      </c>
      <c r="F5507" t="s">
        <v>159</v>
      </c>
      <c r="G5507" t="s">
        <v>185</v>
      </c>
      <c r="H5507" t="s">
        <v>159</v>
      </c>
      <c r="I5507" t="s">
        <v>185</v>
      </c>
      <c r="J5507" t="s">
        <v>255</v>
      </c>
      <c r="AK5507" t="s">
        <v>362</v>
      </c>
    </row>
    <row r="5508" spans="1:37">
      <c r="A5508" t="s">
        <v>46</v>
      </c>
      <c r="B5508" t="s">
        <v>66</v>
      </c>
      <c r="C5508" t="s">
        <v>88</v>
      </c>
      <c r="D5508" t="s">
        <v>76</v>
      </c>
      <c r="E5508" t="s">
        <v>126</v>
      </c>
      <c r="F5508" t="s">
        <v>160</v>
      </c>
      <c r="G5508" t="s">
        <v>186</v>
      </c>
      <c r="H5508" t="s">
        <v>217</v>
      </c>
      <c r="I5508" t="s">
        <v>238</v>
      </c>
      <c r="J5508" t="s">
        <v>256</v>
      </c>
      <c r="K5508" t="s">
        <v>265</v>
      </c>
      <c r="L5508" t="s">
        <v>281</v>
      </c>
      <c r="M5508" t="s">
        <v>290</v>
      </c>
      <c r="N5508" t="s">
        <v>299</v>
      </c>
      <c r="O5508" t="s">
        <v>308</v>
      </c>
      <c r="P5508" t="s">
        <v>228</v>
      </c>
      <c r="Q5508" t="s">
        <v>72</v>
      </c>
      <c r="R5508" t="s">
        <v>327</v>
      </c>
      <c r="S5508" t="s">
        <v>327</v>
      </c>
      <c r="T5508" t="s">
        <v>336</v>
      </c>
      <c r="U5508" t="s">
        <v>336</v>
      </c>
      <c r="V5508" t="s">
        <v>336</v>
      </c>
      <c r="W5508" t="s">
        <v>336</v>
      </c>
      <c r="X5508" t="s">
        <v>353</v>
      </c>
      <c r="AK5508" t="s">
        <v>362</v>
      </c>
    </row>
    <row r="5509" spans="1:37">
      <c r="B5509" t="s">
        <v>67</v>
      </c>
      <c r="C5509" t="s">
        <v>89</v>
      </c>
      <c r="D5509" t="s">
        <v>107</v>
      </c>
      <c r="AK5509" t="s">
        <v>362</v>
      </c>
    </row>
    <row r="5510" spans="1:37">
      <c r="B5510" t="s">
        <v>68</v>
      </c>
      <c r="C5510" t="s">
        <v>90</v>
      </c>
      <c r="D5510" t="s">
        <v>108</v>
      </c>
      <c r="AK5510" t="s">
        <v>362</v>
      </c>
    </row>
    <row r="5511" spans="1:37">
      <c r="A5511" t="s">
        <v>47</v>
      </c>
      <c r="B5511" t="s">
        <v>69</v>
      </c>
      <c r="C5511" t="s">
        <v>91</v>
      </c>
      <c r="D5511" t="s">
        <v>109</v>
      </c>
      <c r="E5511" t="s">
        <v>109</v>
      </c>
      <c r="F5511" t="s">
        <v>109</v>
      </c>
      <c r="G5511" t="s">
        <v>109</v>
      </c>
      <c r="H5511" t="s">
        <v>109</v>
      </c>
      <c r="I5511" t="s">
        <v>239</v>
      </c>
      <c r="AK5511" t="s">
        <v>362</v>
      </c>
    </row>
    <row r="5512" spans="1:37">
      <c r="B5512" t="s">
        <v>70</v>
      </c>
      <c r="C5512" t="s">
        <v>92</v>
      </c>
      <c r="D5512" t="s">
        <v>110</v>
      </c>
      <c r="E5512" t="s">
        <v>127</v>
      </c>
      <c r="F5512" t="s">
        <v>161</v>
      </c>
      <c r="G5512" t="s">
        <v>187</v>
      </c>
      <c r="H5512" t="s">
        <v>218</v>
      </c>
      <c r="AK5512" t="s">
        <v>362</v>
      </c>
    </row>
    <row r="5513" spans="1:37">
      <c r="B5513" t="s">
        <v>71</v>
      </c>
      <c r="C5513" t="s">
        <v>93</v>
      </c>
      <c r="D5513" t="s">
        <v>111</v>
      </c>
      <c r="E5513" t="s">
        <v>128</v>
      </c>
      <c r="F5513" t="s">
        <v>162</v>
      </c>
      <c r="G5513" t="s">
        <v>188</v>
      </c>
      <c r="H5513" t="s">
        <v>219</v>
      </c>
      <c r="I5513" t="s">
        <v>240</v>
      </c>
      <c r="J5513" t="s">
        <v>257</v>
      </c>
      <c r="K5513" t="s">
        <v>269</v>
      </c>
      <c r="L5513" t="s">
        <v>109</v>
      </c>
      <c r="M5513" t="s">
        <v>109</v>
      </c>
      <c r="N5513" t="s">
        <v>109</v>
      </c>
      <c r="O5513" t="s">
        <v>109</v>
      </c>
      <c r="P5513" t="s">
        <v>109</v>
      </c>
      <c r="Q5513" t="s">
        <v>321</v>
      </c>
      <c r="AK5513" t="s">
        <v>362</v>
      </c>
    </row>
    <row r="5514" spans="1:37">
      <c r="A5514" t="s">
        <v>48</v>
      </c>
      <c r="B5514" t="s">
        <v>71</v>
      </c>
      <c r="C5514" t="s">
        <v>93</v>
      </c>
      <c r="D5514" t="s">
        <v>111</v>
      </c>
      <c r="E5514" t="s">
        <v>128</v>
      </c>
      <c r="F5514" t="s">
        <v>163</v>
      </c>
      <c r="G5514" t="s">
        <v>189</v>
      </c>
      <c r="H5514" t="s">
        <v>220</v>
      </c>
      <c r="I5514" t="s">
        <v>241</v>
      </c>
      <c r="J5514" t="s">
        <v>258</v>
      </c>
      <c r="K5514" t="s">
        <v>270</v>
      </c>
      <c r="AK5514" t="s">
        <v>362</v>
      </c>
    </row>
    <row r="5515" spans="1:37">
      <c r="B5515" t="s">
        <v>72</v>
      </c>
      <c r="C5515" t="s">
        <v>72</v>
      </c>
      <c r="D5515" t="s">
        <v>72</v>
      </c>
      <c r="E5515" t="s">
        <v>72</v>
      </c>
      <c r="F5515" t="s">
        <v>72</v>
      </c>
      <c r="G5515" t="s">
        <v>72</v>
      </c>
      <c r="H5515" t="s">
        <v>72</v>
      </c>
      <c r="I5515" t="s">
        <v>72</v>
      </c>
      <c r="J5515" t="s">
        <v>72</v>
      </c>
      <c r="K5515" t="s">
        <v>272</v>
      </c>
      <c r="AK5515" t="s">
        <v>362</v>
      </c>
    </row>
    <row r="5516" spans="1:37">
      <c r="A5516" t="s">
        <v>37</v>
      </c>
      <c r="B5516" t="s">
        <v>49</v>
      </c>
      <c r="C5516" t="s">
        <v>73</v>
      </c>
      <c r="D5516" t="s">
        <v>94</v>
      </c>
      <c r="E5516" t="s">
        <v>112</v>
      </c>
      <c r="F5516" t="s">
        <v>146</v>
      </c>
      <c r="G5516" t="s">
        <v>172</v>
      </c>
      <c r="H5516" t="s">
        <v>207</v>
      </c>
      <c r="I5516" t="s">
        <v>226</v>
      </c>
      <c r="J5516" t="s">
        <v>246</v>
      </c>
      <c r="K5516" t="s">
        <v>259</v>
      </c>
      <c r="AK5516" t="s">
        <v>362</v>
      </c>
    </row>
    <row r="5517" spans="1:37">
      <c r="A5517" t="s">
        <v>38</v>
      </c>
      <c r="B5517" t="s">
        <v>50</v>
      </c>
      <c r="C5517" t="s">
        <v>74</v>
      </c>
      <c r="D5517" t="s">
        <v>95</v>
      </c>
      <c r="E5517" t="s">
        <v>113</v>
      </c>
      <c r="F5517" t="s">
        <v>147</v>
      </c>
      <c r="G5517" t="s">
        <v>173</v>
      </c>
      <c r="H5517" t="s">
        <v>208</v>
      </c>
      <c r="I5517" t="s">
        <v>227</v>
      </c>
      <c r="J5517" t="s">
        <v>115</v>
      </c>
      <c r="K5517" t="s">
        <v>260</v>
      </c>
      <c r="L5517" t="s">
        <v>273</v>
      </c>
      <c r="M5517" t="s">
        <v>282</v>
      </c>
      <c r="N5517" t="s">
        <v>291</v>
      </c>
      <c r="AK5517" t="s">
        <v>362</v>
      </c>
    </row>
    <row r="5518" spans="1:37">
      <c r="B5518" t="s">
        <v>51</v>
      </c>
      <c r="C5518" t="s">
        <v>75</v>
      </c>
      <c r="D5518" t="s">
        <v>52</v>
      </c>
      <c r="E5518" t="s">
        <v>114</v>
      </c>
      <c r="F5518" t="s">
        <v>148</v>
      </c>
      <c r="G5518" t="s">
        <v>148</v>
      </c>
      <c r="H5518" t="s">
        <v>209</v>
      </c>
      <c r="I5518" t="s">
        <v>228</v>
      </c>
      <c r="J5518" t="s">
        <v>247</v>
      </c>
      <c r="K5518" t="s">
        <v>261</v>
      </c>
      <c r="L5518" t="s">
        <v>274</v>
      </c>
      <c r="M5518" t="s">
        <v>283</v>
      </c>
      <c r="N5518" t="s">
        <v>292</v>
      </c>
      <c r="O5518" t="s">
        <v>300</v>
      </c>
      <c r="AK5518" t="s">
        <v>362</v>
      </c>
    </row>
    <row r="5519" spans="1:37">
      <c r="B5519" t="s">
        <v>52</v>
      </c>
      <c r="C5519" t="s">
        <v>76</v>
      </c>
      <c r="D5519" t="s">
        <v>96</v>
      </c>
      <c r="E5519" t="s">
        <v>115</v>
      </c>
      <c r="F5519" t="s">
        <v>149</v>
      </c>
      <c r="G5519" t="s">
        <v>174</v>
      </c>
      <c r="H5519" t="s">
        <v>96</v>
      </c>
      <c r="I5519" t="s">
        <v>229</v>
      </c>
      <c r="J5519" t="s">
        <v>248</v>
      </c>
      <c r="K5519" t="s">
        <v>262</v>
      </c>
      <c r="L5519" t="s">
        <v>52</v>
      </c>
      <c r="M5519" t="s">
        <v>76</v>
      </c>
      <c r="N5519" t="s">
        <v>293</v>
      </c>
      <c r="O5519" t="s">
        <v>301</v>
      </c>
      <c r="P5519" t="s">
        <v>309</v>
      </c>
      <c r="Q5519" t="s">
        <v>315</v>
      </c>
      <c r="R5519" t="s">
        <v>228</v>
      </c>
      <c r="S5519" t="s">
        <v>328</v>
      </c>
      <c r="T5519" t="s">
        <v>149</v>
      </c>
      <c r="U5519" t="s">
        <v>337</v>
      </c>
      <c r="V5519" t="s">
        <v>341</v>
      </c>
      <c r="W5519" t="s">
        <v>345</v>
      </c>
      <c r="X5519" t="s">
        <v>350</v>
      </c>
      <c r="AK5519" t="s">
        <v>362</v>
      </c>
    </row>
    <row r="5520" spans="1:37">
      <c r="B5520" t="s">
        <v>53</v>
      </c>
      <c r="C5520" t="s">
        <v>77</v>
      </c>
      <c r="D5520" t="s">
        <v>97</v>
      </c>
      <c r="E5520" t="s">
        <v>116</v>
      </c>
      <c r="F5520" t="s">
        <v>150</v>
      </c>
      <c r="G5520" t="s">
        <v>175</v>
      </c>
      <c r="H5520" t="s">
        <v>210</v>
      </c>
      <c r="I5520" t="s">
        <v>230</v>
      </c>
      <c r="J5520" t="s">
        <v>249</v>
      </c>
      <c r="K5520" t="s">
        <v>263</v>
      </c>
      <c r="L5520" t="s">
        <v>275</v>
      </c>
      <c r="M5520" t="s">
        <v>284</v>
      </c>
      <c r="N5520" t="s">
        <v>294</v>
      </c>
      <c r="O5520" t="s">
        <v>302</v>
      </c>
      <c r="P5520" t="s">
        <v>310</v>
      </c>
      <c r="Q5520" t="s">
        <v>316</v>
      </c>
      <c r="R5520" t="s">
        <v>322</v>
      </c>
      <c r="S5520" t="s">
        <v>329</v>
      </c>
      <c r="AK5520" t="s">
        <v>362</v>
      </c>
    </row>
    <row r="5521" spans="1:37">
      <c r="A5521" t="s">
        <v>39</v>
      </c>
      <c r="B5521" t="s">
        <v>54</v>
      </c>
      <c r="C5521" t="s">
        <v>54</v>
      </c>
      <c r="D5521" t="s">
        <v>54</v>
      </c>
      <c r="E5521" t="s">
        <v>54</v>
      </c>
      <c r="F5521" t="s">
        <v>54</v>
      </c>
      <c r="G5521" t="s">
        <v>54</v>
      </c>
      <c r="H5521" t="s">
        <v>54</v>
      </c>
      <c r="I5521" t="s">
        <v>54</v>
      </c>
      <c r="J5521" t="s">
        <v>54</v>
      </c>
      <c r="K5521" t="s">
        <v>54</v>
      </c>
      <c r="L5521" t="s">
        <v>54</v>
      </c>
      <c r="M5521" t="s">
        <v>54</v>
      </c>
      <c r="N5521" t="s">
        <v>54</v>
      </c>
      <c r="O5521" t="s">
        <v>54</v>
      </c>
      <c r="P5521" t="s">
        <v>54</v>
      </c>
      <c r="Q5521" t="s">
        <v>54</v>
      </c>
      <c r="R5521" t="s">
        <v>323</v>
      </c>
      <c r="S5521" t="s">
        <v>330</v>
      </c>
      <c r="AK5521" t="s">
        <v>362</v>
      </c>
    </row>
    <row r="5522" spans="1:37">
      <c r="B5522" t="s">
        <v>55</v>
      </c>
      <c r="C5522" t="s">
        <v>78</v>
      </c>
      <c r="D5522" t="s">
        <v>55</v>
      </c>
      <c r="E5522" t="s">
        <v>78</v>
      </c>
      <c r="F5522" t="s">
        <v>55</v>
      </c>
      <c r="G5522" t="s">
        <v>78</v>
      </c>
      <c r="H5522" t="s">
        <v>55</v>
      </c>
      <c r="I5522" t="s">
        <v>78</v>
      </c>
      <c r="J5522" t="s">
        <v>55</v>
      </c>
      <c r="K5522" t="s">
        <v>78</v>
      </c>
      <c r="L5522" t="s">
        <v>55</v>
      </c>
      <c r="M5522" t="s">
        <v>78</v>
      </c>
      <c r="N5522" t="s">
        <v>55</v>
      </c>
      <c r="O5522" t="s">
        <v>78</v>
      </c>
      <c r="P5522" t="s">
        <v>55</v>
      </c>
      <c r="Q5522" t="s">
        <v>78</v>
      </c>
      <c r="R5522" t="s">
        <v>55</v>
      </c>
      <c r="S5522" t="s">
        <v>78</v>
      </c>
      <c r="T5522" t="s">
        <v>55</v>
      </c>
      <c r="U5522" t="s">
        <v>78</v>
      </c>
      <c r="V5522" t="s">
        <v>55</v>
      </c>
      <c r="W5522" t="s">
        <v>78</v>
      </c>
      <c r="X5522" t="s">
        <v>55</v>
      </c>
      <c r="Y5522" t="s">
        <v>78</v>
      </c>
      <c r="Z5522" t="s">
        <v>55</v>
      </c>
      <c r="AA5522" t="s">
        <v>78</v>
      </c>
      <c r="AB5522" t="s">
        <v>55</v>
      </c>
      <c r="AC5522" t="s">
        <v>78</v>
      </c>
      <c r="AD5522" t="s">
        <v>55</v>
      </c>
      <c r="AE5522" t="s">
        <v>78</v>
      </c>
      <c r="AF5522" t="s">
        <v>55</v>
      </c>
      <c r="AG5522" t="s">
        <v>78</v>
      </c>
      <c r="AH5522" t="s">
        <v>55</v>
      </c>
      <c r="AI5522" t="s">
        <v>78</v>
      </c>
      <c r="AK5522" t="s">
        <v>362</v>
      </c>
    </row>
    <row r="5523" spans="1:37">
      <c r="B5523" t="s">
        <v>56</v>
      </c>
      <c r="C5523" t="s">
        <v>56</v>
      </c>
      <c r="D5523" t="s">
        <v>56</v>
      </c>
      <c r="E5523" t="s">
        <v>56</v>
      </c>
      <c r="F5523" t="s">
        <v>56</v>
      </c>
      <c r="G5523" t="s">
        <v>176</v>
      </c>
      <c r="H5523" t="s">
        <v>211</v>
      </c>
      <c r="I5523" t="s">
        <v>231</v>
      </c>
      <c r="J5523" t="s">
        <v>250</v>
      </c>
      <c r="K5523" t="s">
        <v>264</v>
      </c>
      <c r="L5523" t="s">
        <v>276</v>
      </c>
      <c r="M5523" t="s">
        <v>285</v>
      </c>
      <c r="N5523" t="s">
        <v>295</v>
      </c>
      <c r="O5523" t="s">
        <v>303</v>
      </c>
      <c r="P5523" t="s">
        <v>56</v>
      </c>
      <c r="Q5523" t="s">
        <v>317</v>
      </c>
      <c r="R5523" t="s">
        <v>324</v>
      </c>
      <c r="S5523" t="s">
        <v>331</v>
      </c>
      <c r="T5523" t="s">
        <v>334</v>
      </c>
      <c r="U5523" t="s">
        <v>338</v>
      </c>
      <c r="V5523" t="s">
        <v>342</v>
      </c>
      <c r="W5523" t="s">
        <v>346</v>
      </c>
      <c r="X5523" t="s">
        <v>351</v>
      </c>
      <c r="AK5523" t="s">
        <v>362</v>
      </c>
    </row>
    <row r="5524" spans="1:37">
      <c r="B5524" t="s">
        <v>57</v>
      </c>
      <c r="C5524" t="s">
        <v>79</v>
      </c>
      <c r="D5524" t="s">
        <v>98</v>
      </c>
      <c r="E5524" t="s">
        <v>117</v>
      </c>
      <c r="F5524" t="s">
        <v>151</v>
      </c>
      <c r="G5524" t="s">
        <v>177</v>
      </c>
      <c r="H5524" t="s">
        <v>212</v>
      </c>
      <c r="I5524" t="s">
        <v>232</v>
      </c>
      <c r="J5524" t="s">
        <v>251</v>
      </c>
      <c r="K5524" t="s">
        <v>265</v>
      </c>
      <c r="L5524" t="s">
        <v>277</v>
      </c>
      <c r="M5524" t="s">
        <v>286</v>
      </c>
      <c r="N5524" t="s">
        <v>296</v>
      </c>
      <c r="O5524" t="s">
        <v>304</v>
      </c>
      <c r="P5524" t="s">
        <v>311</v>
      </c>
      <c r="Q5524" t="s">
        <v>318</v>
      </c>
      <c r="R5524" t="s">
        <v>185</v>
      </c>
      <c r="S5524" t="s">
        <v>159</v>
      </c>
      <c r="T5524" t="s">
        <v>185</v>
      </c>
      <c r="U5524" t="s">
        <v>339</v>
      </c>
      <c r="V5524" t="s">
        <v>72</v>
      </c>
      <c r="W5524" t="s">
        <v>347</v>
      </c>
      <c r="X5524" t="s">
        <v>72</v>
      </c>
      <c r="Y5524" t="s">
        <v>96</v>
      </c>
      <c r="AK5524" t="s">
        <v>362</v>
      </c>
    </row>
    <row r="5525" spans="1:37">
      <c r="B5525" t="s">
        <v>58</v>
      </c>
      <c r="C5525" t="s">
        <v>80</v>
      </c>
      <c r="D5525" t="s">
        <v>99</v>
      </c>
      <c r="E5525" t="s">
        <v>118</v>
      </c>
      <c r="F5525" t="s">
        <v>152</v>
      </c>
      <c r="G5525" t="s">
        <v>178</v>
      </c>
      <c r="H5525" t="s">
        <v>213</v>
      </c>
      <c r="I5525" t="s">
        <v>233</v>
      </c>
      <c r="J5525" t="s">
        <v>252</v>
      </c>
      <c r="K5525" t="s">
        <v>266</v>
      </c>
      <c r="L5525" t="s">
        <v>278</v>
      </c>
      <c r="M5525" t="s">
        <v>287</v>
      </c>
      <c r="N5525" t="s">
        <v>297</v>
      </c>
      <c r="O5525" t="s">
        <v>305</v>
      </c>
      <c r="P5525" t="s">
        <v>312</v>
      </c>
      <c r="Q5525" t="s">
        <v>319</v>
      </c>
      <c r="R5525">
        <f>&gt;10       ветра      1.0     14   4 26</f>
        <v>0</v>
      </c>
      <c r="AK5525" t="s">
        <v>362</v>
      </c>
    </row>
    <row r="5526" spans="1:37">
      <c r="A5526" t="s">
        <v>40</v>
      </c>
      <c r="B5526" t="s">
        <v>59</v>
      </c>
      <c r="C5526" t="s">
        <v>81</v>
      </c>
      <c r="D5526" t="s">
        <v>100</v>
      </c>
      <c r="E5526" t="s">
        <v>119</v>
      </c>
      <c r="F5526" t="s">
        <v>153</v>
      </c>
      <c r="G5526" t="s">
        <v>179</v>
      </c>
      <c r="H5526" t="s">
        <v>214</v>
      </c>
      <c r="I5526" t="s">
        <v>234</v>
      </c>
      <c r="AK5526" t="s">
        <v>362</v>
      </c>
    </row>
    <row r="5527" spans="1:37">
      <c r="A5527" t="s">
        <v>40</v>
      </c>
      <c r="B5527" t="s">
        <v>60</v>
      </c>
      <c r="C5527" t="s">
        <v>82</v>
      </c>
      <c r="D5527" t="s">
        <v>101</v>
      </c>
      <c r="E5527" t="s">
        <v>120</v>
      </c>
      <c r="F5527" t="s">
        <v>154</v>
      </c>
      <c r="G5527" t="s">
        <v>180</v>
      </c>
      <c r="H5527" t="s">
        <v>215</v>
      </c>
      <c r="I5527" t="s">
        <v>235</v>
      </c>
      <c r="J5527" t="s">
        <v>253</v>
      </c>
      <c r="K5527" t="s">
        <v>267</v>
      </c>
      <c r="L5527" t="s">
        <v>279</v>
      </c>
      <c r="M5527" t="s">
        <v>288</v>
      </c>
      <c r="N5527" t="s">
        <v>100</v>
      </c>
      <c r="O5527" t="s">
        <v>306</v>
      </c>
      <c r="P5527" t="s">
        <v>313</v>
      </c>
      <c r="Q5527" t="s">
        <v>320</v>
      </c>
      <c r="R5527" t="s">
        <v>325</v>
      </c>
      <c r="S5527" t="s">
        <v>332</v>
      </c>
      <c r="T5527" t="s">
        <v>119</v>
      </c>
      <c r="U5527" t="s">
        <v>234</v>
      </c>
      <c r="V5527" t="s">
        <v>343</v>
      </c>
      <c r="W5527" t="s">
        <v>348</v>
      </c>
      <c r="X5527" t="s">
        <v>352</v>
      </c>
      <c r="Y5527" t="s">
        <v>354</v>
      </c>
      <c r="AK5527" t="s">
        <v>362</v>
      </c>
    </row>
    <row r="5528" spans="1:37">
      <c r="A5528" t="s">
        <v>41</v>
      </c>
      <c r="B5528" t="s">
        <v>61</v>
      </c>
      <c r="C5528" t="s">
        <v>83</v>
      </c>
      <c r="D5528" t="s">
        <v>102</v>
      </c>
      <c r="E5528" t="s">
        <v>121</v>
      </c>
      <c r="F5528" t="s">
        <v>155</v>
      </c>
      <c r="G5528" t="s">
        <v>181</v>
      </c>
      <c r="H5528" t="s">
        <v>216</v>
      </c>
      <c r="I5528" t="s">
        <v>236</v>
      </c>
      <c r="AK5528" t="s">
        <v>362</v>
      </c>
    </row>
    <row r="5529" spans="1:37">
      <c r="A5529" t="s">
        <v>42</v>
      </c>
      <c r="B5529" t="s">
        <v>62</v>
      </c>
      <c r="C5529" t="s">
        <v>84</v>
      </c>
      <c r="D5529" t="s">
        <v>103</v>
      </c>
      <c r="E5529" t="s">
        <v>122</v>
      </c>
      <c r="F5529" t="s">
        <v>156</v>
      </c>
      <c r="G5529" t="s">
        <v>182</v>
      </c>
      <c r="H5529" t="s">
        <v>83</v>
      </c>
      <c r="I5529" t="s">
        <v>237</v>
      </c>
      <c r="J5529" t="s">
        <v>254</v>
      </c>
      <c r="K5529" t="s">
        <v>268</v>
      </c>
      <c r="L5529" t="s">
        <v>280</v>
      </c>
      <c r="M5529" t="s">
        <v>289</v>
      </c>
      <c r="N5529" t="s">
        <v>298</v>
      </c>
      <c r="O5529" t="s">
        <v>307</v>
      </c>
      <c r="P5529" t="s">
        <v>314</v>
      </c>
      <c r="Q5529" t="s">
        <v>216</v>
      </c>
      <c r="R5529" t="s">
        <v>326</v>
      </c>
      <c r="S5529" t="s">
        <v>333</v>
      </c>
      <c r="T5529" t="s">
        <v>335</v>
      </c>
      <c r="U5529" t="s">
        <v>340</v>
      </c>
      <c r="V5529" t="s">
        <v>344</v>
      </c>
      <c r="W5529" t="s">
        <v>349</v>
      </c>
      <c r="AK5529" t="s">
        <v>362</v>
      </c>
    </row>
    <row r="5530" spans="1:37">
      <c r="A5530" t="s">
        <v>43</v>
      </c>
      <c r="B5530" t="s">
        <v>63</v>
      </c>
      <c r="C5530" t="s">
        <v>85</v>
      </c>
      <c r="D5530" t="s">
        <v>104</v>
      </c>
      <c r="E5530" t="s">
        <v>123</v>
      </c>
      <c r="F5530" t="s">
        <v>157</v>
      </c>
      <c r="G5530" t="s">
        <v>183</v>
      </c>
      <c r="AK5530" t="s">
        <v>362</v>
      </c>
    </row>
    <row r="5531" spans="1:37">
      <c r="A5531" t="s">
        <v>44</v>
      </c>
      <c r="B5531" t="s">
        <v>64</v>
      </c>
      <c r="C5531" t="s">
        <v>86</v>
      </c>
      <c r="D5531" t="s">
        <v>105</v>
      </c>
      <c r="E5531" t="s">
        <v>124</v>
      </c>
      <c r="F5531" t="s">
        <v>158</v>
      </c>
      <c r="G5531" t="s">
        <v>184</v>
      </c>
      <c r="AK5531" t="s">
        <v>362</v>
      </c>
    </row>
    <row r="5532" spans="1:37">
      <c r="A5532" t="s">
        <v>45</v>
      </c>
      <c r="B5532" t="s">
        <v>65</v>
      </c>
      <c r="C5532" t="s">
        <v>87</v>
      </c>
      <c r="D5532" t="s">
        <v>106</v>
      </c>
      <c r="E5532" t="s">
        <v>125</v>
      </c>
      <c r="F5532" t="s">
        <v>159</v>
      </c>
      <c r="G5532" t="s">
        <v>185</v>
      </c>
      <c r="H5532" t="s">
        <v>159</v>
      </c>
      <c r="I5532" t="s">
        <v>185</v>
      </c>
      <c r="J5532" t="s">
        <v>255</v>
      </c>
      <c r="AK5532" t="s">
        <v>362</v>
      </c>
    </row>
    <row r="5533" spans="1:37">
      <c r="A5533" t="s">
        <v>46</v>
      </c>
      <c r="B5533" t="s">
        <v>66</v>
      </c>
      <c r="C5533" t="s">
        <v>88</v>
      </c>
      <c r="D5533" t="s">
        <v>76</v>
      </c>
      <c r="E5533" t="s">
        <v>126</v>
      </c>
      <c r="F5533" t="s">
        <v>160</v>
      </c>
      <c r="G5533" t="s">
        <v>186</v>
      </c>
      <c r="H5533" t="s">
        <v>217</v>
      </c>
      <c r="I5533" t="s">
        <v>238</v>
      </c>
      <c r="J5533" t="s">
        <v>256</v>
      </c>
      <c r="K5533" t="s">
        <v>265</v>
      </c>
      <c r="L5533" t="s">
        <v>281</v>
      </c>
      <c r="M5533" t="s">
        <v>290</v>
      </c>
      <c r="N5533" t="s">
        <v>299</v>
      </c>
      <c r="O5533" t="s">
        <v>308</v>
      </c>
      <c r="P5533" t="s">
        <v>228</v>
      </c>
      <c r="Q5533" t="s">
        <v>72</v>
      </c>
      <c r="R5533" t="s">
        <v>327</v>
      </c>
      <c r="S5533" t="s">
        <v>327</v>
      </c>
      <c r="T5533" t="s">
        <v>336</v>
      </c>
      <c r="U5533" t="s">
        <v>336</v>
      </c>
      <c r="V5533" t="s">
        <v>336</v>
      </c>
      <c r="W5533" t="s">
        <v>336</v>
      </c>
      <c r="X5533" t="s">
        <v>353</v>
      </c>
      <c r="AK5533" t="s">
        <v>362</v>
      </c>
    </row>
    <row r="5534" spans="1:37">
      <c r="B5534" t="s">
        <v>67</v>
      </c>
      <c r="C5534" t="s">
        <v>89</v>
      </c>
      <c r="D5534" t="s">
        <v>107</v>
      </c>
      <c r="AK5534" t="s">
        <v>362</v>
      </c>
    </row>
    <row r="5535" spans="1:37">
      <c r="B5535" t="s">
        <v>68</v>
      </c>
      <c r="C5535" t="s">
        <v>90</v>
      </c>
      <c r="D5535" t="s">
        <v>108</v>
      </c>
      <c r="AK5535" t="s">
        <v>362</v>
      </c>
    </row>
    <row r="5536" spans="1:37">
      <c r="A5536" t="s">
        <v>47</v>
      </c>
      <c r="B5536" t="s">
        <v>69</v>
      </c>
      <c r="C5536" t="s">
        <v>91</v>
      </c>
      <c r="D5536" t="s">
        <v>109</v>
      </c>
      <c r="E5536" t="s">
        <v>109</v>
      </c>
      <c r="F5536" t="s">
        <v>109</v>
      </c>
      <c r="G5536" t="s">
        <v>109</v>
      </c>
      <c r="H5536" t="s">
        <v>109</v>
      </c>
      <c r="I5536" t="s">
        <v>239</v>
      </c>
      <c r="AK5536" t="s">
        <v>362</v>
      </c>
    </row>
    <row r="5537" spans="1:37">
      <c r="B5537" t="s">
        <v>70</v>
      </c>
      <c r="C5537" t="s">
        <v>92</v>
      </c>
      <c r="D5537" t="s">
        <v>110</v>
      </c>
      <c r="E5537" t="s">
        <v>127</v>
      </c>
      <c r="F5537" t="s">
        <v>161</v>
      </c>
      <c r="G5537" t="s">
        <v>187</v>
      </c>
      <c r="H5537" t="s">
        <v>218</v>
      </c>
      <c r="AK5537" t="s">
        <v>362</v>
      </c>
    </row>
    <row r="5538" spans="1:37">
      <c r="B5538" t="s">
        <v>71</v>
      </c>
      <c r="C5538" t="s">
        <v>93</v>
      </c>
      <c r="D5538" t="s">
        <v>111</v>
      </c>
      <c r="E5538" t="s">
        <v>128</v>
      </c>
      <c r="F5538" t="s">
        <v>162</v>
      </c>
      <c r="G5538" t="s">
        <v>188</v>
      </c>
      <c r="H5538" t="s">
        <v>219</v>
      </c>
      <c r="I5538" t="s">
        <v>240</v>
      </c>
      <c r="J5538" t="s">
        <v>257</v>
      </c>
      <c r="K5538" t="s">
        <v>269</v>
      </c>
      <c r="L5538" t="s">
        <v>109</v>
      </c>
      <c r="M5538" t="s">
        <v>109</v>
      </c>
      <c r="N5538" t="s">
        <v>109</v>
      </c>
      <c r="O5538" t="s">
        <v>109</v>
      </c>
      <c r="P5538" t="s">
        <v>109</v>
      </c>
      <c r="Q5538" t="s">
        <v>321</v>
      </c>
      <c r="AK5538" t="s">
        <v>362</v>
      </c>
    </row>
    <row r="5539" spans="1:37">
      <c r="A5539" t="s">
        <v>48</v>
      </c>
      <c r="B5539" t="s">
        <v>71</v>
      </c>
      <c r="C5539" t="s">
        <v>93</v>
      </c>
      <c r="D5539" t="s">
        <v>111</v>
      </c>
      <c r="E5539" t="s">
        <v>128</v>
      </c>
      <c r="F5539" t="s">
        <v>163</v>
      </c>
      <c r="G5539" t="s">
        <v>189</v>
      </c>
      <c r="H5539" t="s">
        <v>220</v>
      </c>
      <c r="I5539" t="s">
        <v>241</v>
      </c>
      <c r="J5539" t="s">
        <v>258</v>
      </c>
      <c r="K5539" t="s">
        <v>270</v>
      </c>
      <c r="AK5539" t="s">
        <v>362</v>
      </c>
    </row>
    <row r="5540" spans="1:37">
      <c r="B5540" t="s">
        <v>72</v>
      </c>
      <c r="C5540" t="s">
        <v>72</v>
      </c>
      <c r="D5540" t="s">
        <v>72</v>
      </c>
      <c r="E5540" t="s">
        <v>72</v>
      </c>
      <c r="F5540" t="s">
        <v>72</v>
      </c>
      <c r="G5540" t="s">
        <v>72</v>
      </c>
      <c r="H5540" t="s">
        <v>72</v>
      </c>
      <c r="I5540" t="s">
        <v>72</v>
      </c>
      <c r="J5540" t="s">
        <v>72</v>
      </c>
      <c r="K5540" t="s">
        <v>272</v>
      </c>
      <c r="AK5540" t="s">
        <v>362</v>
      </c>
    </row>
    <row r="5541" spans="1:37">
      <c r="A5541" t="s">
        <v>37</v>
      </c>
      <c r="B5541" t="s">
        <v>49</v>
      </c>
      <c r="C5541" t="s">
        <v>73</v>
      </c>
      <c r="D5541" t="s">
        <v>94</v>
      </c>
      <c r="E5541" t="s">
        <v>112</v>
      </c>
      <c r="F5541" t="s">
        <v>146</v>
      </c>
      <c r="G5541" t="s">
        <v>172</v>
      </c>
      <c r="H5541" t="s">
        <v>207</v>
      </c>
      <c r="I5541" t="s">
        <v>226</v>
      </c>
      <c r="J5541" t="s">
        <v>246</v>
      </c>
      <c r="K5541" t="s">
        <v>259</v>
      </c>
      <c r="AK5541" t="s">
        <v>362</v>
      </c>
    </row>
    <row r="5542" spans="1:37">
      <c r="A5542" t="s">
        <v>38</v>
      </c>
      <c r="B5542" t="s">
        <v>50</v>
      </c>
      <c r="C5542" t="s">
        <v>74</v>
      </c>
      <c r="D5542" t="s">
        <v>95</v>
      </c>
      <c r="E5542" t="s">
        <v>113</v>
      </c>
      <c r="F5542" t="s">
        <v>147</v>
      </c>
      <c r="G5542" t="s">
        <v>173</v>
      </c>
      <c r="H5542" t="s">
        <v>208</v>
      </c>
      <c r="I5542" t="s">
        <v>227</v>
      </c>
      <c r="J5542" t="s">
        <v>115</v>
      </c>
      <c r="K5542" t="s">
        <v>260</v>
      </c>
      <c r="L5542" t="s">
        <v>273</v>
      </c>
      <c r="M5542" t="s">
        <v>282</v>
      </c>
      <c r="N5542" t="s">
        <v>291</v>
      </c>
      <c r="AK5542" t="s">
        <v>362</v>
      </c>
    </row>
    <row r="5543" spans="1:37">
      <c r="B5543" t="s">
        <v>51</v>
      </c>
      <c r="C5543" t="s">
        <v>75</v>
      </c>
      <c r="D5543" t="s">
        <v>52</v>
      </c>
      <c r="E5543" t="s">
        <v>114</v>
      </c>
      <c r="F5543" t="s">
        <v>148</v>
      </c>
      <c r="G5543" t="s">
        <v>148</v>
      </c>
      <c r="H5543" t="s">
        <v>209</v>
      </c>
      <c r="I5543" t="s">
        <v>228</v>
      </c>
      <c r="J5543" t="s">
        <v>247</v>
      </c>
      <c r="K5543" t="s">
        <v>261</v>
      </c>
      <c r="L5543" t="s">
        <v>274</v>
      </c>
      <c r="M5543" t="s">
        <v>283</v>
      </c>
      <c r="N5543" t="s">
        <v>292</v>
      </c>
      <c r="O5543" t="s">
        <v>300</v>
      </c>
      <c r="AK5543" t="s">
        <v>362</v>
      </c>
    </row>
    <row r="5544" spans="1:37">
      <c r="B5544" t="s">
        <v>52</v>
      </c>
      <c r="C5544" t="s">
        <v>76</v>
      </c>
      <c r="D5544" t="s">
        <v>96</v>
      </c>
      <c r="E5544" t="s">
        <v>115</v>
      </c>
      <c r="F5544" t="s">
        <v>149</v>
      </c>
      <c r="G5544" t="s">
        <v>174</v>
      </c>
      <c r="H5544" t="s">
        <v>96</v>
      </c>
      <c r="I5544" t="s">
        <v>229</v>
      </c>
      <c r="J5544" t="s">
        <v>248</v>
      </c>
      <c r="K5544" t="s">
        <v>262</v>
      </c>
      <c r="L5544" t="s">
        <v>52</v>
      </c>
      <c r="M5544" t="s">
        <v>76</v>
      </c>
      <c r="N5544" t="s">
        <v>293</v>
      </c>
      <c r="O5544" t="s">
        <v>301</v>
      </c>
      <c r="P5544" t="s">
        <v>309</v>
      </c>
      <c r="Q5544" t="s">
        <v>315</v>
      </c>
      <c r="R5544" t="s">
        <v>228</v>
      </c>
      <c r="S5544" t="s">
        <v>328</v>
      </c>
      <c r="T5544" t="s">
        <v>149</v>
      </c>
      <c r="U5544" t="s">
        <v>337</v>
      </c>
      <c r="V5544" t="s">
        <v>341</v>
      </c>
      <c r="W5544" t="s">
        <v>345</v>
      </c>
      <c r="X5544" t="s">
        <v>350</v>
      </c>
      <c r="AK5544" t="s">
        <v>362</v>
      </c>
    </row>
    <row r="5545" spans="1:37">
      <c r="B5545" t="s">
        <v>53</v>
      </c>
      <c r="C5545" t="s">
        <v>77</v>
      </c>
      <c r="D5545" t="s">
        <v>97</v>
      </c>
      <c r="E5545" t="s">
        <v>116</v>
      </c>
      <c r="F5545" t="s">
        <v>150</v>
      </c>
      <c r="G5545" t="s">
        <v>175</v>
      </c>
      <c r="H5545" t="s">
        <v>210</v>
      </c>
      <c r="I5545" t="s">
        <v>230</v>
      </c>
      <c r="J5545" t="s">
        <v>249</v>
      </c>
      <c r="K5545" t="s">
        <v>263</v>
      </c>
      <c r="L5545" t="s">
        <v>275</v>
      </c>
      <c r="M5545" t="s">
        <v>284</v>
      </c>
      <c r="N5545" t="s">
        <v>294</v>
      </c>
      <c r="O5545" t="s">
        <v>302</v>
      </c>
      <c r="P5545" t="s">
        <v>310</v>
      </c>
      <c r="Q5545" t="s">
        <v>316</v>
      </c>
      <c r="R5545" t="s">
        <v>322</v>
      </c>
      <c r="S5545" t="s">
        <v>329</v>
      </c>
      <c r="AK5545" t="s">
        <v>362</v>
      </c>
    </row>
    <row r="5546" spans="1:37">
      <c r="A5546" t="s">
        <v>39</v>
      </c>
      <c r="B5546" t="s">
        <v>54</v>
      </c>
      <c r="C5546" t="s">
        <v>54</v>
      </c>
      <c r="D5546" t="s">
        <v>54</v>
      </c>
      <c r="E5546" t="s">
        <v>54</v>
      </c>
      <c r="F5546" t="s">
        <v>54</v>
      </c>
      <c r="G5546" t="s">
        <v>54</v>
      </c>
      <c r="H5546" t="s">
        <v>54</v>
      </c>
      <c r="I5546" t="s">
        <v>54</v>
      </c>
      <c r="J5546" t="s">
        <v>54</v>
      </c>
      <c r="K5546" t="s">
        <v>54</v>
      </c>
      <c r="L5546" t="s">
        <v>54</v>
      </c>
      <c r="M5546" t="s">
        <v>54</v>
      </c>
      <c r="N5546" t="s">
        <v>54</v>
      </c>
      <c r="O5546" t="s">
        <v>54</v>
      </c>
      <c r="P5546" t="s">
        <v>54</v>
      </c>
      <c r="Q5546" t="s">
        <v>54</v>
      </c>
      <c r="R5546" t="s">
        <v>323</v>
      </c>
      <c r="S5546" t="s">
        <v>330</v>
      </c>
      <c r="AK5546" t="s">
        <v>362</v>
      </c>
    </row>
    <row r="5547" spans="1:37">
      <c r="B5547" t="s">
        <v>55</v>
      </c>
      <c r="C5547" t="s">
        <v>78</v>
      </c>
      <c r="D5547" t="s">
        <v>55</v>
      </c>
      <c r="E5547" t="s">
        <v>78</v>
      </c>
      <c r="F5547" t="s">
        <v>55</v>
      </c>
      <c r="G5547" t="s">
        <v>78</v>
      </c>
      <c r="H5547" t="s">
        <v>55</v>
      </c>
      <c r="I5547" t="s">
        <v>78</v>
      </c>
      <c r="J5547" t="s">
        <v>55</v>
      </c>
      <c r="K5547" t="s">
        <v>78</v>
      </c>
      <c r="L5547" t="s">
        <v>55</v>
      </c>
      <c r="M5547" t="s">
        <v>78</v>
      </c>
      <c r="N5547" t="s">
        <v>55</v>
      </c>
      <c r="O5547" t="s">
        <v>78</v>
      </c>
      <c r="P5547" t="s">
        <v>55</v>
      </c>
      <c r="Q5547" t="s">
        <v>78</v>
      </c>
      <c r="R5547" t="s">
        <v>55</v>
      </c>
      <c r="S5547" t="s">
        <v>78</v>
      </c>
      <c r="T5547" t="s">
        <v>55</v>
      </c>
      <c r="U5547" t="s">
        <v>78</v>
      </c>
      <c r="V5547" t="s">
        <v>55</v>
      </c>
      <c r="W5547" t="s">
        <v>78</v>
      </c>
      <c r="X5547" t="s">
        <v>55</v>
      </c>
      <c r="Y5547" t="s">
        <v>78</v>
      </c>
      <c r="Z5547" t="s">
        <v>55</v>
      </c>
      <c r="AA5547" t="s">
        <v>78</v>
      </c>
      <c r="AB5547" t="s">
        <v>55</v>
      </c>
      <c r="AC5547" t="s">
        <v>78</v>
      </c>
      <c r="AD5547" t="s">
        <v>55</v>
      </c>
      <c r="AE5547" t="s">
        <v>78</v>
      </c>
      <c r="AF5547" t="s">
        <v>55</v>
      </c>
      <c r="AG5547" t="s">
        <v>78</v>
      </c>
      <c r="AH5547" t="s">
        <v>55</v>
      </c>
      <c r="AI5547" t="s">
        <v>78</v>
      </c>
      <c r="AK5547" t="s">
        <v>362</v>
      </c>
    </row>
    <row r="5548" spans="1:37">
      <c r="B5548" t="s">
        <v>56</v>
      </c>
      <c r="C5548" t="s">
        <v>56</v>
      </c>
      <c r="D5548" t="s">
        <v>56</v>
      </c>
      <c r="E5548" t="s">
        <v>56</v>
      </c>
      <c r="F5548" t="s">
        <v>56</v>
      </c>
      <c r="G5548" t="s">
        <v>176</v>
      </c>
      <c r="H5548" t="s">
        <v>211</v>
      </c>
      <c r="I5548" t="s">
        <v>231</v>
      </c>
      <c r="J5548" t="s">
        <v>250</v>
      </c>
      <c r="K5548" t="s">
        <v>264</v>
      </c>
      <c r="L5548" t="s">
        <v>276</v>
      </c>
      <c r="M5548" t="s">
        <v>285</v>
      </c>
      <c r="N5548" t="s">
        <v>295</v>
      </c>
      <c r="O5548" t="s">
        <v>303</v>
      </c>
      <c r="P5548" t="s">
        <v>56</v>
      </c>
      <c r="Q5548" t="s">
        <v>317</v>
      </c>
      <c r="R5548" t="s">
        <v>324</v>
      </c>
      <c r="S5548" t="s">
        <v>331</v>
      </c>
      <c r="T5548" t="s">
        <v>334</v>
      </c>
      <c r="U5548" t="s">
        <v>338</v>
      </c>
      <c r="V5548" t="s">
        <v>342</v>
      </c>
      <c r="W5548" t="s">
        <v>346</v>
      </c>
      <c r="X5548" t="s">
        <v>351</v>
      </c>
      <c r="AK5548" t="s">
        <v>362</v>
      </c>
    </row>
    <row r="5549" spans="1:37">
      <c r="B5549" t="s">
        <v>57</v>
      </c>
      <c r="C5549" t="s">
        <v>79</v>
      </c>
      <c r="D5549" t="s">
        <v>98</v>
      </c>
      <c r="E5549" t="s">
        <v>117</v>
      </c>
      <c r="F5549" t="s">
        <v>151</v>
      </c>
      <c r="G5549" t="s">
        <v>177</v>
      </c>
      <c r="H5549" t="s">
        <v>212</v>
      </c>
      <c r="I5549" t="s">
        <v>232</v>
      </c>
      <c r="J5549" t="s">
        <v>251</v>
      </c>
      <c r="K5549" t="s">
        <v>265</v>
      </c>
      <c r="L5549" t="s">
        <v>277</v>
      </c>
      <c r="M5549" t="s">
        <v>286</v>
      </c>
      <c r="N5549" t="s">
        <v>296</v>
      </c>
      <c r="O5549" t="s">
        <v>304</v>
      </c>
      <c r="P5549" t="s">
        <v>311</v>
      </c>
      <c r="Q5549" t="s">
        <v>318</v>
      </c>
      <c r="R5549" t="s">
        <v>185</v>
      </c>
      <c r="S5549" t="s">
        <v>159</v>
      </c>
      <c r="T5549" t="s">
        <v>185</v>
      </c>
      <c r="U5549" t="s">
        <v>339</v>
      </c>
      <c r="V5549" t="s">
        <v>72</v>
      </c>
      <c r="W5549" t="s">
        <v>347</v>
      </c>
      <c r="X5549" t="s">
        <v>72</v>
      </c>
      <c r="Y5549" t="s">
        <v>96</v>
      </c>
      <c r="AK5549" t="s">
        <v>362</v>
      </c>
    </row>
    <row r="5550" spans="1:37">
      <c r="B5550" t="s">
        <v>58</v>
      </c>
      <c r="C5550" t="s">
        <v>80</v>
      </c>
      <c r="D5550" t="s">
        <v>99</v>
      </c>
      <c r="E5550" t="s">
        <v>118</v>
      </c>
      <c r="F5550" t="s">
        <v>152</v>
      </c>
      <c r="G5550" t="s">
        <v>178</v>
      </c>
      <c r="H5550" t="s">
        <v>213</v>
      </c>
      <c r="I5550" t="s">
        <v>233</v>
      </c>
      <c r="J5550" t="s">
        <v>252</v>
      </c>
      <c r="K5550" t="s">
        <v>266</v>
      </c>
      <c r="L5550" t="s">
        <v>278</v>
      </c>
      <c r="M5550" t="s">
        <v>287</v>
      </c>
      <c r="N5550" t="s">
        <v>297</v>
      </c>
      <c r="O5550" t="s">
        <v>305</v>
      </c>
      <c r="P5550" t="s">
        <v>312</v>
      </c>
      <c r="Q5550" t="s">
        <v>319</v>
      </c>
      <c r="R5550">
        <f>&gt;10       ветра      1.4     15   4 10</f>
        <v>0</v>
      </c>
      <c r="AK5550" t="s">
        <v>362</v>
      </c>
    </row>
    <row r="5551" spans="1:37">
      <c r="A5551" t="s">
        <v>40</v>
      </c>
      <c r="B5551" t="s">
        <v>59</v>
      </c>
      <c r="C5551" t="s">
        <v>81</v>
      </c>
      <c r="D5551" t="s">
        <v>100</v>
      </c>
      <c r="E5551" t="s">
        <v>119</v>
      </c>
      <c r="F5551" t="s">
        <v>153</v>
      </c>
      <c r="G5551" t="s">
        <v>179</v>
      </c>
      <c r="H5551" t="s">
        <v>214</v>
      </c>
      <c r="I5551" t="s">
        <v>234</v>
      </c>
      <c r="AK5551" t="s">
        <v>362</v>
      </c>
    </row>
    <row r="5552" spans="1:37">
      <c r="A5552" t="s">
        <v>40</v>
      </c>
      <c r="B5552" t="s">
        <v>60</v>
      </c>
      <c r="C5552" t="s">
        <v>82</v>
      </c>
      <c r="D5552" t="s">
        <v>101</v>
      </c>
      <c r="E5552" t="s">
        <v>120</v>
      </c>
      <c r="F5552" t="s">
        <v>154</v>
      </c>
      <c r="G5552" t="s">
        <v>180</v>
      </c>
      <c r="H5552" t="s">
        <v>215</v>
      </c>
      <c r="I5552" t="s">
        <v>235</v>
      </c>
      <c r="J5552" t="s">
        <v>253</v>
      </c>
      <c r="K5552" t="s">
        <v>267</v>
      </c>
      <c r="L5552" t="s">
        <v>279</v>
      </c>
      <c r="M5552" t="s">
        <v>288</v>
      </c>
      <c r="N5552" t="s">
        <v>100</v>
      </c>
      <c r="O5552" t="s">
        <v>306</v>
      </c>
      <c r="P5552" t="s">
        <v>313</v>
      </c>
      <c r="Q5552" t="s">
        <v>320</v>
      </c>
      <c r="R5552" t="s">
        <v>325</v>
      </c>
      <c r="S5552" t="s">
        <v>332</v>
      </c>
      <c r="T5552" t="s">
        <v>119</v>
      </c>
      <c r="U5552" t="s">
        <v>234</v>
      </c>
      <c r="V5552" t="s">
        <v>343</v>
      </c>
      <c r="W5552" t="s">
        <v>348</v>
      </c>
      <c r="X5552" t="s">
        <v>352</v>
      </c>
      <c r="Y5552" t="s">
        <v>354</v>
      </c>
      <c r="AK5552" t="s">
        <v>362</v>
      </c>
    </row>
    <row r="5553" spans="1:37">
      <c r="A5553" t="s">
        <v>41</v>
      </c>
      <c r="B5553" t="s">
        <v>61</v>
      </c>
      <c r="C5553" t="s">
        <v>83</v>
      </c>
      <c r="D5553" t="s">
        <v>102</v>
      </c>
      <c r="E5553" t="s">
        <v>121</v>
      </c>
      <c r="F5553" t="s">
        <v>155</v>
      </c>
      <c r="G5553" t="s">
        <v>181</v>
      </c>
      <c r="H5553" t="s">
        <v>216</v>
      </c>
      <c r="I5553" t="s">
        <v>236</v>
      </c>
      <c r="AK5553" t="s">
        <v>362</v>
      </c>
    </row>
    <row r="5554" spans="1:37">
      <c r="A5554" t="s">
        <v>42</v>
      </c>
      <c r="B5554" t="s">
        <v>62</v>
      </c>
      <c r="C5554" t="s">
        <v>84</v>
      </c>
      <c r="D5554" t="s">
        <v>103</v>
      </c>
      <c r="E5554" t="s">
        <v>122</v>
      </c>
      <c r="F5554" t="s">
        <v>156</v>
      </c>
      <c r="G5554" t="s">
        <v>182</v>
      </c>
      <c r="H5554" t="s">
        <v>83</v>
      </c>
      <c r="I5554" t="s">
        <v>237</v>
      </c>
      <c r="J5554" t="s">
        <v>254</v>
      </c>
      <c r="K5554" t="s">
        <v>268</v>
      </c>
      <c r="L5554" t="s">
        <v>280</v>
      </c>
      <c r="M5554" t="s">
        <v>289</v>
      </c>
      <c r="N5554" t="s">
        <v>298</v>
      </c>
      <c r="O5554" t="s">
        <v>307</v>
      </c>
      <c r="P5554" t="s">
        <v>314</v>
      </c>
      <c r="Q5554" t="s">
        <v>216</v>
      </c>
      <c r="R5554" t="s">
        <v>326</v>
      </c>
      <c r="S5554" t="s">
        <v>333</v>
      </c>
      <c r="T5554" t="s">
        <v>335</v>
      </c>
      <c r="U5554" t="s">
        <v>340</v>
      </c>
      <c r="V5554" t="s">
        <v>344</v>
      </c>
      <c r="W5554" t="s">
        <v>349</v>
      </c>
      <c r="AK5554" t="s">
        <v>362</v>
      </c>
    </row>
    <row r="5555" spans="1:37">
      <c r="A5555" t="s">
        <v>43</v>
      </c>
      <c r="B5555" t="s">
        <v>63</v>
      </c>
      <c r="C5555" t="s">
        <v>85</v>
      </c>
      <c r="D5555" t="s">
        <v>104</v>
      </c>
      <c r="E5555" t="s">
        <v>123</v>
      </c>
      <c r="F5555" t="s">
        <v>157</v>
      </c>
      <c r="G5555" t="s">
        <v>183</v>
      </c>
      <c r="AK5555" t="s">
        <v>362</v>
      </c>
    </row>
    <row r="5556" spans="1:37">
      <c r="A5556" t="s">
        <v>44</v>
      </c>
      <c r="B5556" t="s">
        <v>64</v>
      </c>
      <c r="C5556" t="s">
        <v>86</v>
      </c>
      <c r="D5556" t="s">
        <v>105</v>
      </c>
      <c r="E5556" t="s">
        <v>124</v>
      </c>
      <c r="F5556" t="s">
        <v>158</v>
      </c>
      <c r="G5556" t="s">
        <v>184</v>
      </c>
      <c r="AK5556" t="s">
        <v>362</v>
      </c>
    </row>
    <row r="5557" spans="1:37">
      <c r="A5557" t="s">
        <v>45</v>
      </c>
      <c r="B5557" t="s">
        <v>65</v>
      </c>
      <c r="C5557" t="s">
        <v>87</v>
      </c>
      <c r="D5557" t="s">
        <v>106</v>
      </c>
      <c r="E5557" t="s">
        <v>125</v>
      </c>
      <c r="F5557" t="s">
        <v>159</v>
      </c>
      <c r="G5557" t="s">
        <v>185</v>
      </c>
      <c r="H5557" t="s">
        <v>159</v>
      </c>
      <c r="I5557" t="s">
        <v>185</v>
      </c>
      <c r="J5557" t="s">
        <v>255</v>
      </c>
      <c r="AK5557" t="s">
        <v>362</v>
      </c>
    </row>
    <row r="5558" spans="1:37">
      <c r="A5558" t="s">
        <v>46</v>
      </c>
      <c r="B5558" t="s">
        <v>66</v>
      </c>
      <c r="C5558" t="s">
        <v>88</v>
      </c>
      <c r="D5558" t="s">
        <v>76</v>
      </c>
      <c r="E5558" t="s">
        <v>126</v>
      </c>
      <c r="F5558" t="s">
        <v>160</v>
      </c>
      <c r="G5558" t="s">
        <v>186</v>
      </c>
      <c r="H5558" t="s">
        <v>217</v>
      </c>
      <c r="I5558" t="s">
        <v>238</v>
      </c>
      <c r="J5558" t="s">
        <v>256</v>
      </c>
      <c r="K5558" t="s">
        <v>265</v>
      </c>
      <c r="L5558" t="s">
        <v>281</v>
      </c>
      <c r="M5558" t="s">
        <v>290</v>
      </c>
      <c r="N5558" t="s">
        <v>299</v>
      </c>
      <c r="O5558" t="s">
        <v>308</v>
      </c>
      <c r="P5558" t="s">
        <v>228</v>
      </c>
      <c r="Q5558" t="s">
        <v>72</v>
      </c>
      <c r="R5558" t="s">
        <v>327</v>
      </c>
      <c r="S5558" t="s">
        <v>327</v>
      </c>
      <c r="T5558" t="s">
        <v>336</v>
      </c>
      <c r="U5558" t="s">
        <v>336</v>
      </c>
      <c r="V5558" t="s">
        <v>336</v>
      </c>
      <c r="W5558" t="s">
        <v>336</v>
      </c>
      <c r="X5558" t="s">
        <v>353</v>
      </c>
      <c r="AK5558" t="s">
        <v>362</v>
      </c>
    </row>
    <row r="5559" spans="1:37">
      <c r="B5559" t="s">
        <v>67</v>
      </c>
      <c r="C5559" t="s">
        <v>89</v>
      </c>
      <c r="D5559" t="s">
        <v>107</v>
      </c>
      <c r="AK5559" t="s">
        <v>362</v>
      </c>
    </row>
    <row r="5560" spans="1:37">
      <c r="B5560" t="s">
        <v>68</v>
      </c>
      <c r="C5560" t="s">
        <v>90</v>
      </c>
      <c r="D5560" t="s">
        <v>108</v>
      </c>
      <c r="AK5560" t="s">
        <v>362</v>
      </c>
    </row>
    <row r="5561" spans="1:37">
      <c r="A5561" t="s">
        <v>47</v>
      </c>
      <c r="B5561" t="s">
        <v>69</v>
      </c>
      <c r="C5561" t="s">
        <v>91</v>
      </c>
      <c r="D5561" t="s">
        <v>109</v>
      </c>
      <c r="E5561" t="s">
        <v>109</v>
      </c>
      <c r="F5561" t="s">
        <v>109</v>
      </c>
      <c r="G5561" t="s">
        <v>109</v>
      </c>
      <c r="H5561" t="s">
        <v>109</v>
      </c>
      <c r="I5561" t="s">
        <v>239</v>
      </c>
      <c r="AK5561" t="s">
        <v>362</v>
      </c>
    </row>
    <row r="5562" spans="1:37">
      <c r="B5562" t="s">
        <v>70</v>
      </c>
      <c r="C5562" t="s">
        <v>92</v>
      </c>
      <c r="D5562" t="s">
        <v>110</v>
      </c>
      <c r="E5562" t="s">
        <v>127</v>
      </c>
      <c r="F5562" t="s">
        <v>161</v>
      </c>
      <c r="G5562" t="s">
        <v>187</v>
      </c>
      <c r="H5562" t="s">
        <v>218</v>
      </c>
      <c r="AK5562" t="s">
        <v>362</v>
      </c>
    </row>
    <row r="5563" spans="1:37">
      <c r="B5563" t="s">
        <v>71</v>
      </c>
      <c r="C5563" t="s">
        <v>93</v>
      </c>
      <c r="D5563" t="s">
        <v>111</v>
      </c>
      <c r="E5563" t="s">
        <v>128</v>
      </c>
      <c r="F5563" t="s">
        <v>162</v>
      </c>
      <c r="G5563" t="s">
        <v>188</v>
      </c>
      <c r="H5563" t="s">
        <v>219</v>
      </c>
      <c r="I5563" t="s">
        <v>240</v>
      </c>
      <c r="J5563" t="s">
        <v>257</v>
      </c>
      <c r="K5563" t="s">
        <v>269</v>
      </c>
      <c r="L5563" t="s">
        <v>109</v>
      </c>
      <c r="M5563" t="s">
        <v>109</v>
      </c>
      <c r="N5563" t="s">
        <v>109</v>
      </c>
      <c r="O5563" t="s">
        <v>109</v>
      </c>
      <c r="P5563" t="s">
        <v>109</v>
      </c>
      <c r="Q5563" t="s">
        <v>321</v>
      </c>
      <c r="AK5563" t="s">
        <v>362</v>
      </c>
    </row>
    <row r="5564" spans="1:37">
      <c r="A5564" t="s">
        <v>48</v>
      </c>
      <c r="B5564" t="s">
        <v>71</v>
      </c>
      <c r="C5564" t="s">
        <v>93</v>
      </c>
      <c r="D5564" t="s">
        <v>111</v>
      </c>
      <c r="E5564" t="s">
        <v>128</v>
      </c>
      <c r="F5564" t="s">
        <v>163</v>
      </c>
      <c r="G5564" t="s">
        <v>189</v>
      </c>
      <c r="H5564" t="s">
        <v>220</v>
      </c>
      <c r="I5564" t="s">
        <v>241</v>
      </c>
      <c r="J5564" t="s">
        <v>258</v>
      </c>
      <c r="K5564" t="s">
        <v>270</v>
      </c>
      <c r="AK5564" t="s">
        <v>362</v>
      </c>
    </row>
    <row r="5565" spans="1:37">
      <c r="B5565" t="s">
        <v>72</v>
      </c>
      <c r="C5565" t="s">
        <v>72</v>
      </c>
      <c r="D5565" t="s">
        <v>72</v>
      </c>
      <c r="E5565" t="s">
        <v>139</v>
      </c>
      <c r="F5565" t="s">
        <v>139</v>
      </c>
      <c r="G5565" t="s">
        <v>192</v>
      </c>
      <c r="H5565" t="s">
        <v>192</v>
      </c>
      <c r="I5565" t="s">
        <v>192</v>
      </c>
      <c r="J5565" t="s">
        <v>192</v>
      </c>
      <c r="K5565" t="s">
        <v>271</v>
      </c>
      <c r="AK5565" t="s">
        <v>362</v>
      </c>
    </row>
    <row r="5566" spans="1:37">
      <c r="A5566" t="s">
        <v>37</v>
      </c>
      <c r="B5566" t="s">
        <v>49</v>
      </c>
      <c r="C5566" t="s">
        <v>73</v>
      </c>
      <c r="D5566" t="s">
        <v>94</v>
      </c>
      <c r="E5566" t="s">
        <v>112</v>
      </c>
      <c r="F5566" t="s">
        <v>146</v>
      </c>
      <c r="G5566" t="s">
        <v>172</v>
      </c>
      <c r="H5566" t="s">
        <v>207</v>
      </c>
      <c r="I5566" t="s">
        <v>226</v>
      </c>
      <c r="J5566" t="s">
        <v>246</v>
      </c>
      <c r="K5566" t="s">
        <v>259</v>
      </c>
      <c r="AK5566" t="s">
        <v>362</v>
      </c>
    </row>
    <row r="5567" spans="1:37">
      <c r="A5567" t="s">
        <v>38</v>
      </c>
      <c r="B5567" t="s">
        <v>50</v>
      </c>
      <c r="C5567" t="s">
        <v>74</v>
      </c>
      <c r="D5567" t="s">
        <v>95</v>
      </c>
      <c r="E5567" t="s">
        <v>113</v>
      </c>
      <c r="F5567" t="s">
        <v>147</v>
      </c>
      <c r="G5567" t="s">
        <v>173</v>
      </c>
      <c r="H5567" t="s">
        <v>208</v>
      </c>
      <c r="I5567" t="s">
        <v>227</v>
      </c>
      <c r="J5567" t="s">
        <v>115</v>
      </c>
      <c r="K5567" t="s">
        <v>260</v>
      </c>
      <c r="L5567" t="s">
        <v>273</v>
      </c>
      <c r="M5567" t="s">
        <v>282</v>
      </c>
      <c r="N5567" t="s">
        <v>291</v>
      </c>
      <c r="AK5567" t="s">
        <v>362</v>
      </c>
    </row>
    <row r="5568" spans="1:37">
      <c r="B5568" t="s">
        <v>51</v>
      </c>
      <c r="C5568" t="s">
        <v>75</v>
      </c>
      <c r="D5568" t="s">
        <v>52</v>
      </c>
      <c r="E5568" t="s">
        <v>114</v>
      </c>
      <c r="F5568" t="s">
        <v>148</v>
      </c>
      <c r="G5568" t="s">
        <v>148</v>
      </c>
      <c r="H5568" t="s">
        <v>209</v>
      </c>
      <c r="I5568" t="s">
        <v>228</v>
      </c>
      <c r="J5568" t="s">
        <v>247</v>
      </c>
      <c r="K5568" t="s">
        <v>261</v>
      </c>
      <c r="L5568" t="s">
        <v>274</v>
      </c>
      <c r="M5568" t="s">
        <v>283</v>
      </c>
      <c r="N5568" t="s">
        <v>292</v>
      </c>
      <c r="O5568" t="s">
        <v>300</v>
      </c>
      <c r="AK5568" t="s">
        <v>362</v>
      </c>
    </row>
    <row r="5569" spans="1:37">
      <c r="B5569" t="s">
        <v>52</v>
      </c>
      <c r="C5569" t="s">
        <v>76</v>
      </c>
      <c r="D5569" t="s">
        <v>96</v>
      </c>
      <c r="E5569" t="s">
        <v>115</v>
      </c>
      <c r="F5569" t="s">
        <v>149</v>
      </c>
      <c r="G5569" t="s">
        <v>174</v>
      </c>
      <c r="H5569" t="s">
        <v>96</v>
      </c>
      <c r="I5569" t="s">
        <v>229</v>
      </c>
      <c r="J5569" t="s">
        <v>248</v>
      </c>
      <c r="K5569" t="s">
        <v>262</v>
      </c>
      <c r="L5569" t="s">
        <v>52</v>
      </c>
      <c r="M5569" t="s">
        <v>76</v>
      </c>
      <c r="N5569" t="s">
        <v>293</v>
      </c>
      <c r="O5569" t="s">
        <v>301</v>
      </c>
      <c r="P5569" t="s">
        <v>309</v>
      </c>
      <c r="Q5569" t="s">
        <v>315</v>
      </c>
      <c r="R5569" t="s">
        <v>228</v>
      </c>
      <c r="S5569" t="s">
        <v>328</v>
      </c>
      <c r="T5569" t="s">
        <v>149</v>
      </c>
      <c r="U5569" t="s">
        <v>337</v>
      </c>
      <c r="V5569" t="s">
        <v>341</v>
      </c>
      <c r="W5569" t="s">
        <v>345</v>
      </c>
      <c r="X5569" t="s">
        <v>350</v>
      </c>
      <c r="AK5569" t="s">
        <v>362</v>
      </c>
    </row>
    <row r="5570" spans="1:37">
      <c r="B5570" t="s">
        <v>53</v>
      </c>
      <c r="C5570" t="s">
        <v>77</v>
      </c>
      <c r="D5570" t="s">
        <v>97</v>
      </c>
      <c r="E5570" t="s">
        <v>116</v>
      </c>
      <c r="F5570" t="s">
        <v>150</v>
      </c>
      <c r="G5570" t="s">
        <v>175</v>
      </c>
      <c r="H5570" t="s">
        <v>210</v>
      </c>
      <c r="I5570" t="s">
        <v>230</v>
      </c>
      <c r="J5570" t="s">
        <v>249</v>
      </c>
      <c r="K5570" t="s">
        <v>263</v>
      </c>
      <c r="L5570" t="s">
        <v>275</v>
      </c>
      <c r="M5570" t="s">
        <v>284</v>
      </c>
      <c r="N5570" t="s">
        <v>294</v>
      </c>
      <c r="O5570" t="s">
        <v>302</v>
      </c>
      <c r="P5570" t="s">
        <v>310</v>
      </c>
      <c r="Q5570" t="s">
        <v>316</v>
      </c>
      <c r="R5570" t="s">
        <v>322</v>
      </c>
      <c r="S5570" t="s">
        <v>329</v>
      </c>
      <c r="AK5570" t="s">
        <v>362</v>
      </c>
    </row>
    <row r="5571" spans="1:37">
      <c r="A5571" t="s">
        <v>39</v>
      </c>
      <c r="B5571" t="s">
        <v>54</v>
      </c>
      <c r="C5571" t="s">
        <v>54</v>
      </c>
      <c r="D5571" t="s">
        <v>54</v>
      </c>
      <c r="E5571" t="s">
        <v>54</v>
      </c>
      <c r="F5571" t="s">
        <v>54</v>
      </c>
      <c r="G5571" t="s">
        <v>54</v>
      </c>
      <c r="H5571" t="s">
        <v>54</v>
      </c>
      <c r="I5571" t="s">
        <v>54</v>
      </c>
      <c r="J5571" t="s">
        <v>54</v>
      </c>
      <c r="K5571" t="s">
        <v>54</v>
      </c>
      <c r="L5571" t="s">
        <v>54</v>
      </c>
      <c r="M5571" t="s">
        <v>54</v>
      </c>
      <c r="N5571" t="s">
        <v>54</v>
      </c>
      <c r="O5571" t="s">
        <v>54</v>
      </c>
      <c r="P5571" t="s">
        <v>54</v>
      </c>
      <c r="Q5571" t="s">
        <v>54</v>
      </c>
      <c r="R5571" t="s">
        <v>323</v>
      </c>
      <c r="S5571" t="s">
        <v>330</v>
      </c>
      <c r="AK5571" t="s">
        <v>362</v>
      </c>
    </row>
    <row r="5572" spans="1:37">
      <c r="B5572" t="s">
        <v>55</v>
      </c>
      <c r="C5572" t="s">
        <v>78</v>
      </c>
      <c r="D5572" t="s">
        <v>55</v>
      </c>
      <c r="E5572" t="s">
        <v>78</v>
      </c>
      <c r="F5572" t="s">
        <v>55</v>
      </c>
      <c r="G5572" t="s">
        <v>78</v>
      </c>
      <c r="H5572" t="s">
        <v>55</v>
      </c>
      <c r="I5572" t="s">
        <v>78</v>
      </c>
      <c r="J5572" t="s">
        <v>55</v>
      </c>
      <c r="K5572" t="s">
        <v>78</v>
      </c>
      <c r="L5572" t="s">
        <v>55</v>
      </c>
      <c r="M5572" t="s">
        <v>78</v>
      </c>
      <c r="N5572" t="s">
        <v>55</v>
      </c>
      <c r="O5572" t="s">
        <v>78</v>
      </c>
      <c r="P5572" t="s">
        <v>55</v>
      </c>
      <c r="Q5572" t="s">
        <v>78</v>
      </c>
      <c r="R5572" t="s">
        <v>55</v>
      </c>
      <c r="S5572" t="s">
        <v>78</v>
      </c>
      <c r="T5572" t="s">
        <v>55</v>
      </c>
      <c r="U5572" t="s">
        <v>78</v>
      </c>
      <c r="V5572" t="s">
        <v>55</v>
      </c>
      <c r="W5572" t="s">
        <v>78</v>
      </c>
      <c r="X5572" t="s">
        <v>55</v>
      </c>
      <c r="Y5572" t="s">
        <v>78</v>
      </c>
      <c r="Z5572" t="s">
        <v>55</v>
      </c>
      <c r="AA5572" t="s">
        <v>78</v>
      </c>
      <c r="AB5572" t="s">
        <v>55</v>
      </c>
      <c r="AC5572" t="s">
        <v>78</v>
      </c>
      <c r="AD5572" t="s">
        <v>55</v>
      </c>
      <c r="AE5572" t="s">
        <v>78</v>
      </c>
      <c r="AF5572" t="s">
        <v>55</v>
      </c>
      <c r="AG5572" t="s">
        <v>78</v>
      </c>
      <c r="AH5572" t="s">
        <v>55</v>
      </c>
      <c r="AI5572" t="s">
        <v>78</v>
      </c>
      <c r="AK5572" t="s">
        <v>362</v>
      </c>
    </row>
    <row r="5573" spans="1:37">
      <c r="B5573" t="s">
        <v>56</v>
      </c>
      <c r="C5573" t="s">
        <v>56</v>
      </c>
      <c r="D5573" t="s">
        <v>56</v>
      </c>
      <c r="E5573" t="s">
        <v>56</v>
      </c>
      <c r="F5573" t="s">
        <v>56</v>
      </c>
      <c r="G5573" t="s">
        <v>176</v>
      </c>
      <c r="H5573" t="s">
        <v>211</v>
      </c>
      <c r="I5573" t="s">
        <v>231</v>
      </c>
      <c r="J5573" t="s">
        <v>250</v>
      </c>
      <c r="K5573" t="s">
        <v>264</v>
      </c>
      <c r="L5573" t="s">
        <v>276</v>
      </c>
      <c r="M5573" t="s">
        <v>285</v>
      </c>
      <c r="N5573" t="s">
        <v>295</v>
      </c>
      <c r="O5573" t="s">
        <v>303</v>
      </c>
      <c r="P5573" t="s">
        <v>56</v>
      </c>
      <c r="Q5573" t="s">
        <v>317</v>
      </c>
      <c r="R5573" t="s">
        <v>324</v>
      </c>
      <c r="S5573" t="s">
        <v>331</v>
      </c>
      <c r="T5573" t="s">
        <v>334</v>
      </c>
      <c r="U5573" t="s">
        <v>338</v>
      </c>
      <c r="V5573" t="s">
        <v>342</v>
      </c>
      <c r="W5573" t="s">
        <v>346</v>
      </c>
      <c r="X5573" t="s">
        <v>351</v>
      </c>
      <c r="AK5573" t="s">
        <v>362</v>
      </c>
    </row>
    <row r="5574" spans="1:37">
      <c r="B5574" t="s">
        <v>57</v>
      </c>
      <c r="C5574" t="s">
        <v>79</v>
      </c>
      <c r="D5574" t="s">
        <v>98</v>
      </c>
      <c r="E5574" t="s">
        <v>117</v>
      </c>
      <c r="F5574" t="s">
        <v>151</v>
      </c>
      <c r="G5574" t="s">
        <v>177</v>
      </c>
      <c r="H5574" t="s">
        <v>212</v>
      </c>
      <c r="I5574" t="s">
        <v>232</v>
      </c>
      <c r="J5574" t="s">
        <v>251</v>
      </c>
      <c r="K5574" t="s">
        <v>265</v>
      </c>
      <c r="L5574" t="s">
        <v>277</v>
      </c>
      <c r="M5574" t="s">
        <v>286</v>
      </c>
      <c r="N5574" t="s">
        <v>296</v>
      </c>
      <c r="O5574" t="s">
        <v>304</v>
      </c>
      <c r="P5574" t="s">
        <v>311</v>
      </c>
      <c r="Q5574" t="s">
        <v>318</v>
      </c>
      <c r="R5574" t="s">
        <v>185</v>
      </c>
      <c r="S5574" t="s">
        <v>159</v>
      </c>
      <c r="T5574" t="s">
        <v>185</v>
      </c>
      <c r="U5574" t="s">
        <v>339</v>
      </c>
      <c r="V5574" t="s">
        <v>72</v>
      </c>
      <c r="W5574" t="s">
        <v>347</v>
      </c>
      <c r="X5574" t="s">
        <v>72</v>
      </c>
      <c r="Y5574" t="s">
        <v>96</v>
      </c>
      <c r="AK5574" t="s">
        <v>362</v>
      </c>
    </row>
    <row r="5575" spans="1:37">
      <c r="B5575" t="s">
        <v>58</v>
      </c>
      <c r="C5575" t="s">
        <v>80</v>
      </c>
      <c r="D5575" t="s">
        <v>99</v>
      </c>
      <c r="E5575" t="s">
        <v>118</v>
      </c>
      <c r="F5575" t="s">
        <v>152</v>
      </c>
      <c r="G5575" t="s">
        <v>178</v>
      </c>
      <c r="H5575" t="s">
        <v>213</v>
      </c>
      <c r="I5575" t="s">
        <v>233</v>
      </c>
      <c r="J5575" t="s">
        <v>252</v>
      </c>
      <c r="K5575" t="s">
        <v>266</v>
      </c>
      <c r="L5575" t="s">
        <v>278</v>
      </c>
      <c r="M5575" t="s">
        <v>287</v>
      </c>
      <c r="N5575" t="s">
        <v>297</v>
      </c>
      <c r="O5575" t="s">
        <v>305</v>
      </c>
      <c r="P5575" t="s">
        <v>312</v>
      </c>
      <c r="Q5575" t="s">
        <v>319</v>
      </c>
      <c r="R5575">
        <f>&gt;10       ветра      3.3     14  10</f>
        <v>0</v>
      </c>
      <c r="AK5575" t="s">
        <v>362</v>
      </c>
    </row>
    <row r="5576" spans="1:37">
      <c r="A5576" t="s">
        <v>40</v>
      </c>
      <c r="B5576" t="s">
        <v>59</v>
      </c>
      <c r="C5576" t="s">
        <v>81</v>
      </c>
      <c r="D5576" t="s">
        <v>100</v>
      </c>
      <c r="E5576" t="s">
        <v>119</v>
      </c>
      <c r="F5576" t="s">
        <v>153</v>
      </c>
      <c r="G5576" t="s">
        <v>179</v>
      </c>
      <c r="H5576" t="s">
        <v>214</v>
      </c>
      <c r="I5576" t="s">
        <v>234</v>
      </c>
      <c r="AK5576" t="s">
        <v>362</v>
      </c>
    </row>
    <row r="5577" spans="1:37">
      <c r="A5577" t="s">
        <v>40</v>
      </c>
      <c r="B5577" t="s">
        <v>60</v>
      </c>
      <c r="C5577" t="s">
        <v>82</v>
      </c>
      <c r="D5577" t="s">
        <v>101</v>
      </c>
      <c r="E5577" t="s">
        <v>120</v>
      </c>
      <c r="F5577" t="s">
        <v>154</v>
      </c>
      <c r="G5577" t="s">
        <v>180</v>
      </c>
      <c r="H5577" t="s">
        <v>215</v>
      </c>
      <c r="I5577" t="s">
        <v>235</v>
      </c>
      <c r="J5577" t="s">
        <v>253</v>
      </c>
      <c r="K5577" t="s">
        <v>267</v>
      </c>
      <c r="L5577" t="s">
        <v>279</v>
      </c>
      <c r="M5577" t="s">
        <v>288</v>
      </c>
      <c r="N5577" t="s">
        <v>100</v>
      </c>
      <c r="O5577" t="s">
        <v>306</v>
      </c>
      <c r="P5577" t="s">
        <v>313</v>
      </c>
      <c r="Q5577" t="s">
        <v>320</v>
      </c>
      <c r="R5577" t="s">
        <v>325</v>
      </c>
      <c r="S5577" t="s">
        <v>332</v>
      </c>
      <c r="T5577" t="s">
        <v>119</v>
      </c>
      <c r="U5577" t="s">
        <v>234</v>
      </c>
      <c r="V5577" t="s">
        <v>343</v>
      </c>
      <c r="W5577" t="s">
        <v>348</v>
      </c>
      <c r="X5577" t="s">
        <v>352</v>
      </c>
      <c r="Y5577" t="s">
        <v>354</v>
      </c>
      <c r="AK5577" t="s">
        <v>362</v>
      </c>
    </row>
    <row r="5578" spans="1:37">
      <c r="A5578" t="s">
        <v>41</v>
      </c>
      <c r="B5578" t="s">
        <v>61</v>
      </c>
      <c r="C5578" t="s">
        <v>83</v>
      </c>
      <c r="D5578" t="s">
        <v>102</v>
      </c>
      <c r="E5578" t="s">
        <v>121</v>
      </c>
      <c r="F5578" t="s">
        <v>155</v>
      </c>
      <c r="G5578" t="s">
        <v>181</v>
      </c>
      <c r="H5578" t="s">
        <v>216</v>
      </c>
      <c r="I5578" t="s">
        <v>236</v>
      </c>
      <c r="AK5578" t="s">
        <v>362</v>
      </c>
    </row>
    <row r="5579" spans="1:37">
      <c r="A5579" t="s">
        <v>42</v>
      </c>
      <c r="B5579" t="s">
        <v>62</v>
      </c>
      <c r="C5579" t="s">
        <v>84</v>
      </c>
      <c r="D5579" t="s">
        <v>103</v>
      </c>
      <c r="E5579" t="s">
        <v>122</v>
      </c>
      <c r="F5579" t="s">
        <v>156</v>
      </c>
      <c r="G5579" t="s">
        <v>182</v>
      </c>
      <c r="H5579" t="s">
        <v>83</v>
      </c>
      <c r="I5579" t="s">
        <v>237</v>
      </c>
      <c r="J5579" t="s">
        <v>254</v>
      </c>
      <c r="K5579" t="s">
        <v>268</v>
      </c>
      <c r="L5579" t="s">
        <v>280</v>
      </c>
      <c r="M5579" t="s">
        <v>289</v>
      </c>
      <c r="N5579" t="s">
        <v>298</v>
      </c>
      <c r="O5579" t="s">
        <v>307</v>
      </c>
      <c r="P5579" t="s">
        <v>314</v>
      </c>
      <c r="Q5579" t="s">
        <v>216</v>
      </c>
      <c r="R5579" t="s">
        <v>326</v>
      </c>
      <c r="S5579" t="s">
        <v>333</v>
      </c>
      <c r="T5579" t="s">
        <v>335</v>
      </c>
      <c r="U5579" t="s">
        <v>340</v>
      </c>
      <c r="V5579" t="s">
        <v>344</v>
      </c>
      <c r="W5579" t="s">
        <v>349</v>
      </c>
      <c r="AK5579" t="s">
        <v>362</v>
      </c>
    </row>
    <row r="5580" spans="1:37">
      <c r="A5580" t="s">
        <v>43</v>
      </c>
      <c r="B5580" t="s">
        <v>63</v>
      </c>
      <c r="C5580" t="s">
        <v>85</v>
      </c>
      <c r="D5580" t="s">
        <v>104</v>
      </c>
      <c r="E5580" t="s">
        <v>123</v>
      </c>
      <c r="F5580" t="s">
        <v>157</v>
      </c>
      <c r="G5580" t="s">
        <v>183</v>
      </c>
      <c r="AK5580" t="s">
        <v>362</v>
      </c>
    </row>
    <row r="5581" spans="1:37">
      <c r="A5581" t="s">
        <v>44</v>
      </c>
      <c r="B5581" t="s">
        <v>64</v>
      </c>
      <c r="C5581" t="s">
        <v>86</v>
      </c>
      <c r="D5581" t="s">
        <v>105</v>
      </c>
      <c r="E5581" t="s">
        <v>124</v>
      </c>
      <c r="F5581" t="s">
        <v>158</v>
      </c>
      <c r="G5581" t="s">
        <v>184</v>
      </c>
      <c r="AK5581" t="s">
        <v>362</v>
      </c>
    </row>
    <row r="5582" spans="1:37">
      <c r="A5582" t="s">
        <v>45</v>
      </c>
      <c r="B5582" t="s">
        <v>65</v>
      </c>
      <c r="C5582" t="s">
        <v>87</v>
      </c>
      <c r="D5582" t="s">
        <v>106</v>
      </c>
      <c r="E5582" t="s">
        <v>125</v>
      </c>
      <c r="F5582" t="s">
        <v>159</v>
      </c>
      <c r="G5582" t="s">
        <v>185</v>
      </c>
      <c r="H5582" t="s">
        <v>159</v>
      </c>
      <c r="I5582" t="s">
        <v>185</v>
      </c>
      <c r="J5582" t="s">
        <v>255</v>
      </c>
      <c r="AK5582" t="s">
        <v>362</v>
      </c>
    </row>
    <row r="5583" spans="1:37">
      <c r="A5583" t="s">
        <v>46</v>
      </c>
      <c r="B5583" t="s">
        <v>66</v>
      </c>
      <c r="C5583" t="s">
        <v>88</v>
      </c>
      <c r="D5583" t="s">
        <v>76</v>
      </c>
      <c r="E5583" t="s">
        <v>126</v>
      </c>
      <c r="F5583" t="s">
        <v>160</v>
      </c>
      <c r="G5583" t="s">
        <v>186</v>
      </c>
      <c r="H5583" t="s">
        <v>217</v>
      </c>
      <c r="I5583" t="s">
        <v>238</v>
      </c>
      <c r="J5583" t="s">
        <v>256</v>
      </c>
      <c r="K5583" t="s">
        <v>265</v>
      </c>
      <c r="L5583" t="s">
        <v>281</v>
      </c>
      <c r="M5583" t="s">
        <v>290</v>
      </c>
      <c r="N5583" t="s">
        <v>299</v>
      </c>
      <c r="O5583" t="s">
        <v>308</v>
      </c>
      <c r="P5583" t="s">
        <v>228</v>
      </c>
      <c r="Q5583" t="s">
        <v>72</v>
      </c>
      <c r="R5583" t="s">
        <v>327</v>
      </c>
      <c r="S5583" t="s">
        <v>327</v>
      </c>
      <c r="T5583" t="s">
        <v>336</v>
      </c>
      <c r="U5583" t="s">
        <v>336</v>
      </c>
      <c r="V5583" t="s">
        <v>336</v>
      </c>
      <c r="W5583" t="s">
        <v>336</v>
      </c>
      <c r="X5583" t="s">
        <v>353</v>
      </c>
      <c r="AK5583" t="s">
        <v>362</v>
      </c>
    </row>
    <row r="5584" spans="1:37">
      <c r="B5584" t="s">
        <v>67</v>
      </c>
      <c r="C5584" t="s">
        <v>89</v>
      </c>
      <c r="D5584" t="s">
        <v>107</v>
      </c>
      <c r="AK5584" t="s">
        <v>362</v>
      </c>
    </row>
    <row r="5585" spans="1:37">
      <c r="B5585" t="s">
        <v>68</v>
      </c>
      <c r="C5585" t="s">
        <v>90</v>
      </c>
      <c r="D5585" t="s">
        <v>108</v>
      </c>
      <c r="AK5585" t="s">
        <v>362</v>
      </c>
    </row>
    <row r="5586" spans="1:37">
      <c r="A5586" t="s">
        <v>47</v>
      </c>
      <c r="B5586" t="s">
        <v>69</v>
      </c>
      <c r="C5586" t="s">
        <v>91</v>
      </c>
      <c r="D5586" t="s">
        <v>109</v>
      </c>
      <c r="E5586" t="s">
        <v>109</v>
      </c>
      <c r="F5586" t="s">
        <v>109</v>
      </c>
      <c r="G5586" t="s">
        <v>109</v>
      </c>
      <c r="H5586" t="s">
        <v>109</v>
      </c>
      <c r="I5586" t="s">
        <v>239</v>
      </c>
      <c r="AK5586" t="s">
        <v>362</v>
      </c>
    </row>
    <row r="5587" spans="1:37">
      <c r="B5587" t="s">
        <v>70</v>
      </c>
      <c r="C5587" t="s">
        <v>92</v>
      </c>
      <c r="D5587" t="s">
        <v>110</v>
      </c>
      <c r="E5587" t="s">
        <v>127</v>
      </c>
      <c r="F5587" t="s">
        <v>161</v>
      </c>
      <c r="G5587" t="s">
        <v>187</v>
      </c>
      <c r="H5587" t="s">
        <v>218</v>
      </c>
      <c r="AK5587" t="s">
        <v>362</v>
      </c>
    </row>
    <row r="5588" spans="1:37">
      <c r="B5588" t="s">
        <v>71</v>
      </c>
      <c r="C5588" t="s">
        <v>93</v>
      </c>
      <c r="D5588" t="s">
        <v>111</v>
      </c>
      <c r="E5588" t="s">
        <v>128</v>
      </c>
      <c r="F5588" t="s">
        <v>162</v>
      </c>
      <c r="G5588" t="s">
        <v>188</v>
      </c>
      <c r="H5588" t="s">
        <v>219</v>
      </c>
      <c r="I5588" t="s">
        <v>240</v>
      </c>
      <c r="J5588" t="s">
        <v>257</v>
      </c>
      <c r="K5588" t="s">
        <v>269</v>
      </c>
      <c r="L5588" t="s">
        <v>109</v>
      </c>
      <c r="M5588" t="s">
        <v>109</v>
      </c>
      <c r="N5588" t="s">
        <v>109</v>
      </c>
      <c r="O5588" t="s">
        <v>109</v>
      </c>
      <c r="P5588" t="s">
        <v>109</v>
      </c>
      <c r="Q5588" t="s">
        <v>321</v>
      </c>
      <c r="AK5588" t="s">
        <v>362</v>
      </c>
    </row>
    <row r="5589" spans="1:37">
      <c r="A5589" t="s">
        <v>48</v>
      </c>
      <c r="B5589" t="s">
        <v>71</v>
      </c>
      <c r="C5589" t="s">
        <v>93</v>
      </c>
      <c r="D5589" t="s">
        <v>111</v>
      </c>
      <c r="E5589" t="s">
        <v>128</v>
      </c>
      <c r="F5589" t="s">
        <v>163</v>
      </c>
      <c r="G5589" t="s">
        <v>189</v>
      </c>
      <c r="H5589" t="s">
        <v>220</v>
      </c>
      <c r="I5589" t="s">
        <v>241</v>
      </c>
      <c r="J5589" t="s">
        <v>258</v>
      </c>
      <c r="K5589" t="s">
        <v>270</v>
      </c>
      <c r="AK5589" t="s">
        <v>362</v>
      </c>
    </row>
    <row r="5590" spans="1:37">
      <c r="B5590" t="s">
        <v>72</v>
      </c>
      <c r="C5590" t="s">
        <v>72</v>
      </c>
      <c r="D5590" t="s">
        <v>72</v>
      </c>
      <c r="E5590" t="s">
        <v>139</v>
      </c>
      <c r="F5590" t="s">
        <v>139</v>
      </c>
      <c r="G5590" t="s">
        <v>192</v>
      </c>
      <c r="H5590" t="s">
        <v>192</v>
      </c>
      <c r="I5590" t="s">
        <v>192</v>
      </c>
      <c r="J5590" t="s">
        <v>192</v>
      </c>
      <c r="K5590" t="s">
        <v>271</v>
      </c>
      <c r="AK5590" t="s">
        <v>362</v>
      </c>
    </row>
    <row r="5591" spans="1:37">
      <c r="A5591" t="s">
        <v>37</v>
      </c>
      <c r="B5591" t="s">
        <v>49</v>
      </c>
      <c r="C5591" t="s">
        <v>73</v>
      </c>
      <c r="D5591" t="s">
        <v>94</v>
      </c>
      <c r="E5591" t="s">
        <v>112</v>
      </c>
      <c r="F5591" t="s">
        <v>146</v>
      </c>
      <c r="G5591" t="s">
        <v>172</v>
      </c>
      <c r="H5591" t="s">
        <v>207</v>
      </c>
      <c r="I5591" t="s">
        <v>226</v>
      </c>
      <c r="J5591" t="s">
        <v>246</v>
      </c>
      <c r="K5591" t="s">
        <v>259</v>
      </c>
      <c r="AK5591" t="s">
        <v>362</v>
      </c>
    </row>
    <row r="5592" spans="1:37">
      <c r="A5592" t="s">
        <v>38</v>
      </c>
      <c r="B5592" t="s">
        <v>50</v>
      </c>
      <c r="C5592" t="s">
        <v>74</v>
      </c>
      <c r="D5592" t="s">
        <v>95</v>
      </c>
      <c r="E5592" t="s">
        <v>113</v>
      </c>
      <c r="F5592" t="s">
        <v>147</v>
      </c>
      <c r="G5592" t="s">
        <v>173</v>
      </c>
      <c r="H5592" t="s">
        <v>208</v>
      </c>
      <c r="I5592" t="s">
        <v>227</v>
      </c>
      <c r="J5592" t="s">
        <v>115</v>
      </c>
      <c r="K5592" t="s">
        <v>260</v>
      </c>
      <c r="L5592" t="s">
        <v>273</v>
      </c>
      <c r="M5592" t="s">
        <v>282</v>
      </c>
      <c r="N5592" t="s">
        <v>291</v>
      </c>
      <c r="AK5592" t="s">
        <v>362</v>
      </c>
    </row>
    <row r="5593" spans="1:37">
      <c r="B5593" t="s">
        <v>51</v>
      </c>
      <c r="C5593" t="s">
        <v>75</v>
      </c>
      <c r="D5593" t="s">
        <v>52</v>
      </c>
      <c r="E5593" t="s">
        <v>114</v>
      </c>
      <c r="F5593" t="s">
        <v>148</v>
      </c>
      <c r="G5593" t="s">
        <v>148</v>
      </c>
      <c r="H5593" t="s">
        <v>209</v>
      </c>
      <c r="I5593" t="s">
        <v>228</v>
      </c>
      <c r="J5593" t="s">
        <v>247</v>
      </c>
      <c r="K5593" t="s">
        <v>261</v>
      </c>
      <c r="L5593" t="s">
        <v>274</v>
      </c>
      <c r="M5593" t="s">
        <v>283</v>
      </c>
      <c r="N5593" t="s">
        <v>292</v>
      </c>
      <c r="O5593" t="s">
        <v>300</v>
      </c>
      <c r="AK5593" t="s">
        <v>362</v>
      </c>
    </row>
    <row r="5594" spans="1:37">
      <c r="B5594" t="s">
        <v>52</v>
      </c>
      <c r="C5594" t="s">
        <v>76</v>
      </c>
      <c r="D5594" t="s">
        <v>96</v>
      </c>
      <c r="E5594" t="s">
        <v>115</v>
      </c>
      <c r="F5594" t="s">
        <v>149</v>
      </c>
      <c r="G5594" t="s">
        <v>174</v>
      </c>
      <c r="H5594" t="s">
        <v>96</v>
      </c>
      <c r="I5594" t="s">
        <v>229</v>
      </c>
      <c r="J5594" t="s">
        <v>248</v>
      </c>
      <c r="K5594" t="s">
        <v>262</v>
      </c>
      <c r="L5594" t="s">
        <v>52</v>
      </c>
      <c r="M5594" t="s">
        <v>76</v>
      </c>
      <c r="N5594" t="s">
        <v>293</v>
      </c>
      <c r="O5594" t="s">
        <v>301</v>
      </c>
      <c r="P5594" t="s">
        <v>309</v>
      </c>
      <c r="Q5594" t="s">
        <v>315</v>
      </c>
      <c r="R5594" t="s">
        <v>228</v>
      </c>
      <c r="S5594" t="s">
        <v>328</v>
      </c>
      <c r="T5594" t="s">
        <v>149</v>
      </c>
      <c r="U5594" t="s">
        <v>337</v>
      </c>
      <c r="V5594" t="s">
        <v>341</v>
      </c>
      <c r="W5594" t="s">
        <v>345</v>
      </c>
      <c r="X5594" t="s">
        <v>350</v>
      </c>
      <c r="AK5594" t="s">
        <v>362</v>
      </c>
    </row>
    <row r="5595" spans="1:37">
      <c r="B5595" t="s">
        <v>53</v>
      </c>
      <c r="C5595" t="s">
        <v>77</v>
      </c>
      <c r="D5595" t="s">
        <v>97</v>
      </c>
      <c r="E5595" t="s">
        <v>116</v>
      </c>
      <c r="F5595" t="s">
        <v>150</v>
      </c>
      <c r="G5595" t="s">
        <v>175</v>
      </c>
      <c r="H5595" t="s">
        <v>210</v>
      </c>
      <c r="I5595" t="s">
        <v>230</v>
      </c>
      <c r="J5595" t="s">
        <v>249</v>
      </c>
      <c r="K5595" t="s">
        <v>263</v>
      </c>
      <c r="L5595" t="s">
        <v>275</v>
      </c>
      <c r="M5595" t="s">
        <v>284</v>
      </c>
      <c r="N5595" t="s">
        <v>294</v>
      </c>
      <c r="O5595" t="s">
        <v>302</v>
      </c>
      <c r="P5595" t="s">
        <v>310</v>
      </c>
      <c r="Q5595" t="s">
        <v>316</v>
      </c>
      <c r="R5595" t="s">
        <v>322</v>
      </c>
      <c r="S5595" t="s">
        <v>329</v>
      </c>
      <c r="AK5595" t="s">
        <v>362</v>
      </c>
    </row>
    <row r="5596" spans="1:37">
      <c r="A5596" t="s">
        <v>39</v>
      </c>
      <c r="B5596" t="s">
        <v>54</v>
      </c>
      <c r="C5596" t="s">
        <v>54</v>
      </c>
      <c r="D5596" t="s">
        <v>54</v>
      </c>
      <c r="E5596" t="s">
        <v>54</v>
      </c>
      <c r="F5596" t="s">
        <v>54</v>
      </c>
      <c r="G5596" t="s">
        <v>54</v>
      </c>
      <c r="H5596" t="s">
        <v>54</v>
      </c>
      <c r="I5596" t="s">
        <v>54</v>
      </c>
      <c r="J5596" t="s">
        <v>54</v>
      </c>
      <c r="K5596" t="s">
        <v>54</v>
      </c>
      <c r="L5596" t="s">
        <v>54</v>
      </c>
      <c r="M5596" t="s">
        <v>54</v>
      </c>
      <c r="N5596" t="s">
        <v>54</v>
      </c>
      <c r="O5596" t="s">
        <v>54</v>
      </c>
      <c r="P5596" t="s">
        <v>54</v>
      </c>
      <c r="Q5596" t="s">
        <v>54</v>
      </c>
      <c r="R5596" t="s">
        <v>323</v>
      </c>
      <c r="S5596" t="s">
        <v>330</v>
      </c>
      <c r="AK5596" t="s">
        <v>362</v>
      </c>
    </row>
    <row r="5597" spans="1:37">
      <c r="B5597" t="s">
        <v>55</v>
      </c>
      <c r="C5597" t="s">
        <v>78</v>
      </c>
      <c r="D5597" t="s">
        <v>55</v>
      </c>
      <c r="E5597" t="s">
        <v>78</v>
      </c>
      <c r="F5597" t="s">
        <v>55</v>
      </c>
      <c r="G5597" t="s">
        <v>78</v>
      </c>
      <c r="H5597" t="s">
        <v>55</v>
      </c>
      <c r="I5597" t="s">
        <v>78</v>
      </c>
      <c r="J5597" t="s">
        <v>55</v>
      </c>
      <c r="K5597" t="s">
        <v>78</v>
      </c>
      <c r="L5597" t="s">
        <v>55</v>
      </c>
      <c r="M5597" t="s">
        <v>78</v>
      </c>
      <c r="N5597" t="s">
        <v>55</v>
      </c>
      <c r="O5597" t="s">
        <v>78</v>
      </c>
      <c r="P5597" t="s">
        <v>55</v>
      </c>
      <c r="Q5597" t="s">
        <v>78</v>
      </c>
      <c r="R5597" t="s">
        <v>55</v>
      </c>
      <c r="S5597" t="s">
        <v>78</v>
      </c>
      <c r="T5597" t="s">
        <v>55</v>
      </c>
      <c r="U5597" t="s">
        <v>78</v>
      </c>
      <c r="V5597" t="s">
        <v>55</v>
      </c>
      <c r="W5597" t="s">
        <v>78</v>
      </c>
      <c r="X5597" t="s">
        <v>55</v>
      </c>
      <c r="Y5597" t="s">
        <v>78</v>
      </c>
      <c r="Z5597" t="s">
        <v>55</v>
      </c>
      <c r="AA5597" t="s">
        <v>78</v>
      </c>
      <c r="AB5597" t="s">
        <v>55</v>
      </c>
      <c r="AC5597" t="s">
        <v>78</v>
      </c>
      <c r="AD5597" t="s">
        <v>55</v>
      </c>
      <c r="AE5597" t="s">
        <v>78</v>
      </c>
      <c r="AF5597" t="s">
        <v>55</v>
      </c>
      <c r="AG5597" t="s">
        <v>78</v>
      </c>
      <c r="AH5597" t="s">
        <v>55</v>
      </c>
      <c r="AI5597" t="s">
        <v>78</v>
      </c>
      <c r="AK5597" t="s">
        <v>362</v>
      </c>
    </row>
    <row r="5598" spans="1:37">
      <c r="B5598" t="s">
        <v>56</v>
      </c>
      <c r="C5598" t="s">
        <v>56</v>
      </c>
      <c r="D5598" t="s">
        <v>56</v>
      </c>
      <c r="E5598" t="s">
        <v>56</v>
      </c>
      <c r="F5598" t="s">
        <v>56</v>
      </c>
      <c r="G5598" t="s">
        <v>176</v>
      </c>
      <c r="H5598" t="s">
        <v>211</v>
      </c>
      <c r="I5598" t="s">
        <v>231</v>
      </c>
      <c r="J5598" t="s">
        <v>250</v>
      </c>
      <c r="K5598" t="s">
        <v>264</v>
      </c>
      <c r="L5598" t="s">
        <v>276</v>
      </c>
      <c r="M5598" t="s">
        <v>285</v>
      </c>
      <c r="N5598" t="s">
        <v>295</v>
      </c>
      <c r="O5598" t="s">
        <v>303</v>
      </c>
      <c r="P5598" t="s">
        <v>56</v>
      </c>
      <c r="Q5598" t="s">
        <v>317</v>
      </c>
      <c r="R5598" t="s">
        <v>324</v>
      </c>
      <c r="S5598" t="s">
        <v>331</v>
      </c>
      <c r="T5598" t="s">
        <v>334</v>
      </c>
      <c r="U5598" t="s">
        <v>338</v>
      </c>
      <c r="V5598" t="s">
        <v>342</v>
      </c>
      <c r="W5598" t="s">
        <v>346</v>
      </c>
      <c r="X5598" t="s">
        <v>351</v>
      </c>
      <c r="AK5598" t="s">
        <v>362</v>
      </c>
    </row>
    <row r="5599" spans="1:37">
      <c r="B5599" t="s">
        <v>57</v>
      </c>
      <c r="C5599" t="s">
        <v>79</v>
      </c>
      <c r="D5599" t="s">
        <v>98</v>
      </c>
      <c r="E5599" t="s">
        <v>117</v>
      </c>
      <c r="F5599" t="s">
        <v>151</v>
      </c>
      <c r="G5599" t="s">
        <v>177</v>
      </c>
      <c r="H5599" t="s">
        <v>212</v>
      </c>
      <c r="I5599" t="s">
        <v>232</v>
      </c>
      <c r="J5599" t="s">
        <v>251</v>
      </c>
      <c r="K5599" t="s">
        <v>265</v>
      </c>
      <c r="L5599" t="s">
        <v>277</v>
      </c>
      <c r="M5599" t="s">
        <v>286</v>
      </c>
      <c r="N5599" t="s">
        <v>296</v>
      </c>
      <c r="O5599" t="s">
        <v>304</v>
      </c>
      <c r="P5599" t="s">
        <v>311</v>
      </c>
      <c r="Q5599" t="s">
        <v>318</v>
      </c>
      <c r="R5599" t="s">
        <v>185</v>
      </c>
      <c r="S5599" t="s">
        <v>159</v>
      </c>
      <c r="T5599" t="s">
        <v>185</v>
      </c>
      <c r="U5599" t="s">
        <v>339</v>
      </c>
      <c r="V5599" t="s">
        <v>72</v>
      </c>
      <c r="W5599" t="s">
        <v>347</v>
      </c>
      <c r="X5599" t="s">
        <v>72</v>
      </c>
      <c r="Y5599" t="s">
        <v>96</v>
      </c>
      <c r="AK5599" t="s">
        <v>362</v>
      </c>
    </row>
    <row r="5600" spans="1:37">
      <c r="B5600" t="s">
        <v>58</v>
      </c>
      <c r="C5600" t="s">
        <v>80</v>
      </c>
      <c r="D5600" t="s">
        <v>99</v>
      </c>
      <c r="E5600" t="s">
        <v>118</v>
      </c>
      <c r="F5600" t="s">
        <v>152</v>
      </c>
      <c r="G5600" t="s">
        <v>178</v>
      </c>
      <c r="H5600" t="s">
        <v>213</v>
      </c>
      <c r="I5600" t="s">
        <v>233</v>
      </c>
      <c r="J5600" t="s">
        <v>252</v>
      </c>
      <c r="K5600" t="s">
        <v>266</v>
      </c>
      <c r="L5600" t="s">
        <v>278</v>
      </c>
      <c r="M5600" t="s">
        <v>287</v>
      </c>
      <c r="N5600" t="s">
        <v>297</v>
      </c>
      <c r="O5600" t="s">
        <v>305</v>
      </c>
      <c r="P5600" t="s">
        <v>312</v>
      </c>
      <c r="Q5600" t="s">
        <v>319</v>
      </c>
      <c r="R5600">
        <f>&gt;10       ветра      2.9     21  17</f>
        <v>0</v>
      </c>
      <c r="AK5600" t="s">
        <v>362</v>
      </c>
    </row>
    <row r="5601" spans="1:37">
      <c r="A5601" t="s">
        <v>40</v>
      </c>
      <c r="B5601" t="s">
        <v>59</v>
      </c>
      <c r="C5601" t="s">
        <v>81</v>
      </c>
      <c r="D5601" t="s">
        <v>100</v>
      </c>
      <c r="E5601" t="s">
        <v>119</v>
      </c>
      <c r="F5601" t="s">
        <v>153</v>
      </c>
      <c r="G5601" t="s">
        <v>179</v>
      </c>
      <c r="H5601" t="s">
        <v>214</v>
      </c>
      <c r="I5601" t="s">
        <v>234</v>
      </c>
      <c r="AK5601" t="s">
        <v>362</v>
      </c>
    </row>
    <row r="5602" spans="1:37">
      <c r="A5602" t="s">
        <v>40</v>
      </c>
      <c r="B5602" t="s">
        <v>60</v>
      </c>
      <c r="C5602" t="s">
        <v>82</v>
      </c>
      <c r="D5602" t="s">
        <v>101</v>
      </c>
      <c r="E5602" t="s">
        <v>120</v>
      </c>
      <c r="F5602" t="s">
        <v>154</v>
      </c>
      <c r="G5602" t="s">
        <v>180</v>
      </c>
      <c r="H5602" t="s">
        <v>215</v>
      </c>
      <c r="I5602" t="s">
        <v>235</v>
      </c>
      <c r="J5602" t="s">
        <v>253</v>
      </c>
      <c r="K5602" t="s">
        <v>267</v>
      </c>
      <c r="L5602" t="s">
        <v>279</v>
      </c>
      <c r="M5602" t="s">
        <v>288</v>
      </c>
      <c r="N5602" t="s">
        <v>100</v>
      </c>
      <c r="O5602" t="s">
        <v>306</v>
      </c>
      <c r="P5602" t="s">
        <v>313</v>
      </c>
      <c r="Q5602" t="s">
        <v>320</v>
      </c>
      <c r="R5602" t="s">
        <v>325</v>
      </c>
      <c r="S5602" t="s">
        <v>332</v>
      </c>
      <c r="T5602" t="s">
        <v>119</v>
      </c>
      <c r="U5602" t="s">
        <v>234</v>
      </c>
      <c r="V5602" t="s">
        <v>343</v>
      </c>
      <c r="W5602" t="s">
        <v>348</v>
      </c>
      <c r="X5602" t="s">
        <v>352</v>
      </c>
      <c r="Y5602" t="s">
        <v>354</v>
      </c>
      <c r="AK5602" t="s">
        <v>362</v>
      </c>
    </row>
    <row r="5603" spans="1:37">
      <c r="A5603" t="s">
        <v>41</v>
      </c>
      <c r="B5603" t="s">
        <v>61</v>
      </c>
      <c r="C5603" t="s">
        <v>83</v>
      </c>
      <c r="D5603" t="s">
        <v>102</v>
      </c>
      <c r="E5603" t="s">
        <v>121</v>
      </c>
      <c r="F5603" t="s">
        <v>155</v>
      </c>
      <c r="G5603" t="s">
        <v>181</v>
      </c>
      <c r="H5603" t="s">
        <v>216</v>
      </c>
      <c r="I5603" t="s">
        <v>236</v>
      </c>
      <c r="AK5603" t="s">
        <v>362</v>
      </c>
    </row>
    <row r="5604" spans="1:37">
      <c r="A5604" t="s">
        <v>42</v>
      </c>
      <c r="B5604" t="s">
        <v>62</v>
      </c>
      <c r="C5604" t="s">
        <v>84</v>
      </c>
      <c r="D5604" t="s">
        <v>103</v>
      </c>
      <c r="E5604" t="s">
        <v>122</v>
      </c>
      <c r="F5604" t="s">
        <v>156</v>
      </c>
      <c r="G5604" t="s">
        <v>182</v>
      </c>
      <c r="H5604" t="s">
        <v>83</v>
      </c>
      <c r="I5604" t="s">
        <v>237</v>
      </c>
      <c r="J5604" t="s">
        <v>254</v>
      </c>
      <c r="K5604" t="s">
        <v>268</v>
      </c>
      <c r="L5604" t="s">
        <v>280</v>
      </c>
      <c r="M5604" t="s">
        <v>289</v>
      </c>
      <c r="N5604" t="s">
        <v>298</v>
      </c>
      <c r="O5604" t="s">
        <v>307</v>
      </c>
      <c r="P5604" t="s">
        <v>314</v>
      </c>
      <c r="Q5604" t="s">
        <v>216</v>
      </c>
      <c r="R5604" t="s">
        <v>326</v>
      </c>
      <c r="S5604" t="s">
        <v>333</v>
      </c>
      <c r="T5604" t="s">
        <v>335</v>
      </c>
      <c r="U5604" t="s">
        <v>340</v>
      </c>
      <c r="V5604" t="s">
        <v>344</v>
      </c>
      <c r="W5604" t="s">
        <v>349</v>
      </c>
      <c r="AK5604" t="s">
        <v>362</v>
      </c>
    </row>
    <row r="5605" spans="1:37">
      <c r="A5605" t="s">
        <v>43</v>
      </c>
      <c r="B5605" t="s">
        <v>63</v>
      </c>
      <c r="C5605" t="s">
        <v>85</v>
      </c>
      <c r="D5605" t="s">
        <v>104</v>
      </c>
      <c r="E5605" t="s">
        <v>123</v>
      </c>
      <c r="F5605" t="s">
        <v>157</v>
      </c>
      <c r="G5605" t="s">
        <v>183</v>
      </c>
      <c r="AK5605" t="s">
        <v>362</v>
      </c>
    </row>
    <row r="5606" spans="1:37">
      <c r="A5606" t="s">
        <v>44</v>
      </c>
      <c r="B5606" t="s">
        <v>64</v>
      </c>
      <c r="C5606" t="s">
        <v>86</v>
      </c>
      <c r="D5606" t="s">
        <v>105</v>
      </c>
      <c r="E5606" t="s">
        <v>124</v>
      </c>
      <c r="F5606" t="s">
        <v>158</v>
      </c>
      <c r="G5606" t="s">
        <v>184</v>
      </c>
      <c r="AK5606" t="s">
        <v>362</v>
      </c>
    </row>
    <row r="5607" spans="1:37">
      <c r="A5607" t="s">
        <v>45</v>
      </c>
      <c r="B5607" t="s">
        <v>65</v>
      </c>
      <c r="C5607" t="s">
        <v>87</v>
      </c>
      <c r="D5607" t="s">
        <v>106</v>
      </c>
      <c r="E5607" t="s">
        <v>125</v>
      </c>
      <c r="F5607" t="s">
        <v>159</v>
      </c>
      <c r="G5607" t="s">
        <v>185</v>
      </c>
      <c r="H5607" t="s">
        <v>159</v>
      </c>
      <c r="I5607" t="s">
        <v>185</v>
      </c>
      <c r="J5607" t="s">
        <v>255</v>
      </c>
      <c r="AK5607" t="s">
        <v>362</v>
      </c>
    </row>
    <row r="5608" spans="1:37">
      <c r="A5608" t="s">
        <v>46</v>
      </c>
      <c r="B5608" t="s">
        <v>66</v>
      </c>
      <c r="C5608" t="s">
        <v>88</v>
      </c>
      <c r="D5608" t="s">
        <v>76</v>
      </c>
      <c r="E5608" t="s">
        <v>126</v>
      </c>
      <c r="F5608" t="s">
        <v>160</v>
      </c>
      <c r="G5608" t="s">
        <v>186</v>
      </c>
      <c r="H5608" t="s">
        <v>217</v>
      </c>
      <c r="I5608" t="s">
        <v>238</v>
      </c>
      <c r="J5608" t="s">
        <v>256</v>
      </c>
      <c r="K5608" t="s">
        <v>265</v>
      </c>
      <c r="L5608" t="s">
        <v>281</v>
      </c>
      <c r="M5608" t="s">
        <v>290</v>
      </c>
      <c r="N5608" t="s">
        <v>299</v>
      </c>
      <c r="O5608" t="s">
        <v>308</v>
      </c>
      <c r="P5608" t="s">
        <v>228</v>
      </c>
      <c r="Q5608" t="s">
        <v>72</v>
      </c>
      <c r="R5608" t="s">
        <v>327</v>
      </c>
      <c r="S5608" t="s">
        <v>327</v>
      </c>
      <c r="T5608" t="s">
        <v>336</v>
      </c>
      <c r="U5608" t="s">
        <v>336</v>
      </c>
      <c r="V5608" t="s">
        <v>336</v>
      </c>
      <c r="W5608" t="s">
        <v>336</v>
      </c>
      <c r="X5608" t="s">
        <v>353</v>
      </c>
      <c r="AK5608" t="s">
        <v>362</v>
      </c>
    </row>
    <row r="5609" spans="1:37">
      <c r="B5609" t="s">
        <v>67</v>
      </c>
      <c r="C5609" t="s">
        <v>89</v>
      </c>
      <c r="D5609" t="s">
        <v>107</v>
      </c>
      <c r="AK5609" t="s">
        <v>362</v>
      </c>
    </row>
    <row r="5610" spans="1:37">
      <c r="B5610" t="s">
        <v>68</v>
      </c>
      <c r="C5610" t="s">
        <v>90</v>
      </c>
      <c r="D5610" t="s">
        <v>108</v>
      </c>
      <c r="AK5610" t="s">
        <v>362</v>
      </c>
    </row>
    <row r="5611" spans="1:37">
      <c r="A5611" t="s">
        <v>47</v>
      </c>
      <c r="B5611" t="s">
        <v>69</v>
      </c>
      <c r="C5611" t="s">
        <v>91</v>
      </c>
      <c r="D5611" t="s">
        <v>109</v>
      </c>
      <c r="E5611" t="s">
        <v>109</v>
      </c>
      <c r="F5611" t="s">
        <v>109</v>
      </c>
      <c r="G5611" t="s">
        <v>109</v>
      </c>
      <c r="H5611" t="s">
        <v>109</v>
      </c>
      <c r="I5611" t="s">
        <v>239</v>
      </c>
      <c r="AK5611" t="s">
        <v>362</v>
      </c>
    </row>
    <row r="5612" spans="1:37">
      <c r="B5612" t="s">
        <v>70</v>
      </c>
      <c r="C5612" t="s">
        <v>92</v>
      </c>
      <c r="D5612" t="s">
        <v>110</v>
      </c>
      <c r="E5612" t="s">
        <v>127</v>
      </c>
      <c r="F5612" t="s">
        <v>161</v>
      </c>
      <c r="G5612" t="s">
        <v>187</v>
      </c>
      <c r="H5612" t="s">
        <v>218</v>
      </c>
      <c r="AK5612" t="s">
        <v>362</v>
      </c>
    </row>
    <row r="5613" spans="1:37">
      <c r="B5613" t="s">
        <v>71</v>
      </c>
      <c r="C5613" t="s">
        <v>93</v>
      </c>
      <c r="D5613" t="s">
        <v>111</v>
      </c>
      <c r="E5613" t="s">
        <v>128</v>
      </c>
      <c r="F5613" t="s">
        <v>162</v>
      </c>
      <c r="G5613" t="s">
        <v>188</v>
      </c>
      <c r="H5613" t="s">
        <v>219</v>
      </c>
      <c r="I5613" t="s">
        <v>240</v>
      </c>
      <c r="J5613" t="s">
        <v>257</v>
      </c>
      <c r="K5613" t="s">
        <v>269</v>
      </c>
      <c r="L5613" t="s">
        <v>109</v>
      </c>
      <c r="M5613" t="s">
        <v>109</v>
      </c>
      <c r="N5613" t="s">
        <v>109</v>
      </c>
      <c r="O5613" t="s">
        <v>109</v>
      </c>
      <c r="P5613" t="s">
        <v>109</v>
      </c>
      <c r="Q5613" t="s">
        <v>321</v>
      </c>
      <c r="AK5613" t="s">
        <v>362</v>
      </c>
    </row>
    <row r="5614" spans="1:37">
      <c r="A5614" t="s">
        <v>48</v>
      </c>
      <c r="B5614" t="s">
        <v>71</v>
      </c>
      <c r="C5614" t="s">
        <v>93</v>
      </c>
      <c r="D5614" t="s">
        <v>111</v>
      </c>
      <c r="E5614" t="s">
        <v>128</v>
      </c>
      <c r="F5614" t="s">
        <v>163</v>
      </c>
      <c r="G5614" t="s">
        <v>189</v>
      </c>
      <c r="H5614" t="s">
        <v>220</v>
      </c>
      <c r="I5614" t="s">
        <v>241</v>
      </c>
      <c r="J5614" t="s">
        <v>258</v>
      </c>
      <c r="K5614" t="s">
        <v>270</v>
      </c>
      <c r="AK5614" t="s">
        <v>362</v>
      </c>
    </row>
    <row r="5615" spans="1:37">
      <c r="B5615" t="s">
        <v>72</v>
      </c>
      <c r="C5615" t="s">
        <v>72</v>
      </c>
      <c r="D5615" t="s">
        <v>72</v>
      </c>
      <c r="E5615" t="s">
        <v>72</v>
      </c>
      <c r="F5615" t="s">
        <v>72</v>
      </c>
      <c r="G5615" t="s">
        <v>72</v>
      </c>
      <c r="H5615" t="s">
        <v>72</v>
      </c>
      <c r="I5615" t="s">
        <v>72</v>
      </c>
      <c r="J5615" t="s">
        <v>72</v>
      </c>
      <c r="K5615" t="s">
        <v>272</v>
      </c>
      <c r="AK5615" t="s">
        <v>362</v>
      </c>
    </row>
    <row r="5616" spans="1:37">
      <c r="A5616" t="s">
        <v>37</v>
      </c>
      <c r="B5616" t="s">
        <v>49</v>
      </c>
      <c r="C5616" t="s">
        <v>73</v>
      </c>
      <c r="D5616" t="s">
        <v>94</v>
      </c>
      <c r="E5616" t="s">
        <v>112</v>
      </c>
      <c r="F5616" t="s">
        <v>146</v>
      </c>
      <c r="G5616" t="s">
        <v>172</v>
      </c>
      <c r="H5616" t="s">
        <v>207</v>
      </c>
      <c r="I5616" t="s">
        <v>226</v>
      </c>
      <c r="J5616" t="s">
        <v>246</v>
      </c>
      <c r="K5616" t="s">
        <v>259</v>
      </c>
      <c r="AK5616" t="s">
        <v>362</v>
      </c>
    </row>
    <row r="5617" spans="1:37">
      <c r="A5617" t="s">
        <v>38</v>
      </c>
      <c r="B5617" t="s">
        <v>50</v>
      </c>
      <c r="C5617" t="s">
        <v>74</v>
      </c>
      <c r="D5617" t="s">
        <v>95</v>
      </c>
      <c r="E5617" t="s">
        <v>113</v>
      </c>
      <c r="F5617" t="s">
        <v>147</v>
      </c>
      <c r="G5617" t="s">
        <v>173</v>
      </c>
      <c r="H5617" t="s">
        <v>208</v>
      </c>
      <c r="I5617" t="s">
        <v>227</v>
      </c>
      <c r="J5617" t="s">
        <v>115</v>
      </c>
      <c r="K5617" t="s">
        <v>260</v>
      </c>
      <c r="L5617" t="s">
        <v>273</v>
      </c>
      <c r="M5617" t="s">
        <v>282</v>
      </c>
      <c r="N5617" t="s">
        <v>291</v>
      </c>
      <c r="AK5617" t="s">
        <v>362</v>
      </c>
    </row>
    <row r="5618" spans="1:37">
      <c r="B5618" t="s">
        <v>51</v>
      </c>
      <c r="C5618" t="s">
        <v>75</v>
      </c>
      <c r="D5618" t="s">
        <v>52</v>
      </c>
      <c r="E5618" t="s">
        <v>114</v>
      </c>
      <c r="F5618" t="s">
        <v>148</v>
      </c>
      <c r="G5618" t="s">
        <v>148</v>
      </c>
      <c r="H5618" t="s">
        <v>209</v>
      </c>
      <c r="I5618" t="s">
        <v>228</v>
      </c>
      <c r="J5618" t="s">
        <v>247</v>
      </c>
      <c r="K5618" t="s">
        <v>261</v>
      </c>
      <c r="L5618" t="s">
        <v>274</v>
      </c>
      <c r="M5618" t="s">
        <v>283</v>
      </c>
      <c r="N5618" t="s">
        <v>292</v>
      </c>
      <c r="O5618" t="s">
        <v>300</v>
      </c>
      <c r="AK5618" t="s">
        <v>362</v>
      </c>
    </row>
    <row r="5619" spans="1:37">
      <c r="B5619" t="s">
        <v>52</v>
      </c>
      <c r="C5619" t="s">
        <v>76</v>
      </c>
      <c r="D5619" t="s">
        <v>96</v>
      </c>
      <c r="E5619" t="s">
        <v>115</v>
      </c>
      <c r="F5619" t="s">
        <v>149</v>
      </c>
      <c r="G5619" t="s">
        <v>174</v>
      </c>
      <c r="H5619" t="s">
        <v>96</v>
      </c>
      <c r="I5619" t="s">
        <v>229</v>
      </c>
      <c r="J5619" t="s">
        <v>248</v>
      </c>
      <c r="K5619" t="s">
        <v>262</v>
      </c>
      <c r="L5619" t="s">
        <v>52</v>
      </c>
      <c r="M5619" t="s">
        <v>76</v>
      </c>
      <c r="N5619" t="s">
        <v>293</v>
      </c>
      <c r="O5619" t="s">
        <v>301</v>
      </c>
      <c r="P5619" t="s">
        <v>309</v>
      </c>
      <c r="Q5619" t="s">
        <v>315</v>
      </c>
      <c r="R5619" t="s">
        <v>228</v>
      </c>
      <c r="S5619" t="s">
        <v>328</v>
      </c>
      <c r="T5619" t="s">
        <v>149</v>
      </c>
      <c r="U5619" t="s">
        <v>337</v>
      </c>
      <c r="V5619" t="s">
        <v>341</v>
      </c>
      <c r="W5619" t="s">
        <v>345</v>
      </c>
      <c r="X5619" t="s">
        <v>350</v>
      </c>
      <c r="AK5619" t="s">
        <v>362</v>
      </c>
    </row>
    <row r="5620" spans="1:37">
      <c r="B5620" t="s">
        <v>53</v>
      </c>
      <c r="C5620" t="s">
        <v>77</v>
      </c>
      <c r="D5620" t="s">
        <v>97</v>
      </c>
      <c r="E5620" t="s">
        <v>116</v>
      </c>
      <c r="F5620" t="s">
        <v>150</v>
      </c>
      <c r="G5620" t="s">
        <v>175</v>
      </c>
      <c r="H5620" t="s">
        <v>210</v>
      </c>
      <c r="I5620" t="s">
        <v>230</v>
      </c>
      <c r="J5620" t="s">
        <v>249</v>
      </c>
      <c r="K5620" t="s">
        <v>263</v>
      </c>
      <c r="L5620" t="s">
        <v>275</v>
      </c>
      <c r="M5620" t="s">
        <v>284</v>
      </c>
      <c r="N5620" t="s">
        <v>294</v>
      </c>
      <c r="O5620" t="s">
        <v>302</v>
      </c>
      <c r="P5620" t="s">
        <v>310</v>
      </c>
      <c r="Q5620" t="s">
        <v>316</v>
      </c>
      <c r="R5620" t="s">
        <v>322</v>
      </c>
      <c r="S5620" t="s">
        <v>329</v>
      </c>
      <c r="AK5620" t="s">
        <v>362</v>
      </c>
    </row>
    <row r="5621" spans="1:37">
      <c r="A5621" t="s">
        <v>39</v>
      </c>
      <c r="B5621" t="s">
        <v>54</v>
      </c>
      <c r="C5621" t="s">
        <v>54</v>
      </c>
      <c r="D5621" t="s">
        <v>54</v>
      </c>
      <c r="E5621" t="s">
        <v>54</v>
      </c>
      <c r="F5621" t="s">
        <v>54</v>
      </c>
      <c r="G5621" t="s">
        <v>54</v>
      </c>
      <c r="H5621" t="s">
        <v>54</v>
      </c>
      <c r="I5621" t="s">
        <v>54</v>
      </c>
      <c r="J5621" t="s">
        <v>54</v>
      </c>
      <c r="K5621" t="s">
        <v>54</v>
      </c>
      <c r="L5621" t="s">
        <v>54</v>
      </c>
      <c r="M5621" t="s">
        <v>54</v>
      </c>
      <c r="N5621" t="s">
        <v>54</v>
      </c>
      <c r="O5621" t="s">
        <v>54</v>
      </c>
      <c r="P5621" t="s">
        <v>54</v>
      </c>
      <c r="Q5621" t="s">
        <v>54</v>
      </c>
      <c r="R5621" t="s">
        <v>323</v>
      </c>
      <c r="S5621" t="s">
        <v>330</v>
      </c>
      <c r="AK5621" t="s">
        <v>362</v>
      </c>
    </row>
    <row r="5622" spans="1:37">
      <c r="B5622" t="s">
        <v>55</v>
      </c>
      <c r="C5622" t="s">
        <v>78</v>
      </c>
      <c r="D5622" t="s">
        <v>55</v>
      </c>
      <c r="E5622" t="s">
        <v>78</v>
      </c>
      <c r="F5622" t="s">
        <v>55</v>
      </c>
      <c r="G5622" t="s">
        <v>78</v>
      </c>
      <c r="H5622" t="s">
        <v>55</v>
      </c>
      <c r="I5622" t="s">
        <v>78</v>
      </c>
      <c r="J5622" t="s">
        <v>55</v>
      </c>
      <c r="K5622" t="s">
        <v>78</v>
      </c>
      <c r="L5622" t="s">
        <v>55</v>
      </c>
      <c r="M5622" t="s">
        <v>78</v>
      </c>
      <c r="N5622" t="s">
        <v>55</v>
      </c>
      <c r="O5622" t="s">
        <v>78</v>
      </c>
      <c r="P5622" t="s">
        <v>55</v>
      </c>
      <c r="Q5622" t="s">
        <v>78</v>
      </c>
      <c r="R5622" t="s">
        <v>55</v>
      </c>
      <c r="S5622" t="s">
        <v>78</v>
      </c>
      <c r="T5622" t="s">
        <v>55</v>
      </c>
      <c r="U5622" t="s">
        <v>78</v>
      </c>
      <c r="V5622" t="s">
        <v>55</v>
      </c>
      <c r="W5622" t="s">
        <v>78</v>
      </c>
      <c r="X5622" t="s">
        <v>55</v>
      </c>
      <c r="Y5622" t="s">
        <v>78</v>
      </c>
      <c r="Z5622" t="s">
        <v>55</v>
      </c>
      <c r="AA5622" t="s">
        <v>78</v>
      </c>
      <c r="AB5622" t="s">
        <v>55</v>
      </c>
      <c r="AC5622" t="s">
        <v>78</v>
      </c>
      <c r="AD5622" t="s">
        <v>55</v>
      </c>
      <c r="AE5622" t="s">
        <v>78</v>
      </c>
      <c r="AF5622" t="s">
        <v>55</v>
      </c>
      <c r="AG5622" t="s">
        <v>78</v>
      </c>
      <c r="AH5622" t="s">
        <v>55</v>
      </c>
      <c r="AI5622" t="s">
        <v>78</v>
      </c>
      <c r="AK5622" t="s">
        <v>362</v>
      </c>
    </row>
    <row r="5623" spans="1:37">
      <c r="B5623" t="s">
        <v>56</v>
      </c>
      <c r="C5623" t="s">
        <v>56</v>
      </c>
      <c r="D5623" t="s">
        <v>56</v>
      </c>
      <c r="E5623" t="s">
        <v>56</v>
      </c>
      <c r="F5623" t="s">
        <v>56</v>
      </c>
      <c r="G5623" t="s">
        <v>176</v>
      </c>
      <c r="H5623" t="s">
        <v>211</v>
      </c>
      <c r="I5623" t="s">
        <v>231</v>
      </c>
      <c r="J5623" t="s">
        <v>250</v>
      </c>
      <c r="K5623" t="s">
        <v>264</v>
      </c>
      <c r="L5623" t="s">
        <v>276</v>
      </c>
      <c r="M5623" t="s">
        <v>285</v>
      </c>
      <c r="N5623" t="s">
        <v>295</v>
      </c>
      <c r="O5623" t="s">
        <v>303</v>
      </c>
      <c r="P5623" t="s">
        <v>56</v>
      </c>
      <c r="Q5623" t="s">
        <v>317</v>
      </c>
      <c r="R5623" t="s">
        <v>324</v>
      </c>
      <c r="S5623" t="s">
        <v>331</v>
      </c>
      <c r="T5623" t="s">
        <v>334</v>
      </c>
      <c r="U5623" t="s">
        <v>338</v>
      </c>
      <c r="V5623" t="s">
        <v>342</v>
      </c>
      <c r="W5623" t="s">
        <v>346</v>
      </c>
      <c r="X5623" t="s">
        <v>351</v>
      </c>
      <c r="AK5623" t="s">
        <v>362</v>
      </c>
    </row>
    <row r="5624" spans="1:37">
      <c r="B5624" t="s">
        <v>57</v>
      </c>
      <c r="C5624" t="s">
        <v>79</v>
      </c>
      <c r="D5624" t="s">
        <v>98</v>
      </c>
      <c r="E5624" t="s">
        <v>117</v>
      </c>
      <c r="F5624" t="s">
        <v>151</v>
      </c>
      <c r="G5624" t="s">
        <v>177</v>
      </c>
      <c r="H5624" t="s">
        <v>212</v>
      </c>
      <c r="I5624" t="s">
        <v>232</v>
      </c>
      <c r="J5624" t="s">
        <v>251</v>
      </c>
      <c r="K5624" t="s">
        <v>265</v>
      </c>
      <c r="L5624" t="s">
        <v>277</v>
      </c>
      <c r="M5624" t="s">
        <v>286</v>
      </c>
      <c r="N5624" t="s">
        <v>296</v>
      </c>
      <c r="O5624" t="s">
        <v>304</v>
      </c>
      <c r="P5624" t="s">
        <v>311</v>
      </c>
      <c r="Q5624" t="s">
        <v>318</v>
      </c>
      <c r="R5624" t="s">
        <v>185</v>
      </c>
      <c r="S5624" t="s">
        <v>159</v>
      </c>
      <c r="T5624" t="s">
        <v>185</v>
      </c>
      <c r="U5624" t="s">
        <v>339</v>
      </c>
      <c r="V5624" t="s">
        <v>72</v>
      </c>
      <c r="W5624" t="s">
        <v>347</v>
      </c>
      <c r="X5624" t="s">
        <v>72</v>
      </c>
      <c r="Y5624" t="s">
        <v>96</v>
      </c>
      <c r="AK5624" t="s">
        <v>362</v>
      </c>
    </row>
    <row r="5625" spans="1:37">
      <c r="B5625" t="s">
        <v>58</v>
      </c>
      <c r="C5625" t="s">
        <v>80</v>
      </c>
      <c r="D5625" t="s">
        <v>99</v>
      </c>
      <c r="E5625" t="s">
        <v>118</v>
      </c>
      <c r="F5625" t="s">
        <v>152</v>
      </c>
      <c r="G5625" t="s">
        <v>178</v>
      </c>
      <c r="H5625" t="s">
        <v>213</v>
      </c>
      <c r="I5625" t="s">
        <v>233</v>
      </c>
      <c r="J5625" t="s">
        <v>252</v>
      </c>
      <c r="K5625" t="s">
        <v>266</v>
      </c>
      <c r="L5625" t="s">
        <v>278</v>
      </c>
      <c r="M5625" t="s">
        <v>287</v>
      </c>
      <c r="N5625" t="s">
        <v>297</v>
      </c>
      <c r="O5625" t="s">
        <v>305</v>
      </c>
      <c r="P5625" t="s">
        <v>312</v>
      </c>
      <c r="Q5625" t="s">
        <v>319</v>
      </c>
      <c r="R5625">
        <f>&gt;10       ветра      1.0     12  10 14</f>
        <v>0</v>
      </c>
      <c r="AK5625" t="s">
        <v>362</v>
      </c>
    </row>
    <row r="5626" spans="1:37">
      <c r="A5626" t="s">
        <v>40</v>
      </c>
      <c r="B5626" t="s">
        <v>59</v>
      </c>
      <c r="C5626" t="s">
        <v>81</v>
      </c>
      <c r="D5626" t="s">
        <v>100</v>
      </c>
      <c r="E5626" t="s">
        <v>119</v>
      </c>
      <c r="F5626" t="s">
        <v>153</v>
      </c>
      <c r="G5626" t="s">
        <v>179</v>
      </c>
      <c r="H5626" t="s">
        <v>214</v>
      </c>
      <c r="I5626" t="s">
        <v>234</v>
      </c>
      <c r="AK5626" t="s">
        <v>362</v>
      </c>
    </row>
    <row r="5627" spans="1:37">
      <c r="A5627" t="s">
        <v>40</v>
      </c>
      <c r="B5627" t="s">
        <v>60</v>
      </c>
      <c r="C5627" t="s">
        <v>82</v>
      </c>
      <c r="D5627" t="s">
        <v>101</v>
      </c>
      <c r="E5627" t="s">
        <v>120</v>
      </c>
      <c r="F5627" t="s">
        <v>154</v>
      </c>
      <c r="G5627" t="s">
        <v>180</v>
      </c>
      <c r="H5627" t="s">
        <v>215</v>
      </c>
      <c r="I5627" t="s">
        <v>235</v>
      </c>
      <c r="J5627" t="s">
        <v>253</v>
      </c>
      <c r="K5627" t="s">
        <v>267</v>
      </c>
      <c r="L5627" t="s">
        <v>279</v>
      </c>
      <c r="M5627" t="s">
        <v>288</v>
      </c>
      <c r="N5627" t="s">
        <v>100</v>
      </c>
      <c r="O5627" t="s">
        <v>306</v>
      </c>
      <c r="P5627" t="s">
        <v>313</v>
      </c>
      <c r="Q5627" t="s">
        <v>320</v>
      </c>
      <c r="R5627" t="s">
        <v>325</v>
      </c>
      <c r="S5627" t="s">
        <v>332</v>
      </c>
      <c r="T5627" t="s">
        <v>119</v>
      </c>
      <c r="U5627" t="s">
        <v>234</v>
      </c>
      <c r="V5627" t="s">
        <v>343</v>
      </c>
      <c r="W5627" t="s">
        <v>348</v>
      </c>
      <c r="X5627" t="s">
        <v>352</v>
      </c>
      <c r="Y5627" t="s">
        <v>354</v>
      </c>
      <c r="AK5627" t="s">
        <v>362</v>
      </c>
    </row>
    <row r="5628" spans="1:37">
      <c r="A5628" t="s">
        <v>41</v>
      </c>
      <c r="B5628" t="s">
        <v>61</v>
      </c>
      <c r="C5628" t="s">
        <v>83</v>
      </c>
      <c r="D5628" t="s">
        <v>102</v>
      </c>
      <c r="E5628" t="s">
        <v>121</v>
      </c>
      <c r="F5628" t="s">
        <v>155</v>
      </c>
      <c r="G5628" t="s">
        <v>181</v>
      </c>
      <c r="H5628" t="s">
        <v>216</v>
      </c>
      <c r="I5628" t="s">
        <v>236</v>
      </c>
      <c r="AK5628" t="s">
        <v>362</v>
      </c>
    </row>
    <row r="5629" spans="1:37">
      <c r="A5629" t="s">
        <v>42</v>
      </c>
      <c r="B5629" t="s">
        <v>62</v>
      </c>
      <c r="C5629" t="s">
        <v>84</v>
      </c>
      <c r="D5629" t="s">
        <v>103</v>
      </c>
      <c r="E5629" t="s">
        <v>122</v>
      </c>
      <c r="F5629" t="s">
        <v>156</v>
      </c>
      <c r="G5629" t="s">
        <v>182</v>
      </c>
      <c r="H5629" t="s">
        <v>83</v>
      </c>
      <c r="I5629" t="s">
        <v>237</v>
      </c>
      <c r="J5629" t="s">
        <v>254</v>
      </c>
      <c r="K5629" t="s">
        <v>268</v>
      </c>
      <c r="L5629" t="s">
        <v>280</v>
      </c>
      <c r="M5629" t="s">
        <v>289</v>
      </c>
      <c r="N5629" t="s">
        <v>298</v>
      </c>
      <c r="O5629" t="s">
        <v>307</v>
      </c>
      <c r="P5629" t="s">
        <v>314</v>
      </c>
      <c r="Q5629" t="s">
        <v>216</v>
      </c>
      <c r="R5629" t="s">
        <v>326</v>
      </c>
      <c r="S5629" t="s">
        <v>333</v>
      </c>
      <c r="T5629" t="s">
        <v>335</v>
      </c>
      <c r="U5629" t="s">
        <v>340</v>
      </c>
      <c r="V5629" t="s">
        <v>344</v>
      </c>
      <c r="W5629" t="s">
        <v>349</v>
      </c>
      <c r="AK5629" t="s">
        <v>362</v>
      </c>
    </row>
    <row r="5630" spans="1:37">
      <c r="A5630" t="s">
        <v>43</v>
      </c>
      <c r="B5630" t="s">
        <v>63</v>
      </c>
      <c r="C5630" t="s">
        <v>85</v>
      </c>
      <c r="D5630" t="s">
        <v>104</v>
      </c>
      <c r="E5630" t="s">
        <v>123</v>
      </c>
      <c r="F5630" t="s">
        <v>157</v>
      </c>
      <c r="G5630" t="s">
        <v>183</v>
      </c>
      <c r="AK5630" t="s">
        <v>362</v>
      </c>
    </row>
    <row r="5631" spans="1:37">
      <c r="A5631" t="s">
        <v>44</v>
      </c>
      <c r="B5631" t="s">
        <v>64</v>
      </c>
      <c r="C5631" t="s">
        <v>86</v>
      </c>
      <c r="D5631" t="s">
        <v>105</v>
      </c>
      <c r="E5631" t="s">
        <v>124</v>
      </c>
      <c r="F5631" t="s">
        <v>158</v>
      </c>
      <c r="G5631" t="s">
        <v>184</v>
      </c>
      <c r="AK5631" t="s">
        <v>362</v>
      </c>
    </row>
    <row r="5632" spans="1:37">
      <c r="A5632" t="s">
        <v>45</v>
      </c>
      <c r="B5632" t="s">
        <v>65</v>
      </c>
      <c r="C5632" t="s">
        <v>87</v>
      </c>
      <c r="D5632" t="s">
        <v>106</v>
      </c>
      <c r="E5632" t="s">
        <v>125</v>
      </c>
      <c r="F5632" t="s">
        <v>159</v>
      </c>
      <c r="G5632" t="s">
        <v>185</v>
      </c>
      <c r="H5632" t="s">
        <v>159</v>
      </c>
      <c r="I5632" t="s">
        <v>185</v>
      </c>
      <c r="J5632" t="s">
        <v>255</v>
      </c>
      <c r="AK5632" t="s">
        <v>362</v>
      </c>
    </row>
    <row r="5633" spans="1:37">
      <c r="A5633" t="s">
        <v>46</v>
      </c>
      <c r="B5633" t="s">
        <v>66</v>
      </c>
      <c r="C5633" t="s">
        <v>88</v>
      </c>
      <c r="D5633" t="s">
        <v>76</v>
      </c>
      <c r="E5633" t="s">
        <v>126</v>
      </c>
      <c r="F5633" t="s">
        <v>160</v>
      </c>
      <c r="G5633" t="s">
        <v>186</v>
      </c>
      <c r="H5633" t="s">
        <v>217</v>
      </c>
      <c r="I5633" t="s">
        <v>238</v>
      </c>
      <c r="J5633" t="s">
        <v>256</v>
      </c>
      <c r="K5633" t="s">
        <v>265</v>
      </c>
      <c r="L5633" t="s">
        <v>281</v>
      </c>
      <c r="M5633" t="s">
        <v>290</v>
      </c>
      <c r="N5633" t="s">
        <v>299</v>
      </c>
      <c r="O5633" t="s">
        <v>308</v>
      </c>
      <c r="P5633" t="s">
        <v>228</v>
      </c>
      <c r="Q5633" t="s">
        <v>72</v>
      </c>
      <c r="R5633" t="s">
        <v>327</v>
      </c>
      <c r="S5633" t="s">
        <v>327</v>
      </c>
      <c r="T5633" t="s">
        <v>336</v>
      </c>
      <c r="U5633" t="s">
        <v>336</v>
      </c>
      <c r="V5633" t="s">
        <v>336</v>
      </c>
      <c r="W5633" t="s">
        <v>336</v>
      </c>
      <c r="X5633" t="s">
        <v>353</v>
      </c>
      <c r="AK5633" t="s">
        <v>362</v>
      </c>
    </row>
    <row r="5634" spans="1:37">
      <c r="B5634" t="s">
        <v>67</v>
      </c>
      <c r="C5634" t="s">
        <v>89</v>
      </c>
      <c r="D5634" t="s">
        <v>107</v>
      </c>
      <c r="AK5634" t="s">
        <v>362</v>
      </c>
    </row>
    <row r="5635" spans="1:37">
      <c r="B5635" t="s">
        <v>68</v>
      </c>
      <c r="C5635" t="s">
        <v>90</v>
      </c>
      <c r="D5635" t="s">
        <v>108</v>
      </c>
      <c r="AK5635" t="s">
        <v>362</v>
      </c>
    </row>
    <row r="5636" spans="1:37">
      <c r="A5636" t="s">
        <v>47</v>
      </c>
      <c r="B5636" t="s">
        <v>69</v>
      </c>
      <c r="C5636" t="s">
        <v>91</v>
      </c>
      <c r="D5636" t="s">
        <v>109</v>
      </c>
      <c r="E5636" t="s">
        <v>109</v>
      </c>
      <c r="F5636" t="s">
        <v>109</v>
      </c>
      <c r="G5636" t="s">
        <v>109</v>
      </c>
      <c r="H5636" t="s">
        <v>109</v>
      </c>
      <c r="I5636" t="s">
        <v>239</v>
      </c>
      <c r="AK5636" t="s">
        <v>362</v>
      </c>
    </row>
    <row r="5637" spans="1:37">
      <c r="B5637" t="s">
        <v>70</v>
      </c>
      <c r="C5637" t="s">
        <v>92</v>
      </c>
      <c r="D5637" t="s">
        <v>110</v>
      </c>
      <c r="E5637" t="s">
        <v>127</v>
      </c>
      <c r="F5637" t="s">
        <v>161</v>
      </c>
      <c r="G5637" t="s">
        <v>187</v>
      </c>
      <c r="H5637" t="s">
        <v>218</v>
      </c>
      <c r="AK5637" t="s">
        <v>362</v>
      </c>
    </row>
    <row r="5638" spans="1:37">
      <c r="B5638" t="s">
        <v>71</v>
      </c>
      <c r="C5638" t="s">
        <v>93</v>
      </c>
      <c r="D5638" t="s">
        <v>111</v>
      </c>
      <c r="E5638" t="s">
        <v>128</v>
      </c>
      <c r="F5638" t="s">
        <v>162</v>
      </c>
      <c r="G5638" t="s">
        <v>188</v>
      </c>
      <c r="H5638" t="s">
        <v>219</v>
      </c>
      <c r="I5638" t="s">
        <v>240</v>
      </c>
      <c r="J5638" t="s">
        <v>257</v>
      </c>
      <c r="K5638" t="s">
        <v>269</v>
      </c>
      <c r="L5638" t="s">
        <v>109</v>
      </c>
      <c r="M5638" t="s">
        <v>109</v>
      </c>
      <c r="N5638" t="s">
        <v>109</v>
      </c>
      <c r="O5638" t="s">
        <v>109</v>
      </c>
      <c r="P5638" t="s">
        <v>109</v>
      </c>
      <c r="Q5638" t="s">
        <v>321</v>
      </c>
      <c r="AK5638" t="s">
        <v>362</v>
      </c>
    </row>
    <row r="5639" spans="1:37">
      <c r="A5639" t="s">
        <v>48</v>
      </c>
      <c r="B5639" t="s">
        <v>71</v>
      </c>
      <c r="C5639" t="s">
        <v>93</v>
      </c>
      <c r="D5639" t="s">
        <v>111</v>
      </c>
      <c r="E5639" t="s">
        <v>128</v>
      </c>
      <c r="F5639" t="s">
        <v>163</v>
      </c>
      <c r="G5639" t="s">
        <v>189</v>
      </c>
      <c r="H5639" t="s">
        <v>220</v>
      </c>
      <c r="I5639" t="s">
        <v>241</v>
      </c>
      <c r="J5639" t="s">
        <v>258</v>
      </c>
      <c r="K5639" t="s">
        <v>270</v>
      </c>
      <c r="AK5639" t="s">
        <v>362</v>
      </c>
    </row>
    <row r="5640" spans="1:37">
      <c r="B5640" t="s">
        <v>72</v>
      </c>
      <c r="C5640" t="s">
        <v>72</v>
      </c>
      <c r="D5640" t="s">
        <v>72</v>
      </c>
      <c r="E5640" t="s">
        <v>72</v>
      </c>
      <c r="F5640" t="s">
        <v>72</v>
      </c>
      <c r="G5640" t="s">
        <v>72</v>
      </c>
      <c r="H5640" t="s">
        <v>72</v>
      </c>
      <c r="I5640" t="s">
        <v>72</v>
      </c>
      <c r="J5640" t="s">
        <v>72</v>
      </c>
      <c r="K5640" t="s">
        <v>272</v>
      </c>
      <c r="AK5640" t="s">
        <v>362</v>
      </c>
    </row>
    <row r="5641" spans="1:37">
      <c r="A5641" t="s">
        <v>37</v>
      </c>
      <c r="B5641" t="s">
        <v>49</v>
      </c>
      <c r="C5641" t="s">
        <v>73</v>
      </c>
      <c r="D5641" t="s">
        <v>94</v>
      </c>
      <c r="E5641" t="s">
        <v>112</v>
      </c>
      <c r="F5641" t="s">
        <v>146</v>
      </c>
      <c r="G5641" t="s">
        <v>172</v>
      </c>
      <c r="H5641" t="s">
        <v>207</v>
      </c>
      <c r="I5641" t="s">
        <v>226</v>
      </c>
      <c r="J5641" t="s">
        <v>246</v>
      </c>
      <c r="K5641" t="s">
        <v>259</v>
      </c>
      <c r="AK5641" t="s">
        <v>362</v>
      </c>
    </row>
    <row r="5642" spans="1:37">
      <c r="A5642" t="s">
        <v>38</v>
      </c>
      <c r="B5642" t="s">
        <v>50</v>
      </c>
      <c r="C5642" t="s">
        <v>74</v>
      </c>
      <c r="D5642" t="s">
        <v>95</v>
      </c>
      <c r="E5642" t="s">
        <v>113</v>
      </c>
      <c r="F5642" t="s">
        <v>147</v>
      </c>
      <c r="G5642" t="s">
        <v>173</v>
      </c>
      <c r="H5642" t="s">
        <v>208</v>
      </c>
      <c r="I5642" t="s">
        <v>227</v>
      </c>
      <c r="J5642" t="s">
        <v>115</v>
      </c>
      <c r="K5642" t="s">
        <v>260</v>
      </c>
      <c r="L5642" t="s">
        <v>273</v>
      </c>
      <c r="M5642" t="s">
        <v>282</v>
      </c>
      <c r="N5642" t="s">
        <v>291</v>
      </c>
      <c r="AK5642" t="s">
        <v>362</v>
      </c>
    </row>
    <row r="5643" spans="1:37">
      <c r="B5643" t="s">
        <v>51</v>
      </c>
      <c r="C5643" t="s">
        <v>75</v>
      </c>
      <c r="D5643" t="s">
        <v>52</v>
      </c>
      <c r="E5643" t="s">
        <v>114</v>
      </c>
      <c r="F5643" t="s">
        <v>148</v>
      </c>
      <c r="G5643" t="s">
        <v>148</v>
      </c>
      <c r="H5643" t="s">
        <v>209</v>
      </c>
      <c r="I5643" t="s">
        <v>228</v>
      </c>
      <c r="J5643" t="s">
        <v>247</v>
      </c>
      <c r="K5643" t="s">
        <v>261</v>
      </c>
      <c r="L5643" t="s">
        <v>274</v>
      </c>
      <c r="M5643" t="s">
        <v>283</v>
      </c>
      <c r="N5643" t="s">
        <v>292</v>
      </c>
      <c r="O5643" t="s">
        <v>300</v>
      </c>
      <c r="AK5643" t="s">
        <v>362</v>
      </c>
    </row>
    <row r="5644" spans="1:37">
      <c r="B5644" t="s">
        <v>52</v>
      </c>
      <c r="C5644" t="s">
        <v>76</v>
      </c>
      <c r="D5644" t="s">
        <v>96</v>
      </c>
      <c r="E5644" t="s">
        <v>115</v>
      </c>
      <c r="F5644" t="s">
        <v>149</v>
      </c>
      <c r="G5644" t="s">
        <v>174</v>
      </c>
      <c r="H5644" t="s">
        <v>96</v>
      </c>
      <c r="I5644" t="s">
        <v>229</v>
      </c>
      <c r="J5644" t="s">
        <v>248</v>
      </c>
      <c r="K5644" t="s">
        <v>262</v>
      </c>
      <c r="L5644" t="s">
        <v>52</v>
      </c>
      <c r="M5644" t="s">
        <v>76</v>
      </c>
      <c r="N5644" t="s">
        <v>293</v>
      </c>
      <c r="O5644" t="s">
        <v>301</v>
      </c>
      <c r="P5644" t="s">
        <v>309</v>
      </c>
      <c r="Q5644" t="s">
        <v>315</v>
      </c>
      <c r="R5644" t="s">
        <v>228</v>
      </c>
      <c r="S5644" t="s">
        <v>328</v>
      </c>
      <c r="T5644" t="s">
        <v>149</v>
      </c>
      <c r="U5644" t="s">
        <v>337</v>
      </c>
      <c r="V5644" t="s">
        <v>341</v>
      </c>
      <c r="W5644" t="s">
        <v>345</v>
      </c>
      <c r="X5644" t="s">
        <v>350</v>
      </c>
      <c r="AK5644" t="s">
        <v>362</v>
      </c>
    </row>
    <row r="5645" spans="1:37">
      <c r="B5645" t="s">
        <v>53</v>
      </c>
      <c r="C5645" t="s">
        <v>77</v>
      </c>
      <c r="D5645" t="s">
        <v>97</v>
      </c>
      <c r="E5645" t="s">
        <v>116</v>
      </c>
      <c r="F5645" t="s">
        <v>150</v>
      </c>
      <c r="G5645" t="s">
        <v>175</v>
      </c>
      <c r="H5645" t="s">
        <v>210</v>
      </c>
      <c r="I5645" t="s">
        <v>230</v>
      </c>
      <c r="J5645" t="s">
        <v>249</v>
      </c>
      <c r="K5645" t="s">
        <v>263</v>
      </c>
      <c r="L5645" t="s">
        <v>275</v>
      </c>
      <c r="M5645" t="s">
        <v>284</v>
      </c>
      <c r="N5645" t="s">
        <v>294</v>
      </c>
      <c r="O5645" t="s">
        <v>302</v>
      </c>
      <c r="P5645" t="s">
        <v>310</v>
      </c>
      <c r="Q5645" t="s">
        <v>316</v>
      </c>
      <c r="R5645" t="s">
        <v>322</v>
      </c>
      <c r="S5645" t="s">
        <v>329</v>
      </c>
      <c r="AK5645" t="s">
        <v>362</v>
      </c>
    </row>
    <row r="5646" spans="1:37">
      <c r="A5646" t="s">
        <v>39</v>
      </c>
      <c r="B5646" t="s">
        <v>54</v>
      </c>
      <c r="C5646" t="s">
        <v>54</v>
      </c>
      <c r="D5646" t="s">
        <v>54</v>
      </c>
      <c r="E5646" t="s">
        <v>54</v>
      </c>
      <c r="F5646" t="s">
        <v>54</v>
      </c>
      <c r="G5646" t="s">
        <v>54</v>
      </c>
      <c r="H5646" t="s">
        <v>54</v>
      </c>
      <c r="I5646" t="s">
        <v>54</v>
      </c>
      <c r="J5646" t="s">
        <v>54</v>
      </c>
      <c r="K5646" t="s">
        <v>54</v>
      </c>
      <c r="L5646" t="s">
        <v>54</v>
      </c>
      <c r="M5646" t="s">
        <v>54</v>
      </c>
      <c r="N5646" t="s">
        <v>54</v>
      </c>
      <c r="O5646" t="s">
        <v>54</v>
      </c>
      <c r="P5646" t="s">
        <v>54</v>
      </c>
      <c r="Q5646" t="s">
        <v>54</v>
      </c>
      <c r="R5646" t="s">
        <v>323</v>
      </c>
      <c r="S5646" t="s">
        <v>330</v>
      </c>
      <c r="AK5646" t="s">
        <v>362</v>
      </c>
    </row>
    <row r="5647" spans="1:37">
      <c r="B5647" t="s">
        <v>55</v>
      </c>
      <c r="C5647" t="s">
        <v>78</v>
      </c>
      <c r="D5647" t="s">
        <v>55</v>
      </c>
      <c r="E5647" t="s">
        <v>78</v>
      </c>
      <c r="F5647" t="s">
        <v>55</v>
      </c>
      <c r="G5647" t="s">
        <v>78</v>
      </c>
      <c r="H5647" t="s">
        <v>55</v>
      </c>
      <c r="I5647" t="s">
        <v>78</v>
      </c>
      <c r="J5647" t="s">
        <v>55</v>
      </c>
      <c r="K5647" t="s">
        <v>78</v>
      </c>
      <c r="L5647" t="s">
        <v>55</v>
      </c>
      <c r="M5647" t="s">
        <v>78</v>
      </c>
      <c r="N5647" t="s">
        <v>55</v>
      </c>
      <c r="O5647" t="s">
        <v>78</v>
      </c>
      <c r="P5647" t="s">
        <v>55</v>
      </c>
      <c r="Q5647" t="s">
        <v>78</v>
      </c>
      <c r="R5647" t="s">
        <v>55</v>
      </c>
      <c r="S5647" t="s">
        <v>78</v>
      </c>
      <c r="T5647" t="s">
        <v>55</v>
      </c>
      <c r="U5647" t="s">
        <v>78</v>
      </c>
      <c r="V5647" t="s">
        <v>55</v>
      </c>
      <c r="W5647" t="s">
        <v>78</v>
      </c>
      <c r="X5647" t="s">
        <v>55</v>
      </c>
      <c r="Y5647" t="s">
        <v>78</v>
      </c>
      <c r="Z5647" t="s">
        <v>55</v>
      </c>
      <c r="AA5647" t="s">
        <v>78</v>
      </c>
      <c r="AB5647" t="s">
        <v>55</v>
      </c>
      <c r="AC5647" t="s">
        <v>78</v>
      </c>
      <c r="AD5647" t="s">
        <v>55</v>
      </c>
      <c r="AE5647" t="s">
        <v>78</v>
      </c>
      <c r="AF5647" t="s">
        <v>55</v>
      </c>
      <c r="AG5647" t="s">
        <v>78</v>
      </c>
      <c r="AH5647" t="s">
        <v>55</v>
      </c>
      <c r="AI5647" t="s">
        <v>78</v>
      </c>
      <c r="AK5647" t="s">
        <v>362</v>
      </c>
    </row>
    <row r="5648" spans="1:37">
      <c r="B5648" t="s">
        <v>56</v>
      </c>
      <c r="C5648" t="s">
        <v>56</v>
      </c>
      <c r="D5648" t="s">
        <v>56</v>
      </c>
      <c r="E5648" t="s">
        <v>56</v>
      </c>
      <c r="F5648" t="s">
        <v>56</v>
      </c>
      <c r="G5648" t="s">
        <v>176</v>
      </c>
      <c r="H5648" t="s">
        <v>211</v>
      </c>
      <c r="I5648" t="s">
        <v>231</v>
      </c>
      <c r="J5648" t="s">
        <v>250</v>
      </c>
      <c r="K5648" t="s">
        <v>264</v>
      </c>
      <c r="L5648" t="s">
        <v>276</v>
      </c>
      <c r="M5648" t="s">
        <v>285</v>
      </c>
      <c r="N5648" t="s">
        <v>295</v>
      </c>
      <c r="O5648" t="s">
        <v>303</v>
      </c>
      <c r="P5648" t="s">
        <v>56</v>
      </c>
      <c r="Q5648" t="s">
        <v>317</v>
      </c>
      <c r="R5648" t="s">
        <v>324</v>
      </c>
      <c r="S5648" t="s">
        <v>331</v>
      </c>
      <c r="T5648" t="s">
        <v>334</v>
      </c>
      <c r="U5648" t="s">
        <v>338</v>
      </c>
      <c r="V5648" t="s">
        <v>342</v>
      </c>
      <c r="W5648" t="s">
        <v>346</v>
      </c>
      <c r="X5648" t="s">
        <v>351</v>
      </c>
      <c r="AK5648" t="s">
        <v>362</v>
      </c>
    </row>
    <row r="5649" spans="1:37">
      <c r="B5649" t="s">
        <v>57</v>
      </c>
      <c r="C5649" t="s">
        <v>79</v>
      </c>
      <c r="D5649" t="s">
        <v>98</v>
      </c>
      <c r="E5649" t="s">
        <v>117</v>
      </c>
      <c r="F5649" t="s">
        <v>151</v>
      </c>
      <c r="G5649" t="s">
        <v>177</v>
      </c>
      <c r="H5649" t="s">
        <v>212</v>
      </c>
      <c r="I5649" t="s">
        <v>232</v>
      </c>
      <c r="J5649" t="s">
        <v>251</v>
      </c>
      <c r="K5649" t="s">
        <v>265</v>
      </c>
      <c r="L5649" t="s">
        <v>277</v>
      </c>
      <c r="M5649" t="s">
        <v>286</v>
      </c>
      <c r="N5649" t="s">
        <v>296</v>
      </c>
      <c r="O5649" t="s">
        <v>304</v>
      </c>
      <c r="P5649" t="s">
        <v>311</v>
      </c>
      <c r="Q5649" t="s">
        <v>318</v>
      </c>
      <c r="R5649" t="s">
        <v>185</v>
      </c>
      <c r="S5649" t="s">
        <v>159</v>
      </c>
      <c r="T5649" t="s">
        <v>185</v>
      </c>
      <c r="U5649" t="s">
        <v>339</v>
      </c>
      <c r="V5649" t="s">
        <v>72</v>
      </c>
      <c r="W5649" t="s">
        <v>347</v>
      </c>
      <c r="X5649" t="s">
        <v>72</v>
      </c>
      <c r="Y5649" t="s">
        <v>96</v>
      </c>
      <c r="AK5649" t="s">
        <v>362</v>
      </c>
    </row>
    <row r="5650" spans="1:37">
      <c r="B5650" t="s">
        <v>58</v>
      </c>
      <c r="C5650" t="s">
        <v>80</v>
      </c>
      <c r="D5650" t="s">
        <v>99</v>
      </c>
      <c r="E5650" t="s">
        <v>118</v>
      </c>
      <c r="F5650" t="s">
        <v>152</v>
      </c>
      <c r="G5650" t="s">
        <v>178</v>
      </c>
      <c r="H5650" t="s">
        <v>213</v>
      </c>
      <c r="I5650" t="s">
        <v>233</v>
      </c>
      <c r="J5650" t="s">
        <v>252</v>
      </c>
      <c r="K5650" t="s">
        <v>266</v>
      </c>
      <c r="L5650" t="s">
        <v>278</v>
      </c>
      <c r="M5650" t="s">
        <v>287</v>
      </c>
      <c r="N5650" t="s">
        <v>297</v>
      </c>
      <c r="O5650" t="s">
        <v>305</v>
      </c>
      <c r="P5650" t="s">
        <v>312</v>
      </c>
      <c r="Q5650" t="s">
        <v>319</v>
      </c>
      <c r="R5650">
        <f>&gt;10       ветра      1.6     13  10</f>
        <v>0</v>
      </c>
      <c r="AK5650" t="s">
        <v>362</v>
      </c>
    </row>
    <row r="5651" spans="1:37">
      <c r="A5651" t="s">
        <v>40</v>
      </c>
      <c r="B5651" t="s">
        <v>59</v>
      </c>
      <c r="C5651" t="s">
        <v>81</v>
      </c>
      <c r="D5651" t="s">
        <v>100</v>
      </c>
      <c r="E5651" t="s">
        <v>119</v>
      </c>
      <c r="F5651" t="s">
        <v>153</v>
      </c>
      <c r="G5651" t="s">
        <v>179</v>
      </c>
      <c r="H5651" t="s">
        <v>214</v>
      </c>
      <c r="I5651" t="s">
        <v>234</v>
      </c>
      <c r="AK5651" t="s">
        <v>362</v>
      </c>
    </row>
    <row r="5652" spans="1:37">
      <c r="A5652" t="s">
        <v>40</v>
      </c>
      <c r="B5652" t="s">
        <v>60</v>
      </c>
      <c r="C5652" t="s">
        <v>82</v>
      </c>
      <c r="D5652" t="s">
        <v>101</v>
      </c>
      <c r="E5652" t="s">
        <v>120</v>
      </c>
      <c r="F5652" t="s">
        <v>154</v>
      </c>
      <c r="G5652" t="s">
        <v>180</v>
      </c>
      <c r="H5652" t="s">
        <v>215</v>
      </c>
      <c r="I5652" t="s">
        <v>235</v>
      </c>
      <c r="J5652" t="s">
        <v>253</v>
      </c>
      <c r="K5652" t="s">
        <v>267</v>
      </c>
      <c r="L5652" t="s">
        <v>279</v>
      </c>
      <c r="M5652" t="s">
        <v>288</v>
      </c>
      <c r="N5652" t="s">
        <v>100</v>
      </c>
      <c r="O5652" t="s">
        <v>306</v>
      </c>
      <c r="P5652" t="s">
        <v>313</v>
      </c>
      <c r="Q5652" t="s">
        <v>320</v>
      </c>
      <c r="R5652" t="s">
        <v>325</v>
      </c>
      <c r="S5652" t="s">
        <v>332</v>
      </c>
      <c r="T5652" t="s">
        <v>119</v>
      </c>
      <c r="U5652" t="s">
        <v>234</v>
      </c>
      <c r="V5652" t="s">
        <v>343</v>
      </c>
      <c r="W5652" t="s">
        <v>348</v>
      </c>
      <c r="X5652" t="s">
        <v>352</v>
      </c>
      <c r="Y5652" t="s">
        <v>354</v>
      </c>
      <c r="AK5652" t="s">
        <v>362</v>
      </c>
    </row>
    <row r="5653" spans="1:37">
      <c r="A5653" t="s">
        <v>41</v>
      </c>
      <c r="B5653" t="s">
        <v>61</v>
      </c>
      <c r="C5653" t="s">
        <v>83</v>
      </c>
      <c r="D5653" t="s">
        <v>102</v>
      </c>
      <c r="E5653" t="s">
        <v>121</v>
      </c>
      <c r="F5653" t="s">
        <v>155</v>
      </c>
      <c r="G5653" t="s">
        <v>181</v>
      </c>
      <c r="H5653" t="s">
        <v>216</v>
      </c>
      <c r="I5653" t="s">
        <v>236</v>
      </c>
      <c r="AK5653" t="s">
        <v>362</v>
      </c>
    </row>
    <row r="5654" spans="1:37">
      <c r="A5654" t="s">
        <v>42</v>
      </c>
      <c r="B5654" t="s">
        <v>62</v>
      </c>
      <c r="C5654" t="s">
        <v>84</v>
      </c>
      <c r="D5654" t="s">
        <v>103</v>
      </c>
      <c r="E5654" t="s">
        <v>122</v>
      </c>
      <c r="F5654" t="s">
        <v>156</v>
      </c>
      <c r="G5654" t="s">
        <v>182</v>
      </c>
      <c r="H5654" t="s">
        <v>83</v>
      </c>
      <c r="I5654" t="s">
        <v>237</v>
      </c>
      <c r="J5654" t="s">
        <v>254</v>
      </c>
      <c r="K5654" t="s">
        <v>268</v>
      </c>
      <c r="L5654" t="s">
        <v>280</v>
      </c>
      <c r="M5654" t="s">
        <v>289</v>
      </c>
      <c r="N5654" t="s">
        <v>298</v>
      </c>
      <c r="O5654" t="s">
        <v>307</v>
      </c>
      <c r="P5654" t="s">
        <v>314</v>
      </c>
      <c r="Q5654" t="s">
        <v>216</v>
      </c>
      <c r="R5654" t="s">
        <v>326</v>
      </c>
      <c r="S5654" t="s">
        <v>333</v>
      </c>
      <c r="T5654" t="s">
        <v>335</v>
      </c>
      <c r="U5654" t="s">
        <v>340</v>
      </c>
      <c r="V5654" t="s">
        <v>344</v>
      </c>
      <c r="W5654" t="s">
        <v>349</v>
      </c>
      <c r="AK5654" t="s">
        <v>362</v>
      </c>
    </row>
    <row r="5655" spans="1:37">
      <c r="A5655" t="s">
        <v>43</v>
      </c>
      <c r="B5655" t="s">
        <v>63</v>
      </c>
      <c r="C5655" t="s">
        <v>85</v>
      </c>
      <c r="D5655" t="s">
        <v>104</v>
      </c>
      <c r="E5655" t="s">
        <v>123</v>
      </c>
      <c r="F5655" t="s">
        <v>157</v>
      </c>
      <c r="G5655" t="s">
        <v>183</v>
      </c>
      <c r="AK5655" t="s">
        <v>362</v>
      </c>
    </row>
    <row r="5656" spans="1:37">
      <c r="A5656" t="s">
        <v>44</v>
      </c>
      <c r="B5656" t="s">
        <v>64</v>
      </c>
      <c r="C5656" t="s">
        <v>86</v>
      </c>
      <c r="D5656" t="s">
        <v>105</v>
      </c>
      <c r="E5656" t="s">
        <v>124</v>
      </c>
      <c r="F5656" t="s">
        <v>158</v>
      </c>
      <c r="G5656" t="s">
        <v>184</v>
      </c>
      <c r="AK5656" t="s">
        <v>362</v>
      </c>
    </row>
    <row r="5657" spans="1:37">
      <c r="A5657" t="s">
        <v>45</v>
      </c>
      <c r="B5657" t="s">
        <v>65</v>
      </c>
      <c r="C5657" t="s">
        <v>87</v>
      </c>
      <c r="D5657" t="s">
        <v>106</v>
      </c>
      <c r="E5657" t="s">
        <v>125</v>
      </c>
      <c r="F5657" t="s">
        <v>159</v>
      </c>
      <c r="G5657" t="s">
        <v>185</v>
      </c>
      <c r="H5657" t="s">
        <v>159</v>
      </c>
      <c r="I5657" t="s">
        <v>185</v>
      </c>
      <c r="J5657" t="s">
        <v>255</v>
      </c>
      <c r="AK5657" t="s">
        <v>362</v>
      </c>
    </row>
    <row r="5658" spans="1:37">
      <c r="A5658" t="s">
        <v>46</v>
      </c>
      <c r="B5658" t="s">
        <v>66</v>
      </c>
      <c r="C5658" t="s">
        <v>88</v>
      </c>
      <c r="D5658" t="s">
        <v>76</v>
      </c>
      <c r="E5658" t="s">
        <v>126</v>
      </c>
      <c r="F5658" t="s">
        <v>160</v>
      </c>
      <c r="G5658" t="s">
        <v>186</v>
      </c>
      <c r="H5658" t="s">
        <v>217</v>
      </c>
      <c r="I5658" t="s">
        <v>238</v>
      </c>
      <c r="J5658" t="s">
        <v>256</v>
      </c>
      <c r="K5658" t="s">
        <v>265</v>
      </c>
      <c r="L5658" t="s">
        <v>281</v>
      </c>
      <c r="M5658" t="s">
        <v>290</v>
      </c>
      <c r="N5658" t="s">
        <v>299</v>
      </c>
      <c r="O5658" t="s">
        <v>308</v>
      </c>
      <c r="P5658" t="s">
        <v>228</v>
      </c>
      <c r="Q5658" t="s">
        <v>72</v>
      </c>
      <c r="R5658" t="s">
        <v>327</v>
      </c>
      <c r="S5658" t="s">
        <v>327</v>
      </c>
      <c r="T5658" t="s">
        <v>336</v>
      </c>
      <c r="U5658" t="s">
        <v>336</v>
      </c>
      <c r="V5658" t="s">
        <v>336</v>
      </c>
      <c r="W5658" t="s">
        <v>336</v>
      </c>
      <c r="X5658" t="s">
        <v>353</v>
      </c>
      <c r="AK5658" t="s">
        <v>362</v>
      </c>
    </row>
    <row r="5659" spans="1:37">
      <c r="B5659" t="s">
        <v>67</v>
      </c>
      <c r="C5659" t="s">
        <v>89</v>
      </c>
      <c r="D5659" t="s">
        <v>107</v>
      </c>
      <c r="AK5659" t="s">
        <v>362</v>
      </c>
    </row>
    <row r="5660" spans="1:37">
      <c r="B5660" t="s">
        <v>68</v>
      </c>
      <c r="C5660" t="s">
        <v>90</v>
      </c>
      <c r="D5660" t="s">
        <v>108</v>
      </c>
      <c r="AK5660" t="s">
        <v>362</v>
      </c>
    </row>
    <row r="5661" spans="1:37">
      <c r="A5661" t="s">
        <v>47</v>
      </c>
      <c r="B5661" t="s">
        <v>69</v>
      </c>
      <c r="C5661" t="s">
        <v>91</v>
      </c>
      <c r="D5661" t="s">
        <v>109</v>
      </c>
      <c r="E5661" t="s">
        <v>109</v>
      </c>
      <c r="F5661" t="s">
        <v>109</v>
      </c>
      <c r="G5661" t="s">
        <v>109</v>
      </c>
      <c r="H5661" t="s">
        <v>109</v>
      </c>
      <c r="I5661" t="s">
        <v>239</v>
      </c>
      <c r="AK5661" t="s">
        <v>362</v>
      </c>
    </row>
    <row r="5662" spans="1:37">
      <c r="B5662" t="s">
        <v>70</v>
      </c>
      <c r="C5662" t="s">
        <v>92</v>
      </c>
      <c r="D5662" t="s">
        <v>110</v>
      </c>
      <c r="E5662" t="s">
        <v>127</v>
      </c>
      <c r="F5662" t="s">
        <v>161</v>
      </c>
      <c r="G5662" t="s">
        <v>187</v>
      </c>
      <c r="H5662" t="s">
        <v>218</v>
      </c>
      <c r="AK5662" t="s">
        <v>362</v>
      </c>
    </row>
    <row r="5663" spans="1:37">
      <c r="B5663" t="s">
        <v>71</v>
      </c>
      <c r="C5663" t="s">
        <v>93</v>
      </c>
      <c r="D5663" t="s">
        <v>111</v>
      </c>
      <c r="E5663" t="s">
        <v>128</v>
      </c>
      <c r="F5663" t="s">
        <v>162</v>
      </c>
      <c r="G5663" t="s">
        <v>188</v>
      </c>
      <c r="H5663" t="s">
        <v>219</v>
      </c>
      <c r="I5663" t="s">
        <v>240</v>
      </c>
      <c r="J5663" t="s">
        <v>257</v>
      </c>
      <c r="K5663" t="s">
        <v>269</v>
      </c>
      <c r="L5663" t="s">
        <v>109</v>
      </c>
      <c r="M5663" t="s">
        <v>109</v>
      </c>
      <c r="N5663" t="s">
        <v>109</v>
      </c>
      <c r="O5663" t="s">
        <v>109</v>
      </c>
      <c r="P5663" t="s">
        <v>109</v>
      </c>
      <c r="Q5663" t="s">
        <v>321</v>
      </c>
      <c r="AK5663" t="s">
        <v>362</v>
      </c>
    </row>
    <row r="5664" spans="1:37">
      <c r="A5664" t="s">
        <v>48</v>
      </c>
      <c r="B5664" t="s">
        <v>71</v>
      </c>
      <c r="C5664" t="s">
        <v>93</v>
      </c>
      <c r="D5664" t="s">
        <v>111</v>
      </c>
      <c r="E5664" t="s">
        <v>128</v>
      </c>
      <c r="F5664" t="s">
        <v>163</v>
      </c>
      <c r="G5664" t="s">
        <v>189</v>
      </c>
      <c r="H5664" t="s">
        <v>220</v>
      </c>
      <c r="I5664" t="s">
        <v>241</v>
      </c>
      <c r="J5664" t="s">
        <v>258</v>
      </c>
      <c r="K5664" t="s">
        <v>270</v>
      </c>
      <c r="AK5664" t="s">
        <v>362</v>
      </c>
    </row>
    <row r="5665" spans="1:37">
      <c r="B5665" t="s">
        <v>72</v>
      </c>
      <c r="C5665" t="s">
        <v>72</v>
      </c>
      <c r="D5665" t="s">
        <v>72</v>
      </c>
      <c r="E5665" t="s">
        <v>139</v>
      </c>
      <c r="F5665" t="s">
        <v>139</v>
      </c>
      <c r="G5665" t="s">
        <v>192</v>
      </c>
      <c r="H5665" t="s">
        <v>192</v>
      </c>
      <c r="I5665" t="s">
        <v>192</v>
      </c>
      <c r="J5665" t="s">
        <v>192</v>
      </c>
      <c r="K5665" t="s">
        <v>271</v>
      </c>
      <c r="AK5665" t="s">
        <v>362</v>
      </c>
    </row>
    <row r="5666" spans="1:37">
      <c r="A5666" t="s">
        <v>37</v>
      </c>
      <c r="B5666" t="s">
        <v>49</v>
      </c>
      <c r="C5666" t="s">
        <v>73</v>
      </c>
      <c r="D5666" t="s">
        <v>94</v>
      </c>
      <c r="E5666" t="s">
        <v>112</v>
      </c>
      <c r="F5666" t="s">
        <v>146</v>
      </c>
      <c r="G5666" t="s">
        <v>172</v>
      </c>
      <c r="H5666" t="s">
        <v>207</v>
      </c>
      <c r="I5666" t="s">
        <v>226</v>
      </c>
      <c r="J5666" t="s">
        <v>246</v>
      </c>
      <c r="K5666" t="s">
        <v>259</v>
      </c>
      <c r="AK5666" t="s">
        <v>362</v>
      </c>
    </row>
    <row r="5667" spans="1:37">
      <c r="A5667" t="s">
        <v>38</v>
      </c>
      <c r="B5667" t="s">
        <v>50</v>
      </c>
      <c r="C5667" t="s">
        <v>74</v>
      </c>
      <c r="D5667" t="s">
        <v>95</v>
      </c>
      <c r="E5667" t="s">
        <v>113</v>
      </c>
      <c r="F5667" t="s">
        <v>147</v>
      </c>
      <c r="G5667" t="s">
        <v>173</v>
      </c>
      <c r="H5667" t="s">
        <v>208</v>
      </c>
      <c r="I5667" t="s">
        <v>227</v>
      </c>
      <c r="J5667" t="s">
        <v>115</v>
      </c>
      <c r="K5667" t="s">
        <v>260</v>
      </c>
      <c r="L5667" t="s">
        <v>273</v>
      </c>
      <c r="M5667" t="s">
        <v>282</v>
      </c>
      <c r="N5667" t="s">
        <v>291</v>
      </c>
      <c r="AK5667" t="s">
        <v>362</v>
      </c>
    </row>
    <row r="5668" spans="1:37">
      <c r="B5668" t="s">
        <v>51</v>
      </c>
      <c r="C5668" t="s">
        <v>75</v>
      </c>
      <c r="D5668" t="s">
        <v>52</v>
      </c>
      <c r="E5668" t="s">
        <v>114</v>
      </c>
      <c r="F5668" t="s">
        <v>148</v>
      </c>
      <c r="G5668" t="s">
        <v>148</v>
      </c>
      <c r="H5668" t="s">
        <v>209</v>
      </c>
      <c r="I5668" t="s">
        <v>228</v>
      </c>
      <c r="J5668" t="s">
        <v>247</v>
      </c>
      <c r="K5668" t="s">
        <v>261</v>
      </c>
      <c r="L5668" t="s">
        <v>274</v>
      </c>
      <c r="M5668" t="s">
        <v>283</v>
      </c>
      <c r="N5668" t="s">
        <v>292</v>
      </c>
      <c r="O5668" t="s">
        <v>300</v>
      </c>
      <c r="AK5668" t="s">
        <v>362</v>
      </c>
    </row>
    <row r="5669" spans="1:37">
      <c r="B5669" t="s">
        <v>52</v>
      </c>
      <c r="C5669" t="s">
        <v>76</v>
      </c>
      <c r="D5669" t="s">
        <v>96</v>
      </c>
      <c r="E5669" t="s">
        <v>115</v>
      </c>
      <c r="F5669" t="s">
        <v>149</v>
      </c>
      <c r="G5669" t="s">
        <v>174</v>
      </c>
      <c r="H5669" t="s">
        <v>96</v>
      </c>
      <c r="I5669" t="s">
        <v>229</v>
      </c>
      <c r="J5669" t="s">
        <v>248</v>
      </c>
      <c r="K5669" t="s">
        <v>262</v>
      </c>
      <c r="L5669" t="s">
        <v>52</v>
      </c>
      <c r="M5669" t="s">
        <v>76</v>
      </c>
      <c r="N5669" t="s">
        <v>293</v>
      </c>
      <c r="O5669" t="s">
        <v>301</v>
      </c>
      <c r="P5669" t="s">
        <v>309</v>
      </c>
      <c r="Q5669" t="s">
        <v>315</v>
      </c>
      <c r="R5669" t="s">
        <v>228</v>
      </c>
      <c r="S5669" t="s">
        <v>328</v>
      </c>
      <c r="T5669" t="s">
        <v>149</v>
      </c>
      <c r="U5669" t="s">
        <v>337</v>
      </c>
      <c r="V5669" t="s">
        <v>341</v>
      </c>
      <c r="W5669" t="s">
        <v>345</v>
      </c>
      <c r="X5669" t="s">
        <v>350</v>
      </c>
      <c r="AK5669" t="s">
        <v>362</v>
      </c>
    </row>
    <row r="5670" spans="1:37">
      <c r="B5670" t="s">
        <v>53</v>
      </c>
      <c r="C5670" t="s">
        <v>77</v>
      </c>
      <c r="D5670" t="s">
        <v>97</v>
      </c>
      <c r="E5670" t="s">
        <v>116</v>
      </c>
      <c r="F5670" t="s">
        <v>150</v>
      </c>
      <c r="G5670" t="s">
        <v>175</v>
      </c>
      <c r="H5670" t="s">
        <v>210</v>
      </c>
      <c r="I5670" t="s">
        <v>230</v>
      </c>
      <c r="J5670" t="s">
        <v>249</v>
      </c>
      <c r="K5670" t="s">
        <v>263</v>
      </c>
      <c r="L5670" t="s">
        <v>275</v>
      </c>
      <c r="M5670" t="s">
        <v>284</v>
      </c>
      <c r="N5670" t="s">
        <v>294</v>
      </c>
      <c r="O5670" t="s">
        <v>302</v>
      </c>
      <c r="P5670" t="s">
        <v>310</v>
      </c>
      <c r="Q5670" t="s">
        <v>316</v>
      </c>
      <c r="R5670" t="s">
        <v>322</v>
      </c>
      <c r="S5670" t="s">
        <v>329</v>
      </c>
      <c r="AK5670" t="s">
        <v>362</v>
      </c>
    </row>
    <row r="5671" spans="1:37">
      <c r="A5671" t="s">
        <v>39</v>
      </c>
      <c r="B5671" t="s">
        <v>54</v>
      </c>
      <c r="C5671" t="s">
        <v>54</v>
      </c>
      <c r="D5671" t="s">
        <v>54</v>
      </c>
      <c r="E5671" t="s">
        <v>54</v>
      </c>
      <c r="F5671" t="s">
        <v>54</v>
      </c>
      <c r="G5671" t="s">
        <v>54</v>
      </c>
      <c r="H5671" t="s">
        <v>54</v>
      </c>
      <c r="I5671" t="s">
        <v>54</v>
      </c>
      <c r="J5671" t="s">
        <v>54</v>
      </c>
      <c r="K5671" t="s">
        <v>54</v>
      </c>
      <c r="L5671" t="s">
        <v>54</v>
      </c>
      <c r="M5671" t="s">
        <v>54</v>
      </c>
      <c r="N5671" t="s">
        <v>54</v>
      </c>
      <c r="O5671" t="s">
        <v>54</v>
      </c>
      <c r="P5671" t="s">
        <v>54</v>
      </c>
      <c r="Q5671" t="s">
        <v>54</v>
      </c>
      <c r="R5671" t="s">
        <v>323</v>
      </c>
      <c r="S5671" t="s">
        <v>330</v>
      </c>
      <c r="AK5671" t="s">
        <v>362</v>
      </c>
    </row>
    <row r="5672" spans="1:37">
      <c r="B5672" t="s">
        <v>55</v>
      </c>
      <c r="C5672" t="s">
        <v>78</v>
      </c>
      <c r="D5672" t="s">
        <v>55</v>
      </c>
      <c r="E5672" t="s">
        <v>78</v>
      </c>
      <c r="F5672" t="s">
        <v>55</v>
      </c>
      <c r="G5672" t="s">
        <v>78</v>
      </c>
      <c r="H5672" t="s">
        <v>55</v>
      </c>
      <c r="I5672" t="s">
        <v>78</v>
      </c>
      <c r="J5672" t="s">
        <v>55</v>
      </c>
      <c r="K5672" t="s">
        <v>78</v>
      </c>
      <c r="L5672" t="s">
        <v>55</v>
      </c>
      <c r="M5672" t="s">
        <v>78</v>
      </c>
      <c r="N5672" t="s">
        <v>55</v>
      </c>
      <c r="O5672" t="s">
        <v>78</v>
      </c>
      <c r="P5672" t="s">
        <v>55</v>
      </c>
      <c r="Q5672" t="s">
        <v>78</v>
      </c>
      <c r="R5672" t="s">
        <v>55</v>
      </c>
      <c r="S5672" t="s">
        <v>78</v>
      </c>
      <c r="T5672" t="s">
        <v>55</v>
      </c>
      <c r="U5672" t="s">
        <v>78</v>
      </c>
      <c r="V5672" t="s">
        <v>55</v>
      </c>
      <c r="W5672" t="s">
        <v>78</v>
      </c>
      <c r="X5672" t="s">
        <v>55</v>
      </c>
      <c r="Y5672" t="s">
        <v>78</v>
      </c>
      <c r="Z5672" t="s">
        <v>55</v>
      </c>
      <c r="AA5672" t="s">
        <v>78</v>
      </c>
      <c r="AB5672" t="s">
        <v>55</v>
      </c>
      <c r="AC5672" t="s">
        <v>78</v>
      </c>
      <c r="AD5672" t="s">
        <v>55</v>
      </c>
      <c r="AE5672" t="s">
        <v>78</v>
      </c>
      <c r="AF5672" t="s">
        <v>55</v>
      </c>
      <c r="AG5672" t="s">
        <v>78</v>
      </c>
      <c r="AH5672" t="s">
        <v>55</v>
      </c>
      <c r="AI5672" t="s">
        <v>78</v>
      </c>
      <c r="AK5672" t="s">
        <v>362</v>
      </c>
    </row>
    <row r="5673" spans="1:37">
      <c r="B5673" t="s">
        <v>56</v>
      </c>
      <c r="C5673" t="s">
        <v>56</v>
      </c>
      <c r="D5673" t="s">
        <v>56</v>
      </c>
      <c r="E5673" t="s">
        <v>56</v>
      </c>
      <c r="F5673" t="s">
        <v>56</v>
      </c>
      <c r="G5673" t="s">
        <v>176</v>
      </c>
      <c r="H5673" t="s">
        <v>211</v>
      </c>
      <c r="I5673" t="s">
        <v>231</v>
      </c>
      <c r="J5673" t="s">
        <v>250</v>
      </c>
      <c r="K5673" t="s">
        <v>264</v>
      </c>
      <c r="L5673" t="s">
        <v>276</v>
      </c>
      <c r="M5673" t="s">
        <v>285</v>
      </c>
      <c r="N5673" t="s">
        <v>295</v>
      </c>
      <c r="O5673" t="s">
        <v>303</v>
      </c>
      <c r="P5673" t="s">
        <v>56</v>
      </c>
      <c r="Q5673" t="s">
        <v>317</v>
      </c>
      <c r="R5673" t="s">
        <v>324</v>
      </c>
      <c r="S5673" t="s">
        <v>331</v>
      </c>
      <c r="T5673" t="s">
        <v>334</v>
      </c>
      <c r="U5673" t="s">
        <v>338</v>
      </c>
      <c r="V5673" t="s">
        <v>342</v>
      </c>
      <c r="W5673" t="s">
        <v>346</v>
      </c>
      <c r="X5673" t="s">
        <v>351</v>
      </c>
      <c r="AK5673" t="s">
        <v>362</v>
      </c>
    </row>
    <row r="5674" spans="1:37">
      <c r="B5674" t="s">
        <v>57</v>
      </c>
      <c r="C5674" t="s">
        <v>79</v>
      </c>
      <c r="D5674" t="s">
        <v>98</v>
      </c>
      <c r="E5674" t="s">
        <v>117</v>
      </c>
      <c r="F5674" t="s">
        <v>151</v>
      </c>
      <c r="G5674" t="s">
        <v>177</v>
      </c>
      <c r="H5674" t="s">
        <v>212</v>
      </c>
      <c r="I5674" t="s">
        <v>232</v>
      </c>
      <c r="J5674" t="s">
        <v>251</v>
      </c>
      <c r="K5674" t="s">
        <v>265</v>
      </c>
      <c r="L5674" t="s">
        <v>277</v>
      </c>
      <c r="M5674" t="s">
        <v>286</v>
      </c>
      <c r="N5674" t="s">
        <v>296</v>
      </c>
      <c r="O5674" t="s">
        <v>304</v>
      </c>
      <c r="P5674" t="s">
        <v>311</v>
      </c>
      <c r="Q5674" t="s">
        <v>318</v>
      </c>
      <c r="R5674" t="s">
        <v>185</v>
      </c>
      <c r="S5674" t="s">
        <v>159</v>
      </c>
      <c r="T5674" t="s">
        <v>185</v>
      </c>
      <c r="U5674" t="s">
        <v>339</v>
      </c>
      <c r="V5674" t="s">
        <v>72</v>
      </c>
      <c r="W5674" t="s">
        <v>347</v>
      </c>
      <c r="X5674" t="s">
        <v>72</v>
      </c>
      <c r="Y5674" t="s">
        <v>96</v>
      </c>
      <c r="AK5674" t="s">
        <v>362</v>
      </c>
    </row>
    <row r="5675" spans="1:37">
      <c r="B5675" t="s">
        <v>58</v>
      </c>
      <c r="C5675" t="s">
        <v>80</v>
      </c>
      <c r="D5675" t="s">
        <v>99</v>
      </c>
      <c r="E5675" t="s">
        <v>118</v>
      </c>
      <c r="F5675" t="s">
        <v>152</v>
      </c>
      <c r="G5675" t="s">
        <v>178</v>
      </c>
      <c r="H5675" t="s">
        <v>213</v>
      </c>
      <c r="I5675" t="s">
        <v>233</v>
      </c>
      <c r="J5675" t="s">
        <v>252</v>
      </c>
      <c r="K5675" t="s">
        <v>266</v>
      </c>
      <c r="L5675" t="s">
        <v>278</v>
      </c>
      <c r="M5675" t="s">
        <v>287</v>
      </c>
      <c r="N5675" t="s">
        <v>297</v>
      </c>
      <c r="O5675" t="s">
        <v>305</v>
      </c>
      <c r="P5675" t="s">
        <v>312</v>
      </c>
      <c r="Q5675" t="s">
        <v>319</v>
      </c>
      <c r="R5675">
        <f>&gt;10       ветра      2.6     17   4</f>
        <v>0</v>
      </c>
      <c r="AK5675" t="s">
        <v>362</v>
      </c>
    </row>
    <row r="5676" spans="1:37">
      <c r="A5676" t="s">
        <v>40</v>
      </c>
      <c r="B5676" t="s">
        <v>59</v>
      </c>
      <c r="C5676" t="s">
        <v>81</v>
      </c>
      <c r="D5676" t="s">
        <v>100</v>
      </c>
      <c r="E5676" t="s">
        <v>119</v>
      </c>
      <c r="F5676" t="s">
        <v>153</v>
      </c>
      <c r="G5676" t="s">
        <v>179</v>
      </c>
      <c r="H5676" t="s">
        <v>214</v>
      </c>
      <c r="I5676" t="s">
        <v>234</v>
      </c>
      <c r="AK5676" t="s">
        <v>362</v>
      </c>
    </row>
    <row r="5677" spans="1:37">
      <c r="A5677" t="s">
        <v>40</v>
      </c>
      <c r="B5677" t="s">
        <v>60</v>
      </c>
      <c r="C5677" t="s">
        <v>82</v>
      </c>
      <c r="D5677" t="s">
        <v>101</v>
      </c>
      <c r="E5677" t="s">
        <v>120</v>
      </c>
      <c r="F5677" t="s">
        <v>154</v>
      </c>
      <c r="G5677" t="s">
        <v>180</v>
      </c>
      <c r="H5677" t="s">
        <v>215</v>
      </c>
      <c r="I5677" t="s">
        <v>235</v>
      </c>
      <c r="J5677" t="s">
        <v>253</v>
      </c>
      <c r="K5677" t="s">
        <v>267</v>
      </c>
      <c r="L5677" t="s">
        <v>279</v>
      </c>
      <c r="M5677" t="s">
        <v>288</v>
      </c>
      <c r="N5677" t="s">
        <v>100</v>
      </c>
      <c r="O5677" t="s">
        <v>306</v>
      </c>
      <c r="P5677" t="s">
        <v>313</v>
      </c>
      <c r="Q5677" t="s">
        <v>320</v>
      </c>
      <c r="R5677" t="s">
        <v>325</v>
      </c>
      <c r="S5677" t="s">
        <v>332</v>
      </c>
      <c r="T5677" t="s">
        <v>119</v>
      </c>
      <c r="U5677" t="s">
        <v>234</v>
      </c>
      <c r="V5677" t="s">
        <v>343</v>
      </c>
      <c r="W5677" t="s">
        <v>348</v>
      </c>
      <c r="X5677" t="s">
        <v>352</v>
      </c>
      <c r="Y5677" t="s">
        <v>354</v>
      </c>
      <c r="AK5677" t="s">
        <v>362</v>
      </c>
    </row>
    <row r="5678" spans="1:37">
      <c r="A5678" t="s">
        <v>41</v>
      </c>
      <c r="B5678" t="s">
        <v>61</v>
      </c>
      <c r="C5678" t="s">
        <v>83</v>
      </c>
      <c r="D5678" t="s">
        <v>102</v>
      </c>
      <c r="E5678" t="s">
        <v>121</v>
      </c>
      <c r="F5678" t="s">
        <v>155</v>
      </c>
      <c r="G5678" t="s">
        <v>181</v>
      </c>
      <c r="H5678" t="s">
        <v>216</v>
      </c>
      <c r="I5678" t="s">
        <v>236</v>
      </c>
      <c r="AK5678" t="s">
        <v>362</v>
      </c>
    </row>
    <row r="5679" spans="1:37">
      <c r="A5679" t="s">
        <v>42</v>
      </c>
      <c r="B5679" t="s">
        <v>62</v>
      </c>
      <c r="C5679" t="s">
        <v>84</v>
      </c>
      <c r="D5679" t="s">
        <v>103</v>
      </c>
      <c r="E5679" t="s">
        <v>122</v>
      </c>
      <c r="F5679" t="s">
        <v>156</v>
      </c>
      <c r="G5679" t="s">
        <v>182</v>
      </c>
      <c r="H5679" t="s">
        <v>83</v>
      </c>
      <c r="I5679" t="s">
        <v>237</v>
      </c>
      <c r="J5679" t="s">
        <v>254</v>
      </c>
      <c r="K5679" t="s">
        <v>268</v>
      </c>
      <c r="L5679" t="s">
        <v>280</v>
      </c>
      <c r="M5679" t="s">
        <v>289</v>
      </c>
      <c r="N5679" t="s">
        <v>298</v>
      </c>
      <c r="O5679" t="s">
        <v>307</v>
      </c>
      <c r="P5679" t="s">
        <v>314</v>
      </c>
      <c r="Q5679" t="s">
        <v>216</v>
      </c>
      <c r="R5679" t="s">
        <v>326</v>
      </c>
      <c r="S5679" t="s">
        <v>333</v>
      </c>
      <c r="T5679" t="s">
        <v>335</v>
      </c>
      <c r="U5679" t="s">
        <v>340</v>
      </c>
      <c r="V5679" t="s">
        <v>344</v>
      </c>
      <c r="W5679" t="s">
        <v>349</v>
      </c>
      <c r="AK5679" t="s">
        <v>362</v>
      </c>
    </row>
    <row r="5680" spans="1:37">
      <c r="A5680" t="s">
        <v>43</v>
      </c>
      <c r="B5680" t="s">
        <v>63</v>
      </c>
      <c r="C5680" t="s">
        <v>85</v>
      </c>
      <c r="D5680" t="s">
        <v>104</v>
      </c>
      <c r="E5680" t="s">
        <v>123</v>
      </c>
      <c r="F5680" t="s">
        <v>157</v>
      </c>
      <c r="G5680" t="s">
        <v>183</v>
      </c>
      <c r="AK5680" t="s">
        <v>362</v>
      </c>
    </row>
    <row r="5681" spans="1:37">
      <c r="A5681" t="s">
        <v>44</v>
      </c>
      <c r="B5681" t="s">
        <v>64</v>
      </c>
      <c r="C5681" t="s">
        <v>86</v>
      </c>
      <c r="D5681" t="s">
        <v>105</v>
      </c>
      <c r="E5681" t="s">
        <v>124</v>
      </c>
      <c r="F5681" t="s">
        <v>158</v>
      </c>
      <c r="G5681" t="s">
        <v>184</v>
      </c>
      <c r="AK5681" t="s">
        <v>362</v>
      </c>
    </row>
    <row r="5682" spans="1:37">
      <c r="A5682" t="s">
        <v>45</v>
      </c>
      <c r="B5682" t="s">
        <v>65</v>
      </c>
      <c r="C5682" t="s">
        <v>87</v>
      </c>
      <c r="D5682" t="s">
        <v>106</v>
      </c>
      <c r="E5682" t="s">
        <v>125</v>
      </c>
      <c r="F5682" t="s">
        <v>159</v>
      </c>
      <c r="G5682" t="s">
        <v>185</v>
      </c>
      <c r="H5682" t="s">
        <v>159</v>
      </c>
      <c r="I5682" t="s">
        <v>185</v>
      </c>
      <c r="J5682" t="s">
        <v>255</v>
      </c>
      <c r="AK5682" t="s">
        <v>362</v>
      </c>
    </row>
    <row r="5683" spans="1:37">
      <c r="A5683" t="s">
        <v>46</v>
      </c>
      <c r="B5683" t="s">
        <v>66</v>
      </c>
      <c r="C5683" t="s">
        <v>88</v>
      </c>
      <c r="D5683" t="s">
        <v>76</v>
      </c>
      <c r="E5683" t="s">
        <v>126</v>
      </c>
      <c r="F5683" t="s">
        <v>160</v>
      </c>
      <c r="G5683" t="s">
        <v>186</v>
      </c>
      <c r="H5683" t="s">
        <v>217</v>
      </c>
      <c r="I5683" t="s">
        <v>238</v>
      </c>
      <c r="J5683" t="s">
        <v>256</v>
      </c>
      <c r="K5683" t="s">
        <v>265</v>
      </c>
      <c r="L5683" t="s">
        <v>281</v>
      </c>
      <c r="M5683" t="s">
        <v>290</v>
      </c>
      <c r="N5683" t="s">
        <v>299</v>
      </c>
      <c r="O5683" t="s">
        <v>308</v>
      </c>
      <c r="P5683" t="s">
        <v>228</v>
      </c>
      <c r="Q5683" t="s">
        <v>72</v>
      </c>
      <c r="R5683" t="s">
        <v>327</v>
      </c>
      <c r="S5683" t="s">
        <v>327</v>
      </c>
      <c r="T5683" t="s">
        <v>336</v>
      </c>
      <c r="U5683" t="s">
        <v>336</v>
      </c>
      <c r="V5683" t="s">
        <v>336</v>
      </c>
      <c r="W5683" t="s">
        <v>336</v>
      </c>
      <c r="X5683" t="s">
        <v>353</v>
      </c>
      <c r="AK5683" t="s">
        <v>362</v>
      </c>
    </row>
    <row r="5684" spans="1:37">
      <c r="B5684" t="s">
        <v>67</v>
      </c>
      <c r="C5684" t="s">
        <v>89</v>
      </c>
      <c r="D5684" t="s">
        <v>107</v>
      </c>
      <c r="AK5684" t="s">
        <v>362</v>
      </c>
    </row>
    <row r="5685" spans="1:37">
      <c r="B5685" t="s">
        <v>68</v>
      </c>
      <c r="C5685" t="s">
        <v>90</v>
      </c>
      <c r="D5685" t="s">
        <v>108</v>
      </c>
      <c r="AK5685" t="s">
        <v>362</v>
      </c>
    </row>
    <row r="5686" spans="1:37">
      <c r="A5686" t="s">
        <v>47</v>
      </c>
      <c r="B5686" t="s">
        <v>69</v>
      </c>
      <c r="C5686" t="s">
        <v>91</v>
      </c>
      <c r="D5686" t="s">
        <v>109</v>
      </c>
      <c r="E5686" t="s">
        <v>109</v>
      </c>
      <c r="F5686" t="s">
        <v>109</v>
      </c>
      <c r="G5686" t="s">
        <v>109</v>
      </c>
      <c r="H5686" t="s">
        <v>109</v>
      </c>
      <c r="I5686" t="s">
        <v>239</v>
      </c>
      <c r="AK5686" t="s">
        <v>362</v>
      </c>
    </row>
    <row r="5687" spans="1:37">
      <c r="B5687" t="s">
        <v>70</v>
      </c>
      <c r="C5687" t="s">
        <v>92</v>
      </c>
      <c r="D5687" t="s">
        <v>110</v>
      </c>
      <c r="E5687" t="s">
        <v>127</v>
      </c>
      <c r="F5687" t="s">
        <v>161</v>
      </c>
      <c r="G5687" t="s">
        <v>187</v>
      </c>
      <c r="H5687" t="s">
        <v>218</v>
      </c>
      <c r="AK5687" t="s">
        <v>362</v>
      </c>
    </row>
    <row r="5688" spans="1:37">
      <c r="B5688" t="s">
        <v>71</v>
      </c>
      <c r="C5688" t="s">
        <v>93</v>
      </c>
      <c r="D5688" t="s">
        <v>111</v>
      </c>
      <c r="E5688" t="s">
        <v>128</v>
      </c>
      <c r="F5688" t="s">
        <v>162</v>
      </c>
      <c r="G5688" t="s">
        <v>188</v>
      </c>
      <c r="H5688" t="s">
        <v>219</v>
      </c>
      <c r="I5688" t="s">
        <v>240</v>
      </c>
      <c r="J5688" t="s">
        <v>257</v>
      </c>
      <c r="K5688" t="s">
        <v>269</v>
      </c>
      <c r="L5688" t="s">
        <v>109</v>
      </c>
      <c r="M5688" t="s">
        <v>109</v>
      </c>
      <c r="N5688" t="s">
        <v>109</v>
      </c>
      <c r="O5688" t="s">
        <v>109</v>
      </c>
      <c r="P5688" t="s">
        <v>109</v>
      </c>
      <c r="Q5688" t="s">
        <v>321</v>
      </c>
      <c r="AK5688" t="s">
        <v>362</v>
      </c>
    </row>
    <row r="5689" spans="1:37">
      <c r="A5689" t="s">
        <v>48</v>
      </c>
      <c r="B5689" t="s">
        <v>71</v>
      </c>
      <c r="C5689" t="s">
        <v>93</v>
      </c>
      <c r="D5689" t="s">
        <v>111</v>
      </c>
      <c r="E5689" t="s">
        <v>128</v>
      </c>
      <c r="F5689" t="s">
        <v>163</v>
      </c>
      <c r="G5689" t="s">
        <v>189</v>
      </c>
      <c r="H5689" t="s">
        <v>220</v>
      </c>
      <c r="I5689" t="s">
        <v>241</v>
      </c>
      <c r="J5689" t="s">
        <v>258</v>
      </c>
      <c r="K5689" t="s">
        <v>270</v>
      </c>
      <c r="AK5689" t="s">
        <v>362</v>
      </c>
    </row>
    <row r="5690" spans="1:37">
      <c r="B5690" t="s">
        <v>72</v>
      </c>
      <c r="C5690" t="s">
        <v>72</v>
      </c>
      <c r="D5690" t="s">
        <v>72</v>
      </c>
      <c r="E5690" t="s">
        <v>72</v>
      </c>
      <c r="F5690" t="s">
        <v>72</v>
      </c>
      <c r="G5690" t="s">
        <v>72</v>
      </c>
      <c r="H5690" t="s">
        <v>72</v>
      </c>
      <c r="I5690" t="s">
        <v>72</v>
      </c>
      <c r="J5690" t="s">
        <v>72</v>
      </c>
      <c r="K5690" t="s">
        <v>272</v>
      </c>
      <c r="AK5690" t="s">
        <v>362</v>
      </c>
    </row>
    <row r="5691" spans="1:37">
      <c r="A5691" t="s">
        <v>37</v>
      </c>
      <c r="B5691" t="s">
        <v>49</v>
      </c>
      <c r="C5691" t="s">
        <v>73</v>
      </c>
      <c r="D5691" t="s">
        <v>94</v>
      </c>
      <c r="E5691" t="s">
        <v>112</v>
      </c>
      <c r="F5691" t="s">
        <v>146</v>
      </c>
      <c r="G5691" t="s">
        <v>172</v>
      </c>
      <c r="H5691" t="s">
        <v>207</v>
      </c>
      <c r="I5691" t="s">
        <v>226</v>
      </c>
      <c r="J5691" t="s">
        <v>246</v>
      </c>
      <c r="K5691" t="s">
        <v>259</v>
      </c>
      <c r="AK5691" t="s">
        <v>363</v>
      </c>
    </row>
    <row r="5692" spans="1:37">
      <c r="A5692" t="s">
        <v>38</v>
      </c>
      <c r="B5692" t="s">
        <v>50</v>
      </c>
      <c r="C5692" t="s">
        <v>74</v>
      </c>
      <c r="D5692" t="s">
        <v>95</v>
      </c>
      <c r="E5692" t="s">
        <v>113</v>
      </c>
      <c r="F5692" t="s">
        <v>147</v>
      </c>
      <c r="G5692" t="s">
        <v>173</v>
      </c>
      <c r="H5692" t="s">
        <v>208</v>
      </c>
      <c r="I5692" t="s">
        <v>227</v>
      </c>
      <c r="J5692" t="s">
        <v>115</v>
      </c>
      <c r="K5692" t="s">
        <v>260</v>
      </c>
      <c r="L5692" t="s">
        <v>273</v>
      </c>
      <c r="M5692" t="s">
        <v>282</v>
      </c>
      <c r="N5692" t="s">
        <v>291</v>
      </c>
      <c r="AK5692" t="s">
        <v>363</v>
      </c>
    </row>
    <row r="5693" spans="1:37">
      <c r="B5693" t="s">
        <v>51</v>
      </c>
      <c r="C5693" t="s">
        <v>75</v>
      </c>
      <c r="D5693" t="s">
        <v>52</v>
      </c>
      <c r="E5693" t="s">
        <v>114</v>
      </c>
      <c r="F5693" t="s">
        <v>148</v>
      </c>
      <c r="G5693" t="s">
        <v>148</v>
      </c>
      <c r="H5693" t="s">
        <v>209</v>
      </c>
      <c r="I5693" t="s">
        <v>228</v>
      </c>
      <c r="J5693" t="s">
        <v>247</v>
      </c>
      <c r="K5693" t="s">
        <v>261</v>
      </c>
      <c r="L5693" t="s">
        <v>274</v>
      </c>
      <c r="M5693" t="s">
        <v>283</v>
      </c>
      <c r="N5693" t="s">
        <v>292</v>
      </c>
      <c r="O5693" t="s">
        <v>300</v>
      </c>
      <c r="AK5693" t="s">
        <v>363</v>
      </c>
    </row>
    <row r="5694" spans="1:37">
      <c r="B5694" t="s">
        <v>52</v>
      </c>
      <c r="C5694" t="s">
        <v>76</v>
      </c>
      <c r="D5694" t="s">
        <v>96</v>
      </c>
      <c r="E5694" t="s">
        <v>115</v>
      </c>
      <c r="F5694" t="s">
        <v>149</v>
      </c>
      <c r="G5694" t="s">
        <v>174</v>
      </c>
      <c r="H5694" t="s">
        <v>96</v>
      </c>
      <c r="I5694" t="s">
        <v>229</v>
      </c>
      <c r="J5694" t="s">
        <v>248</v>
      </c>
      <c r="K5694" t="s">
        <v>262</v>
      </c>
      <c r="L5694" t="s">
        <v>52</v>
      </c>
      <c r="M5694" t="s">
        <v>76</v>
      </c>
      <c r="N5694" t="s">
        <v>293</v>
      </c>
      <c r="O5694" t="s">
        <v>301</v>
      </c>
      <c r="P5694" t="s">
        <v>309</v>
      </c>
      <c r="Q5694" t="s">
        <v>315</v>
      </c>
      <c r="R5694" t="s">
        <v>228</v>
      </c>
      <c r="S5694" t="s">
        <v>328</v>
      </c>
      <c r="T5694" t="s">
        <v>149</v>
      </c>
      <c r="U5694" t="s">
        <v>337</v>
      </c>
      <c r="V5694" t="s">
        <v>341</v>
      </c>
      <c r="W5694" t="s">
        <v>345</v>
      </c>
      <c r="X5694" t="s">
        <v>350</v>
      </c>
      <c r="AK5694" t="s">
        <v>363</v>
      </c>
    </row>
    <row r="5695" spans="1:37">
      <c r="B5695" t="s">
        <v>53</v>
      </c>
      <c r="C5695" t="s">
        <v>77</v>
      </c>
      <c r="D5695" t="s">
        <v>97</v>
      </c>
      <c r="E5695" t="s">
        <v>116</v>
      </c>
      <c r="F5695" t="s">
        <v>150</v>
      </c>
      <c r="G5695" t="s">
        <v>175</v>
      </c>
      <c r="H5695" t="s">
        <v>210</v>
      </c>
      <c r="I5695" t="s">
        <v>230</v>
      </c>
      <c r="J5695" t="s">
        <v>249</v>
      </c>
      <c r="K5695" t="s">
        <v>263</v>
      </c>
      <c r="L5695" t="s">
        <v>275</v>
      </c>
      <c r="M5695" t="s">
        <v>284</v>
      </c>
      <c r="N5695" t="s">
        <v>294</v>
      </c>
      <c r="O5695" t="s">
        <v>302</v>
      </c>
      <c r="P5695" t="s">
        <v>310</v>
      </c>
      <c r="Q5695" t="s">
        <v>316</v>
      </c>
      <c r="R5695" t="s">
        <v>322</v>
      </c>
      <c r="S5695" t="s">
        <v>329</v>
      </c>
      <c r="AK5695" t="s">
        <v>363</v>
      </c>
    </row>
    <row r="5696" spans="1:37">
      <c r="A5696" t="s">
        <v>39</v>
      </c>
      <c r="B5696" t="s">
        <v>54</v>
      </c>
      <c r="C5696" t="s">
        <v>54</v>
      </c>
      <c r="D5696" t="s">
        <v>54</v>
      </c>
      <c r="E5696" t="s">
        <v>54</v>
      </c>
      <c r="F5696" t="s">
        <v>54</v>
      </c>
      <c r="G5696" t="s">
        <v>54</v>
      </c>
      <c r="H5696" t="s">
        <v>54</v>
      </c>
      <c r="I5696" t="s">
        <v>54</v>
      </c>
      <c r="J5696" t="s">
        <v>54</v>
      </c>
      <c r="K5696" t="s">
        <v>54</v>
      </c>
      <c r="L5696" t="s">
        <v>54</v>
      </c>
      <c r="M5696" t="s">
        <v>54</v>
      </c>
      <c r="N5696" t="s">
        <v>54</v>
      </c>
      <c r="O5696" t="s">
        <v>54</v>
      </c>
      <c r="P5696" t="s">
        <v>54</v>
      </c>
      <c r="Q5696" t="s">
        <v>54</v>
      </c>
      <c r="R5696" t="s">
        <v>323</v>
      </c>
      <c r="S5696" t="s">
        <v>330</v>
      </c>
      <c r="AK5696" t="s">
        <v>363</v>
      </c>
    </row>
    <row r="5697" spans="1:37">
      <c r="B5697" t="s">
        <v>55</v>
      </c>
      <c r="C5697" t="s">
        <v>78</v>
      </c>
      <c r="D5697" t="s">
        <v>55</v>
      </c>
      <c r="E5697" t="s">
        <v>78</v>
      </c>
      <c r="F5697" t="s">
        <v>55</v>
      </c>
      <c r="G5697" t="s">
        <v>78</v>
      </c>
      <c r="H5697" t="s">
        <v>55</v>
      </c>
      <c r="I5697" t="s">
        <v>78</v>
      </c>
      <c r="J5697" t="s">
        <v>55</v>
      </c>
      <c r="K5697" t="s">
        <v>78</v>
      </c>
      <c r="L5697" t="s">
        <v>55</v>
      </c>
      <c r="M5697" t="s">
        <v>78</v>
      </c>
      <c r="N5697" t="s">
        <v>55</v>
      </c>
      <c r="O5697" t="s">
        <v>78</v>
      </c>
      <c r="P5697" t="s">
        <v>55</v>
      </c>
      <c r="Q5697" t="s">
        <v>78</v>
      </c>
      <c r="R5697" t="s">
        <v>55</v>
      </c>
      <c r="S5697" t="s">
        <v>78</v>
      </c>
      <c r="T5697" t="s">
        <v>55</v>
      </c>
      <c r="U5697" t="s">
        <v>78</v>
      </c>
      <c r="V5697" t="s">
        <v>55</v>
      </c>
      <c r="W5697" t="s">
        <v>78</v>
      </c>
      <c r="X5697" t="s">
        <v>55</v>
      </c>
      <c r="Y5697" t="s">
        <v>78</v>
      </c>
      <c r="Z5697" t="s">
        <v>55</v>
      </c>
      <c r="AA5697" t="s">
        <v>78</v>
      </c>
      <c r="AB5697" t="s">
        <v>55</v>
      </c>
      <c r="AC5697" t="s">
        <v>78</v>
      </c>
      <c r="AD5697" t="s">
        <v>55</v>
      </c>
      <c r="AE5697" t="s">
        <v>78</v>
      </c>
      <c r="AF5697" t="s">
        <v>55</v>
      </c>
      <c r="AG5697" t="s">
        <v>78</v>
      </c>
      <c r="AH5697" t="s">
        <v>55</v>
      </c>
      <c r="AI5697" t="s">
        <v>78</v>
      </c>
      <c r="AK5697" t="s">
        <v>363</v>
      </c>
    </row>
    <row r="5698" spans="1:37">
      <c r="B5698" t="s">
        <v>56</v>
      </c>
      <c r="C5698" t="s">
        <v>56</v>
      </c>
      <c r="D5698" t="s">
        <v>56</v>
      </c>
      <c r="E5698" t="s">
        <v>56</v>
      </c>
      <c r="F5698" t="s">
        <v>56</v>
      </c>
      <c r="G5698" t="s">
        <v>176</v>
      </c>
      <c r="H5698" t="s">
        <v>211</v>
      </c>
      <c r="I5698" t="s">
        <v>231</v>
      </c>
      <c r="J5698" t="s">
        <v>250</v>
      </c>
      <c r="K5698" t="s">
        <v>264</v>
      </c>
      <c r="L5698" t="s">
        <v>276</v>
      </c>
      <c r="M5698" t="s">
        <v>285</v>
      </c>
      <c r="N5698" t="s">
        <v>295</v>
      </c>
      <c r="O5698" t="s">
        <v>303</v>
      </c>
      <c r="P5698" t="s">
        <v>56</v>
      </c>
      <c r="Q5698" t="s">
        <v>317</v>
      </c>
      <c r="R5698" t="s">
        <v>324</v>
      </c>
      <c r="S5698" t="s">
        <v>331</v>
      </c>
      <c r="T5698" t="s">
        <v>334</v>
      </c>
      <c r="U5698" t="s">
        <v>338</v>
      </c>
      <c r="V5698" t="s">
        <v>342</v>
      </c>
      <c r="W5698" t="s">
        <v>346</v>
      </c>
      <c r="X5698" t="s">
        <v>351</v>
      </c>
      <c r="AK5698" t="s">
        <v>363</v>
      </c>
    </row>
    <row r="5699" spans="1:37">
      <c r="B5699" t="s">
        <v>57</v>
      </c>
      <c r="C5699" t="s">
        <v>79</v>
      </c>
      <c r="D5699" t="s">
        <v>98</v>
      </c>
      <c r="E5699" t="s">
        <v>117</v>
      </c>
      <c r="F5699" t="s">
        <v>151</v>
      </c>
      <c r="G5699" t="s">
        <v>177</v>
      </c>
      <c r="H5699" t="s">
        <v>212</v>
      </c>
      <c r="I5699" t="s">
        <v>232</v>
      </c>
      <c r="J5699" t="s">
        <v>251</v>
      </c>
      <c r="K5699" t="s">
        <v>265</v>
      </c>
      <c r="L5699" t="s">
        <v>277</v>
      </c>
      <c r="M5699" t="s">
        <v>286</v>
      </c>
      <c r="N5699" t="s">
        <v>296</v>
      </c>
      <c r="O5699" t="s">
        <v>304</v>
      </c>
      <c r="P5699" t="s">
        <v>311</v>
      </c>
      <c r="Q5699" t="s">
        <v>318</v>
      </c>
      <c r="R5699" t="s">
        <v>185</v>
      </c>
      <c r="S5699" t="s">
        <v>159</v>
      </c>
      <c r="T5699" t="s">
        <v>185</v>
      </c>
      <c r="U5699" t="s">
        <v>339</v>
      </c>
      <c r="V5699" t="s">
        <v>72</v>
      </c>
      <c r="W5699" t="s">
        <v>347</v>
      </c>
      <c r="X5699" t="s">
        <v>72</v>
      </c>
      <c r="Y5699" t="s">
        <v>96</v>
      </c>
      <c r="AK5699" t="s">
        <v>363</v>
      </c>
    </row>
    <row r="5700" spans="1:37">
      <c r="B5700" t="s">
        <v>58</v>
      </c>
      <c r="C5700" t="s">
        <v>80</v>
      </c>
      <c r="D5700" t="s">
        <v>99</v>
      </c>
      <c r="E5700" t="s">
        <v>118</v>
      </c>
      <c r="F5700" t="s">
        <v>152</v>
      </c>
      <c r="G5700" t="s">
        <v>178</v>
      </c>
      <c r="H5700" t="s">
        <v>213</v>
      </c>
      <c r="I5700" t="s">
        <v>233</v>
      </c>
      <c r="J5700" t="s">
        <v>252</v>
      </c>
      <c r="K5700" t="s">
        <v>266</v>
      </c>
      <c r="L5700" t="s">
        <v>278</v>
      </c>
      <c r="M5700" t="s">
        <v>287</v>
      </c>
      <c r="N5700" t="s">
        <v>297</v>
      </c>
      <c r="O5700" t="s">
        <v>305</v>
      </c>
      <c r="P5700" t="s">
        <v>312</v>
      </c>
      <c r="Q5700" t="s">
        <v>319</v>
      </c>
      <c r="R5700">
        <f>&gt;10       ветра      0.7     14   8  9</f>
        <v>0</v>
      </c>
      <c r="AK5700" t="s">
        <v>363</v>
      </c>
    </row>
    <row r="5701" spans="1:37">
      <c r="A5701" t="s">
        <v>40</v>
      </c>
      <c r="B5701" t="s">
        <v>59</v>
      </c>
      <c r="C5701" t="s">
        <v>81</v>
      </c>
      <c r="D5701" t="s">
        <v>100</v>
      </c>
      <c r="E5701" t="s">
        <v>119</v>
      </c>
      <c r="F5701" t="s">
        <v>153</v>
      </c>
      <c r="G5701" t="s">
        <v>179</v>
      </c>
      <c r="H5701" t="s">
        <v>214</v>
      </c>
      <c r="I5701" t="s">
        <v>234</v>
      </c>
      <c r="AK5701" t="s">
        <v>363</v>
      </c>
    </row>
    <row r="5702" spans="1:37">
      <c r="A5702" t="s">
        <v>40</v>
      </c>
      <c r="B5702" t="s">
        <v>60</v>
      </c>
      <c r="C5702" t="s">
        <v>82</v>
      </c>
      <c r="D5702" t="s">
        <v>101</v>
      </c>
      <c r="E5702" t="s">
        <v>120</v>
      </c>
      <c r="F5702" t="s">
        <v>154</v>
      </c>
      <c r="G5702" t="s">
        <v>180</v>
      </c>
      <c r="H5702" t="s">
        <v>215</v>
      </c>
      <c r="I5702" t="s">
        <v>235</v>
      </c>
      <c r="J5702" t="s">
        <v>253</v>
      </c>
      <c r="K5702" t="s">
        <v>267</v>
      </c>
      <c r="L5702" t="s">
        <v>279</v>
      </c>
      <c r="M5702" t="s">
        <v>288</v>
      </c>
      <c r="N5702" t="s">
        <v>100</v>
      </c>
      <c r="O5702" t="s">
        <v>306</v>
      </c>
      <c r="P5702" t="s">
        <v>313</v>
      </c>
      <c r="Q5702" t="s">
        <v>320</v>
      </c>
      <c r="R5702" t="s">
        <v>325</v>
      </c>
      <c r="S5702" t="s">
        <v>332</v>
      </c>
      <c r="T5702" t="s">
        <v>119</v>
      </c>
      <c r="U5702" t="s">
        <v>234</v>
      </c>
      <c r="V5702" t="s">
        <v>343</v>
      </c>
      <c r="W5702" t="s">
        <v>348</v>
      </c>
      <c r="X5702" t="s">
        <v>352</v>
      </c>
      <c r="Y5702" t="s">
        <v>354</v>
      </c>
      <c r="AK5702" t="s">
        <v>363</v>
      </c>
    </row>
    <row r="5703" spans="1:37">
      <c r="A5703" t="s">
        <v>41</v>
      </c>
      <c r="B5703" t="s">
        <v>61</v>
      </c>
      <c r="C5703" t="s">
        <v>83</v>
      </c>
      <c r="D5703" t="s">
        <v>102</v>
      </c>
      <c r="E5703" t="s">
        <v>121</v>
      </c>
      <c r="F5703" t="s">
        <v>155</v>
      </c>
      <c r="G5703" t="s">
        <v>181</v>
      </c>
      <c r="H5703" t="s">
        <v>216</v>
      </c>
      <c r="I5703" t="s">
        <v>236</v>
      </c>
      <c r="AK5703" t="s">
        <v>363</v>
      </c>
    </row>
    <row r="5704" spans="1:37">
      <c r="A5704" t="s">
        <v>42</v>
      </c>
      <c r="B5704" t="s">
        <v>62</v>
      </c>
      <c r="C5704" t="s">
        <v>84</v>
      </c>
      <c r="D5704" t="s">
        <v>103</v>
      </c>
      <c r="E5704" t="s">
        <v>122</v>
      </c>
      <c r="F5704" t="s">
        <v>156</v>
      </c>
      <c r="G5704" t="s">
        <v>182</v>
      </c>
      <c r="H5704" t="s">
        <v>83</v>
      </c>
      <c r="I5704" t="s">
        <v>237</v>
      </c>
      <c r="J5704" t="s">
        <v>254</v>
      </c>
      <c r="K5704" t="s">
        <v>268</v>
      </c>
      <c r="L5704" t="s">
        <v>280</v>
      </c>
      <c r="M5704" t="s">
        <v>289</v>
      </c>
      <c r="N5704" t="s">
        <v>298</v>
      </c>
      <c r="O5704" t="s">
        <v>307</v>
      </c>
      <c r="P5704" t="s">
        <v>314</v>
      </c>
      <c r="Q5704" t="s">
        <v>216</v>
      </c>
      <c r="R5704" t="s">
        <v>326</v>
      </c>
      <c r="S5704" t="s">
        <v>333</v>
      </c>
      <c r="T5704" t="s">
        <v>335</v>
      </c>
      <c r="U5704" t="s">
        <v>340</v>
      </c>
      <c r="V5704" t="s">
        <v>344</v>
      </c>
      <c r="W5704" t="s">
        <v>349</v>
      </c>
      <c r="AK5704" t="s">
        <v>363</v>
      </c>
    </row>
    <row r="5705" spans="1:37">
      <c r="A5705" t="s">
        <v>43</v>
      </c>
      <c r="B5705" t="s">
        <v>63</v>
      </c>
      <c r="C5705" t="s">
        <v>85</v>
      </c>
      <c r="D5705" t="s">
        <v>104</v>
      </c>
      <c r="E5705" t="s">
        <v>123</v>
      </c>
      <c r="F5705" t="s">
        <v>157</v>
      </c>
      <c r="G5705" t="s">
        <v>183</v>
      </c>
      <c r="AK5705" t="s">
        <v>363</v>
      </c>
    </row>
    <row r="5706" spans="1:37">
      <c r="A5706" t="s">
        <v>44</v>
      </c>
      <c r="B5706" t="s">
        <v>64</v>
      </c>
      <c r="C5706" t="s">
        <v>86</v>
      </c>
      <c r="D5706" t="s">
        <v>105</v>
      </c>
      <c r="E5706" t="s">
        <v>124</v>
      </c>
      <c r="F5706" t="s">
        <v>158</v>
      </c>
      <c r="G5706" t="s">
        <v>184</v>
      </c>
      <c r="AK5706" t="s">
        <v>363</v>
      </c>
    </row>
    <row r="5707" spans="1:37">
      <c r="A5707" t="s">
        <v>45</v>
      </c>
      <c r="B5707" t="s">
        <v>65</v>
      </c>
      <c r="C5707" t="s">
        <v>87</v>
      </c>
      <c r="D5707" t="s">
        <v>106</v>
      </c>
      <c r="E5707" t="s">
        <v>125</v>
      </c>
      <c r="F5707" t="s">
        <v>159</v>
      </c>
      <c r="G5707" t="s">
        <v>185</v>
      </c>
      <c r="H5707" t="s">
        <v>159</v>
      </c>
      <c r="I5707" t="s">
        <v>185</v>
      </c>
      <c r="J5707" t="s">
        <v>255</v>
      </c>
      <c r="AK5707" t="s">
        <v>363</v>
      </c>
    </row>
    <row r="5708" spans="1:37">
      <c r="A5708" t="s">
        <v>46</v>
      </c>
      <c r="B5708" t="s">
        <v>66</v>
      </c>
      <c r="C5708" t="s">
        <v>88</v>
      </c>
      <c r="D5708" t="s">
        <v>76</v>
      </c>
      <c r="E5708" t="s">
        <v>126</v>
      </c>
      <c r="F5708" t="s">
        <v>160</v>
      </c>
      <c r="G5708" t="s">
        <v>186</v>
      </c>
      <c r="H5708" t="s">
        <v>217</v>
      </c>
      <c r="I5708" t="s">
        <v>238</v>
      </c>
      <c r="J5708" t="s">
        <v>256</v>
      </c>
      <c r="K5708" t="s">
        <v>265</v>
      </c>
      <c r="L5708" t="s">
        <v>281</v>
      </c>
      <c r="M5708" t="s">
        <v>290</v>
      </c>
      <c r="N5708" t="s">
        <v>299</v>
      </c>
      <c r="O5708" t="s">
        <v>308</v>
      </c>
      <c r="P5708" t="s">
        <v>228</v>
      </c>
      <c r="Q5708" t="s">
        <v>72</v>
      </c>
      <c r="R5708" t="s">
        <v>327</v>
      </c>
      <c r="S5708" t="s">
        <v>327</v>
      </c>
      <c r="T5708" t="s">
        <v>336</v>
      </c>
      <c r="U5708" t="s">
        <v>336</v>
      </c>
      <c r="V5708" t="s">
        <v>336</v>
      </c>
      <c r="W5708" t="s">
        <v>336</v>
      </c>
      <c r="X5708" t="s">
        <v>353</v>
      </c>
      <c r="AK5708" t="s">
        <v>363</v>
      </c>
    </row>
    <row r="5709" spans="1:37">
      <c r="B5709" t="s">
        <v>67</v>
      </c>
      <c r="C5709" t="s">
        <v>89</v>
      </c>
      <c r="D5709" t="s">
        <v>107</v>
      </c>
      <c r="AK5709" t="s">
        <v>363</v>
      </c>
    </row>
    <row r="5710" spans="1:37">
      <c r="B5710" t="s">
        <v>68</v>
      </c>
      <c r="C5710" t="s">
        <v>90</v>
      </c>
      <c r="D5710" t="s">
        <v>108</v>
      </c>
      <c r="AK5710" t="s">
        <v>363</v>
      </c>
    </row>
    <row r="5711" spans="1:37">
      <c r="A5711" t="s">
        <v>47</v>
      </c>
      <c r="B5711" t="s">
        <v>69</v>
      </c>
      <c r="C5711" t="s">
        <v>91</v>
      </c>
      <c r="D5711" t="s">
        <v>109</v>
      </c>
      <c r="E5711" t="s">
        <v>109</v>
      </c>
      <c r="F5711" t="s">
        <v>109</v>
      </c>
      <c r="G5711" t="s">
        <v>109</v>
      </c>
      <c r="H5711" t="s">
        <v>109</v>
      </c>
      <c r="I5711" t="s">
        <v>239</v>
      </c>
      <c r="AK5711" t="s">
        <v>363</v>
      </c>
    </row>
    <row r="5712" spans="1:37">
      <c r="B5712" t="s">
        <v>70</v>
      </c>
      <c r="C5712" t="s">
        <v>92</v>
      </c>
      <c r="D5712" t="s">
        <v>110</v>
      </c>
      <c r="E5712" t="s">
        <v>127</v>
      </c>
      <c r="F5712" t="s">
        <v>161</v>
      </c>
      <c r="G5712" t="s">
        <v>187</v>
      </c>
      <c r="H5712" t="s">
        <v>218</v>
      </c>
      <c r="AK5712" t="s">
        <v>363</v>
      </c>
    </row>
    <row r="5713" spans="1:37">
      <c r="B5713" t="s">
        <v>71</v>
      </c>
      <c r="C5713" t="s">
        <v>93</v>
      </c>
      <c r="D5713" t="s">
        <v>111</v>
      </c>
      <c r="E5713" t="s">
        <v>128</v>
      </c>
      <c r="F5713" t="s">
        <v>162</v>
      </c>
      <c r="G5713" t="s">
        <v>188</v>
      </c>
      <c r="H5713" t="s">
        <v>219</v>
      </c>
      <c r="I5713" t="s">
        <v>240</v>
      </c>
      <c r="J5713" t="s">
        <v>257</v>
      </c>
      <c r="K5713" t="s">
        <v>269</v>
      </c>
      <c r="L5713" t="s">
        <v>109</v>
      </c>
      <c r="M5713" t="s">
        <v>109</v>
      </c>
      <c r="N5713" t="s">
        <v>109</v>
      </c>
      <c r="O5713" t="s">
        <v>109</v>
      </c>
      <c r="P5713" t="s">
        <v>109</v>
      </c>
      <c r="Q5713" t="s">
        <v>321</v>
      </c>
      <c r="AK5713" t="s">
        <v>363</v>
      </c>
    </row>
    <row r="5714" spans="1:37">
      <c r="A5714" t="s">
        <v>48</v>
      </c>
      <c r="B5714" t="s">
        <v>71</v>
      </c>
      <c r="C5714" t="s">
        <v>93</v>
      </c>
      <c r="D5714" t="s">
        <v>111</v>
      </c>
      <c r="E5714" t="s">
        <v>128</v>
      </c>
      <c r="F5714" t="s">
        <v>163</v>
      </c>
      <c r="G5714" t="s">
        <v>189</v>
      </c>
      <c r="H5714" t="s">
        <v>220</v>
      </c>
      <c r="I5714" t="s">
        <v>241</v>
      </c>
      <c r="J5714" t="s">
        <v>258</v>
      </c>
      <c r="K5714" t="s">
        <v>270</v>
      </c>
      <c r="AK5714" t="s">
        <v>363</v>
      </c>
    </row>
    <row r="5715" spans="1:37">
      <c r="B5715" t="s">
        <v>72</v>
      </c>
      <c r="C5715" t="s">
        <v>72</v>
      </c>
      <c r="D5715" t="s">
        <v>72</v>
      </c>
      <c r="E5715" t="s">
        <v>72</v>
      </c>
      <c r="F5715" t="s">
        <v>72</v>
      </c>
      <c r="G5715" t="s">
        <v>72</v>
      </c>
      <c r="H5715" t="s">
        <v>72</v>
      </c>
      <c r="I5715" t="s">
        <v>72</v>
      </c>
      <c r="J5715" t="s">
        <v>72</v>
      </c>
      <c r="K5715" t="s">
        <v>272</v>
      </c>
      <c r="AK5715" t="s">
        <v>363</v>
      </c>
    </row>
    <row r="5716" spans="1:37">
      <c r="A5716" t="s">
        <v>37</v>
      </c>
      <c r="B5716" t="s">
        <v>49</v>
      </c>
      <c r="C5716" t="s">
        <v>73</v>
      </c>
      <c r="D5716" t="s">
        <v>94</v>
      </c>
      <c r="E5716" t="s">
        <v>112</v>
      </c>
      <c r="F5716" t="s">
        <v>146</v>
      </c>
      <c r="G5716" t="s">
        <v>172</v>
      </c>
      <c r="H5716" t="s">
        <v>207</v>
      </c>
      <c r="I5716" t="s">
        <v>226</v>
      </c>
      <c r="J5716" t="s">
        <v>246</v>
      </c>
      <c r="K5716" t="s">
        <v>259</v>
      </c>
      <c r="AK5716" t="s">
        <v>363</v>
      </c>
    </row>
    <row r="5717" spans="1:37">
      <c r="A5717" t="s">
        <v>38</v>
      </c>
      <c r="B5717" t="s">
        <v>50</v>
      </c>
      <c r="C5717" t="s">
        <v>74</v>
      </c>
      <c r="D5717" t="s">
        <v>95</v>
      </c>
      <c r="E5717" t="s">
        <v>113</v>
      </c>
      <c r="F5717" t="s">
        <v>147</v>
      </c>
      <c r="G5717" t="s">
        <v>173</v>
      </c>
      <c r="H5717" t="s">
        <v>208</v>
      </c>
      <c r="I5717" t="s">
        <v>227</v>
      </c>
      <c r="J5717" t="s">
        <v>115</v>
      </c>
      <c r="K5717" t="s">
        <v>260</v>
      </c>
      <c r="L5717" t="s">
        <v>273</v>
      </c>
      <c r="M5717" t="s">
        <v>282</v>
      </c>
      <c r="N5717" t="s">
        <v>291</v>
      </c>
      <c r="AK5717" t="s">
        <v>363</v>
      </c>
    </row>
    <row r="5718" spans="1:37">
      <c r="B5718" t="s">
        <v>51</v>
      </c>
      <c r="C5718" t="s">
        <v>75</v>
      </c>
      <c r="D5718" t="s">
        <v>52</v>
      </c>
      <c r="E5718" t="s">
        <v>114</v>
      </c>
      <c r="F5718" t="s">
        <v>148</v>
      </c>
      <c r="G5718" t="s">
        <v>148</v>
      </c>
      <c r="H5718" t="s">
        <v>209</v>
      </c>
      <c r="I5718" t="s">
        <v>228</v>
      </c>
      <c r="J5718" t="s">
        <v>247</v>
      </c>
      <c r="K5718" t="s">
        <v>261</v>
      </c>
      <c r="L5718" t="s">
        <v>274</v>
      </c>
      <c r="M5718" t="s">
        <v>283</v>
      </c>
      <c r="N5718" t="s">
        <v>292</v>
      </c>
      <c r="O5718" t="s">
        <v>300</v>
      </c>
      <c r="AK5718" t="s">
        <v>363</v>
      </c>
    </row>
    <row r="5719" spans="1:37">
      <c r="B5719" t="s">
        <v>52</v>
      </c>
      <c r="C5719" t="s">
        <v>76</v>
      </c>
      <c r="D5719" t="s">
        <v>96</v>
      </c>
      <c r="E5719" t="s">
        <v>115</v>
      </c>
      <c r="F5719" t="s">
        <v>149</v>
      </c>
      <c r="G5719" t="s">
        <v>174</v>
      </c>
      <c r="H5719" t="s">
        <v>96</v>
      </c>
      <c r="I5719" t="s">
        <v>229</v>
      </c>
      <c r="J5719" t="s">
        <v>248</v>
      </c>
      <c r="K5719" t="s">
        <v>262</v>
      </c>
      <c r="L5719" t="s">
        <v>52</v>
      </c>
      <c r="M5719" t="s">
        <v>76</v>
      </c>
      <c r="N5719" t="s">
        <v>293</v>
      </c>
      <c r="O5719" t="s">
        <v>301</v>
      </c>
      <c r="P5719" t="s">
        <v>309</v>
      </c>
      <c r="Q5719" t="s">
        <v>315</v>
      </c>
      <c r="R5719" t="s">
        <v>228</v>
      </c>
      <c r="S5719" t="s">
        <v>328</v>
      </c>
      <c r="T5719" t="s">
        <v>149</v>
      </c>
      <c r="U5719" t="s">
        <v>337</v>
      </c>
      <c r="V5719" t="s">
        <v>341</v>
      </c>
      <c r="W5719" t="s">
        <v>345</v>
      </c>
      <c r="X5719" t="s">
        <v>350</v>
      </c>
      <c r="AK5719" t="s">
        <v>363</v>
      </c>
    </row>
    <row r="5720" spans="1:37">
      <c r="B5720" t="s">
        <v>53</v>
      </c>
      <c r="C5720" t="s">
        <v>77</v>
      </c>
      <c r="D5720" t="s">
        <v>97</v>
      </c>
      <c r="E5720" t="s">
        <v>116</v>
      </c>
      <c r="F5720" t="s">
        <v>150</v>
      </c>
      <c r="G5720" t="s">
        <v>175</v>
      </c>
      <c r="H5720" t="s">
        <v>210</v>
      </c>
      <c r="I5720" t="s">
        <v>230</v>
      </c>
      <c r="J5720" t="s">
        <v>249</v>
      </c>
      <c r="K5720" t="s">
        <v>263</v>
      </c>
      <c r="L5720" t="s">
        <v>275</v>
      </c>
      <c r="M5720" t="s">
        <v>284</v>
      </c>
      <c r="N5720" t="s">
        <v>294</v>
      </c>
      <c r="O5720" t="s">
        <v>302</v>
      </c>
      <c r="P5720" t="s">
        <v>310</v>
      </c>
      <c r="Q5720" t="s">
        <v>316</v>
      </c>
      <c r="R5720" t="s">
        <v>322</v>
      </c>
      <c r="S5720" t="s">
        <v>329</v>
      </c>
      <c r="AK5720" t="s">
        <v>363</v>
      </c>
    </row>
    <row r="5721" spans="1:37">
      <c r="A5721" t="s">
        <v>39</v>
      </c>
      <c r="B5721" t="s">
        <v>54</v>
      </c>
      <c r="C5721" t="s">
        <v>54</v>
      </c>
      <c r="D5721" t="s">
        <v>54</v>
      </c>
      <c r="E5721" t="s">
        <v>54</v>
      </c>
      <c r="F5721" t="s">
        <v>54</v>
      </c>
      <c r="G5721" t="s">
        <v>54</v>
      </c>
      <c r="H5721" t="s">
        <v>54</v>
      </c>
      <c r="I5721" t="s">
        <v>54</v>
      </c>
      <c r="J5721" t="s">
        <v>54</v>
      </c>
      <c r="K5721" t="s">
        <v>54</v>
      </c>
      <c r="L5721" t="s">
        <v>54</v>
      </c>
      <c r="M5721" t="s">
        <v>54</v>
      </c>
      <c r="N5721" t="s">
        <v>54</v>
      </c>
      <c r="O5721" t="s">
        <v>54</v>
      </c>
      <c r="P5721" t="s">
        <v>54</v>
      </c>
      <c r="Q5721" t="s">
        <v>54</v>
      </c>
      <c r="R5721" t="s">
        <v>323</v>
      </c>
      <c r="S5721" t="s">
        <v>330</v>
      </c>
      <c r="AK5721" t="s">
        <v>363</v>
      </c>
    </row>
    <row r="5722" spans="1:37">
      <c r="B5722" t="s">
        <v>55</v>
      </c>
      <c r="C5722" t="s">
        <v>78</v>
      </c>
      <c r="D5722" t="s">
        <v>55</v>
      </c>
      <c r="E5722" t="s">
        <v>78</v>
      </c>
      <c r="F5722" t="s">
        <v>55</v>
      </c>
      <c r="G5722" t="s">
        <v>78</v>
      </c>
      <c r="H5722" t="s">
        <v>55</v>
      </c>
      <c r="I5722" t="s">
        <v>78</v>
      </c>
      <c r="J5722" t="s">
        <v>55</v>
      </c>
      <c r="K5722" t="s">
        <v>78</v>
      </c>
      <c r="L5722" t="s">
        <v>55</v>
      </c>
      <c r="M5722" t="s">
        <v>78</v>
      </c>
      <c r="N5722" t="s">
        <v>55</v>
      </c>
      <c r="O5722" t="s">
        <v>78</v>
      </c>
      <c r="P5722" t="s">
        <v>55</v>
      </c>
      <c r="Q5722" t="s">
        <v>78</v>
      </c>
      <c r="R5722" t="s">
        <v>55</v>
      </c>
      <c r="S5722" t="s">
        <v>78</v>
      </c>
      <c r="T5722" t="s">
        <v>55</v>
      </c>
      <c r="U5722" t="s">
        <v>78</v>
      </c>
      <c r="V5722" t="s">
        <v>55</v>
      </c>
      <c r="W5722" t="s">
        <v>78</v>
      </c>
      <c r="X5722" t="s">
        <v>55</v>
      </c>
      <c r="Y5722" t="s">
        <v>78</v>
      </c>
      <c r="Z5722" t="s">
        <v>55</v>
      </c>
      <c r="AA5722" t="s">
        <v>78</v>
      </c>
      <c r="AB5722" t="s">
        <v>55</v>
      </c>
      <c r="AC5722" t="s">
        <v>78</v>
      </c>
      <c r="AD5722" t="s">
        <v>55</v>
      </c>
      <c r="AE5722" t="s">
        <v>78</v>
      </c>
      <c r="AF5722" t="s">
        <v>55</v>
      </c>
      <c r="AG5722" t="s">
        <v>78</v>
      </c>
      <c r="AH5722" t="s">
        <v>55</v>
      </c>
      <c r="AI5722" t="s">
        <v>78</v>
      </c>
      <c r="AK5722" t="s">
        <v>363</v>
      </c>
    </row>
    <row r="5723" spans="1:37">
      <c r="B5723" t="s">
        <v>56</v>
      </c>
      <c r="C5723" t="s">
        <v>56</v>
      </c>
      <c r="D5723" t="s">
        <v>56</v>
      </c>
      <c r="E5723" t="s">
        <v>56</v>
      </c>
      <c r="F5723" t="s">
        <v>56</v>
      </c>
      <c r="G5723" t="s">
        <v>176</v>
      </c>
      <c r="H5723" t="s">
        <v>211</v>
      </c>
      <c r="I5723" t="s">
        <v>231</v>
      </c>
      <c r="J5723" t="s">
        <v>250</v>
      </c>
      <c r="K5723" t="s">
        <v>264</v>
      </c>
      <c r="L5723" t="s">
        <v>276</v>
      </c>
      <c r="M5723" t="s">
        <v>285</v>
      </c>
      <c r="N5723" t="s">
        <v>295</v>
      </c>
      <c r="O5723" t="s">
        <v>303</v>
      </c>
      <c r="P5723" t="s">
        <v>56</v>
      </c>
      <c r="Q5723" t="s">
        <v>317</v>
      </c>
      <c r="R5723" t="s">
        <v>324</v>
      </c>
      <c r="S5723" t="s">
        <v>331</v>
      </c>
      <c r="T5723" t="s">
        <v>334</v>
      </c>
      <c r="U5723" t="s">
        <v>338</v>
      </c>
      <c r="V5723" t="s">
        <v>342</v>
      </c>
      <c r="W5723" t="s">
        <v>346</v>
      </c>
      <c r="X5723" t="s">
        <v>351</v>
      </c>
      <c r="AK5723" t="s">
        <v>363</v>
      </c>
    </row>
    <row r="5724" spans="1:37">
      <c r="B5724" t="s">
        <v>57</v>
      </c>
      <c r="C5724" t="s">
        <v>79</v>
      </c>
      <c r="D5724" t="s">
        <v>98</v>
      </c>
      <c r="E5724" t="s">
        <v>117</v>
      </c>
      <c r="F5724" t="s">
        <v>151</v>
      </c>
      <c r="G5724" t="s">
        <v>177</v>
      </c>
      <c r="H5724" t="s">
        <v>212</v>
      </c>
      <c r="I5724" t="s">
        <v>232</v>
      </c>
      <c r="J5724" t="s">
        <v>251</v>
      </c>
      <c r="K5724" t="s">
        <v>265</v>
      </c>
      <c r="L5724" t="s">
        <v>277</v>
      </c>
      <c r="M5724" t="s">
        <v>286</v>
      </c>
      <c r="N5724" t="s">
        <v>296</v>
      </c>
      <c r="O5724" t="s">
        <v>304</v>
      </c>
      <c r="P5724" t="s">
        <v>311</v>
      </c>
      <c r="Q5724" t="s">
        <v>318</v>
      </c>
      <c r="R5724" t="s">
        <v>185</v>
      </c>
      <c r="S5724" t="s">
        <v>159</v>
      </c>
      <c r="T5724" t="s">
        <v>185</v>
      </c>
      <c r="U5724" t="s">
        <v>339</v>
      </c>
      <c r="V5724" t="s">
        <v>72</v>
      </c>
      <c r="W5724" t="s">
        <v>347</v>
      </c>
      <c r="X5724" t="s">
        <v>72</v>
      </c>
      <c r="Y5724" t="s">
        <v>96</v>
      </c>
      <c r="AK5724" t="s">
        <v>363</v>
      </c>
    </row>
    <row r="5725" spans="1:37">
      <c r="B5725" t="s">
        <v>58</v>
      </c>
      <c r="C5725" t="s">
        <v>80</v>
      </c>
      <c r="D5725" t="s">
        <v>99</v>
      </c>
      <c r="E5725" t="s">
        <v>118</v>
      </c>
      <c r="F5725" t="s">
        <v>152</v>
      </c>
      <c r="G5725" t="s">
        <v>178</v>
      </c>
      <c r="H5725" t="s">
        <v>213</v>
      </c>
      <c r="I5725" t="s">
        <v>233</v>
      </c>
      <c r="J5725" t="s">
        <v>252</v>
      </c>
      <c r="K5725" t="s">
        <v>266</v>
      </c>
      <c r="L5725" t="s">
        <v>278</v>
      </c>
      <c r="M5725" t="s">
        <v>287</v>
      </c>
      <c r="N5725" t="s">
        <v>297</v>
      </c>
      <c r="O5725" t="s">
        <v>305</v>
      </c>
      <c r="P5725" t="s">
        <v>312</v>
      </c>
      <c r="Q5725" t="s">
        <v>319</v>
      </c>
      <c r="R5725">
        <f>&gt;10       ветра      2.0     15   9 10</f>
        <v>0</v>
      </c>
      <c r="AK5725" t="s">
        <v>363</v>
      </c>
    </row>
    <row r="5726" spans="1:37">
      <c r="A5726" t="s">
        <v>40</v>
      </c>
      <c r="B5726" t="s">
        <v>59</v>
      </c>
      <c r="C5726" t="s">
        <v>81</v>
      </c>
      <c r="D5726" t="s">
        <v>100</v>
      </c>
      <c r="E5726" t="s">
        <v>119</v>
      </c>
      <c r="F5726" t="s">
        <v>153</v>
      </c>
      <c r="G5726" t="s">
        <v>179</v>
      </c>
      <c r="H5726" t="s">
        <v>214</v>
      </c>
      <c r="I5726" t="s">
        <v>234</v>
      </c>
      <c r="AK5726" t="s">
        <v>363</v>
      </c>
    </row>
    <row r="5727" spans="1:37">
      <c r="A5727" t="s">
        <v>40</v>
      </c>
      <c r="B5727" t="s">
        <v>60</v>
      </c>
      <c r="C5727" t="s">
        <v>82</v>
      </c>
      <c r="D5727" t="s">
        <v>101</v>
      </c>
      <c r="E5727" t="s">
        <v>120</v>
      </c>
      <c r="F5727" t="s">
        <v>154</v>
      </c>
      <c r="G5727" t="s">
        <v>180</v>
      </c>
      <c r="H5727" t="s">
        <v>215</v>
      </c>
      <c r="I5727" t="s">
        <v>235</v>
      </c>
      <c r="J5727" t="s">
        <v>253</v>
      </c>
      <c r="K5727" t="s">
        <v>267</v>
      </c>
      <c r="L5727" t="s">
        <v>279</v>
      </c>
      <c r="M5727" t="s">
        <v>288</v>
      </c>
      <c r="N5727" t="s">
        <v>100</v>
      </c>
      <c r="O5727" t="s">
        <v>306</v>
      </c>
      <c r="P5727" t="s">
        <v>313</v>
      </c>
      <c r="Q5727" t="s">
        <v>320</v>
      </c>
      <c r="R5727" t="s">
        <v>325</v>
      </c>
      <c r="S5727" t="s">
        <v>332</v>
      </c>
      <c r="T5727" t="s">
        <v>119</v>
      </c>
      <c r="U5727" t="s">
        <v>234</v>
      </c>
      <c r="V5727" t="s">
        <v>343</v>
      </c>
      <c r="W5727" t="s">
        <v>348</v>
      </c>
      <c r="X5727" t="s">
        <v>352</v>
      </c>
      <c r="Y5727" t="s">
        <v>354</v>
      </c>
      <c r="AK5727" t="s">
        <v>363</v>
      </c>
    </row>
    <row r="5728" spans="1:37">
      <c r="A5728" t="s">
        <v>41</v>
      </c>
      <c r="B5728" t="s">
        <v>61</v>
      </c>
      <c r="C5728" t="s">
        <v>83</v>
      </c>
      <c r="D5728" t="s">
        <v>102</v>
      </c>
      <c r="E5728" t="s">
        <v>121</v>
      </c>
      <c r="F5728" t="s">
        <v>155</v>
      </c>
      <c r="G5728" t="s">
        <v>181</v>
      </c>
      <c r="H5728" t="s">
        <v>216</v>
      </c>
      <c r="I5728" t="s">
        <v>236</v>
      </c>
      <c r="AK5728" t="s">
        <v>363</v>
      </c>
    </row>
    <row r="5729" spans="1:37">
      <c r="A5729" t="s">
        <v>42</v>
      </c>
      <c r="B5729" t="s">
        <v>62</v>
      </c>
      <c r="C5729" t="s">
        <v>84</v>
      </c>
      <c r="D5729" t="s">
        <v>103</v>
      </c>
      <c r="E5729" t="s">
        <v>122</v>
      </c>
      <c r="F5729" t="s">
        <v>156</v>
      </c>
      <c r="G5729" t="s">
        <v>182</v>
      </c>
      <c r="H5729" t="s">
        <v>83</v>
      </c>
      <c r="I5729" t="s">
        <v>237</v>
      </c>
      <c r="J5729" t="s">
        <v>254</v>
      </c>
      <c r="K5729" t="s">
        <v>268</v>
      </c>
      <c r="L5729" t="s">
        <v>280</v>
      </c>
      <c r="M5729" t="s">
        <v>289</v>
      </c>
      <c r="N5729" t="s">
        <v>298</v>
      </c>
      <c r="O5729" t="s">
        <v>307</v>
      </c>
      <c r="P5729" t="s">
        <v>314</v>
      </c>
      <c r="Q5729" t="s">
        <v>216</v>
      </c>
      <c r="R5729" t="s">
        <v>326</v>
      </c>
      <c r="S5729" t="s">
        <v>333</v>
      </c>
      <c r="T5729" t="s">
        <v>335</v>
      </c>
      <c r="U5729" t="s">
        <v>340</v>
      </c>
      <c r="V5729" t="s">
        <v>344</v>
      </c>
      <c r="W5729" t="s">
        <v>349</v>
      </c>
      <c r="AK5729" t="s">
        <v>363</v>
      </c>
    </row>
    <row r="5730" spans="1:37">
      <c r="A5730" t="s">
        <v>43</v>
      </c>
      <c r="B5730" t="s">
        <v>63</v>
      </c>
      <c r="C5730" t="s">
        <v>85</v>
      </c>
      <c r="D5730" t="s">
        <v>104</v>
      </c>
      <c r="E5730" t="s">
        <v>123</v>
      </c>
      <c r="F5730" t="s">
        <v>157</v>
      </c>
      <c r="G5730" t="s">
        <v>183</v>
      </c>
      <c r="AK5730" t="s">
        <v>363</v>
      </c>
    </row>
    <row r="5731" spans="1:37">
      <c r="A5731" t="s">
        <v>44</v>
      </c>
      <c r="B5731" t="s">
        <v>64</v>
      </c>
      <c r="C5731" t="s">
        <v>86</v>
      </c>
      <c r="D5731" t="s">
        <v>105</v>
      </c>
      <c r="E5731" t="s">
        <v>124</v>
      </c>
      <c r="F5731" t="s">
        <v>158</v>
      </c>
      <c r="G5731" t="s">
        <v>184</v>
      </c>
      <c r="AK5731" t="s">
        <v>363</v>
      </c>
    </row>
    <row r="5732" spans="1:37">
      <c r="A5732" t="s">
        <v>45</v>
      </c>
      <c r="B5732" t="s">
        <v>65</v>
      </c>
      <c r="C5732" t="s">
        <v>87</v>
      </c>
      <c r="D5732" t="s">
        <v>106</v>
      </c>
      <c r="E5732" t="s">
        <v>125</v>
      </c>
      <c r="F5732" t="s">
        <v>159</v>
      </c>
      <c r="G5732" t="s">
        <v>185</v>
      </c>
      <c r="H5732" t="s">
        <v>159</v>
      </c>
      <c r="I5732" t="s">
        <v>185</v>
      </c>
      <c r="J5732" t="s">
        <v>255</v>
      </c>
      <c r="AK5732" t="s">
        <v>363</v>
      </c>
    </row>
    <row r="5733" spans="1:37">
      <c r="A5733" t="s">
        <v>46</v>
      </c>
      <c r="B5733" t="s">
        <v>66</v>
      </c>
      <c r="C5733" t="s">
        <v>88</v>
      </c>
      <c r="D5733" t="s">
        <v>76</v>
      </c>
      <c r="E5733" t="s">
        <v>126</v>
      </c>
      <c r="F5733" t="s">
        <v>160</v>
      </c>
      <c r="G5733" t="s">
        <v>186</v>
      </c>
      <c r="H5733" t="s">
        <v>217</v>
      </c>
      <c r="I5733" t="s">
        <v>238</v>
      </c>
      <c r="J5733" t="s">
        <v>256</v>
      </c>
      <c r="K5733" t="s">
        <v>265</v>
      </c>
      <c r="L5733" t="s">
        <v>281</v>
      </c>
      <c r="M5733" t="s">
        <v>290</v>
      </c>
      <c r="N5733" t="s">
        <v>299</v>
      </c>
      <c r="O5733" t="s">
        <v>308</v>
      </c>
      <c r="P5733" t="s">
        <v>228</v>
      </c>
      <c r="Q5733" t="s">
        <v>72</v>
      </c>
      <c r="R5733" t="s">
        <v>327</v>
      </c>
      <c r="S5733" t="s">
        <v>327</v>
      </c>
      <c r="T5733" t="s">
        <v>336</v>
      </c>
      <c r="U5733" t="s">
        <v>336</v>
      </c>
      <c r="V5733" t="s">
        <v>336</v>
      </c>
      <c r="W5733" t="s">
        <v>336</v>
      </c>
      <c r="X5733" t="s">
        <v>353</v>
      </c>
      <c r="AK5733" t="s">
        <v>363</v>
      </c>
    </row>
    <row r="5734" spans="1:37">
      <c r="B5734" t="s">
        <v>67</v>
      </c>
      <c r="C5734" t="s">
        <v>89</v>
      </c>
      <c r="D5734" t="s">
        <v>107</v>
      </c>
      <c r="AK5734" t="s">
        <v>363</v>
      </c>
    </row>
    <row r="5735" spans="1:37">
      <c r="B5735" t="s">
        <v>68</v>
      </c>
      <c r="C5735" t="s">
        <v>90</v>
      </c>
      <c r="D5735" t="s">
        <v>108</v>
      </c>
      <c r="AK5735" t="s">
        <v>363</v>
      </c>
    </row>
    <row r="5736" spans="1:37">
      <c r="A5736" t="s">
        <v>47</v>
      </c>
      <c r="B5736" t="s">
        <v>69</v>
      </c>
      <c r="C5736" t="s">
        <v>91</v>
      </c>
      <c r="D5736" t="s">
        <v>109</v>
      </c>
      <c r="E5736" t="s">
        <v>109</v>
      </c>
      <c r="F5736" t="s">
        <v>109</v>
      </c>
      <c r="G5736" t="s">
        <v>109</v>
      </c>
      <c r="H5736" t="s">
        <v>109</v>
      </c>
      <c r="I5736" t="s">
        <v>239</v>
      </c>
      <c r="AK5736" t="s">
        <v>363</v>
      </c>
    </row>
    <row r="5737" spans="1:37">
      <c r="B5737" t="s">
        <v>70</v>
      </c>
      <c r="C5737" t="s">
        <v>92</v>
      </c>
      <c r="D5737" t="s">
        <v>110</v>
      </c>
      <c r="E5737" t="s">
        <v>127</v>
      </c>
      <c r="F5737" t="s">
        <v>161</v>
      </c>
      <c r="G5737" t="s">
        <v>187</v>
      </c>
      <c r="H5737" t="s">
        <v>218</v>
      </c>
      <c r="AK5737" t="s">
        <v>363</v>
      </c>
    </row>
    <row r="5738" spans="1:37">
      <c r="B5738" t="s">
        <v>71</v>
      </c>
      <c r="C5738" t="s">
        <v>93</v>
      </c>
      <c r="D5738" t="s">
        <v>111</v>
      </c>
      <c r="E5738" t="s">
        <v>128</v>
      </c>
      <c r="F5738" t="s">
        <v>162</v>
      </c>
      <c r="G5738" t="s">
        <v>188</v>
      </c>
      <c r="H5738" t="s">
        <v>219</v>
      </c>
      <c r="I5738" t="s">
        <v>240</v>
      </c>
      <c r="J5738" t="s">
        <v>257</v>
      </c>
      <c r="K5738" t="s">
        <v>269</v>
      </c>
      <c r="L5738" t="s">
        <v>109</v>
      </c>
      <c r="M5738" t="s">
        <v>109</v>
      </c>
      <c r="N5738" t="s">
        <v>109</v>
      </c>
      <c r="O5738" t="s">
        <v>109</v>
      </c>
      <c r="P5738" t="s">
        <v>109</v>
      </c>
      <c r="Q5738" t="s">
        <v>321</v>
      </c>
      <c r="AK5738" t="s">
        <v>363</v>
      </c>
    </row>
    <row r="5739" spans="1:37">
      <c r="A5739" t="s">
        <v>48</v>
      </c>
      <c r="B5739" t="s">
        <v>71</v>
      </c>
      <c r="C5739" t="s">
        <v>93</v>
      </c>
      <c r="D5739" t="s">
        <v>111</v>
      </c>
      <c r="E5739" t="s">
        <v>128</v>
      </c>
      <c r="F5739" t="s">
        <v>163</v>
      </c>
      <c r="G5739" t="s">
        <v>189</v>
      </c>
      <c r="H5739" t="s">
        <v>220</v>
      </c>
      <c r="I5739" t="s">
        <v>241</v>
      </c>
      <c r="J5739" t="s">
        <v>258</v>
      </c>
      <c r="K5739" t="s">
        <v>270</v>
      </c>
      <c r="AK5739" t="s">
        <v>363</v>
      </c>
    </row>
    <row r="5740" spans="1:37">
      <c r="B5740" t="s">
        <v>72</v>
      </c>
      <c r="C5740" t="s">
        <v>72</v>
      </c>
      <c r="D5740" t="s">
        <v>72</v>
      </c>
      <c r="E5740" t="s">
        <v>139</v>
      </c>
      <c r="F5740" t="s">
        <v>139</v>
      </c>
      <c r="G5740" t="s">
        <v>192</v>
      </c>
      <c r="H5740" t="s">
        <v>192</v>
      </c>
      <c r="I5740" t="s">
        <v>192</v>
      </c>
      <c r="J5740" t="s">
        <v>192</v>
      </c>
      <c r="K5740" t="s">
        <v>271</v>
      </c>
      <c r="AK5740" t="s">
        <v>363</v>
      </c>
    </row>
    <row r="5741" spans="1:37">
      <c r="A5741" t="s">
        <v>37</v>
      </c>
      <c r="B5741" t="s">
        <v>49</v>
      </c>
      <c r="C5741" t="s">
        <v>73</v>
      </c>
      <c r="D5741" t="s">
        <v>94</v>
      </c>
      <c r="E5741" t="s">
        <v>112</v>
      </c>
      <c r="F5741" t="s">
        <v>146</v>
      </c>
      <c r="G5741" t="s">
        <v>172</v>
      </c>
      <c r="H5741" t="s">
        <v>207</v>
      </c>
      <c r="I5741" t="s">
        <v>226</v>
      </c>
      <c r="J5741" t="s">
        <v>246</v>
      </c>
      <c r="K5741" t="s">
        <v>259</v>
      </c>
      <c r="AK5741" t="s">
        <v>363</v>
      </c>
    </row>
    <row r="5742" spans="1:37">
      <c r="A5742" t="s">
        <v>38</v>
      </c>
      <c r="B5742" t="s">
        <v>50</v>
      </c>
      <c r="C5742" t="s">
        <v>74</v>
      </c>
      <c r="D5742" t="s">
        <v>95</v>
      </c>
      <c r="E5742" t="s">
        <v>113</v>
      </c>
      <c r="F5742" t="s">
        <v>147</v>
      </c>
      <c r="G5742" t="s">
        <v>173</v>
      </c>
      <c r="H5742" t="s">
        <v>208</v>
      </c>
      <c r="I5742" t="s">
        <v>227</v>
      </c>
      <c r="J5742" t="s">
        <v>115</v>
      </c>
      <c r="K5742" t="s">
        <v>260</v>
      </c>
      <c r="L5742" t="s">
        <v>273</v>
      </c>
      <c r="M5742" t="s">
        <v>282</v>
      </c>
      <c r="N5742" t="s">
        <v>291</v>
      </c>
      <c r="AK5742" t="s">
        <v>363</v>
      </c>
    </row>
    <row r="5743" spans="1:37">
      <c r="B5743" t="s">
        <v>51</v>
      </c>
      <c r="C5743" t="s">
        <v>75</v>
      </c>
      <c r="D5743" t="s">
        <v>52</v>
      </c>
      <c r="E5743" t="s">
        <v>114</v>
      </c>
      <c r="F5743" t="s">
        <v>148</v>
      </c>
      <c r="G5743" t="s">
        <v>148</v>
      </c>
      <c r="H5743" t="s">
        <v>209</v>
      </c>
      <c r="I5743" t="s">
        <v>228</v>
      </c>
      <c r="J5743" t="s">
        <v>247</v>
      </c>
      <c r="K5743" t="s">
        <v>261</v>
      </c>
      <c r="L5743" t="s">
        <v>274</v>
      </c>
      <c r="M5743" t="s">
        <v>283</v>
      </c>
      <c r="N5743" t="s">
        <v>292</v>
      </c>
      <c r="O5743" t="s">
        <v>300</v>
      </c>
      <c r="AK5743" t="s">
        <v>363</v>
      </c>
    </row>
    <row r="5744" spans="1:37">
      <c r="B5744" t="s">
        <v>52</v>
      </c>
      <c r="C5744" t="s">
        <v>76</v>
      </c>
      <c r="D5744" t="s">
        <v>96</v>
      </c>
      <c r="E5744" t="s">
        <v>115</v>
      </c>
      <c r="F5744" t="s">
        <v>149</v>
      </c>
      <c r="G5744" t="s">
        <v>174</v>
      </c>
      <c r="H5744" t="s">
        <v>96</v>
      </c>
      <c r="I5744" t="s">
        <v>229</v>
      </c>
      <c r="J5744" t="s">
        <v>248</v>
      </c>
      <c r="K5744" t="s">
        <v>262</v>
      </c>
      <c r="L5744" t="s">
        <v>52</v>
      </c>
      <c r="M5744" t="s">
        <v>76</v>
      </c>
      <c r="N5744" t="s">
        <v>293</v>
      </c>
      <c r="O5744" t="s">
        <v>301</v>
      </c>
      <c r="P5744" t="s">
        <v>309</v>
      </c>
      <c r="Q5744" t="s">
        <v>315</v>
      </c>
      <c r="R5744" t="s">
        <v>228</v>
      </c>
      <c r="S5744" t="s">
        <v>328</v>
      </c>
      <c r="T5744" t="s">
        <v>149</v>
      </c>
      <c r="U5744" t="s">
        <v>337</v>
      </c>
      <c r="V5744" t="s">
        <v>341</v>
      </c>
      <c r="W5744" t="s">
        <v>345</v>
      </c>
      <c r="X5744" t="s">
        <v>350</v>
      </c>
      <c r="AK5744" t="s">
        <v>363</v>
      </c>
    </row>
    <row r="5745" spans="1:37">
      <c r="B5745" t="s">
        <v>53</v>
      </c>
      <c r="C5745" t="s">
        <v>77</v>
      </c>
      <c r="D5745" t="s">
        <v>97</v>
      </c>
      <c r="E5745" t="s">
        <v>116</v>
      </c>
      <c r="F5745" t="s">
        <v>150</v>
      </c>
      <c r="G5745" t="s">
        <v>175</v>
      </c>
      <c r="H5745" t="s">
        <v>210</v>
      </c>
      <c r="I5745" t="s">
        <v>230</v>
      </c>
      <c r="J5745" t="s">
        <v>249</v>
      </c>
      <c r="K5745" t="s">
        <v>263</v>
      </c>
      <c r="L5745" t="s">
        <v>275</v>
      </c>
      <c r="M5745" t="s">
        <v>284</v>
      </c>
      <c r="N5745" t="s">
        <v>294</v>
      </c>
      <c r="O5745" t="s">
        <v>302</v>
      </c>
      <c r="P5745" t="s">
        <v>310</v>
      </c>
      <c r="Q5745" t="s">
        <v>316</v>
      </c>
      <c r="R5745" t="s">
        <v>322</v>
      </c>
      <c r="S5745" t="s">
        <v>329</v>
      </c>
      <c r="AK5745" t="s">
        <v>363</v>
      </c>
    </row>
    <row r="5746" spans="1:37">
      <c r="A5746" t="s">
        <v>39</v>
      </c>
      <c r="B5746" t="s">
        <v>54</v>
      </c>
      <c r="C5746" t="s">
        <v>54</v>
      </c>
      <c r="D5746" t="s">
        <v>54</v>
      </c>
      <c r="E5746" t="s">
        <v>54</v>
      </c>
      <c r="F5746" t="s">
        <v>54</v>
      </c>
      <c r="G5746" t="s">
        <v>54</v>
      </c>
      <c r="H5746" t="s">
        <v>54</v>
      </c>
      <c r="I5746" t="s">
        <v>54</v>
      </c>
      <c r="J5746" t="s">
        <v>54</v>
      </c>
      <c r="K5746" t="s">
        <v>54</v>
      </c>
      <c r="L5746" t="s">
        <v>54</v>
      </c>
      <c r="M5746" t="s">
        <v>54</v>
      </c>
      <c r="N5746" t="s">
        <v>54</v>
      </c>
      <c r="O5746" t="s">
        <v>54</v>
      </c>
      <c r="P5746" t="s">
        <v>54</v>
      </c>
      <c r="Q5746" t="s">
        <v>54</v>
      </c>
      <c r="R5746" t="s">
        <v>323</v>
      </c>
      <c r="S5746" t="s">
        <v>330</v>
      </c>
      <c r="AK5746" t="s">
        <v>363</v>
      </c>
    </row>
    <row r="5747" spans="1:37">
      <c r="B5747" t="s">
        <v>55</v>
      </c>
      <c r="C5747" t="s">
        <v>78</v>
      </c>
      <c r="D5747" t="s">
        <v>55</v>
      </c>
      <c r="E5747" t="s">
        <v>78</v>
      </c>
      <c r="F5747" t="s">
        <v>55</v>
      </c>
      <c r="G5747" t="s">
        <v>78</v>
      </c>
      <c r="H5747" t="s">
        <v>55</v>
      </c>
      <c r="I5747" t="s">
        <v>78</v>
      </c>
      <c r="J5747" t="s">
        <v>55</v>
      </c>
      <c r="K5747" t="s">
        <v>78</v>
      </c>
      <c r="L5747" t="s">
        <v>55</v>
      </c>
      <c r="M5747" t="s">
        <v>78</v>
      </c>
      <c r="N5747" t="s">
        <v>55</v>
      </c>
      <c r="O5747" t="s">
        <v>78</v>
      </c>
      <c r="P5747" t="s">
        <v>55</v>
      </c>
      <c r="Q5747" t="s">
        <v>78</v>
      </c>
      <c r="R5747" t="s">
        <v>55</v>
      </c>
      <c r="S5747" t="s">
        <v>78</v>
      </c>
      <c r="T5747" t="s">
        <v>55</v>
      </c>
      <c r="U5747" t="s">
        <v>78</v>
      </c>
      <c r="V5747" t="s">
        <v>55</v>
      </c>
      <c r="W5747" t="s">
        <v>78</v>
      </c>
      <c r="X5747" t="s">
        <v>55</v>
      </c>
      <c r="Y5747" t="s">
        <v>78</v>
      </c>
      <c r="Z5747" t="s">
        <v>55</v>
      </c>
      <c r="AA5747" t="s">
        <v>78</v>
      </c>
      <c r="AB5747" t="s">
        <v>55</v>
      </c>
      <c r="AC5747" t="s">
        <v>78</v>
      </c>
      <c r="AD5747" t="s">
        <v>55</v>
      </c>
      <c r="AE5747" t="s">
        <v>78</v>
      </c>
      <c r="AF5747" t="s">
        <v>55</v>
      </c>
      <c r="AG5747" t="s">
        <v>78</v>
      </c>
      <c r="AH5747" t="s">
        <v>55</v>
      </c>
      <c r="AI5747" t="s">
        <v>78</v>
      </c>
      <c r="AK5747" t="s">
        <v>363</v>
      </c>
    </row>
    <row r="5748" spans="1:37">
      <c r="B5748" t="s">
        <v>56</v>
      </c>
      <c r="C5748" t="s">
        <v>56</v>
      </c>
      <c r="D5748" t="s">
        <v>56</v>
      </c>
      <c r="E5748" t="s">
        <v>56</v>
      </c>
      <c r="F5748" t="s">
        <v>56</v>
      </c>
      <c r="G5748" t="s">
        <v>176</v>
      </c>
      <c r="H5748" t="s">
        <v>211</v>
      </c>
      <c r="I5748" t="s">
        <v>231</v>
      </c>
      <c r="J5748" t="s">
        <v>250</v>
      </c>
      <c r="K5748" t="s">
        <v>264</v>
      </c>
      <c r="L5748" t="s">
        <v>276</v>
      </c>
      <c r="M5748" t="s">
        <v>285</v>
      </c>
      <c r="N5748" t="s">
        <v>295</v>
      </c>
      <c r="O5748" t="s">
        <v>303</v>
      </c>
      <c r="P5748" t="s">
        <v>56</v>
      </c>
      <c r="Q5748" t="s">
        <v>317</v>
      </c>
      <c r="R5748" t="s">
        <v>324</v>
      </c>
      <c r="S5748" t="s">
        <v>331</v>
      </c>
      <c r="T5748" t="s">
        <v>334</v>
      </c>
      <c r="U5748" t="s">
        <v>338</v>
      </c>
      <c r="V5748" t="s">
        <v>342</v>
      </c>
      <c r="W5748" t="s">
        <v>346</v>
      </c>
      <c r="X5748" t="s">
        <v>351</v>
      </c>
      <c r="AK5748" t="s">
        <v>363</v>
      </c>
    </row>
    <row r="5749" spans="1:37">
      <c r="B5749" t="s">
        <v>57</v>
      </c>
      <c r="C5749" t="s">
        <v>79</v>
      </c>
      <c r="D5749" t="s">
        <v>98</v>
      </c>
      <c r="E5749" t="s">
        <v>117</v>
      </c>
      <c r="F5749" t="s">
        <v>151</v>
      </c>
      <c r="G5749" t="s">
        <v>177</v>
      </c>
      <c r="H5749" t="s">
        <v>212</v>
      </c>
      <c r="I5749" t="s">
        <v>232</v>
      </c>
      <c r="J5749" t="s">
        <v>251</v>
      </c>
      <c r="K5749" t="s">
        <v>265</v>
      </c>
      <c r="L5749" t="s">
        <v>277</v>
      </c>
      <c r="M5749" t="s">
        <v>286</v>
      </c>
      <c r="N5749" t="s">
        <v>296</v>
      </c>
      <c r="O5749" t="s">
        <v>304</v>
      </c>
      <c r="P5749" t="s">
        <v>311</v>
      </c>
      <c r="Q5749" t="s">
        <v>318</v>
      </c>
      <c r="R5749" t="s">
        <v>185</v>
      </c>
      <c r="S5749" t="s">
        <v>159</v>
      </c>
      <c r="T5749" t="s">
        <v>185</v>
      </c>
      <c r="U5749" t="s">
        <v>339</v>
      </c>
      <c r="V5749" t="s">
        <v>72</v>
      </c>
      <c r="W5749" t="s">
        <v>347</v>
      </c>
      <c r="X5749" t="s">
        <v>72</v>
      </c>
      <c r="Y5749" t="s">
        <v>96</v>
      </c>
      <c r="AK5749" t="s">
        <v>363</v>
      </c>
    </row>
    <row r="5750" spans="1:37">
      <c r="B5750" t="s">
        <v>58</v>
      </c>
      <c r="C5750" t="s">
        <v>80</v>
      </c>
      <c r="D5750" t="s">
        <v>99</v>
      </c>
      <c r="E5750" t="s">
        <v>118</v>
      </c>
      <c r="F5750" t="s">
        <v>152</v>
      </c>
      <c r="G5750" t="s">
        <v>178</v>
      </c>
      <c r="H5750" t="s">
        <v>213</v>
      </c>
      <c r="I5750" t="s">
        <v>233</v>
      </c>
      <c r="J5750" t="s">
        <v>252</v>
      </c>
      <c r="K5750" t="s">
        <v>266</v>
      </c>
      <c r="L5750" t="s">
        <v>278</v>
      </c>
      <c r="M5750" t="s">
        <v>287</v>
      </c>
      <c r="N5750" t="s">
        <v>297</v>
      </c>
      <c r="O5750" t="s">
        <v>305</v>
      </c>
      <c r="P5750" t="s">
        <v>312</v>
      </c>
      <c r="Q5750" t="s">
        <v>319</v>
      </c>
      <c r="R5750">
        <f>&gt;10       ветра      1.6     21  10 11</f>
        <v>0</v>
      </c>
      <c r="AK5750" t="s">
        <v>363</v>
      </c>
    </row>
    <row r="5751" spans="1:37">
      <c r="A5751" t="s">
        <v>40</v>
      </c>
      <c r="B5751" t="s">
        <v>59</v>
      </c>
      <c r="C5751" t="s">
        <v>81</v>
      </c>
      <c r="D5751" t="s">
        <v>100</v>
      </c>
      <c r="E5751" t="s">
        <v>119</v>
      </c>
      <c r="F5751" t="s">
        <v>153</v>
      </c>
      <c r="G5751" t="s">
        <v>179</v>
      </c>
      <c r="H5751" t="s">
        <v>214</v>
      </c>
      <c r="I5751" t="s">
        <v>234</v>
      </c>
      <c r="AK5751" t="s">
        <v>363</v>
      </c>
    </row>
    <row r="5752" spans="1:37">
      <c r="A5752" t="s">
        <v>40</v>
      </c>
      <c r="B5752" t="s">
        <v>60</v>
      </c>
      <c r="C5752" t="s">
        <v>82</v>
      </c>
      <c r="D5752" t="s">
        <v>101</v>
      </c>
      <c r="E5752" t="s">
        <v>120</v>
      </c>
      <c r="F5752" t="s">
        <v>154</v>
      </c>
      <c r="G5752" t="s">
        <v>180</v>
      </c>
      <c r="H5752" t="s">
        <v>215</v>
      </c>
      <c r="I5752" t="s">
        <v>235</v>
      </c>
      <c r="J5752" t="s">
        <v>253</v>
      </c>
      <c r="K5752" t="s">
        <v>267</v>
      </c>
      <c r="L5752" t="s">
        <v>279</v>
      </c>
      <c r="M5752" t="s">
        <v>288</v>
      </c>
      <c r="N5752" t="s">
        <v>100</v>
      </c>
      <c r="O5752" t="s">
        <v>306</v>
      </c>
      <c r="P5752" t="s">
        <v>313</v>
      </c>
      <c r="Q5752" t="s">
        <v>320</v>
      </c>
      <c r="R5752" t="s">
        <v>325</v>
      </c>
      <c r="S5752" t="s">
        <v>332</v>
      </c>
      <c r="T5752" t="s">
        <v>119</v>
      </c>
      <c r="U5752" t="s">
        <v>234</v>
      </c>
      <c r="V5752" t="s">
        <v>343</v>
      </c>
      <c r="W5752" t="s">
        <v>348</v>
      </c>
      <c r="X5752" t="s">
        <v>352</v>
      </c>
      <c r="Y5752" t="s">
        <v>354</v>
      </c>
      <c r="AK5752" t="s">
        <v>363</v>
      </c>
    </row>
    <row r="5753" spans="1:37">
      <c r="A5753" t="s">
        <v>41</v>
      </c>
      <c r="B5753" t="s">
        <v>61</v>
      </c>
      <c r="C5753" t="s">
        <v>83</v>
      </c>
      <c r="D5753" t="s">
        <v>102</v>
      </c>
      <c r="E5753" t="s">
        <v>121</v>
      </c>
      <c r="F5753" t="s">
        <v>155</v>
      </c>
      <c r="G5753" t="s">
        <v>181</v>
      </c>
      <c r="H5753" t="s">
        <v>216</v>
      </c>
      <c r="I5753" t="s">
        <v>236</v>
      </c>
      <c r="AK5753" t="s">
        <v>363</v>
      </c>
    </row>
    <row r="5754" spans="1:37">
      <c r="A5754" t="s">
        <v>42</v>
      </c>
      <c r="B5754" t="s">
        <v>62</v>
      </c>
      <c r="C5754" t="s">
        <v>84</v>
      </c>
      <c r="D5754" t="s">
        <v>103</v>
      </c>
      <c r="E5754" t="s">
        <v>122</v>
      </c>
      <c r="F5754" t="s">
        <v>156</v>
      </c>
      <c r="G5754" t="s">
        <v>182</v>
      </c>
      <c r="H5754" t="s">
        <v>83</v>
      </c>
      <c r="I5754" t="s">
        <v>237</v>
      </c>
      <c r="J5754" t="s">
        <v>254</v>
      </c>
      <c r="K5754" t="s">
        <v>268</v>
      </c>
      <c r="L5754" t="s">
        <v>280</v>
      </c>
      <c r="M5754" t="s">
        <v>289</v>
      </c>
      <c r="N5754" t="s">
        <v>298</v>
      </c>
      <c r="O5754" t="s">
        <v>307</v>
      </c>
      <c r="P5754" t="s">
        <v>314</v>
      </c>
      <c r="Q5754" t="s">
        <v>216</v>
      </c>
      <c r="R5754" t="s">
        <v>326</v>
      </c>
      <c r="S5754" t="s">
        <v>333</v>
      </c>
      <c r="T5754" t="s">
        <v>335</v>
      </c>
      <c r="U5754" t="s">
        <v>340</v>
      </c>
      <c r="V5754" t="s">
        <v>344</v>
      </c>
      <c r="W5754" t="s">
        <v>349</v>
      </c>
      <c r="AK5754" t="s">
        <v>363</v>
      </c>
    </row>
    <row r="5755" spans="1:37">
      <c r="A5755" t="s">
        <v>43</v>
      </c>
      <c r="B5755" t="s">
        <v>63</v>
      </c>
      <c r="C5755" t="s">
        <v>85</v>
      </c>
      <c r="D5755" t="s">
        <v>104</v>
      </c>
      <c r="E5755" t="s">
        <v>123</v>
      </c>
      <c r="F5755" t="s">
        <v>157</v>
      </c>
      <c r="G5755" t="s">
        <v>183</v>
      </c>
      <c r="AK5755" t="s">
        <v>363</v>
      </c>
    </row>
    <row r="5756" spans="1:37">
      <c r="A5756" t="s">
        <v>44</v>
      </c>
      <c r="B5756" t="s">
        <v>64</v>
      </c>
      <c r="C5756" t="s">
        <v>86</v>
      </c>
      <c r="D5756" t="s">
        <v>105</v>
      </c>
      <c r="E5756" t="s">
        <v>124</v>
      </c>
      <c r="F5756" t="s">
        <v>158</v>
      </c>
      <c r="G5756" t="s">
        <v>184</v>
      </c>
      <c r="AK5756" t="s">
        <v>363</v>
      </c>
    </row>
    <row r="5757" spans="1:37">
      <c r="A5757" t="s">
        <v>45</v>
      </c>
      <c r="B5757" t="s">
        <v>65</v>
      </c>
      <c r="C5757" t="s">
        <v>87</v>
      </c>
      <c r="D5757" t="s">
        <v>106</v>
      </c>
      <c r="E5757" t="s">
        <v>125</v>
      </c>
      <c r="F5757" t="s">
        <v>159</v>
      </c>
      <c r="G5757" t="s">
        <v>185</v>
      </c>
      <c r="H5757" t="s">
        <v>159</v>
      </c>
      <c r="I5757" t="s">
        <v>185</v>
      </c>
      <c r="J5757" t="s">
        <v>255</v>
      </c>
      <c r="AK5757" t="s">
        <v>363</v>
      </c>
    </row>
    <row r="5758" spans="1:37">
      <c r="A5758" t="s">
        <v>46</v>
      </c>
      <c r="B5758" t="s">
        <v>66</v>
      </c>
      <c r="C5758" t="s">
        <v>88</v>
      </c>
      <c r="D5758" t="s">
        <v>76</v>
      </c>
      <c r="E5758" t="s">
        <v>126</v>
      </c>
      <c r="F5758" t="s">
        <v>160</v>
      </c>
      <c r="G5758" t="s">
        <v>186</v>
      </c>
      <c r="H5758" t="s">
        <v>217</v>
      </c>
      <c r="I5758" t="s">
        <v>238</v>
      </c>
      <c r="J5758" t="s">
        <v>256</v>
      </c>
      <c r="K5758" t="s">
        <v>265</v>
      </c>
      <c r="L5758" t="s">
        <v>281</v>
      </c>
      <c r="M5758" t="s">
        <v>290</v>
      </c>
      <c r="N5758" t="s">
        <v>299</v>
      </c>
      <c r="O5758" t="s">
        <v>308</v>
      </c>
      <c r="P5758" t="s">
        <v>228</v>
      </c>
      <c r="Q5758" t="s">
        <v>72</v>
      </c>
      <c r="R5758" t="s">
        <v>327</v>
      </c>
      <c r="S5758" t="s">
        <v>327</v>
      </c>
      <c r="T5758" t="s">
        <v>336</v>
      </c>
      <c r="U5758" t="s">
        <v>336</v>
      </c>
      <c r="V5758" t="s">
        <v>336</v>
      </c>
      <c r="W5758" t="s">
        <v>336</v>
      </c>
      <c r="X5758" t="s">
        <v>353</v>
      </c>
      <c r="AK5758" t="s">
        <v>363</v>
      </c>
    </row>
    <row r="5759" spans="1:37">
      <c r="B5759" t="s">
        <v>67</v>
      </c>
      <c r="C5759" t="s">
        <v>89</v>
      </c>
      <c r="D5759" t="s">
        <v>107</v>
      </c>
      <c r="AK5759" t="s">
        <v>363</v>
      </c>
    </row>
    <row r="5760" spans="1:37">
      <c r="B5760" t="s">
        <v>68</v>
      </c>
      <c r="C5760" t="s">
        <v>90</v>
      </c>
      <c r="D5760" t="s">
        <v>108</v>
      </c>
      <c r="AK5760" t="s">
        <v>363</v>
      </c>
    </row>
    <row r="5761" spans="1:37">
      <c r="A5761" t="s">
        <v>47</v>
      </c>
      <c r="B5761" t="s">
        <v>69</v>
      </c>
      <c r="C5761" t="s">
        <v>91</v>
      </c>
      <c r="D5761" t="s">
        <v>109</v>
      </c>
      <c r="E5761" t="s">
        <v>109</v>
      </c>
      <c r="F5761" t="s">
        <v>109</v>
      </c>
      <c r="G5761" t="s">
        <v>109</v>
      </c>
      <c r="H5761" t="s">
        <v>109</v>
      </c>
      <c r="I5761" t="s">
        <v>239</v>
      </c>
      <c r="AK5761" t="s">
        <v>363</v>
      </c>
    </row>
    <row r="5762" spans="1:37">
      <c r="B5762" t="s">
        <v>70</v>
      </c>
      <c r="C5762" t="s">
        <v>92</v>
      </c>
      <c r="D5762" t="s">
        <v>110</v>
      </c>
      <c r="E5762" t="s">
        <v>127</v>
      </c>
      <c r="F5762" t="s">
        <v>161</v>
      </c>
      <c r="G5762" t="s">
        <v>187</v>
      </c>
      <c r="H5762" t="s">
        <v>218</v>
      </c>
      <c r="AK5762" t="s">
        <v>363</v>
      </c>
    </row>
    <row r="5763" spans="1:37">
      <c r="B5763" t="s">
        <v>71</v>
      </c>
      <c r="C5763" t="s">
        <v>93</v>
      </c>
      <c r="D5763" t="s">
        <v>111</v>
      </c>
      <c r="E5763" t="s">
        <v>128</v>
      </c>
      <c r="F5763" t="s">
        <v>162</v>
      </c>
      <c r="G5763" t="s">
        <v>188</v>
      </c>
      <c r="H5763" t="s">
        <v>219</v>
      </c>
      <c r="I5763" t="s">
        <v>240</v>
      </c>
      <c r="J5763" t="s">
        <v>257</v>
      </c>
      <c r="K5763" t="s">
        <v>269</v>
      </c>
      <c r="L5763" t="s">
        <v>109</v>
      </c>
      <c r="M5763" t="s">
        <v>109</v>
      </c>
      <c r="N5763" t="s">
        <v>109</v>
      </c>
      <c r="O5763" t="s">
        <v>109</v>
      </c>
      <c r="P5763" t="s">
        <v>109</v>
      </c>
      <c r="Q5763" t="s">
        <v>321</v>
      </c>
      <c r="AK5763" t="s">
        <v>363</v>
      </c>
    </row>
    <row r="5764" spans="1:37">
      <c r="A5764" t="s">
        <v>48</v>
      </c>
      <c r="B5764" t="s">
        <v>71</v>
      </c>
      <c r="C5764" t="s">
        <v>93</v>
      </c>
      <c r="D5764" t="s">
        <v>111</v>
      </c>
      <c r="E5764" t="s">
        <v>128</v>
      </c>
      <c r="F5764" t="s">
        <v>163</v>
      </c>
      <c r="G5764" t="s">
        <v>189</v>
      </c>
      <c r="H5764" t="s">
        <v>220</v>
      </c>
      <c r="I5764" t="s">
        <v>241</v>
      </c>
      <c r="J5764" t="s">
        <v>258</v>
      </c>
      <c r="K5764" t="s">
        <v>270</v>
      </c>
      <c r="AK5764" t="s">
        <v>363</v>
      </c>
    </row>
    <row r="5765" spans="1:37">
      <c r="B5765" t="s">
        <v>72</v>
      </c>
      <c r="C5765" t="s">
        <v>72</v>
      </c>
      <c r="D5765" t="s">
        <v>72</v>
      </c>
      <c r="E5765" t="s">
        <v>72</v>
      </c>
      <c r="F5765" t="s">
        <v>72</v>
      </c>
      <c r="G5765" t="s">
        <v>72</v>
      </c>
      <c r="H5765" t="s">
        <v>72</v>
      </c>
      <c r="I5765" t="s">
        <v>72</v>
      </c>
      <c r="J5765" t="s">
        <v>72</v>
      </c>
      <c r="K5765" t="s">
        <v>272</v>
      </c>
      <c r="AK5765" t="s">
        <v>363</v>
      </c>
    </row>
    <row r="5766" spans="1:37">
      <c r="A5766" t="s">
        <v>37</v>
      </c>
      <c r="B5766" t="s">
        <v>49</v>
      </c>
      <c r="C5766" t="s">
        <v>73</v>
      </c>
      <c r="D5766" t="s">
        <v>94</v>
      </c>
      <c r="E5766" t="s">
        <v>112</v>
      </c>
      <c r="F5766" t="s">
        <v>146</v>
      </c>
      <c r="G5766" t="s">
        <v>172</v>
      </c>
      <c r="H5766" t="s">
        <v>207</v>
      </c>
      <c r="I5766" t="s">
        <v>226</v>
      </c>
      <c r="J5766" t="s">
        <v>246</v>
      </c>
      <c r="K5766" t="s">
        <v>259</v>
      </c>
      <c r="AK5766" t="s">
        <v>363</v>
      </c>
    </row>
    <row r="5767" spans="1:37">
      <c r="A5767" t="s">
        <v>38</v>
      </c>
      <c r="B5767" t="s">
        <v>50</v>
      </c>
      <c r="C5767" t="s">
        <v>74</v>
      </c>
      <c r="D5767" t="s">
        <v>95</v>
      </c>
      <c r="E5767" t="s">
        <v>113</v>
      </c>
      <c r="F5767" t="s">
        <v>147</v>
      </c>
      <c r="G5767" t="s">
        <v>173</v>
      </c>
      <c r="H5767" t="s">
        <v>208</v>
      </c>
      <c r="I5767" t="s">
        <v>227</v>
      </c>
      <c r="J5767" t="s">
        <v>115</v>
      </c>
      <c r="K5767" t="s">
        <v>260</v>
      </c>
      <c r="L5767" t="s">
        <v>273</v>
      </c>
      <c r="M5767" t="s">
        <v>282</v>
      </c>
      <c r="N5767" t="s">
        <v>291</v>
      </c>
      <c r="AK5767" t="s">
        <v>363</v>
      </c>
    </row>
    <row r="5768" spans="1:37">
      <c r="B5768" t="s">
        <v>51</v>
      </c>
      <c r="C5768" t="s">
        <v>75</v>
      </c>
      <c r="D5768" t="s">
        <v>52</v>
      </c>
      <c r="E5768" t="s">
        <v>114</v>
      </c>
      <c r="F5768" t="s">
        <v>148</v>
      </c>
      <c r="G5768" t="s">
        <v>148</v>
      </c>
      <c r="H5768" t="s">
        <v>209</v>
      </c>
      <c r="I5768" t="s">
        <v>228</v>
      </c>
      <c r="J5768" t="s">
        <v>247</v>
      </c>
      <c r="K5768" t="s">
        <v>261</v>
      </c>
      <c r="L5768" t="s">
        <v>274</v>
      </c>
      <c r="M5768" t="s">
        <v>283</v>
      </c>
      <c r="N5768" t="s">
        <v>292</v>
      </c>
      <c r="O5768" t="s">
        <v>300</v>
      </c>
      <c r="AK5768" t="s">
        <v>363</v>
      </c>
    </row>
    <row r="5769" spans="1:37">
      <c r="B5769" t="s">
        <v>52</v>
      </c>
      <c r="C5769" t="s">
        <v>76</v>
      </c>
      <c r="D5769" t="s">
        <v>96</v>
      </c>
      <c r="E5769" t="s">
        <v>115</v>
      </c>
      <c r="F5769" t="s">
        <v>149</v>
      </c>
      <c r="G5769" t="s">
        <v>174</v>
      </c>
      <c r="H5769" t="s">
        <v>96</v>
      </c>
      <c r="I5769" t="s">
        <v>229</v>
      </c>
      <c r="J5769" t="s">
        <v>248</v>
      </c>
      <c r="K5769" t="s">
        <v>262</v>
      </c>
      <c r="L5769" t="s">
        <v>52</v>
      </c>
      <c r="M5769" t="s">
        <v>76</v>
      </c>
      <c r="N5769" t="s">
        <v>293</v>
      </c>
      <c r="O5769" t="s">
        <v>301</v>
      </c>
      <c r="P5769" t="s">
        <v>309</v>
      </c>
      <c r="Q5769" t="s">
        <v>315</v>
      </c>
      <c r="R5769" t="s">
        <v>228</v>
      </c>
      <c r="S5769" t="s">
        <v>328</v>
      </c>
      <c r="T5769" t="s">
        <v>149</v>
      </c>
      <c r="U5769" t="s">
        <v>337</v>
      </c>
      <c r="V5769" t="s">
        <v>341</v>
      </c>
      <c r="W5769" t="s">
        <v>345</v>
      </c>
      <c r="X5769" t="s">
        <v>350</v>
      </c>
      <c r="AK5769" t="s">
        <v>363</v>
      </c>
    </row>
    <row r="5770" spans="1:37">
      <c r="B5770" t="s">
        <v>53</v>
      </c>
      <c r="C5770" t="s">
        <v>77</v>
      </c>
      <c r="D5770" t="s">
        <v>97</v>
      </c>
      <c r="E5770" t="s">
        <v>116</v>
      </c>
      <c r="F5770" t="s">
        <v>150</v>
      </c>
      <c r="G5770" t="s">
        <v>175</v>
      </c>
      <c r="H5770" t="s">
        <v>210</v>
      </c>
      <c r="I5770" t="s">
        <v>230</v>
      </c>
      <c r="J5770" t="s">
        <v>249</v>
      </c>
      <c r="K5770" t="s">
        <v>263</v>
      </c>
      <c r="L5770" t="s">
        <v>275</v>
      </c>
      <c r="M5770" t="s">
        <v>284</v>
      </c>
      <c r="N5770" t="s">
        <v>294</v>
      </c>
      <c r="O5770" t="s">
        <v>302</v>
      </c>
      <c r="P5770" t="s">
        <v>310</v>
      </c>
      <c r="Q5770" t="s">
        <v>316</v>
      </c>
      <c r="R5770" t="s">
        <v>322</v>
      </c>
      <c r="S5770" t="s">
        <v>329</v>
      </c>
      <c r="AK5770" t="s">
        <v>363</v>
      </c>
    </row>
    <row r="5771" spans="1:37">
      <c r="A5771" t="s">
        <v>39</v>
      </c>
      <c r="B5771" t="s">
        <v>54</v>
      </c>
      <c r="C5771" t="s">
        <v>54</v>
      </c>
      <c r="D5771" t="s">
        <v>54</v>
      </c>
      <c r="E5771" t="s">
        <v>54</v>
      </c>
      <c r="F5771" t="s">
        <v>54</v>
      </c>
      <c r="G5771" t="s">
        <v>54</v>
      </c>
      <c r="H5771" t="s">
        <v>54</v>
      </c>
      <c r="I5771" t="s">
        <v>54</v>
      </c>
      <c r="J5771" t="s">
        <v>54</v>
      </c>
      <c r="K5771" t="s">
        <v>54</v>
      </c>
      <c r="L5771" t="s">
        <v>54</v>
      </c>
      <c r="M5771" t="s">
        <v>54</v>
      </c>
      <c r="N5771" t="s">
        <v>54</v>
      </c>
      <c r="O5771" t="s">
        <v>54</v>
      </c>
      <c r="P5771" t="s">
        <v>54</v>
      </c>
      <c r="Q5771" t="s">
        <v>54</v>
      </c>
      <c r="R5771" t="s">
        <v>323</v>
      </c>
      <c r="S5771" t="s">
        <v>330</v>
      </c>
      <c r="AK5771" t="s">
        <v>363</v>
      </c>
    </row>
    <row r="5772" spans="1:37">
      <c r="B5772" t="s">
        <v>55</v>
      </c>
      <c r="C5772" t="s">
        <v>78</v>
      </c>
      <c r="D5772" t="s">
        <v>55</v>
      </c>
      <c r="E5772" t="s">
        <v>78</v>
      </c>
      <c r="F5772" t="s">
        <v>55</v>
      </c>
      <c r="G5772" t="s">
        <v>78</v>
      </c>
      <c r="H5772" t="s">
        <v>55</v>
      </c>
      <c r="I5772" t="s">
        <v>78</v>
      </c>
      <c r="J5772" t="s">
        <v>55</v>
      </c>
      <c r="K5772" t="s">
        <v>78</v>
      </c>
      <c r="L5772" t="s">
        <v>55</v>
      </c>
      <c r="M5772" t="s">
        <v>78</v>
      </c>
      <c r="N5772" t="s">
        <v>55</v>
      </c>
      <c r="O5772" t="s">
        <v>78</v>
      </c>
      <c r="P5772" t="s">
        <v>55</v>
      </c>
      <c r="Q5772" t="s">
        <v>78</v>
      </c>
      <c r="R5772" t="s">
        <v>55</v>
      </c>
      <c r="S5772" t="s">
        <v>78</v>
      </c>
      <c r="T5772" t="s">
        <v>55</v>
      </c>
      <c r="U5772" t="s">
        <v>78</v>
      </c>
      <c r="V5772" t="s">
        <v>55</v>
      </c>
      <c r="W5772" t="s">
        <v>78</v>
      </c>
      <c r="X5772" t="s">
        <v>55</v>
      </c>
      <c r="Y5772" t="s">
        <v>78</v>
      </c>
      <c r="Z5772" t="s">
        <v>55</v>
      </c>
      <c r="AA5772" t="s">
        <v>78</v>
      </c>
      <c r="AB5772" t="s">
        <v>55</v>
      </c>
      <c r="AC5772" t="s">
        <v>78</v>
      </c>
      <c r="AD5772" t="s">
        <v>55</v>
      </c>
      <c r="AE5772" t="s">
        <v>78</v>
      </c>
      <c r="AF5772" t="s">
        <v>55</v>
      </c>
      <c r="AG5772" t="s">
        <v>78</v>
      </c>
      <c r="AH5772" t="s">
        <v>55</v>
      </c>
      <c r="AI5772" t="s">
        <v>78</v>
      </c>
      <c r="AK5772" t="s">
        <v>363</v>
      </c>
    </row>
    <row r="5773" spans="1:37">
      <c r="B5773" t="s">
        <v>56</v>
      </c>
      <c r="C5773" t="s">
        <v>56</v>
      </c>
      <c r="D5773" t="s">
        <v>56</v>
      </c>
      <c r="E5773" t="s">
        <v>56</v>
      </c>
      <c r="F5773" t="s">
        <v>56</v>
      </c>
      <c r="G5773" t="s">
        <v>176</v>
      </c>
      <c r="H5773" t="s">
        <v>211</v>
      </c>
      <c r="I5773" t="s">
        <v>231</v>
      </c>
      <c r="J5773" t="s">
        <v>250</v>
      </c>
      <c r="K5773" t="s">
        <v>264</v>
      </c>
      <c r="L5773" t="s">
        <v>276</v>
      </c>
      <c r="M5773" t="s">
        <v>285</v>
      </c>
      <c r="N5773" t="s">
        <v>295</v>
      </c>
      <c r="O5773" t="s">
        <v>303</v>
      </c>
      <c r="P5773" t="s">
        <v>56</v>
      </c>
      <c r="Q5773" t="s">
        <v>317</v>
      </c>
      <c r="R5773" t="s">
        <v>324</v>
      </c>
      <c r="S5773" t="s">
        <v>331</v>
      </c>
      <c r="T5773" t="s">
        <v>334</v>
      </c>
      <c r="U5773" t="s">
        <v>338</v>
      </c>
      <c r="V5773" t="s">
        <v>342</v>
      </c>
      <c r="W5773" t="s">
        <v>346</v>
      </c>
      <c r="X5773" t="s">
        <v>351</v>
      </c>
      <c r="AK5773" t="s">
        <v>363</v>
      </c>
    </row>
    <row r="5774" spans="1:37">
      <c r="B5774" t="s">
        <v>57</v>
      </c>
      <c r="C5774" t="s">
        <v>79</v>
      </c>
      <c r="D5774" t="s">
        <v>98</v>
      </c>
      <c r="E5774" t="s">
        <v>117</v>
      </c>
      <c r="F5774" t="s">
        <v>151</v>
      </c>
      <c r="G5774" t="s">
        <v>177</v>
      </c>
      <c r="H5774" t="s">
        <v>212</v>
      </c>
      <c r="I5774" t="s">
        <v>232</v>
      </c>
      <c r="J5774" t="s">
        <v>251</v>
      </c>
      <c r="K5774" t="s">
        <v>265</v>
      </c>
      <c r="L5774" t="s">
        <v>277</v>
      </c>
      <c r="M5774" t="s">
        <v>286</v>
      </c>
      <c r="N5774" t="s">
        <v>296</v>
      </c>
      <c r="O5774" t="s">
        <v>304</v>
      </c>
      <c r="P5774" t="s">
        <v>311</v>
      </c>
      <c r="Q5774" t="s">
        <v>318</v>
      </c>
      <c r="R5774" t="s">
        <v>185</v>
      </c>
      <c r="S5774" t="s">
        <v>159</v>
      </c>
      <c r="T5774" t="s">
        <v>185</v>
      </c>
      <c r="U5774" t="s">
        <v>339</v>
      </c>
      <c r="V5774" t="s">
        <v>72</v>
      </c>
      <c r="W5774" t="s">
        <v>347</v>
      </c>
      <c r="X5774" t="s">
        <v>72</v>
      </c>
      <c r="Y5774" t="s">
        <v>96</v>
      </c>
      <c r="AK5774" t="s">
        <v>363</v>
      </c>
    </row>
    <row r="5775" spans="1:37">
      <c r="B5775" t="s">
        <v>58</v>
      </c>
      <c r="C5775" t="s">
        <v>80</v>
      </c>
      <c r="D5775" t="s">
        <v>99</v>
      </c>
      <c r="E5775" t="s">
        <v>118</v>
      </c>
      <c r="F5775" t="s">
        <v>152</v>
      </c>
      <c r="G5775" t="s">
        <v>178</v>
      </c>
      <c r="H5775" t="s">
        <v>213</v>
      </c>
      <c r="I5775" t="s">
        <v>233</v>
      </c>
      <c r="J5775" t="s">
        <v>252</v>
      </c>
      <c r="K5775" t="s">
        <v>266</v>
      </c>
      <c r="L5775" t="s">
        <v>278</v>
      </c>
      <c r="M5775" t="s">
        <v>287</v>
      </c>
      <c r="N5775" t="s">
        <v>297</v>
      </c>
      <c r="O5775" t="s">
        <v>305</v>
      </c>
      <c r="P5775" t="s">
        <v>312</v>
      </c>
      <c r="Q5775" t="s">
        <v>319</v>
      </c>
      <c r="R5775">
        <f>&gt;10       ветра      2.0     14   9 28</f>
        <v>0</v>
      </c>
      <c r="AK5775" t="s">
        <v>363</v>
      </c>
    </row>
    <row r="5776" spans="1:37">
      <c r="A5776" t="s">
        <v>40</v>
      </c>
      <c r="B5776" t="s">
        <v>59</v>
      </c>
      <c r="C5776" t="s">
        <v>81</v>
      </c>
      <c r="D5776" t="s">
        <v>100</v>
      </c>
      <c r="E5776" t="s">
        <v>119</v>
      </c>
      <c r="F5776" t="s">
        <v>153</v>
      </c>
      <c r="G5776" t="s">
        <v>179</v>
      </c>
      <c r="H5776" t="s">
        <v>214</v>
      </c>
      <c r="I5776" t="s">
        <v>234</v>
      </c>
      <c r="AK5776" t="s">
        <v>363</v>
      </c>
    </row>
    <row r="5777" spans="1:37">
      <c r="A5777" t="s">
        <v>40</v>
      </c>
      <c r="B5777" t="s">
        <v>60</v>
      </c>
      <c r="C5777" t="s">
        <v>82</v>
      </c>
      <c r="D5777" t="s">
        <v>101</v>
      </c>
      <c r="E5777" t="s">
        <v>120</v>
      </c>
      <c r="F5777" t="s">
        <v>154</v>
      </c>
      <c r="G5777" t="s">
        <v>180</v>
      </c>
      <c r="H5777" t="s">
        <v>215</v>
      </c>
      <c r="I5777" t="s">
        <v>235</v>
      </c>
      <c r="J5777" t="s">
        <v>253</v>
      </c>
      <c r="K5777" t="s">
        <v>267</v>
      </c>
      <c r="L5777" t="s">
        <v>279</v>
      </c>
      <c r="M5777" t="s">
        <v>288</v>
      </c>
      <c r="N5777" t="s">
        <v>100</v>
      </c>
      <c r="O5777" t="s">
        <v>306</v>
      </c>
      <c r="P5777" t="s">
        <v>313</v>
      </c>
      <c r="Q5777" t="s">
        <v>320</v>
      </c>
      <c r="R5777" t="s">
        <v>325</v>
      </c>
      <c r="S5777" t="s">
        <v>332</v>
      </c>
      <c r="T5777" t="s">
        <v>119</v>
      </c>
      <c r="U5777" t="s">
        <v>234</v>
      </c>
      <c r="V5777" t="s">
        <v>343</v>
      </c>
      <c r="W5777" t="s">
        <v>348</v>
      </c>
      <c r="X5777" t="s">
        <v>352</v>
      </c>
      <c r="Y5777" t="s">
        <v>354</v>
      </c>
      <c r="AK5777" t="s">
        <v>363</v>
      </c>
    </row>
    <row r="5778" spans="1:37">
      <c r="A5778" t="s">
        <v>41</v>
      </c>
      <c r="B5778" t="s">
        <v>61</v>
      </c>
      <c r="C5778" t="s">
        <v>83</v>
      </c>
      <c r="D5778" t="s">
        <v>102</v>
      </c>
      <c r="E5778" t="s">
        <v>121</v>
      </c>
      <c r="F5778" t="s">
        <v>155</v>
      </c>
      <c r="G5778" t="s">
        <v>181</v>
      </c>
      <c r="H5778" t="s">
        <v>216</v>
      </c>
      <c r="I5778" t="s">
        <v>236</v>
      </c>
      <c r="AK5778" t="s">
        <v>363</v>
      </c>
    </row>
    <row r="5779" spans="1:37">
      <c r="A5779" t="s">
        <v>42</v>
      </c>
      <c r="B5779" t="s">
        <v>62</v>
      </c>
      <c r="C5779" t="s">
        <v>84</v>
      </c>
      <c r="D5779" t="s">
        <v>103</v>
      </c>
      <c r="E5779" t="s">
        <v>122</v>
      </c>
      <c r="F5779" t="s">
        <v>156</v>
      </c>
      <c r="G5779" t="s">
        <v>182</v>
      </c>
      <c r="H5779" t="s">
        <v>83</v>
      </c>
      <c r="I5779" t="s">
        <v>237</v>
      </c>
      <c r="J5779" t="s">
        <v>254</v>
      </c>
      <c r="K5779" t="s">
        <v>268</v>
      </c>
      <c r="L5779" t="s">
        <v>280</v>
      </c>
      <c r="M5779" t="s">
        <v>289</v>
      </c>
      <c r="N5779" t="s">
        <v>298</v>
      </c>
      <c r="O5779" t="s">
        <v>307</v>
      </c>
      <c r="P5779" t="s">
        <v>314</v>
      </c>
      <c r="Q5779" t="s">
        <v>216</v>
      </c>
      <c r="R5779" t="s">
        <v>326</v>
      </c>
      <c r="S5779" t="s">
        <v>333</v>
      </c>
      <c r="T5779" t="s">
        <v>335</v>
      </c>
      <c r="U5779" t="s">
        <v>340</v>
      </c>
      <c r="V5779" t="s">
        <v>344</v>
      </c>
      <c r="W5779" t="s">
        <v>349</v>
      </c>
      <c r="AK5779" t="s">
        <v>363</v>
      </c>
    </row>
    <row r="5780" spans="1:37">
      <c r="A5780" t="s">
        <v>43</v>
      </c>
      <c r="B5780" t="s">
        <v>63</v>
      </c>
      <c r="C5780" t="s">
        <v>85</v>
      </c>
      <c r="D5780" t="s">
        <v>104</v>
      </c>
      <c r="E5780" t="s">
        <v>123</v>
      </c>
      <c r="F5780" t="s">
        <v>157</v>
      </c>
      <c r="G5780" t="s">
        <v>183</v>
      </c>
      <c r="AK5780" t="s">
        <v>363</v>
      </c>
    </row>
    <row r="5781" spans="1:37">
      <c r="A5781" t="s">
        <v>44</v>
      </c>
      <c r="B5781" t="s">
        <v>64</v>
      </c>
      <c r="C5781" t="s">
        <v>86</v>
      </c>
      <c r="D5781" t="s">
        <v>105</v>
      </c>
      <c r="E5781" t="s">
        <v>124</v>
      </c>
      <c r="F5781" t="s">
        <v>158</v>
      </c>
      <c r="G5781" t="s">
        <v>184</v>
      </c>
      <c r="AK5781" t="s">
        <v>363</v>
      </c>
    </row>
    <row r="5782" spans="1:37">
      <c r="A5782" t="s">
        <v>45</v>
      </c>
      <c r="B5782" t="s">
        <v>65</v>
      </c>
      <c r="C5782" t="s">
        <v>87</v>
      </c>
      <c r="D5782" t="s">
        <v>106</v>
      </c>
      <c r="E5782" t="s">
        <v>125</v>
      </c>
      <c r="F5782" t="s">
        <v>159</v>
      </c>
      <c r="G5782" t="s">
        <v>185</v>
      </c>
      <c r="H5782" t="s">
        <v>159</v>
      </c>
      <c r="I5782" t="s">
        <v>185</v>
      </c>
      <c r="J5782" t="s">
        <v>255</v>
      </c>
      <c r="AK5782" t="s">
        <v>363</v>
      </c>
    </row>
    <row r="5783" spans="1:37">
      <c r="A5783" t="s">
        <v>46</v>
      </c>
      <c r="B5783" t="s">
        <v>66</v>
      </c>
      <c r="C5783" t="s">
        <v>88</v>
      </c>
      <c r="D5783" t="s">
        <v>76</v>
      </c>
      <c r="E5783" t="s">
        <v>126</v>
      </c>
      <c r="F5783" t="s">
        <v>160</v>
      </c>
      <c r="G5783" t="s">
        <v>186</v>
      </c>
      <c r="H5783" t="s">
        <v>217</v>
      </c>
      <c r="I5783" t="s">
        <v>238</v>
      </c>
      <c r="J5783" t="s">
        <v>256</v>
      </c>
      <c r="K5783" t="s">
        <v>265</v>
      </c>
      <c r="L5783" t="s">
        <v>281</v>
      </c>
      <c r="M5783" t="s">
        <v>290</v>
      </c>
      <c r="N5783" t="s">
        <v>299</v>
      </c>
      <c r="O5783" t="s">
        <v>308</v>
      </c>
      <c r="P5783" t="s">
        <v>228</v>
      </c>
      <c r="Q5783" t="s">
        <v>72</v>
      </c>
      <c r="R5783" t="s">
        <v>327</v>
      </c>
      <c r="S5783" t="s">
        <v>327</v>
      </c>
      <c r="T5783" t="s">
        <v>336</v>
      </c>
      <c r="U5783" t="s">
        <v>336</v>
      </c>
      <c r="V5783" t="s">
        <v>336</v>
      </c>
      <c r="W5783" t="s">
        <v>336</v>
      </c>
      <c r="X5783" t="s">
        <v>353</v>
      </c>
      <c r="AK5783" t="s">
        <v>363</v>
      </c>
    </row>
    <row r="5784" spans="1:37">
      <c r="B5784" t="s">
        <v>67</v>
      </c>
      <c r="C5784" t="s">
        <v>89</v>
      </c>
      <c r="D5784" t="s">
        <v>107</v>
      </c>
      <c r="AK5784" t="s">
        <v>363</v>
      </c>
    </row>
    <row r="5785" spans="1:37">
      <c r="B5785" t="s">
        <v>68</v>
      </c>
      <c r="C5785" t="s">
        <v>90</v>
      </c>
      <c r="D5785" t="s">
        <v>108</v>
      </c>
      <c r="AK5785" t="s">
        <v>363</v>
      </c>
    </row>
    <row r="5786" spans="1:37">
      <c r="A5786" t="s">
        <v>47</v>
      </c>
      <c r="B5786" t="s">
        <v>69</v>
      </c>
      <c r="C5786" t="s">
        <v>91</v>
      </c>
      <c r="D5786" t="s">
        <v>109</v>
      </c>
      <c r="E5786" t="s">
        <v>109</v>
      </c>
      <c r="F5786" t="s">
        <v>109</v>
      </c>
      <c r="G5786" t="s">
        <v>109</v>
      </c>
      <c r="H5786" t="s">
        <v>109</v>
      </c>
      <c r="I5786" t="s">
        <v>239</v>
      </c>
      <c r="AK5786" t="s">
        <v>363</v>
      </c>
    </row>
    <row r="5787" spans="1:37">
      <c r="B5787" t="s">
        <v>70</v>
      </c>
      <c r="C5787" t="s">
        <v>92</v>
      </c>
      <c r="D5787" t="s">
        <v>110</v>
      </c>
      <c r="E5787" t="s">
        <v>127</v>
      </c>
      <c r="F5787" t="s">
        <v>161</v>
      </c>
      <c r="G5787" t="s">
        <v>187</v>
      </c>
      <c r="H5787" t="s">
        <v>218</v>
      </c>
      <c r="AK5787" t="s">
        <v>363</v>
      </c>
    </row>
    <row r="5788" spans="1:37">
      <c r="B5788" t="s">
        <v>71</v>
      </c>
      <c r="C5788" t="s">
        <v>93</v>
      </c>
      <c r="D5788" t="s">
        <v>111</v>
      </c>
      <c r="E5788" t="s">
        <v>128</v>
      </c>
      <c r="F5788" t="s">
        <v>162</v>
      </c>
      <c r="G5788" t="s">
        <v>188</v>
      </c>
      <c r="H5788" t="s">
        <v>219</v>
      </c>
      <c r="I5788" t="s">
        <v>240</v>
      </c>
      <c r="J5788" t="s">
        <v>257</v>
      </c>
      <c r="K5788" t="s">
        <v>269</v>
      </c>
      <c r="L5788" t="s">
        <v>109</v>
      </c>
      <c r="M5788" t="s">
        <v>109</v>
      </c>
      <c r="N5788" t="s">
        <v>109</v>
      </c>
      <c r="O5788" t="s">
        <v>109</v>
      </c>
      <c r="P5788" t="s">
        <v>109</v>
      </c>
      <c r="Q5788" t="s">
        <v>321</v>
      </c>
      <c r="AK5788" t="s">
        <v>363</v>
      </c>
    </row>
    <row r="5789" spans="1:37">
      <c r="A5789" t="s">
        <v>48</v>
      </c>
      <c r="B5789" t="s">
        <v>71</v>
      </c>
      <c r="C5789" t="s">
        <v>93</v>
      </c>
      <c r="D5789" t="s">
        <v>111</v>
      </c>
      <c r="E5789" t="s">
        <v>128</v>
      </c>
      <c r="F5789" t="s">
        <v>163</v>
      </c>
      <c r="G5789" t="s">
        <v>189</v>
      </c>
      <c r="H5789" t="s">
        <v>220</v>
      </c>
      <c r="I5789" t="s">
        <v>241</v>
      </c>
      <c r="J5789" t="s">
        <v>258</v>
      </c>
      <c r="K5789" t="s">
        <v>270</v>
      </c>
      <c r="AK5789" t="s">
        <v>363</v>
      </c>
    </row>
    <row r="5790" spans="1:37">
      <c r="B5790" t="s">
        <v>72</v>
      </c>
      <c r="C5790" t="s">
        <v>72</v>
      </c>
      <c r="D5790" t="s">
        <v>72</v>
      </c>
      <c r="E5790" t="s">
        <v>139</v>
      </c>
      <c r="F5790" t="s">
        <v>139</v>
      </c>
      <c r="G5790" t="s">
        <v>192</v>
      </c>
      <c r="H5790" t="s">
        <v>192</v>
      </c>
      <c r="I5790" t="s">
        <v>192</v>
      </c>
      <c r="J5790" t="s">
        <v>192</v>
      </c>
      <c r="K5790" t="s">
        <v>271</v>
      </c>
      <c r="AK5790" t="s">
        <v>363</v>
      </c>
    </row>
    <row r="5791" spans="1:37">
      <c r="A5791" t="s">
        <v>37</v>
      </c>
      <c r="B5791" t="s">
        <v>49</v>
      </c>
      <c r="C5791" t="s">
        <v>73</v>
      </c>
      <c r="D5791" t="s">
        <v>94</v>
      </c>
      <c r="E5791" t="s">
        <v>112</v>
      </c>
      <c r="F5791" t="s">
        <v>146</v>
      </c>
      <c r="G5791" t="s">
        <v>172</v>
      </c>
      <c r="H5791" t="s">
        <v>207</v>
      </c>
      <c r="I5791" t="s">
        <v>226</v>
      </c>
      <c r="J5791" t="s">
        <v>246</v>
      </c>
      <c r="K5791" t="s">
        <v>259</v>
      </c>
      <c r="AK5791" t="s">
        <v>363</v>
      </c>
    </row>
    <row r="5792" spans="1:37">
      <c r="A5792" t="s">
        <v>38</v>
      </c>
      <c r="B5792" t="s">
        <v>50</v>
      </c>
      <c r="C5792" t="s">
        <v>74</v>
      </c>
      <c r="D5792" t="s">
        <v>95</v>
      </c>
      <c r="E5792" t="s">
        <v>113</v>
      </c>
      <c r="F5792" t="s">
        <v>147</v>
      </c>
      <c r="G5792" t="s">
        <v>173</v>
      </c>
      <c r="H5792" t="s">
        <v>208</v>
      </c>
      <c r="I5792" t="s">
        <v>227</v>
      </c>
      <c r="J5792" t="s">
        <v>115</v>
      </c>
      <c r="K5792" t="s">
        <v>260</v>
      </c>
      <c r="L5792" t="s">
        <v>273</v>
      </c>
      <c r="M5792" t="s">
        <v>282</v>
      </c>
      <c r="N5792" t="s">
        <v>291</v>
      </c>
      <c r="AK5792" t="s">
        <v>363</v>
      </c>
    </row>
    <row r="5793" spans="1:37">
      <c r="B5793" t="s">
        <v>51</v>
      </c>
      <c r="C5793" t="s">
        <v>75</v>
      </c>
      <c r="D5793" t="s">
        <v>52</v>
      </c>
      <c r="E5793" t="s">
        <v>114</v>
      </c>
      <c r="F5793" t="s">
        <v>148</v>
      </c>
      <c r="G5793" t="s">
        <v>148</v>
      </c>
      <c r="H5793" t="s">
        <v>209</v>
      </c>
      <c r="I5793" t="s">
        <v>228</v>
      </c>
      <c r="J5793" t="s">
        <v>247</v>
      </c>
      <c r="K5793" t="s">
        <v>261</v>
      </c>
      <c r="L5793" t="s">
        <v>274</v>
      </c>
      <c r="M5793" t="s">
        <v>283</v>
      </c>
      <c r="N5793" t="s">
        <v>292</v>
      </c>
      <c r="O5793" t="s">
        <v>300</v>
      </c>
      <c r="AK5793" t="s">
        <v>363</v>
      </c>
    </row>
    <row r="5794" spans="1:37">
      <c r="B5794" t="s">
        <v>52</v>
      </c>
      <c r="C5794" t="s">
        <v>76</v>
      </c>
      <c r="D5794" t="s">
        <v>96</v>
      </c>
      <c r="E5794" t="s">
        <v>115</v>
      </c>
      <c r="F5794" t="s">
        <v>149</v>
      </c>
      <c r="G5794" t="s">
        <v>174</v>
      </c>
      <c r="H5794" t="s">
        <v>96</v>
      </c>
      <c r="I5794" t="s">
        <v>229</v>
      </c>
      <c r="J5794" t="s">
        <v>248</v>
      </c>
      <c r="K5794" t="s">
        <v>262</v>
      </c>
      <c r="L5794" t="s">
        <v>52</v>
      </c>
      <c r="M5794" t="s">
        <v>76</v>
      </c>
      <c r="N5794" t="s">
        <v>293</v>
      </c>
      <c r="O5794" t="s">
        <v>301</v>
      </c>
      <c r="P5794" t="s">
        <v>309</v>
      </c>
      <c r="Q5794" t="s">
        <v>315</v>
      </c>
      <c r="R5794" t="s">
        <v>228</v>
      </c>
      <c r="S5794" t="s">
        <v>328</v>
      </c>
      <c r="T5794" t="s">
        <v>149</v>
      </c>
      <c r="U5794" t="s">
        <v>337</v>
      </c>
      <c r="V5794" t="s">
        <v>341</v>
      </c>
      <c r="W5794" t="s">
        <v>345</v>
      </c>
      <c r="X5794" t="s">
        <v>350</v>
      </c>
      <c r="AK5794" t="s">
        <v>363</v>
      </c>
    </row>
    <row r="5795" spans="1:37">
      <c r="B5795" t="s">
        <v>53</v>
      </c>
      <c r="C5795" t="s">
        <v>77</v>
      </c>
      <c r="D5795" t="s">
        <v>97</v>
      </c>
      <c r="E5795" t="s">
        <v>116</v>
      </c>
      <c r="F5795" t="s">
        <v>150</v>
      </c>
      <c r="G5795" t="s">
        <v>175</v>
      </c>
      <c r="H5795" t="s">
        <v>210</v>
      </c>
      <c r="I5795" t="s">
        <v>230</v>
      </c>
      <c r="J5795" t="s">
        <v>249</v>
      </c>
      <c r="K5795" t="s">
        <v>263</v>
      </c>
      <c r="L5795" t="s">
        <v>275</v>
      </c>
      <c r="M5795" t="s">
        <v>284</v>
      </c>
      <c r="N5795" t="s">
        <v>294</v>
      </c>
      <c r="O5795" t="s">
        <v>302</v>
      </c>
      <c r="P5795" t="s">
        <v>310</v>
      </c>
      <c r="Q5795" t="s">
        <v>316</v>
      </c>
      <c r="R5795" t="s">
        <v>322</v>
      </c>
      <c r="S5795" t="s">
        <v>329</v>
      </c>
      <c r="AK5795" t="s">
        <v>363</v>
      </c>
    </row>
    <row r="5796" spans="1:37">
      <c r="A5796" t="s">
        <v>39</v>
      </c>
      <c r="B5796" t="s">
        <v>54</v>
      </c>
      <c r="C5796" t="s">
        <v>54</v>
      </c>
      <c r="D5796" t="s">
        <v>54</v>
      </c>
      <c r="E5796" t="s">
        <v>54</v>
      </c>
      <c r="F5796" t="s">
        <v>54</v>
      </c>
      <c r="G5796" t="s">
        <v>54</v>
      </c>
      <c r="H5796" t="s">
        <v>54</v>
      </c>
      <c r="I5796" t="s">
        <v>54</v>
      </c>
      <c r="J5796" t="s">
        <v>54</v>
      </c>
      <c r="K5796" t="s">
        <v>54</v>
      </c>
      <c r="L5796" t="s">
        <v>54</v>
      </c>
      <c r="M5796" t="s">
        <v>54</v>
      </c>
      <c r="N5796" t="s">
        <v>54</v>
      </c>
      <c r="O5796" t="s">
        <v>54</v>
      </c>
      <c r="P5796" t="s">
        <v>54</v>
      </c>
      <c r="Q5796" t="s">
        <v>54</v>
      </c>
      <c r="R5796" t="s">
        <v>323</v>
      </c>
      <c r="S5796" t="s">
        <v>330</v>
      </c>
      <c r="AK5796" t="s">
        <v>363</v>
      </c>
    </row>
    <row r="5797" spans="1:37">
      <c r="B5797" t="s">
        <v>55</v>
      </c>
      <c r="C5797" t="s">
        <v>78</v>
      </c>
      <c r="D5797" t="s">
        <v>55</v>
      </c>
      <c r="E5797" t="s">
        <v>78</v>
      </c>
      <c r="F5797" t="s">
        <v>55</v>
      </c>
      <c r="G5797" t="s">
        <v>78</v>
      </c>
      <c r="H5797" t="s">
        <v>55</v>
      </c>
      <c r="I5797" t="s">
        <v>78</v>
      </c>
      <c r="J5797" t="s">
        <v>55</v>
      </c>
      <c r="K5797" t="s">
        <v>78</v>
      </c>
      <c r="L5797" t="s">
        <v>55</v>
      </c>
      <c r="M5797" t="s">
        <v>78</v>
      </c>
      <c r="N5797" t="s">
        <v>55</v>
      </c>
      <c r="O5797" t="s">
        <v>78</v>
      </c>
      <c r="P5797" t="s">
        <v>55</v>
      </c>
      <c r="Q5797" t="s">
        <v>78</v>
      </c>
      <c r="R5797" t="s">
        <v>55</v>
      </c>
      <c r="S5797" t="s">
        <v>78</v>
      </c>
      <c r="T5797" t="s">
        <v>55</v>
      </c>
      <c r="U5797" t="s">
        <v>78</v>
      </c>
      <c r="V5797" t="s">
        <v>55</v>
      </c>
      <c r="W5797" t="s">
        <v>78</v>
      </c>
      <c r="X5797" t="s">
        <v>55</v>
      </c>
      <c r="Y5797" t="s">
        <v>78</v>
      </c>
      <c r="Z5797" t="s">
        <v>55</v>
      </c>
      <c r="AA5797" t="s">
        <v>78</v>
      </c>
      <c r="AB5797" t="s">
        <v>55</v>
      </c>
      <c r="AC5797" t="s">
        <v>78</v>
      </c>
      <c r="AD5797" t="s">
        <v>55</v>
      </c>
      <c r="AE5797" t="s">
        <v>78</v>
      </c>
      <c r="AF5797" t="s">
        <v>55</v>
      </c>
      <c r="AG5797" t="s">
        <v>78</v>
      </c>
      <c r="AH5797" t="s">
        <v>55</v>
      </c>
      <c r="AI5797" t="s">
        <v>78</v>
      </c>
      <c r="AK5797" t="s">
        <v>363</v>
      </c>
    </row>
    <row r="5798" spans="1:37">
      <c r="B5798" t="s">
        <v>56</v>
      </c>
      <c r="C5798" t="s">
        <v>56</v>
      </c>
      <c r="D5798" t="s">
        <v>56</v>
      </c>
      <c r="E5798" t="s">
        <v>56</v>
      </c>
      <c r="F5798" t="s">
        <v>56</v>
      </c>
      <c r="G5798" t="s">
        <v>176</v>
      </c>
      <c r="H5798" t="s">
        <v>211</v>
      </c>
      <c r="I5798" t="s">
        <v>231</v>
      </c>
      <c r="J5798" t="s">
        <v>250</v>
      </c>
      <c r="K5798" t="s">
        <v>264</v>
      </c>
      <c r="L5798" t="s">
        <v>276</v>
      </c>
      <c r="M5798" t="s">
        <v>285</v>
      </c>
      <c r="N5798" t="s">
        <v>295</v>
      </c>
      <c r="O5798" t="s">
        <v>303</v>
      </c>
      <c r="P5798" t="s">
        <v>56</v>
      </c>
      <c r="Q5798" t="s">
        <v>317</v>
      </c>
      <c r="R5798" t="s">
        <v>324</v>
      </c>
      <c r="S5798" t="s">
        <v>331</v>
      </c>
      <c r="T5798" t="s">
        <v>334</v>
      </c>
      <c r="U5798" t="s">
        <v>338</v>
      </c>
      <c r="V5798" t="s">
        <v>342</v>
      </c>
      <c r="W5798" t="s">
        <v>346</v>
      </c>
      <c r="X5798" t="s">
        <v>351</v>
      </c>
      <c r="AK5798" t="s">
        <v>363</v>
      </c>
    </row>
    <row r="5799" spans="1:37">
      <c r="B5799" t="s">
        <v>57</v>
      </c>
      <c r="C5799" t="s">
        <v>79</v>
      </c>
      <c r="D5799" t="s">
        <v>98</v>
      </c>
      <c r="E5799" t="s">
        <v>117</v>
      </c>
      <c r="F5799" t="s">
        <v>151</v>
      </c>
      <c r="G5799" t="s">
        <v>177</v>
      </c>
      <c r="H5799" t="s">
        <v>212</v>
      </c>
      <c r="I5799" t="s">
        <v>232</v>
      </c>
      <c r="J5799" t="s">
        <v>251</v>
      </c>
      <c r="K5799" t="s">
        <v>265</v>
      </c>
      <c r="L5799" t="s">
        <v>277</v>
      </c>
      <c r="M5799" t="s">
        <v>286</v>
      </c>
      <c r="N5799" t="s">
        <v>296</v>
      </c>
      <c r="O5799" t="s">
        <v>304</v>
      </c>
      <c r="P5799" t="s">
        <v>311</v>
      </c>
      <c r="Q5799" t="s">
        <v>318</v>
      </c>
      <c r="R5799" t="s">
        <v>185</v>
      </c>
      <c r="S5799" t="s">
        <v>159</v>
      </c>
      <c r="T5799" t="s">
        <v>185</v>
      </c>
      <c r="U5799" t="s">
        <v>339</v>
      </c>
      <c r="V5799" t="s">
        <v>72</v>
      </c>
      <c r="W5799" t="s">
        <v>347</v>
      </c>
      <c r="X5799" t="s">
        <v>72</v>
      </c>
      <c r="Y5799" t="s">
        <v>96</v>
      </c>
      <c r="AK5799" t="s">
        <v>363</v>
      </c>
    </row>
    <row r="5800" spans="1:37">
      <c r="B5800" t="s">
        <v>58</v>
      </c>
      <c r="C5800" t="s">
        <v>80</v>
      </c>
      <c r="D5800" t="s">
        <v>99</v>
      </c>
      <c r="E5800" t="s">
        <v>118</v>
      </c>
      <c r="F5800" t="s">
        <v>152</v>
      </c>
      <c r="G5800" t="s">
        <v>178</v>
      </c>
      <c r="H5800" t="s">
        <v>213</v>
      </c>
      <c r="I5800" t="s">
        <v>233</v>
      </c>
      <c r="J5800" t="s">
        <v>252</v>
      </c>
      <c r="K5800" t="s">
        <v>266</v>
      </c>
      <c r="L5800" t="s">
        <v>278</v>
      </c>
      <c r="M5800" t="s">
        <v>287</v>
      </c>
      <c r="N5800" t="s">
        <v>297</v>
      </c>
      <c r="O5800" t="s">
        <v>305</v>
      </c>
      <c r="P5800" t="s">
        <v>312</v>
      </c>
      <c r="Q5800" t="s">
        <v>319</v>
      </c>
      <c r="R5800">
        <f>&gt;10       ветра      2.2     14  28</f>
        <v>0</v>
      </c>
      <c r="AK5800" t="s">
        <v>363</v>
      </c>
    </row>
    <row r="5801" spans="1:37">
      <c r="A5801" t="s">
        <v>40</v>
      </c>
      <c r="B5801" t="s">
        <v>59</v>
      </c>
      <c r="C5801" t="s">
        <v>81</v>
      </c>
      <c r="D5801" t="s">
        <v>100</v>
      </c>
      <c r="E5801" t="s">
        <v>119</v>
      </c>
      <c r="F5801" t="s">
        <v>153</v>
      </c>
      <c r="G5801" t="s">
        <v>179</v>
      </c>
      <c r="H5801" t="s">
        <v>214</v>
      </c>
      <c r="I5801" t="s">
        <v>234</v>
      </c>
      <c r="AK5801" t="s">
        <v>363</v>
      </c>
    </row>
    <row r="5802" spans="1:37">
      <c r="A5802" t="s">
        <v>40</v>
      </c>
      <c r="B5802" t="s">
        <v>60</v>
      </c>
      <c r="C5802" t="s">
        <v>82</v>
      </c>
      <c r="D5802" t="s">
        <v>101</v>
      </c>
      <c r="E5802" t="s">
        <v>120</v>
      </c>
      <c r="F5802" t="s">
        <v>154</v>
      </c>
      <c r="G5802" t="s">
        <v>180</v>
      </c>
      <c r="H5802" t="s">
        <v>215</v>
      </c>
      <c r="I5802" t="s">
        <v>235</v>
      </c>
      <c r="J5802" t="s">
        <v>253</v>
      </c>
      <c r="K5802" t="s">
        <v>267</v>
      </c>
      <c r="L5802" t="s">
        <v>279</v>
      </c>
      <c r="M5802" t="s">
        <v>288</v>
      </c>
      <c r="N5802" t="s">
        <v>100</v>
      </c>
      <c r="O5802" t="s">
        <v>306</v>
      </c>
      <c r="P5802" t="s">
        <v>313</v>
      </c>
      <c r="Q5802" t="s">
        <v>320</v>
      </c>
      <c r="R5802" t="s">
        <v>325</v>
      </c>
      <c r="S5802" t="s">
        <v>332</v>
      </c>
      <c r="T5802" t="s">
        <v>119</v>
      </c>
      <c r="U5802" t="s">
        <v>234</v>
      </c>
      <c r="V5802" t="s">
        <v>343</v>
      </c>
      <c r="W5802" t="s">
        <v>348</v>
      </c>
      <c r="X5802" t="s">
        <v>352</v>
      </c>
      <c r="Y5802" t="s">
        <v>354</v>
      </c>
      <c r="AK5802" t="s">
        <v>363</v>
      </c>
    </row>
    <row r="5803" spans="1:37">
      <c r="A5803" t="s">
        <v>41</v>
      </c>
      <c r="B5803" t="s">
        <v>61</v>
      </c>
      <c r="C5803" t="s">
        <v>83</v>
      </c>
      <c r="D5803" t="s">
        <v>102</v>
      </c>
      <c r="E5803" t="s">
        <v>121</v>
      </c>
      <c r="F5803" t="s">
        <v>155</v>
      </c>
      <c r="G5803" t="s">
        <v>181</v>
      </c>
      <c r="H5803" t="s">
        <v>216</v>
      </c>
      <c r="I5803" t="s">
        <v>236</v>
      </c>
      <c r="AK5803" t="s">
        <v>363</v>
      </c>
    </row>
    <row r="5804" spans="1:37">
      <c r="A5804" t="s">
        <v>42</v>
      </c>
      <c r="B5804" t="s">
        <v>62</v>
      </c>
      <c r="C5804" t="s">
        <v>84</v>
      </c>
      <c r="D5804" t="s">
        <v>103</v>
      </c>
      <c r="E5804" t="s">
        <v>122</v>
      </c>
      <c r="F5804" t="s">
        <v>156</v>
      </c>
      <c r="G5804" t="s">
        <v>182</v>
      </c>
      <c r="H5804" t="s">
        <v>83</v>
      </c>
      <c r="I5804" t="s">
        <v>237</v>
      </c>
      <c r="J5804" t="s">
        <v>254</v>
      </c>
      <c r="K5804" t="s">
        <v>268</v>
      </c>
      <c r="L5804" t="s">
        <v>280</v>
      </c>
      <c r="M5804" t="s">
        <v>289</v>
      </c>
      <c r="N5804" t="s">
        <v>298</v>
      </c>
      <c r="O5804" t="s">
        <v>307</v>
      </c>
      <c r="P5804" t="s">
        <v>314</v>
      </c>
      <c r="Q5804" t="s">
        <v>216</v>
      </c>
      <c r="R5804" t="s">
        <v>326</v>
      </c>
      <c r="S5804" t="s">
        <v>333</v>
      </c>
      <c r="T5804" t="s">
        <v>335</v>
      </c>
      <c r="U5804" t="s">
        <v>340</v>
      </c>
      <c r="V5804" t="s">
        <v>344</v>
      </c>
      <c r="W5804" t="s">
        <v>349</v>
      </c>
      <c r="AK5804" t="s">
        <v>363</v>
      </c>
    </row>
    <row r="5805" spans="1:37">
      <c r="A5805" t="s">
        <v>43</v>
      </c>
      <c r="B5805" t="s">
        <v>63</v>
      </c>
      <c r="C5805" t="s">
        <v>85</v>
      </c>
      <c r="D5805" t="s">
        <v>104</v>
      </c>
      <c r="E5805" t="s">
        <v>123</v>
      </c>
      <c r="F5805" t="s">
        <v>157</v>
      </c>
      <c r="G5805" t="s">
        <v>183</v>
      </c>
      <c r="AK5805" t="s">
        <v>363</v>
      </c>
    </row>
    <row r="5806" spans="1:37">
      <c r="A5806" t="s">
        <v>44</v>
      </c>
      <c r="B5806" t="s">
        <v>64</v>
      </c>
      <c r="C5806" t="s">
        <v>86</v>
      </c>
      <c r="D5806" t="s">
        <v>105</v>
      </c>
      <c r="E5806" t="s">
        <v>124</v>
      </c>
      <c r="F5806" t="s">
        <v>158</v>
      </c>
      <c r="G5806" t="s">
        <v>184</v>
      </c>
      <c r="AK5806" t="s">
        <v>363</v>
      </c>
    </row>
    <row r="5807" spans="1:37">
      <c r="A5807" t="s">
        <v>45</v>
      </c>
      <c r="B5807" t="s">
        <v>65</v>
      </c>
      <c r="C5807" t="s">
        <v>87</v>
      </c>
      <c r="D5807" t="s">
        <v>106</v>
      </c>
      <c r="E5807" t="s">
        <v>125</v>
      </c>
      <c r="F5807" t="s">
        <v>159</v>
      </c>
      <c r="G5807" t="s">
        <v>185</v>
      </c>
      <c r="H5807" t="s">
        <v>159</v>
      </c>
      <c r="I5807" t="s">
        <v>185</v>
      </c>
      <c r="J5807" t="s">
        <v>255</v>
      </c>
      <c r="AK5807" t="s">
        <v>363</v>
      </c>
    </row>
    <row r="5808" spans="1:37">
      <c r="A5808" t="s">
        <v>46</v>
      </c>
      <c r="B5808" t="s">
        <v>66</v>
      </c>
      <c r="C5808" t="s">
        <v>88</v>
      </c>
      <c r="D5808" t="s">
        <v>76</v>
      </c>
      <c r="E5808" t="s">
        <v>126</v>
      </c>
      <c r="F5808" t="s">
        <v>160</v>
      </c>
      <c r="G5808" t="s">
        <v>186</v>
      </c>
      <c r="H5808" t="s">
        <v>217</v>
      </c>
      <c r="I5808" t="s">
        <v>238</v>
      </c>
      <c r="J5808" t="s">
        <v>256</v>
      </c>
      <c r="K5808" t="s">
        <v>265</v>
      </c>
      <c r="L5808" t="s">
        <v>281</v>
      </c>
      <c r="M5808" t="s">
        <v>290</v>
      </c>
      <c r="N5808" t="s">
        <v>299</v>
      </c>
      <c r="O5808" t="s">
        <v>308</v>
      </c>
      <c r="P5808" t="s">
        <v>228</v>
      </c>
      <c r="Q5808" t="s">
        <v>72</v>
      </c>
      <c r="R5808" t="s">
        <v>327</v>
      </c>
      <c r="S5808" t="s">
        <v>327</v>
      </c>
      <c r="T5808" t="s">
        <v>336</v>
      </c>
      <c r="U5808" t="s">
        <v>336</v>
      </c>
      <c r="V5808" t="s">
        <v>336</v>
      </c>
      <c r="W5808" t="s">
        <v>336</v>
      </c>
      <c r="X5808" t="s">
        <v>353</v>
      </c>
      <c r="AK5808" t="s">
        <v>363</v>
      </c>
    </row>
    <row r="5809" spans="1:37">
      <c r="B5809" t="s">
        <v>67</v>
      </c>
      <c r="C5809" t="s">
        <v>89</v>
      </c>
      <c r="D5809" t="s">
        <v>107</v>
      </c>
      <c r="AK5809" t="s">
        <v>363</v>
      </c>
    </row>
    <row r="5810" spans="1:37">
      <c r="B5810" t="s">
        <v>68</v>
      </c>
      <c r="C5810" t="s">
        <v>90</v>
      </c>
      <c r="D5810" t="s">
        <v>108</v>
      </c>
      <c r="AK5810" t="s">
        <v>363</v>
      </c>
    </row>
    <row r="5811" spans="1:37">
      <c r="A5811" t="s">
        <v>47</v>
      </c>
      <c r="B5811" t="s">
        <v>69</v>
      </c>
      <c r="C5811" t="s">
        <v>91</v>
      </c>
      <c r="D5811" t="s">
        <v>109</v>
      </c>
      <c r="E5811" t="s">
        <v>109</v>
      </c>
      <c r="F5811" t="s">
        <v>109</v>
      </c>
      <c r="G5811" t="s">
        <v>109</v>
      </c>
      <c r="H5811" t="s">
        <v>109</v>
      </c>
      <c r="I5811" t="s">
        <v>239</v>
      </c>
      <c r="AK5811" t="s">
        <v>363</v>
      </c>
    </row>
    <row r="5812" spans="1:37">
      <c r="B5812" t="s">
        <v>70</v>
      </c>
      <c r="C5812" t="s">
        <v>92</v>
      </c>
      <c r="D5812" t="s">
        <v>110</v>
      </c>
      <c r="E5812" t="s">
        <v>127</v>
      </c>
      <c r="F5812" t="s">
        <v>161</v>
      </c>
      <c r="G5812" t="s">
        <v>187</v>
      </c>
      <c r="H5812" t="s">
        <v>218</v>
      </c>
      <c r="AK5812" t="s">
        <v>363</v>
      </c>
    </row>
    <row r="5813" spans="1:37">
      <c r="B5813" t="s">
        <v>71</v>
      </c>
      <c r="C5813" t="s">
        <v>93</v>
      </c>
      <c r="D5813" t="s">
        <v>111</v>
      </c>
      <c r="E5813" t="s">
        <v>128</v>
      </c>
      <c r="F5813" t="s">
        <v>162</v>
      </c>
      <c r="G5813" t="s">
        <v>188</v>
      </c>
      <c r="H5813" t="s">
        <v>219</v>
      </c>
      <c r="I5813" t="s">
        <v>240</v>
      </c>
      <c r="J5813" t="s">
        <v>257</v>
      </c>
      <c r="K5813" t="s">
        <v>269</v>
      </c>
      <c r="L5813" t="s">
        <v>109</v>
      </c>
      <c r="M5813" t="s">
        <v>109</v>
      </c>
      <c r="N5813" t="s">
        <v>109</v>
      </c>
      <c r="O5813" t="s">
        <v>109</v>
      </c>
      <c r="P5813" t="s">
        <v>109</v>
      </c>
      <c r="Q5813" t="s">
        <v>321</v>
      </c>
      <c r="AK5813" t="s">
        <v>363</v>
      </c>
    </row>
    <row r="5814" spans="1:37">
      <c r="A5814" t="s">
        <v>48</v>
      </c>
      <c r="B5814" t="s">
        <v>71</v>
      </c>
      <c r="C5814" t="s">
        <v>93</v>
      </c>
      <c r="D5814" t="s">
        <v>111</v>
      </c>
      <c r="E5814" t="s">
        <v>128</v>
      </c>
      <c r="F5814" t="s">
        <v>163</v>
      </c>
      <c r="G5814" t="s">
        <v>189</v>
      </c>
      <c r="H5814" t="s">
        <v>220</v>
      </c>
      <c r="I5814" t="s">
        <v>241</v>
      </c>
      <c r="J5814" t="s">
        <v>258</v>
      </c>
      <c r="K5814" t="s">
        <v>270</v>
      </c>
      <c r="AK5814" t="s">
        <v>363</v>
      </c>
    </row>
    <row r="5815" spans="1:37">
      <c r="B5815" t="s">
        <v>72</v>
      </c>
      <c r="C5815" t="s">
        <v>72</v>
      </c>
      <c r="D5815" t="s">
        <v>72</v>
      </c>
      <c r="E5815" t="s">
        <v>72</v>
      </c>
      <c r="F5815" t="s">
        <v>72</v>
      </c>
      <c r="G5815" t="s">
        <v>72</v>
      </c>
      <c r="H5815" t="s">
        <v>72</v>
      </c>
      <c r="I5815" t="s">
        <v>72</v>
      </c>
      <c r="J5815" t="s">
        <v>72</v>
      </c>
      <c r="K5815" t="s">
        <v>272</v>
      </c>
      <c r="AK5815" t="s">
        <v>363</v>
      </c>
    </row>
    <row r="5816" spans="1:37">
      <c r="A5816" t="s">
        <v>37</v>
      </c>
      <c r="B5816" t="s">
        <v>49</v>
      </c>
      <c r="C5816" t="s">
        <v>73</v>
      </c>
      <c r="D5816" t="s">
        <v>94</v>
      </c>
      <c r="E5816" t="s">
        <v>112</v>
      </c>
      <c r="F5816" t="s">
        <v>146</v>
      </c>
      <c r="G5816" t="s">
        <v>172</v>
      </c>
      <c r="H5816" t="s">
        <v>207</v>
      </c>
      <c r="I5816" t="s">
        <v>226</v>
      </c>
      <c r="J5816" t="s">
        <v>246</v>
      </c>
      <c r="K5816" t="s">
        <v>259</v>
      </c>
      <c r="AK5816" t="s">
        <v>363</v>
      </c>
    </row>
    <row r="5817" spans="1:37">
      <c r="A5817" t="s">
        <v>38</v>
      </c>
      <c r="B5817" t="s">
        <v>50</v>
      </c>
      <c r="C5817" t="s">
        <v>74</v>
      </c>
      <c r="D5817" t="s">
        <v>95</v>
      </c>
      <c r="E5817" t="s">
        <v>113</v>
      </c>
      <c r="F5817" t="s">
        <v>147</v>
      </c>
      <c r="G5817" t="s">
        <v>173</v>
      </c>
      <c r="H5817" t="s">
        <v>208</v>
      </c>
      <c r="I5817" t="s">
        <v>227</v>
      </c>
      <c r="J5817" t="s">
        <v>115</v>
      </c>
      <c r="K5817" t="s">
        <v>260</v>
      </c>
      <c r="L5817" t="s">
        <v>273</v>
      </c>
      <c r="M5817" t="s">
        <v>282</v>
      </c>
      <c r="N5817" t="s">
        <v>291</v>
      </c>
      <c r="AK5817" t="s">
        <v>363</v>
      </c>
    </row>
    <row r="5818" spans="1:37">
      <c r="B5818" t="s">
        <v>51</v>
      </c>
      <c r="C5818" t="s">
        <v>75</v>
      </c>
      <c r="D5818" t="s">
        <v>52</v>
      </c>
      <c r="E5818" t="s">
        <v>114</v>
      </c>
      <c r="F5818" t="s">
        <v>148</v>
      </c>
      <c r="G5818" t="s">
        <v>148</v>
      </c>
      <c r="H5818" t="s">
        <v>209</v>
      </c>
      <c r="I5818" t="s">
        <v>228</v>
      </c>
      <c r="J5818" t="s">
        <v>247</v>
      </c>
      <c r="K5818" t="s">
        <v>261</v>
      </c>
      <c r="L5818" t="s">
        <v>274</v>
      </c>
      <c r="M5818" t="s">
        <v>283</v>
      </c>
      <c r="N5818" t="s">
        <v>292</v>
      </c>
      <c r="O5818" t="s">
        <v>300</v>
      </c>
      <c r="AK5818" t="s">
        <v>363</v>
      </c>
    </row>
    <row r="5819" spans="1:37">
      <c r="B5819" t="s">
        <v>52</v>
      </c>
      <c r="C5819" t="s">
        <v>76</v>
      </c>
      <c r="D5819" t="s">
        <v>96</v>
      </c>
      <c r="E5819" t="s">
        <v>115</v>
      </c>
      <c r="F5819" t="s">
        <v>149</v>
      </c>
      <c r="G5819" t="s">
        <v>174</v>
      </c>
      <c r="H5819" t="s">
        <v>96</v>
      </c>
      <c r="I5819" t="s">
        <v>229</v>
      </c>
      <c r="J5819" t="s">
        <v>248</v>
      </c>
      <c r="K5819" t="s">
        <v>262</v>
      </c>
      <c r="L5819" t="s">
        <v>52</v>
      </c>
      <c r="M5819" t="s">
        <v>76</v>
      </c>
      <c r="N5819" t="s">
        <v>293</v>
      </c>
      <c r="O5819" t="s">
        <v>301</v>
      </c>
      <c r="P5819" t="s">
        <v>309</v>
      </c>
      <c r="Q5819" t="s">
        <v>315</v>
      </c>
      <c r="R5819" t="s">
        <v>228</v>
      </c>
      <c r="S5819" t="s">
        <v>328</v>
      </c>
      <c r="T5819" t="s">
        <v>149</v>
      </c>
      <c r="U5819" t="s">
        <v>337</v>
      </c>
      <c r="V5819" t="s">
        <v>341</v>
      </c>
      <c r="W5819" t="s">
        <v>345</v>
      </c>
      <c r="X5819" t="s">
        <v>350</v>
      </c>
      <c r="AK5819" t="s">
        <v>363</v>
      </c>
    </row>
    <row r="5820" spans="1:37">
      <c r="B5820" t="s">
        <v>53</v>
      </c>
      <c r="C5820" t="s">
        <v>77</v>
      </c>
      <c r="D5820" t="s">
        <v>97</v>
      </c>
      <c r="E5820" t="s">
        <v>116</v>
      </c>
      <c r="F5820" t="s">
        <v>150</v>
      </c>
      <c r="G5820" t="s">
        <v>175</v>
      </c>
      <c r="H5820" t="s">
        <v>210</v>
      </c>
      <c r="I5820" t="s">
        <v>230</v>
      </c>
      <c r="J5820" t="s">
        <v>249</v>
      </c>
      <c r="K5820" t="s">
        <v>263</v>
      </c>
      <c r="L5820" t="s">
        <v>275</v>
      </c>
      <c r="M5820" t="s">
        <v>284</v>
      </c>
      <c r="N5820" t="s">
        <v>294</v>
      </c>
      <c r="O5820" t="s">
        <v>302</v>
      </c>
      <c r="P5820" t="s">
        <v>310</v>
      </c>
      <c r="Q5820" t="s">
        <v>316</v>
      </c>
      <c r="R5820" t="s">
        <v>322</v>
      </c>
      <c r="S5820" t="s">
        <v>329</v>
      </c>
      <c r="AK5820" t="s">
        <v>363</v>
      </c>
    </row>
    <row r="5821" spans="1:37">
      <c r="A5821" t="s">
        <v>39</v>
      </c>
      <c r="B5821" t="s">
        <v>54</v>
      </c>
      <c r="C5821" t="s">
        <v>54</v>
      </c>
      <c r="D5821" t="s">
        <v>54</v>
      </c>
      <c r="E5821" t="s">
        <v>54</v>
      </c>
      <c r="F5821" t="s">
        <v>54</v>
      </c>
      <c r="G5821" t="s">
        <v>54</v>
      </c>
      <c r="H5821" t="s">
        <v>54</v>
      </c>
      <c r="I5821" t="s">
        <v>54</v>
      </c>
      <c r="J5821" t="s">
        <v>54</v>
      </c>
      <c r="K5821" t="s">
        <v>54</v>
      </c>
      <c r="L5821" t="s">
        <v>54</v>
      </c>
      <c r="M5821" t="s">
        <v>54</v>
      </c>
      <c r="N5821" t="s">
        <v>54</v>
      </c>
      <c r="O5821" t="s">
        <v>54</v>
      </c>
      <c r="P5821" t="s">
        <v>54</v>
      </c>
      <c r="Q5821" t="s">
        <v>54</v>
      </c>
      <c r="R5821" t="s">
        <v>323</v>
      </c>
      <c r="S5821" t="s">
        <v>330</v>
      </c>
      <c r="AK5821" t="s">
        <v>363</v>
      </c>
    </row>
    <row r="5822" spans="1:37">
      <c r="B5822" t="s">
        <v>55</v>
      </c>
      <c r="C5822" t="s">
        <v>78</v>
      </c>
      <c r="D5822" t="s">
        <v>55</v>
      </c>
      <c r="E5822" t="s">
        <v>78</v>
      </c>
      <c r="F5822" t="s">
        <v>55</v>
      </c>
      <c r="G5822" t="s">
        <v>78</v>
      </c>
      <c r="H5822" t="s">
        <v>55</v>
      </c>
      <c r="I5822" t="s">
        <v>78</v>
      </c>
      <c r="J5822" t="s">
        <v>55</v>
      </c>
      <c r="K5822" t="s">
        <v>78</v>
      </c>
      <c r="L5822" t="s">
        <v>55</v>
      </c>
      <c r="M5822" t="s">
        <v>78</v>
      </c>
      <c r="N5822" t="s">
        <v>55</v>
      </c>
      <c r="O5822" t="s">
        <v>78</v>
      </c>
      <c r="P5822" t="s">
        <v>55</v>
      </c>
      <c r="Q5822" t="s">
        <v>78</v>
      </c>
      <c r="R5822" t="s">
        <v>55</v>
      </c>
      <c r="S5822" t="s">
        <v>78</v>
      </c>
      <c r="T5822" t="s">
        <v>55</v>
      </c>
      <c r="U5822" t="s">
        <v>78</v>
      </c>
      <c r="V5822" t="s">
        <v>55</v>
      </c>
      <c r="W5822" t="s">
        <v>78</v>
      </c>
      <c r="X5822" t="s">
        <v>55</v>
      </c>
      <c r="Y5822" t="s">
        <v>78</v>
      </c>
      <c r="Z5822" t="s">
        <v>55</v>
      </c>
      <c r="AA5822" t="s">
        <v>78</v>
      </c>
      <c r="AB5822" t="s">
        <v>55</v>
      </c>
      <c r="AC5822" t="s">
        <v>78</v>
      </c>
      <c r="AD5822" t="s">
        <v>55</v>
      </c>
      <c r="AE5822" t="s">
        <v>78</v>
      </c>
      <c r="AF5822" t="s">
        <v>55</v>
      </c>
      <c r="AG5822" t="s">
        <v>78</v>
      </c>
      <c r="AH5822" t="s">
        <v>55</v>
      </c>
      <c r="AI5822" t="s">
        <v>78</v>
      </c>
      <c r="AK5822" t="s">
        <v>363</v>
      </c>
    </row>
    <row r="5823" spans="1:37">
      <c r="B5823" t="s">
        <v>56</v>
      </c>
      <c r="C5823" t="s">
        <v>56</v>
      </c>
      <c r="D5823" t="s">
        <v>56</v>
      </c>
      <c r="E5823" t="s">
        <v>56</v>
      </c>
      <c r="F5823" t="s">
        <v>56</v>
      </c>
      <c r="G5823" t="s">
        <v>176</v>
      </c>
      <c r="H5823" t="s">
        <v>211</v>
      </c>
      <c r="I5823" t="s">
        <v>231</v>
      </c>
      <c r="J5823" t="s">
        <v>250</v>
      </c>
      <c r="K5823" t="s">
        <v>264</v>
      </c>
      <c r="L5823" t="s">
        <v>276</v>
      </c>
      <c r="M5823" t="s">
        <v>285</v>
      </c>
      <c r="N5823" t="s">
        <v>295</v>
      </c>
      <c r="O5823" t="s">
        <v>303</v>
      </c>
      <c r="P5823" t="s">
        <v>56</v>
      </c>
      <c r="Q5823" t="s">
        <v>317</v>
      </c>
      <c r="R5823" t="s">
        <v>324</v>
      </c>
      <c r="S5823" t="s">
        <v>331</v>
      </c>
      <c r="T5823" t="s">
        <v>334</v>
      </c>
      <c r="U5823" t="s">
        <v>338</v>
      </c>
      <c r="V5823" t="s">
        <v>342</v>
      </c>
      <c r="W5823" t="s">
        <v>346</v>
      </c>
      <c r="X5823" t="s">
        <v>351</v>
      </c>
      <c r="AK5823" t="s">
        <v>363</v>
      </c>
    </row>
    <row r="5824" spans="1:37">
      <c r="B5824" t="s">
        <v>57</v>
      </c>
      <c r="C5824" t="s">
        <v>79</v>
      </c>
      <c r="D5824" t="s">
        <v>98</v>
      </c>
      <c r="E5824" t="s">
        <v>117</v>
      </c>
      <c r="F5824" t="s">
        <v>151</v>
      </c>
      <c r="G5824" t="s">
        <v>177</v>
      </c>
      <c r="H5824" t="s">
        <v>212</v>
      </c>
      <c r="I5824" t="s">
        <v>232</v>
      </c>
      <c r="J5824" t="s">
        <v>251</v>
      </c>
      <c r="K5824" t="s">
        <v>265</v>
      </c>
      <c r="L5824" t="s">
        <v>277</v>
      </c>
      <c r="M5824" t="s">
        <v>286</v>
      </c>
      <c r="N5824" t="s">
        <v>296</v>
      </c>
      <c r="O5824" t="s">
        <v>304</v>
      </c>
      <c r="P5824" t="s">
        <v>311</v>
      </c>
      <c r="Q5824" t="s">
        <v>318</v>
      </c>
      <c r="R5824" t="s">
        <v>185</v>
      </c>
      <c r="S5824" t="s">
        <v>159</v>
      </c>
      <c r="T5824" t="s">
        <v>185</v>
      </c>
      <c r="U5824" t="s">
        <v>339</v>
      </c>
      <c r="V5824" t="s">
        <v>72</v>
      </c>
      <c r="W5824" t="s">
        <v>347</v>
      </c>
      <c r="X5824" t="s">
        <v>72</v>
      </c>
      <c r="Y5824" t="s">
        <v>96</v>
      </c>
      <c r="AK5824" t="s">
        <v>363</v>
      </c>
    </row>
    <row r="5825" spans="1:37">
      <c r="B5825" t="s">
        <v>58</v>
      </c>
      <c r="C5825" t="s">
        <v>80</v>
      </c>
      <c r="D5825" t="s">
        <v>99</v>
      </c>
      <c r="E5825" t="s">
        <v>118</v>
      </c>
      <c r="F5825" t="s">
        <v>152</v>
      </c>
      <c r="G5825" t="s">
        <v>178</v>
      </c>
      <c r="H5825" t="s">
        <v>213</v>
      </c>
      <c r="I5825" t="s">
        <v>233</v>
      </c>
      <c r="J5825" t="s">
        <v>252</v>
      </c>
      <c r="K5825" t="s">
        <v>266</v>
      </c>
      <c r="L5825" t="s">
        <v>278</v>
      </c>
      <c r="M5825" t="s">
        <v>287</v>
      </c>
      <c r="N5825" t="s">
        <v>297</v>
      </c>
      <c r="O5825" t="s">
        <v>305</v>
      </c>
      <c r="P5825" t="s">
        <v>312</v>
      </c>
      <c r="Q5825" t="s">
        <v>319</v>
      </c>
      <c r="R5825">
        <f>&gt;10       ветра      1.6     16   8  9</f>
        <v>0</v>
      </c>
      <c r="AK5825" t="s">
        <v>363</v>
      </c>
    </row>
    <row r="5826" spans="1:37">
      <c r="A5826" t="s">
        <v>40</v>
      </c>
      <c r="B5826" t="s">
        <v>59</v>
      </c>
      <c r="C5826" t="s">
        <v>81</v>
      </c>
      <c r="D5826" t="s">
        <v>100</v>
      </c>
      <c r="E5826" t="s">
        <v>119</v>
      </c>
      <c r="F5826" t="s">
        <v>153</v>
      </c>
      <c r="G5826" t="s">
        <v>179</v>
      </c>
      <c r="H5826" t="s">
        <v>214</v>
      </c>
      <c r="I5826" t="s">
        <v>234</v>
      </c>
      <c r="AK5826" t="s">
        <v>363</v>
      </c>
    </row>
    <row r="5827" spans="1:37">
      <c r="A5827" t="s">
        <v>40</v>
      </c>
      <c r="B5827" t="s">
        <v>60</v>
      </c>
      <c r="C5827" t="s">
        <v>82</v>
      </c>
      <c r="D5827" t="s">
        <v>101</v>
      </c>
      <c r="E5827" t="s">
        <v>120</v>
      </c>
      <c r="F5827" t="s">
        <v>154</v>
      </c>
      <c r="G5827" t="s">
        <v>180</v>
      </c>
      <c r="H5827" t="s">
        <v>215</v>
      </c>
      <c r="I5827" t="s">
        <v>235</v>
      </c>
      <c r="J5827" t="s">
        <v>253</v>
      </c>
      <c r="K5827" t="s">
        <v>267</v>
      </c>
      <c r="L5827" t="s">
        <v>279</v>
      </c>
      <c r="M5827" t="s">
        <v>288</v>
      </c>
      <c r="N5827" t="s">
        <v>100</v>
      </c>
      <c r="O5827" t="s">
        <v>306</v>
      </c>
      <c r="P5827" t="s">
        <v>313</v>
      </c>
      <c r="Q5827" t="s">
        <v>320</v>
      </c>
      <c r="R5827" t="s">
        <v>325</v>
      </c>
      <c r="S5827" t="s">
        <v>332</v>
      </c>
      <c r="T5827" t="s">
        <v>119</v>
      </c>
      <c r="U5827" t="s">
        <v>234</v>
      </c>
      <c r="V5827" t="s">
        <v>343</v>
      </c>
      <c r="W5827" t="s">
        <v>348</v>
      </c>
      <c r="X5827" t="s">
        <v>352</v>
      </c>
      <c r="Y5827" t="s">
        <v>354</v>
      </c>
      <c r="AK5827" t="s">
        <v>363</v>
      </c>
    </row>
    <row r="5828" spans="1:37">
      <c r="A5828" t="s">
        <v>41</v>
      </c>
      <c r="B5828" t="s">
        <v>61</v>
      </c>
      <c r="C5828" t="s">
        <v>83</v>
      </c>
      <c r="D5828" t="s">
        <v>102</v>
      </c>
      <c r="E5828" t="s">
        <v>121</v>
      </c>
      <c r="F5828" t="s">
        <v>155</v>
      </c>
      <c r="G5828" t="s">
        <v>181</v>
      </c>
      <c r="H5828" t="s">
        <v>216</v>
      </c>
      <c r="I5828" t="s">
        <v>236</v>
      </c>
      <c r="AK5828" t="s">
        <v>363</v>
      </c>
    </row>
    <row r="5829" spans="1:37">
      <c r="A5829" t="s">
        <v>42</v>
      </c>
      <c r="B5829" t="s">
        <v>62</v>
      </c>
      <c r="C5829" t="s">
        <v>84</v>
      </c>
      <c r="D5829" t="s">
        <v>103</v>
      </c>
      <c r="E5829" t="s">
        <v>122</v>
      </c>
      <c r="F5829" t="s">
        <v>156</v>
      </c>
      <c r="G5829" t="s">
        <v>182</v>
      </c>
      <c r="H5829" t="s">
        <v>83</v>
      </c>
      <c r="I5829" t="s">
        <v>237</v>
      </c>
      <c r="J5829" t="s">
        <v>254</v>
      </c>
      <c r="K5829" t="s">
        <v>268</v>
      </c>
      <c r="L5829" t="s">
        <v>280</v>
      </c>
      <c r="M5829" t="s">
        <v>289</v>
      </c>
      <c r="N5829" t="s">
        <v>298</v>
      </c>
      <c r="O5829" t="s">
        <v>307</v>
      </c>
      <c r="P5829" t="s">
        <v>314</v>
      </c>
      <c r="Q5829" t="s">
        <v>216</v>
      </c>
      <c r="R5829" t="s">
        <v>326</v>
      </c>
      <c r="S5829" t="s">
        <v>333</v>
      </c>
      <c r="T5829" t="s">
        <v>335</v>
      </c>
      <c r="U5829" t="s">
        <v>340</v>
      </c>
      <c r="V5829" t="s">
        <v>344</v>
      </c>
      <c r="W5829" t="s">
        <v>349</v>
      </c>
      <c r="AK5829" t="s">
        <v>363</v>
      </c>
    </row>
    <row r="5830" spans="1:37">
      <c r="A5830" t="s">
        <v>43</v>
      </c>
      <c r="B5830" t="s">
        <v>63</v>
      </c>
      <c r="C5830" t="s">
        <v>85</v>
      </c>
      <c r="D5830" t="s">
        <v>104</v>
      </c>
      <c r="E5830" t="s">
        <v>123</v>
      </c>
      <c r="F5830" t="s">
        <v>157</v>
      </c>
      <c r="G5830" t="s">
        <v>183</v>
      </c>
      <c r="AK5830" t="s">
        <v>363</v>
      </c>
    </row>
    <row r="5831" spans="1:37">
      <c r="A5831" t="s">
        <v>44</v>
      </c>
      <c r="B5831" t="s">
        <v>64</v>
      </c>
      <c r="C5831" t="s">
        <v>86</v>
      </c>
      <c r="D5831" t="s">
        <v>105</v>
      </c>
      <c r="E5831" t="s">
        <v>124</v>
      </c>
      <c r="F5831" t="s">
        <v>158</v>
      </c>
      <c r="G5831" t="s">
        <v>184</v>
      </c>
      <c r="AK5831" t="s">
        <v>363</v>
      </c>
    </row>
    <row r="5832" spans="1:37">
      <c r="A5832" t="s">
        <v>45</v>
      </c>
      <c r="B5832" t="s">
        <v>65</v>
      </c>
      <c r="C5832" t="s">
        <v>87</v>
      </c>
      <c r="D5832" t="s">
        <v>106</v>
      </c>
      <c r="E5832" t="s">
        <v>125</v>
      </c>
      <c r="F5832" t="s">
        <v>159</v>
      </c>
      <c r="G5832" t="s">
        <v>185</v>
      </c>
      <c r="H5832" t="s">
        <v>159</v>
      </c>
      <c r="I5832" t="s">
        <v>185</v>
      </c>
      <c r="J5832" t="s">
        <v>255</v>
      </c>
      <c r="AK5832" t="s">
        <v>363</v>
      </c>
    </row>
    <row r="5833" spans="1:37">
      <c r="A5833" t="s">
        <v>46</v>
      </c>
      <c r="B5833" t="s">
        <v>66</v>
      </c>
      <c r="C5833" t="s">
        <v>88</v>
      </c>
      <c r="D5833" t="s">
        <v>76</v>
      </c>
      <c r="E5833" t="s">
        <v>126</v>
      </c>
      <c r="F5833" t="s">
        <v>160</v>
      </c>
      <c r="G5833" t="s">
        <v>186</v>
      </c>
      <c r="H5833" t="s">
        <v>217</v>
      </c>
      <c r="I5833" t="s">
        <v>238</v>
      </c>
      <c r="J5833" t="s">
        <v>256</v>
      </c>
      <c r="K5833" t="s">
        <v>265</v>
      </c>
      <c r="L5833" t="s">
        <v>281</v>
      </c>
      <c r="M5833" t="s">
        <v>290</v>
      </c>
      <c r="N5833" t="s">
        <v>299</v>
      </c>
      <c r="O5833" t="s">
        <v>308</v>
      </c>
      <c r="P5833" t="s">
        <v>228</v>
      </c>
      <c r="Q5833" t="s">
        <v>72</v>
      </c>
      <c r="R5833" t="s">
        <v>327</v>
      </c>
      <c r="S5833" t="s">
        <v>327</v>
      </c>
      <c r="T5833" t="s">
        <v>336</v>
      </c>
      <c r="U5833" t="s">
        <v>336</v>
      </c>
      <c r="V5833" t="s">
        <v>336</v>
      </c>
      <c r="W5833" t="s">
        <v>336</v>
      </c>
      <c r="X5833" t="s">
        <v>353</v>
      </c>
      <c r="AK5833" t="s">
        <v>363</v>
      </c>
    </row>
    <row r="5834" spans="1:37">
      <c r="B5834" t="s">
        <v>67</v>
      </c>
      <c r="C5834" t="s">
        <v>89</v>
      </c>
      <c r="D5834" t="s">
        <v>107</v>
      </c>
      <c r="AK5834" t="s">
        <v>363</v>
      </c>
    </row>
    <row r="5835" spans="1:37">
      <c r="B5835" t="s">
        <v>68</v>
      </c>
      <c r="C5835" t="s">
        <v>90</v>
      </c>
      <c r="D5835" t="s">
        <v>108</v>
      </c>
      <c r="AK5835" t="s">
        <v>363</v>
      </c>
    </row>
    <row r="5836" spans="1:37">
      <c r="A5836" t="s">
        <v>47</v>
      </c>
      <c r="B5836" t="s">
        <v>69</v>
      </c>
      <c r="C5836" t="s">
        <v>91</v>
      </c>
      <c r="D5836" t="s">
        <v>109</v>
      </c>
      <c r="E5836" t="s">
        <v>109</v>
      </c>
      <c r="F5836" t="s">
        <v>109</v>
      </c>
      <c r="G5836" t="s">
        <v>109</v>
      </c>
      <c r="H5836" t="s">
        <v>109</v>
      </c>
      <c r="I5836" t="s">
        <v>239</v>
      </c>
      <c r="AK5836" t="s">
        <v>363</v>
      </c>
    </row>
    <row r="5837" spans="1:37">
      <c r="B5837" t="s">
        <v>70</v>
      </c>
      <c r="C5837" t="s">
        <v>92</v>
      </c>
      <c r="D5837" t="s">
        <v>110</v>
      </c>
      <c r="E5837" t="s">
        <v>127</v>
      </c>
      <c r="F5837" t="s">
        <v>161</v>
      </c>
      <c r="G5837" t="s">
        <v>187</v>
      </c>
      <c r="H5837" t="s">
        <v>218</v>
      </c>
      <c r="AK5837" t="s">
        <v>363</v>
      </c>
    </row>
    <row r="5838" spans="1:37">
      <c r="B5838" t="s">
        <v>71</v>
      </c>
      <c r="C5838" t="s">
        <v>93</v>
      </c>
      <c r="D5838" t="s">
        <v>111</v>
      </c>
      <c r="E5838" t="s">
        <v>128</v>
      </c>
      <c r="F5838" t="s">
        <v>162</v>
      </c>
      <c r="G5838" t="s">
        <v>188</v>
      </c>
      <c r="H5838" t="s">
        <v>219</v>
      </c>
      <c r="I5838" t="s">
        <v>240</v>
      </c>
      <c r="J5838" t="s">
        <v>257</v>
      </c>
      <c r="K5838" t="s">
        <v>269</v>
      </c>
      <c r="L5838" t="s">
        <v>109</v>
      </c>
      <c r="M5838" t="s">
        <v>109</v>
      </c>
      <c r="N5838" t="s">
        <v>109</v>
      </c>
      <c r="O5838" t="s">
        <v>109</v>
      </c>
      <c r="P5838" t="s">
        <v>109</v>
      </c>
      <c r="Q5838" t="s">
        <v>321</v>
      </c>
      <c r="AK5838" t="s">
        <v>363</v>
      </c>
    </row>
    <row r="5839" spans="1:37">
      <c r="A5839" t="s">
        <v>48</v>
      </c>
      <c r="B5839" t="s">
        <v>71</v>
      </c>
      <c r="C5839" t="s">
        <v>93</v>
      </c>
      <c r="D5839" t="s">
        <v>111</v>
      </c>
      <c r="E5839" t="s">
        <v>128</v>
      </c>
      <c r="F5839" t="s">
        <v>163</v>
      </c>
      <c r="G5839" t="s">
        <v>189</v>
      </c>
      <c r="H5839" t="s">
        <v>220</v>
      </c>
      <c r="I5839" t="s">
        <v>241</v>
      </c>
      <c r="J5839" t="s">
        <v>258</v>
      </c>
      <c r="K5839" t="s">
        <v>270</v>
      </c>
      <c r="AK5839" t="s">
        <v>363</v>
      </c>
    </row>
    <row r="5840" spans="1:37">
      <c r="B5840" t="s">
        <v>72</v>
      </c>
      <c r="C5840" t="s">
        <v>72</v>
      </c>
      <c r="D5840" t="s">
        <v>72</v>
      </c>
      <c r="E5840" t="s">
        <v>72</v>
      </c>
      <c r="F5840" t="s">
        <v>72</v>
      </c>
      <c r="G5840" t="s">
        <v>72</v>
      </c>
      <c r="H5840" t="s">
        <v>72</v>
      </c>
      <c r="I5840" t="s">
        <v>72</v>
      </c>
      <c r="J5840" t="s">
        <v>72</v>
      </c>
      <c r="K5840" t="s">
        <v>272</v>
      </c>
      <c r="AK5840" t="s">
        <v>363</v>
      </c>
    </row>
    <row r="5841" spans="1:37">
      <c r="A5841" t="s">
        <v>37</v>
      </c>
      <c r="B5841" t="s">
        <v>49</v>
      </c>
      <c r="C5841" t="s">
        <v>73</v>
      </c>
      <c r="D5841" t="s">
        <v>94</v>
      </c>
      <c r="E5841" t="s">
        <v>112</v>
      </c>
      <c r="F5841" t="s">
        <v>146</v>
      </c>
      <c r="G5841" t="s">
        <v>172</v>
      </c>
      <c r="H5841" t="s">
        <v>207</v>
      </c>
      <c r="I5841" t="s">
        <v>226</v>
      </c>
      <c r="J5841" t="s">
        <v>246</v>
      </c>
      <c r="K5841" t="s">
        <v>259</v>
      </c>
      <c r="AK5841" t="s">
        <v>363</v>
      </c>
    </row>
    <row r="5842" spans="1:37">
      <c r="A5842" t="s">
        <v>38</v>
      </c>
      <c r="B5842" t="s">
        <v>50</v>
      </c>
      <c r="C5842" t="s">
        <v>74</v>
      </c>
      <c r="D5842" t="s">
        <v>95</v>
      </c>
      <c r="E5842" t="s">
        <v>113</v>
      </c>
      <c r="F5842" t="s">
        <v>147</v>
      </c>
      <c r="G5842" t="s">
        <v>173</v>
      </c>
      <c r="H5842" t="s">
        <v>208</v>
      </c>
      <c r="I5842" t="s">
        <v>227</v>
      </c>
      <c r="J5842" t="s">
        <v>115</v>
      </c>
      <c r="K5842" t="s">
        <v>260</v>
      </c>
      <c r="L5842" t="s">
        <v>273</v>
      </c>
      <c r="M5842" t="s">
        <v>282</v>
      </c>
      <c r="N5842" t="s">
        <v>291</v>
      </c>
      <c r="AK5842" t="s">
        <v>363</v>
      </c>
    </row>
    <row r="5843" spans="1:37">
      <c r="B5843" t="s">
        <v>51</v>
      </c>
      <c r="C5843" t="s">
        <v>75</v>
      </c>
      <c r="D5843" t="s">
        <v>52</v>
      </c>
      <c r="E5843" t="s">
        <v>114</v>
      </c>
      <c r="F5843" t="s">
        <v>148</v>
      </c>
      <c r="G5843" t="s">
        <v>148</v>
      </c>
      <c r="H5843" t="s">
        <v>209</v>
      </c>
      <c r="I5843" t="s">
        <v>228</v>
      </c>
      <c r="J5843" t="s">
        <v>247</v>
      </c>
      <c r="K5843" t="s">
        <v>261</v>
      </c>
      <c r="L5843" t="s">
        <v>274</v>
      </c>
      <c r="M5843" t="s">
        <v>283</v>
      </c>
      <c r="N5843" t="s">
        <v>292</v>
      </c>
      <c r="O5843" t="s">
        <v>300</v>
      </c>
      <c r="AK5843" t="s">
        <v>363</v>
      </c>
    </row>
    <row r="5844" spans="1:37">
      <c r="B5844" t="s">
        <v>52</v>
      </c>
      <c r="C5844" t="s">
        <v>76</v>
      </c>
      <c r="D5844" t="s">
        <v>96</v>
      </c>
      <c r="E5844" t="s">
        <v>115</v>
      </c>
      <c r="F5844" t="s">
        <v>149</v>
      </c>
      <c r="G5844" t="s">
        <v>174</v>
      </c>
      <c r="H5844" t="s">
        <v>96</v>
      </c>
      <c r="I5844" t="s">
        <v>229</v>
      </c>
      <c r="J5844" t="s">
        <v>248</v>
      </c>
      <c r="K5844" t="s">
        <v>262</v>
      </c>
      <c r="L5844" t="s">
        <v>52</v>
      </c>
      <c r="M5844" t="s">
        <v>76</v>
      </c>
      <c r="N5844" t="s">
        <v>293</v>
      </c>
      <c r="O5844" t="s">
        <v>301</v>
      </c>
      <c r="P5844" t="s">
        <v>309</v>
      </c>
      <c r="Q5844" t="s">
        <v>315</v>
      </c>
      <c r="R5844" t="s">
        <v>228</v>
      </c>
      <c r="S5844" t="s">
        <v>328</v>
      </c>
      <c r="T5844" t="s">
        <v>149</v>
      </c>
      <c r="U5844" t="s">
        <v>337</v>
      </c>
      <c r="V5844" t="s">
        <v>341</v>
      </c>
      <c r="W5844" t="s">
        <v>345</v>
      </c>
      <c r="X5844" t="s">
        <v>350</v>
      </c>
      <c r="AK5844" t="s">
        <v>363</v>
      </c>
    </row>
    <row r="5845" spans="1:37">
      <c r="B5845" t="s">
        <v>53</v>
      </c>
      <c r="C5845" t="s">
        <v>77</v>
      </c>
      <c r="D5845" t="s">
        <v>97</v>
      </c>
      <c r="E5845" t="s">
        <v>116</v>
      </c>
      <c r="F5845" t="s">
        <v>150</v>
      </c>
      <c r="G5845" t="s">
        <v>175</v>
      </c>
      <c r="H5845" t="s">
        <v>210</v>
      </c>
      <c r="I5845" t="s">
        <v>230</v>
      </c>
      <c r="J5845" t="s">
        <v>249</v>
      </c>
      <c r="K5845" t="s">
        <v>263</v>
      </c>
      <c r="L5845" t="s">
        <v>275</v>
      </c>
      <c r="M5845" t="s">
        <v>284</v>
      </c>
      <c r="N5845" t="s">
        <v>294</v>
      </c>
      <c r="O5845" t="s">
        <v>302</v>
      </c>
      <c r="P5845" t="s">
        <v>310</v>
      </c>
      <c r="Q5845" t="s">
        <v>316</v>
      </c>
      <c r="R5845" t="s">
        <v>322</v>
      </c>
      <c r="S5845" t="s">
        <v>329</v>
      </c>
      <c r="AK5845" t="s">
        <v>363</v>
      </c>
    </row>
    <row r="5846" spans="1:37">
      <c r="A5846" t="s">
        <v>39</v>
      </c>
      <c r="B5846" t="s">
        <v>54</v>
      </c>
      <c r="C5846" t="s">
        <v>54</v>
      </c>
      <c r="D5846" t="s">
        <v>54</v>
      </c>
      <c r="E5846" t="s">
        <v>54</v>
      </c>
      <c r="F5846" t="s">
        <v>54</v>
      </c>
      <c r="G5846" t="s">
        <v>54</v>
      </c>
      <c r="H5846" t="s">
        <v>54</v>
      </c>
      <c r="I5846" t="s">
        <v>54</v>
      </c>
      <c r="J5846" t="s">
        <v>54</v>
      </c>
      <c r="K5846" t="s">
        <v>54</v>
      </c>
      <c r="L5846" t="s">
        <v>54</v>
      </c>
      <c r="M5846" t="s">
        <v>54</v>
      </c>
      <c r="N5846" t="s">
        <v>54</v>
      </c>
      <c r="O5846" t="s">
        <v>54</v>
      </c>
      <c r="P5846" t="s">
        <v>54</v>
      </c>
      <c r="Q5846" t="s">
        <v>54</v>
      </c>
      <c r="R5846" t="s">
        <v>323</v>
      </c>
      <c r="S5846" t="s">
        <v>330</v>
      </c>
      <c r="AK5846" t="s">
        <v>363</v>
      </c>
    </row>
    <row r="5847" spans="1:37">
      <c r="B5847" t="s">
        <v>55</v>
      </c>
      <c r="C5847" t="s">
        <v>78</v>
      </c>
      <c r="D5847" t="s">
        <v>55</v>
      </c>
      <c r="E5847" t="s">
        <v>78</v>
      </c>
      <c r="F5847" t="s">
        <v>55</v>
      </c>
      <c r="G5847" t="s">
        <v>78</v>
      </c>
      <c r="H5847" t="s">
        <v>55</v>
      </c>
      <c r="I5847" t="s">
        <v>78</v>
      </c>
      <c r="J5847" t="s">
        <v>55</v>
      </c>
      <c r="K5847" t="s">
        <v>78</v>
      </c>
      <c r="L5847" t="s">
        <v>55</v>
      </c>
      <c r="M5847" t="s">
        <v>78</v>
      </c>
      <c r="N5847" t="s">
        <v>55</v>
      </c>
      <c r="O5847" t="s">
        <v>78</v>
      </c>
      <c r="P5847" t="s">
        <v>55</v>
      </c>
      <c r="Q5847" t="s">
        <v>78</v>
      </c>
      <c r="R5847" t="s">
        <v>55</v>
      </c>
      <c r="S5847" t="s">
        <v>78</v>
      </c>
      <c r="T5847" t="s">
        <v>55</v>
      </c>
      <c r="U5847" t="s">
        <v>78</v>
      </c>
      <c r="V5847" t="s">
        <v>55</v>
      </c>
      <c r="W5847" t="s">
        <v>78</v>
      </c>
      <c r="X5847" t="s">
        <v>55</v>
      </c>
      <c r="Y5847" t="s">
        <v>78</v>
      </c>
      <c r="Z5847" t="s">
        <v>55</v>
      </c>
      <c r="AA5847" t="s">
        <v>78</v>
      </c>
      <c r="AB5847" t="s">
        <v>55</v>
      </c>
      <c r="AC5847" t="s">
        <v>78</v>
      </c>
      <c r="AD5847" t="s">
        <v>55</v>
      </c>
      <c r="AE5847" t="s">
        <v>78</v>
      </c>
      <c r="AF5847" t="s">
        <v>55</v>
      </c>
      <c r="AG5847" t="s">
        <v>78</v>
      </c>
      <c r="AH5847" t="s">
        <v>55</v>
      </c>
      <c r="AI5847" t="s">
        <v>78</v>
      </c>
      <c r="AK5847" t="s">
        <v>363</v>
      </c>
    </row>
    <row r="5848" spans="1:37">
      <c r="B5848" t="s">
        <v>56</v>
      </c>
      <c r="C5848" t="s">
        <v>56</v>
      </c>
      <c r="D5848" t="s">
        <v>56</v>
      </c>
      <c r="E5848" t="s">
        <v>56</v>
      </c>
      <c r="F5848" t="s">
        <v>56</v>
      </c>
      <c r="G5848" t="s">
        <v>176</v>
      </c>
      <c r="H5848" t="s">
        <v>211</v>
      </c>
      <c r="I5848" t="s">
        <v>231</v>
      </c>
      <c r="J5848" t="s">
        <v>250</v>
      </c>
      <c r="K5848" t="s">
        <v>264</v>
      </c>
      <c r="L5848" t="s">
        <v>276</v>
      </c>
      <c r="M5848" t="s">
        <v>285</v>
      </c>
      <c r="N5848" t="s">
        <v>295</v>
      </c>
      <c r="O5848" t="s">
        <v>303</v>
      </c>
      <c r="P5848" t="s">
        <v>56</v>
      </c>
      <c r="Q5848" t="s">
        <v>317</v>
      </c>
      <c r="R5848" t="s">
        <v>324</v>
      </c>
      <c r="S5848" t="s">
        <v>331</v>
      </c>
      <c r="T5848" t="s">
        <v>334</v>
      </c>
      <c r="U5848" t="s">
        <v>338</v>
      </c>
      <c r="V5848" t="s">
        <v>342</v>
      </c>
      <c r="W5848" t="s">
        <v>346</v>
      </c>
      <c r="X5848" t="s">
        <v>351</v>
      </c>
      <c r="AK5848" t="s">
        <v>363</v>
      </c>
    </row>
    <row r="5849" spans="1:37">
      <c r="B5849" t="s">
        <v>57</v>
      </c>
      <c r="C5849" t="s">
        <v>79</v>
      </c>
      <c r="D5849" t="s">
        <v>98</v>
      </c>
      <c r="E5849" t="s">
        <v>117</v>
      </c>
      <c r="F5849" t="s">
        <v>151</v>
      </c>
      <c r="G5849" t="s">
        <v>177</v>
      </c>
      <c r="H5849" t="s">
        <v>212</v>
      </c>
      <c r="I5849" t="s">
        <v>232</v>
      </c>
      <c r="J5849" t="s">
        <v>251</v>
      </c>
      <c r="K5849" t="s">
        <v>265</v>
      </c>
      <c r="L5849" t="s">
        <v>277</v>
      </c>
      <c r="M5849" t="s">
        <v>286</v>
      </c>
      <c r="N5849" t="s">
        <v>296</v>
      </c>
      <c r="O5849" t="s">
        <v>304</v>
      </c>
      <c r="P5849" t="s">
        <v>311</v>
      </c>
      <c r="Q5849" t="s">
        <v>318</v>
      </c>
      <c r="R5849" t="s">
        <v>185</v>
      </c>
      <c r="S5849" t="s">
        <v>159</v>
      </c>
      <c r="T5849" t="s">
        <v>185</v>
      </c>
      <c r="U5849" t="s">
        <v>339</v>
      </c>
      <c r="V5849" t="s">
        <v>72</v>
      </c>
      <c r="W5849" t="s">
        <v>347</v>
      </c>
      <c r="X5849" t="s">
        <v>72</v>
      </c>
      <c r="Y5849" t="s">
        <v>96</v>
      </c>
      <c r="AK5849" t="s">
        <v>363</v>
      </c>
    </row>
    <row r="5850" spans="1:37">
      <c r="B5850" t="s">
        <v>58</v>
      </c>
      <c r="C5850" t="s">
        <v>80</v>
      </c>
      <c r="D5850" t="s">
        <v>99</v>
      </c>
      <c r="E5850" t="s">
        <v>118</v>
      </c>
      <c r="F5850" t="s">
        <v>152</v>
      </c>
      <c r="G5850" t="s">
        <v>178</v>
      </c>
      <c r="H5850" t="s">
        <v>213</v>
      </c>
      <c r="I5850" t="s">
        <v>233</v>
      </c>
      <c r="J5850" t="s">
        <v>252</v>
      </c>
      <c r="K5850" t="s">
        <v>266</v>
      </c>
      <c r="L5850" t="s">
        <v>278</v>
      </c>
      <c r="M5850" t="s">
        <v>287</v>
      </c>
      <c r="N5850" t="s">
        <v>297</v>
      </c>
      <c r="O5850" t="s">
        <v>305</v>
      </c>
      <c r="P5850" t="s">
        <v>312</v>
      </c>
      <c r="Q5850" t="s">
        <v>319</v>
      </c>
      <c r="R5850">
        <f>&gt;10       ветра      1.6     13  10</f>
        <v>0</v>
      </c>
      <c r="AK5850" t="s">
        <v>363</v>
      </c>
    </row>
    <row r="5851" spans="1:37">
      <c r="A5851" t="s">
        <v>40</v>
      </c>
      <c r="B5851" t="s">
        <v>59</v>
      </c>
      <c r="C5851" t="s">
        <v>81</v>
      </c>
      <c r="D5851" t="s">
        <v>100</v>
      </c>
      <c r="E5851" t="s">
        <v>119</v>
      </c>
      <c r="F5851" t="s">
        <v>153</v>
      </c>
      <c r="G5851" t="s">
        <v>179</v>
      </c>
      <c r="H5851" t="s">
        <v>214</v>
      </c>
      <c r="I5851" t="s">
        <v>234</v>
      </c>
      <c r="AK5851" t="s">
        <v>363</v>
      </c>
    </row>
    <row r="5852" spans="1:37">
      <c r="A5852" t="s">
        <v>40</v>
      </c>
      <c r="B5852" t="s">
        <v>60</v>
      </c>
      <c r="C5852" t="s">
        <v>82</v>
      </c>
      <c r="D5852" t="s">
        <v>101</v>
      </c>
      <c r="E5852" t="s">
        <v>120</v>
      </c>
      <c r="F5852" t="s">
        <v>154</v>
      </c>
      <c r="G5852" t="s">
        <v>180</v>
      </c>
      <c r="H5852" t="s">
        <v>215</v>
      </c>
      <c r="I5852" t="s">
        <v>235</v>
      </c>
      <c r="J5852" t="s">
        <v>253</v>
      </c>
      <c r="K5852" t="s">
        <v>267</v>
      </c>
      <c r="L5852" t="s">
        <v>279</v>
      </c>
      <c r="M5852" t="s">
        <v>288</v>
      </c>
      <c r="N5852" t="s">
        <v>100</v>
      </c>
      <c r="O5852" t="s">
        <v>306</v>
      </c>
      <c r="P5852" t="s">
        <v>313</v>
      </c>
      <c r="Q5852" t="s">
        <v>320</v>
      </c>
      <c r="R5852" t="s">
        <v>325</v>
      </c>
      <c r="S5852" t="s">
        <v>332</v>
      </c>
      <c r="T5852" t="s">
        <v>119</v>
      </c>
      <c r="U5852" t="s">
        <v>234</v>
      </c>
      <c r="V5852" t="s">
        <v>343</v>
      </c>
      <c r="W5852" t="s">
        <v>348</v>
      </c>
      <c r="X5852" t="s">
        <v>352</v>
      </c>
      <c r="Y5852" t="s">
        <v>354</v>
      </c>
      <c r="AK5852" t="s">
        <v>363</v>
      </c>
    </row>
    <row r="5853" spans="1:37">
      <c r="A5853" t="s">
        <v>41</v>
      </c>
      <c r="B5853" t="s">
        <v>61</v>
      </c>
      <c r="C5853" t="s">
        <v>83</v>
      </c>
      <c r="D5853" t="s">
        <v>102</v>
      </c>
      <c r="E5853" t="s">
        <v>121</v>
      </c>
      <c r="F5853" t="s">
        <v>155</v>
      </c>
      <c r="G5853" t="s">
        <v>181</v>
      </c>
      <c r="H5853" t="s">
        <v>216</v>
      </c>
      <c r="I5853" t="s">
        <v>236</v>
      </c>
      <c r="AK5853" t="s">
        <v>363</v>
      </c>
    </row>
    <row r="5854" spans="1:37">
      <c r="A5854" t="s">
        <v>42</v>
      </c>
      <c r="B5854" t="s">
        <v>62</v>
      </c>
      <c r="C5854" t="s">
        <v>84</v>
      </c>
      <c r="D5854" t="s">
        <v>103</v>
      </c>
      <c r="E5854" t="s">
        <v>122</v>
      </c>
      <c r="F5854" t="s">
        <v>156</v>
      </c>
      <c r="G5854" t="s">
        <v>182</v>
      </c>
      <c r="H5854" t="s">
        <v>83</v>
      </c>
      <c r="I5854" t="s">
        <v>237</v>
      </c>
      <c r="J5854" t="s">
        <v>254</v>
      </c>
      <c r="K5854" t="s">
        <v>268</v>
      </c>
      <c r="L5854" t="s">
        <v>280</v>
      </c>
      <c r="M5854" t="s">
        <v>289</v>
      </c>
      <c r="N5854" t="s">
        <v>298</v>
      </c>
      <c r="O5854" t="s">
        <v>307</v>
      </c>
      <c r="P5854" t="s">
        <v>314</v>
      </c>
      <c r="Q5854" t="s">
        <v>216</v>
      </c>
      <c r="R5854" t="s">
        <v>326</v>
      </c>
      <c r="S5854" t="s">
        <v>333</v>
      </c>
      <c r="T5854" t="s">
        <v>335</v>
      </c>
      <c r="U5854" t="s">
        <v>340</v>
      </c>
      <c r="V5854" t="s">
        <v>344</v>
      </c>
      <c r="W5854" t="s">
        <v>349</v>
      </c>
      <c r="AK5854" t="s">
        <v>363</v>
      </c>
    </row>
    <row r="5855" spans="1:37">
      <c r="A5855" t="s">
        <v>43</v>
      </c>
      <c r="B5855" t="s">
        <v>63</v>
      </c>
      <c r="C5855" t="s">
        <v>85</v>
      </c>
      <c r="D5855" t="s">
        <v>104</v>
      </c>
      <c r="E5855" t="s">
        <v>123</v>
      </c>
      <c r="F5855" t="s">
        <v>157</v>
      </c>
      <c r="G5855" t="s">
        <v>183</v>
      </c>
      <c r="AK5855" t="s">
        <v>363</v>
      </c>
    </row>
    <row r="5856" spans="1:37">
      <c r="A5856" t="s">
        <v>44</v>
      </c>
      <c r="B5856" t="s">
        <v>64</v>
      </c>
      <c r="C5856" t="s">
        <v>86</v>
      </c>
      <c r="D5856" t="s">
        <v>105</v>
      </c>
      <c r="E5856" t="s">
        <v>124</v>
      </c>
      <c r="F5856" t="s">
        <v>158</v>
      </c>
      <c r="G5856" t="s">
        <v>184</v>
      </c>
      <c r="AK5856" t="s">
        <v>363</v>
      </c>
    </row>
    <row r="5857" spans="1:37">
      <c r="A5857" t="s">
        <v>45</v>
      </c>
      <c r="B5857" t="s">
        <v>65</v>
      </c>
      <c r="C5857" t="s">
        <v>87</v>
      </c>
      <c r="D5857" t="s">
        <v>106</v>
      </c>
      <c r="E5857" t="s">
        <v>125</v>
      </c>
      <c r="F5857" t="s">
        <v>159</v>
      </c>
      <c r="G5857" t="s">
        <v>185</v>
      </c>
      <c r="H5857" t="s">
        <v>159</v>
      </c>
      <c r="I5857" t="s">
        <v>185</v>
      </c>
      <c r="J5857" t="s">
        <v>255</v>
      </c>
      <c r="AK5857" t="s">
        <v>363</v>
      </c>
    </row>
    <row r="5858" spans="1:37">
      <c r="A5858" t="s">
        <v>46</v>
      </c>
      <c r="B5858" t="s">
        <v>66</v>
      </c>
      <c r="C5858" t="s">
        <v>88</v>
      </c>
      <c r="D5858" t="s">
        <v>76</v>
      </c>
      <c r="E5858" t="s">
        <v>126</v>
      </c>
      <c r="F5858" t="s">
        <v>160</v>
      </c>
      <c r="G5858" t="s">
        <v>186</v>
      </c>
      <c r="H5858" t="s">
        <v>217</v>
      </c>
      <c r="I5858" t="s">
        <v>238</v>
      </c>
      <c r="J5858" t="s">
        <v>256</v>
      </c>
      <c r="K5858" t="s">
        <v>265</v>
      </c>
      <c r="L5858" t="s">
        <v>281</v>
      </c>
      <c r="M5858" t="s">
        <v>290</v>
      </c>
      <c r="N5858" t="s">
        <v>299</v>
      </c>
      <c r="O5858" t="s">
        <v>308</v>
      </c>
      <c r="P5858" t="s">
        <v>228</v>
      </c>
      <c r="Q5858" t="s">
        <v>72</v>
      </c>
      <c r="R5858" t="s">
        <v>327</v>
      </c>
      <c r="S5858" t="s">
        <v>327</v>
      </c>
      <c r="T5858" t="s">
        <v>336</v>
      </c>
      <c r="U5858" t="s">
        <v>336</v>
      </c>
      <c r="V5858" t="s">
        <v>336</v>
      </c>
      <c r="W5858" t="s">
        <v>336</v>
      </c>
      <c r="X5858" t="s">
        <v>353</v>
      </c>
      <c r="AK5858" t="s">
        <v>363</v>
      </c>
    </row>
    <row r="5859" spans="1:37">
      <c r="B5859" t="s">
        <v>67</v>
      </c>
      <c r="C5859" t="s">
        <v>89</v>
      </c>
      <c r="D5859" t="s">
        <v>107</v>
      </c>
      <c r="AK5859" t="s">
        <v>363</v>
      </c>
    </row>
    <row r="5860" spans="1:37">
      <c r="B5860" t="s">
        <v>68</v>
      </c>
      <c r="C5860" t="s">
        <v>90</v>
      </c>
      <c r="D5860" t="s">
        <v>108</v>
      </c>
      <c r="AK5860" t="s">
        <v>363</v>
      </c>
    </row>
    <row r="5861" spans="1:37">
      <c r="A5861" t="s">
        <v>47</v>
      </c>
      <c r="B5861" t="s">
        <v>69</v>
      </c>
      <c r="C5861" t="s">
        <v>91</v>
      </c>
      <c r="D5861" t="s">
        <v>109</v>
      </c>
      <c r="E5861" t="s">
        <v>109</v>
      </c>
      <c r="F5861" t="s">
        <v>109</v>
      </c>
      <c r="G5861" t="s">
        <v>109</v>
      </c>
      <c r="H5861" t="s">
        <v>109</v>
      </c>
      <c r="I5861" t="s">
        <v>239</v>
      </c>
      <c r="AK5861" t="s">
        <v>363</v>
      </c>
    </row>
    <row r="5862" spans="1:37">
      <c r="B5862" t="s">
        <v>70</v>
      </c>
      <c r="C5862" t="s">
        <v>92</v>
      </c>
      <c r="D5862" t="s">
        <v>110</v>
      </c>
      <c r="E5862" t="s">
        <v>127</v>
      </c>
      <c r="F5862" t="s">
        <v>161</v>
      </c>
      <c r="G5862" t="s">
        <v>187</v>
      </c>
      <c r="H5862" t="s">
        <v>218</v>
      </c>
      <c r="AK5862" t="s">
        <v>363</v>
      </c>
    </row>
    <row r="5863" spans="1:37">
      <c r="B5863" t="s">
        <v>71</v>
      </c>
      <c r="C5863" t="s">
        <v>93</v>
      </c>
      <c r="D5863" t="s">
        <v>111</v>
      </c>
      <c r="E5863" t="s">
        <v>128</v>
      </c>
      <c r="F5863" t="s">
        <v>162</v>
      </c>
      <c r="G5863" t="s">
        <v>188</v>
      </c>
      <c r="H5863" t="s">
        <v>219</v>
      </c>
      <c r="I5863" t="s">
        <v>240</v>
      </c>
      <c r="J5863" t="s">
        <v>257</v>
      </c>
      <c r="K5863" t="s">
        <v>269</v>
      </c>
      <c r="L5863" t="s">
        <v>109</v>
      </c>
      <c r="M5863" t="s">
        <v>109</v>
      </c>
      <c r="N5863" t="s">
        <v>109</v>
      </c>
      <c r="O5863" t="s">
        <v>109</v>
      </c>
      <c r="P5863" t="s">
        <v>109</v>
      </c>
      <c r="Q5863" t="s">
        <v>321</v>
      </c>
      <c r="AK5863" t="s">
        <v>363</v>
      </c>
    </row>
    <row r="5864" spans="1:37">
      <c r="A5864" t="s">
        <v>48</v>
      </c>
      <c r="B5864" t="s">
        <v>71</v>
      </c>
      <c r="C5864" t="s">
        <v>93</v>
      </c>
      <c r="D5864" t="s">
        <v>111</v>
      </c>
      <c r="E5864" t="s">
        <v>128</v>
      </c>
      <c r="F5864" t="s">
        <v>163</v>
      </c>
      <c r="G5864" t="s">
        <v>189</v>
      </c>
      <c r="H5864" t="s">
        <v>220</v>
      </c>
      <c r="I5864" t="s">
        <v>241</v>
      </c>
      <c r="J5864" t="s">
        <v>258</v>
      </c>
      <c r="K5864" t="s">
        <v>270</v>
      </c>
      <c r="AK5864" t="s">
        <v>363</v>
      </c>
    </row>
    <row r="5865" spans="1:37">
      <c r="B5865" t="s">
        <v>72</v>
      </c>
      <c r="C5865" t="s">
        <v>72</v>
      </c>
      <c r="D5865" t="s">
        <v>72</v>
      </c>
      <c r="E5865" t="s">
        <v>139</v>
      </c>
      <c r="F5865" t="s">
        <v>139</v>
      </c>
      <c r="G5865" t="s">
        <v>192</v>
      </c>
      <c r="H5865" t="s">
        <v>192</v>
      </c>
      <c r="I5865" t="s">
        <v>192</v>
      </c>
      <c r="J5865" t="s">
        <v>192</v>
      </c>
      <c r="K5865" t="s">
        <v>271</v>
      </c>
      <c r="AK5865" t="s">
        <v>363</v>
      </c>
    </row>
    <row r="5866" spans="1:37">
      <c r="A5866" t="s">
        <v>37</v>
      </c>
      <c r="B5866" t="s">
        <v>49</v>
      </c>
      <c r="C5866" t="s">
        <v>73</v>
      </c>
      <c r="D5866" t="s">
        <v>94</v>
      </c>
      <c r="E5866" t="s">
        <v>112</v>
      </c>
      <c r="F5866" t="s">
        <v>146</v>
      </c>
      <c r="G5866" t="s">
        <v>172</v>
      </c>
      <c r="H5866" t="s">
        <v>207</v>
      </c>
      <c r="I5866" t="s">
        <v>226</v>
      </c>
      <c r="J5866" t="s">
        <v>246</v>
      </c>
      <c r="K5866" t="s">
        <v>259</v>
      </c>
      <c r="AK5866" t="s">
        <v>363</v>
      </c>
    </row>
    <row r="5867" spans="1:37">
      <c r="A5867" t="s">
        <v>38</v>
      </c>
      <c r="B5867" t="s">
        <v>50</v>
      </c>
      <c r="C5867" t="s">
        <v>74</v>
      </c>
      <c r="D5867" t="s">
        <v>95</v>
      </c>
      <c r="E5867" t="s">
        <v>113</v>
      </c>
      <c r="F5867" t="s">
        <v>147</v>
      </c>
      <c r="G5867" t="s">
        <v>173</v>
      </c>
      <c r="H5867" t="s">
        <v>208</v>
      </c>
      <c r="I5867" t="s">
        <v>227</v>
      </c>
      <c r="J5867" t="s">
        <v>115</v>
      </c>
      <c r="K5867" t="s">
        <v>260</v>
      </c>
      <c r="L5867" t="s">
        <v>273</v>
      </c>
      <c r="M5867" t="s">
        <v>282</v>
      </c>
      <c r="N5867" t="s">
        <v>291</v>
      </c>
      <c r="AK5867" t="s">
        <v>363</v>
      </c>
    </row>
    <row r="5868" spans="1:37">
      <c r="B5868" t="s">
        <v>51</v>
      </c>
      <c r="C5868" t="s">
        <v>75</v>
      </c>
      <c r="D5868" t="s">
        <v>52</v>
      </c>
      <c r="E5868" t="s">
        <v>114</v>
      </c>
      <c r="F5868" t="s">
        <v>148</v>
      </c>
      <c r="G5868" t="s">
        <v>148</v>
      </c>
      <c r="H5868" t="s">
        <v>209</v>
      </c>
      <c r="I5868" t="s">
        <v>228</v>
      </c>
      <c r="J5868" t="s">
        <v>247</v>
      </c>
      <c r="K5868" t="s">
        <v>261</v>
      </c>
      <c r="L5868" t="s">
        <v>274</v>
      </c>
      <c r="M5868" t="s">
        <v>283</v>
      </c>
      <c r="N5868" t="s">
        <v>292</v>
      </c>
      <c r="O5868" t="s">
        <v>300</v>
      </c>
      <c r="AK5868" t="s">
        <v>363</v>
      </c>
    </row>
    <row r="5869" spans="1:37">
      <c r="B5869" t="s">
        <v>52</v>
      </c>
      <c r="C5869" t="s">
        <v>76</v>
      </c>
      <c r="D5869" t="s">
        <v>96</v>
      </c>
      <c r="E5869" t="s">
        <v>115</v>
      </c>
      <c r="F5869" t="s">
        <v>149</v>
      </c>
      <c r="G5869" t="s">
        <v>174</v>
      </c>
      <c r="H5869" t="s">
        <v>96</v>
      </c>
      <c r="I5869" t="s">
        <v>229</v>
      </c>
      <c r="J5869" t="s">
        <v>248</v>
      </c>
      <c r="K5869" t="s">
        <v>262</v>
      </c>
      <c r="L5869" t="s">
        <v>52</v>
      </c>
      <c r="M5869" t="s">
        <v>76</v>
      </c>
      <c r="N5869" t="s">
        <v>293</v>
      </c>
      <c r="O5869" t="s">
        <v>301</v>
      </c>
      <c r="P5869" t="s">
        <v>309</v>
      </c>
      <c r="Q5869" t="s">
        <v>315</v>
      </c>
      <c r="R5869" t="s">
        <v>228</v>
      </c>
      <c r="S5869" t="s">
        <v>328</v>
      </c>
      <c r="T5869" t="s">
        <v>149</v>
      </c>
      <c r="U5869" t="s">
        <v>337</v>
      </c>
      <c r="V5869" t="s">
        <v>341</v>
      </c>
      <c r="W5869" t="s">
        <v>345</v>
      </c>
      <c r="X5869" t="s">
        <v>350</v>
      </c>
      <c r="AK5869" t="s">
        <v>363</v>
      </c>
    </row>
    <row r="5870" spans="1:37">
      <c r="B5870" t="s">
        <v>53</v>
      </c>
      <c r="C5870" t="s">
        <v>77</v>
      </c>
      <c r="D5870" t="s">
        <v>97</v>
      </c>
      <c r="E5870" t="s">
        <v>116</v>
      </c>
      <c r="F5870" t="s">
        <v>150</v>
      </c>
      <c r="G5870" t="s">
        <v>175</v>
      </c>
      <c r="H5870" t="s">
        <v>210</v>
      </c>
      <c r="I5870" t="s">
        <v>230</v>
      </c>
      <c r="J5870" t="s">
        <v>249</v>
      </c>
      <c r="K5870" t="s">
        <v>263</v>
      </c>
      <c r="L5870" t="s">
        <v>275</v>
      </c>
      <c r="M5870" t="s">
        <v>284</v>
      </c>
      <c r="N5870" t="s">
        <v>294</v>
      </c>
      <c r="O5870" t="s">
        <v>302</v>
      </c>
      <c r="P5870" t="s">
        <v>310</v>
      </c>
      <c r="Q5870" t="s">
        <v>316</v>
      </c>
      <c r="R5870" t="s">
        <v>322</v>
      </c>
      <c r="S5870" t="s">
        <v>329</v>
      </c>
      <c r="AK5870" t="s">
        <v>363</v>
      </c>
    </row>
    <row r="5871" spans="1:37">
      <c r="A5871" t="s">
        <v>39</v>
      </c>
      <c r="B5871" t="s">
        <v>54</v>
      </c>
      <c r="C5871" t="s">
        <v>54</v>
      </c>
      <c r="D5871" t="s">
        <v>54</v>
      </c>
      <c r="E5871" t="s">
        <v>54</v>
      </c>
      <c r="F5871" t="s">
        <v>54</v>
      </c>
      <c r="G5871" t="s">
        <v>54</v>
      </c>
      <c r="H5871" t="s">
        <v>54</v>
      </c>
      <c r="I5871" t="s">
        <v>54</v>
      </c>
      <c r="J5871" t="s">
        <v>54</v>
      </c>
      <c r="K5871" t="s">
        <v>54</v>
      </c>
      <c r="L5871" t="s">
        <v>54</v>
      </c>
      <c r="M5871" t="s">
        <v>54</v>
      </c>
      <c r="N5871" t="s">
        <v>54</v>
      </c>
      <c r="O5871" t="s">
        <v>54</v>
      </c>
      <c r="P5871" t="s">
        <v>54</v>
      </c>
      <c r="Q5871" t="s">
        <v>54</v>
      </c>
      <c r="R5871" t="s">
        <v>323</v>
      </c>
      <c r="S5871" t="s">
        <v>330</v>
      </c>
      <c r="AK5871" t="s">
        <v>363</v>
      </c>
    </row>
    <row r="5872" spans="1:37">
      <c r="B5872" t="s">
        <v>55</v>
      </c>
      <c r="C5872" t="s">
        <v>78</v>
      </c>
      <c r="D5872" t="s">
        <v>55</v>
      </c>
      <c r="E5872" t="s">
        <v>78</v>
      </c>
      <c r="F5872" t="s">
        <v>55</v>
      </c>
      <c r="G5872" t="s">
        <v>78</v>
      </c>
      <c r="H5872" t="s">
        <v>55</v>
      </c>
      <c r="I5872" t="s">
        <v>78</v>
      </c>
      <c r="J5872" t="s">
        <v>55</v>
      </c>
      <c r="K5872" t="s">
        <v>78</v>
      </c>
      <c r="L5872" t="s">
        <v>55</v>
      </c>
      <c r="M5872" t="s">
        <v>78</v>
      </c>
      <c r="N5872" t="s">
        <v>55</v>
      </c>
      <c r="O5872" t="s">
        <v>78</v>
      </c>
      <c r="P5872" t="s">
        <v>55</v>
      </c>
      <c r="Q5872" t="s">
        <v>78</v>
      </c>
      <c r="R5872" t="s">
        <v>55</v>
      </c>
      <c r="S5872" t="s">
        <v>78</v>
      </c>
      <c r="T5872" t="s">
        <v>55</v>
      </c>
      <c r="U5872" t="s">
        <v>78</v>
      </c>
      <c r="V5872" t="s">
        <v>55</v>
      </c>
      <c r="W5872" t="s">
        <v>78</v>
      </c>
      <c r="X5872" t="s">
        <v>55</v>
      </c>
      <c r="Y5872" t="s">
        <v>78</v>
      </c>
      <c r="Z5872" t="s">
        <v>55</v>
      </c>
      <c r="AA5872" t="s">
        <v>78</v>
      </c>
      <c r="AB5872" t="s">
        <v>55</v>
      </c>
      <c r="AC5872" t="s">
        <v>78</v>
      </c>
      <c r="AD5872" t="s">
        <v>55</v>
      </c>
      <c r="AE5872" t="s">
        <v>78</v>
      </c>
      <c r="AF5872" t="s">
        <v>55</v>
      </c>
      <c r="AG5872" t="s">
        <v>78</v>
      </c>
      <c r="AH5872" t="s">
        <v>55</v>
      </c>
      <c r="AI5872" t="s">
        <v>78</v>
      </c>
      <c r="AK5872" t="s">
        <v>363</v>
      </c>
    </row>
    <row r="5873" spans="1:37">
      <c r="B5873" t="s">
        <v>56</v>
      </c>
      <c r="C5873" t="s">
        <v>56</v>
      </c>
      <c r="D5873" t="s">
        <v>56</v>
      </c>
      <c r="E5873" t="s">
        <v>56</v>
      </c>
      <c r="F5873" t="s">
        <v>56</v>
      </c>
      <c r="G5873" t="s">
        <v>176</v>
      </c>
      <c r="H5873" t="s">
        <v>211</v>
      </c>
      <c r="I5873" t="s">
        <v>231</v>
      </c>
      <c r="J5873" t="s">
        <v>250</v>
      </c>
      <c r="K5873" t="s">
        <v>264</v>
      </c>
      <c r="L5873" t="s">
        <v>276</v>
      </c>
      <c r="M5873" t="s">
        <v>285</v>
      </c>
      <c r="N5873" t="s">
        <v>295</v>
      </c>
      <c r="O5873" t="s">
        <v>303</v>
      </c>
      <c r="P5873" t="s">
        <v>56</v>
      </c>
      <c r="Q5873" t="s">
        <v>317</v>
      </c>
      <c r="R5873" t="s">
        <v>324</v>
      </c>
      <c r="S5873" t="s">
        <v>331</v>
      </c>
      <c r="T5873" t="s">
        <v>334</v>
      </c>
      <c r="U5873" t="s">
        <v>338</v>
      </c>
      <c r="V5873" t="s">
        <v>342</v>
      </c>
      <c r="W5873" t="s">
        <v>346</v>
      </c>
      <c r="X5873" t="s">
        <v>351</v>
      </c>
      <c r="AK5873" t="s">
        <v>363</v>
      </c>
    </row>
    <row r="5874" spans="1:37">
      <c r="B5874" t="s">
        <v>57</v>
      </c>
      <c r="C5874" t="s">
        <v>79</v>
      </c>
      <c r="D5874" t="s">
        <v>98</v>
      </c>
      <c r="E5874" t="s">
        <v>117</v>
      </c>
      <c r="F5874" t="s">
        <v>151</v>
      </c>
      <c r="G5874" t="s">
        <v>177</v>
      </c>
      <c r="H5874" t="s">
        <v>212</v>
      </c>
      <c r="I5874" t="s">
        <v>232</v>
      </c>
      <c r="J5874" t="s">
        <v>251</v>
      </c>
      <c r="K5874" t="s">
        <v>265</v>
      </c>
      <c r="L5874" t="s">
        <v>277</v>
      </c>
      <c r="M5874" t="s">
        <v>286</v>
      </c>
      <c r="N5874" t="s">
        <v>296</v>
      </c>
      <c r="O5874" t="s">
        <v>304</v>
      </c>
      <c r="P5874" t="s">
        <v>311</v>
      </c>
      <c r="Q5874" t="s">
        <v>318</v>
      </c>
      <c r="R5874" t="s">
        <v>185</v>
      </c>
      <c r="S5874" t="s">
        <v>159</v>
      </c>
      <c r="T5874" t="s">
        <v>185</v>
      </c>
      <c r="U5874" t="s">
        <v>339</v>
      </c>
      <c r="V5874" t="s">
        <v>72</v>
      </c>
      <c r="W5874" t="s">
        <v>347</v>
      </c>
      <c r="X5874" t="s">
        <v>72</v>
      </c>
      <c r="Y5874" t="s">
        <v>96</v>
      </c>
      <c r="AK5874" t="s">
        <v>363</v>
      </c>
    </row>
    <row r="5875" spans="1:37">
      <c r="B5875" t="s">
        <v>58</v>
      </c>
      <c r="C5875" t="s">
        <v>80</v>
      </c>
      <c r="D5875" t="s">
        <v>99</v>
      </c>
      <c r="E5875" t="s">
        <v>118</v>
      </c>
      <c r="F5875" t="s">
        <v>152</v>
      </c>
      <c r="G5875" t="s">
        <v>178</v>
      </c>
      <c r="H5875" t="s">
        <v>213</v>
      </c>
      <c r="I5875" t="s">
        <v>233</v>
      </c>
      <c r="J5875" t="s">
        <v>252</v>
      </c>
      <c r="K5875" t="s">
        <v>266</v>
      </c>
      <c r="L5875" t="s">
        <v>278</v>
      </c>
      <c r="M5875" t="s">
        <v>287</v>
      </c>
      <c r="N5875" t="s">
        <v>297</v>
      </c>
      <c r="O5875" t="s">
        <v>305</v>
      </c>
      <c r="P5875" t="s">
        <v>312</v>
      </c>
      <c r="Q5875" t="s">
        <v>319</v>
      </c>
      <c r="R5875">
        <f>&gt;10       ветра      2.7     14   8 11</f>
        <v>0</v>
      </c>
      <c r="AK5875" t="s">
        <v>363</v>
      </c>
    </row>
    <row r="5876" spans="1:37">
      <c r="A5876" t="s">
        <v>40</v>
      </c>
      <c r="B5876" t="s">
        <v>59</v>
      </c>
      <c r="C5876" t="s">
        <v>81</v>
      </c>
      <c r="D5876" t="s">
        <v>100</v>
      </c>
      <c r="E5876" t="s">
        <v>119</v>
      </c>
      <c r="F5876" t="s">
        <v>153</v>
      </c>
      <c r="G5876" t="s">
        <v>179</v>
      </c>
      <c r="H5876" t="s">
        <v>214</v>
      </c>
      <c r="I5876" t="s">
        <v>234</v>
      </c>
      <c r="AK5876" t="s">
        <v>363</v>
      </c>
    </row>
    <row r="5877" spans="1:37">
      <c r="A5877" t="s">
        <v>40</v>
      </c>
      <c r="B5877" t="s">
        <v>60</v>
      </c>
      <c r="C5877" t="s">
        <v>82</v>
      </c>
      <c r="D5877" t="s">
        <v>101</v>
      </c>
      <c r="E5877" t="s">
        <v>120</v>
      </c>
      <c r="F5877" t="s">
        <v>154</v>
      </c>
      <c r="G5877" t="s">
        <v>180</v>
      </c>
      <c r="H5877" t="s">
        <v>215</v>
      </c>
      <c r="I5877" t="s">
        <v>235</v>
      </c>
      <c r="J5877" t="s">
        <v>253</v>
      </c>
      <c r="K5877" t="s">
        <v>267</v>
      </c>
      <c r="L5877" t="s">
        <v>279</v>
      </c>
      <c r="M5877" t="s">
        <v>288</v>
      </c>
      <c r="N5877" t="s">
        <v>100</v>
      </c>
      <c r="O5877" t="s">
        <v>306</v>
      </c>
      <c r="P5877" t="s">
        <v>313</v>
      </c>
      <c r="Q5877" t="s">
        <v>320</v>
      </c>
      <c r="R5877" t="s">
        <v>325</v>
      </c>
      <c r="S5877" t="s">
        <v>332</v>
      </c>
      <c r="T5877" t="s">
        <v>119</v>
      </c>
      <c r="U5877" t="s">
        <v>234</v>
      </c>
      <c r="V5877" t="s">
        <v>343</v>
      </c>
      <c r="W5877" t="s">
        <v>348</v>
      </c>
      <c r="X5877" t="s">
        <v>352</v>
      </c>
      <c r="Y5877" t="s">
        <v>354</v>
      </c>
      <c r="AK5877" t="s">
        <v>363</v>
      </c>
    </row>
    <row r="5878" spans="1:37">
      <c r="A5878" t="s">
        <v>41</v>
      </c>
      <c r="B5878" t="s">
        <v>61</v>
      </c>
      <c r="C5878" t="s">
        <v>83</v>
      </c>
      <c r="D5878" t="s">
        <v>102</v>
      </c>
      <c r="E5878" t="s">
        <v>121</v>
      </c>
      <c r="F5878" t="s">
        <v>155</v>
      </c>
      <c r="G5878" t="s">
        <v>181</v>
      </c>
      <c r="H5878" t="s">
        <v>216</v>
      </c>
      <c r="I5878" t="s">
        <v>236</v>
      </c>
      <c r="AK5878" t="s">
        <v>363</v>
      </c>
    </row>
    <row r="5879" spans="1:37">
      <c r="A5879" t="s">
        <v>42</v>
      </c>
      <c r="B5879" t="s">
        <v>62</v>
      </c>
      <c r="C5879" t="s">
        <v>84</v>
      </c>
      <c r="D5879" t="s">
        <v>103</v>
      </c>
      <c r="E5879" t="s">
        <v>122</v>
      </c>
      <c r="F5879" t="s">
        <v>156</v>
      </c>
      <c r="G5879" t="s">
        <v>182</v>
      </c>
      <c r="H5879" t="s">
        <v>83</v>
      </c>
      <c r="I5879" t="s">
        <v>237</v>
      </c>
      <c r="J5879" t="s">
        <v>254</v>
      </c>
      <c r="K5879" t="s">
        <v>268</v>
      </c>
      <c r="L5879" t="s">
        <v>280</v>
      </c>
      <c r="M5879" t="s">
        <v>289</v>
      </c>
      <c r="N5879" t="s">
        <v>298</v>
      </c>
      <c r="O5879" t="s">
        <v>307</v>
      </c>
      <c r="P5879" t="s">
        <v>314</v>
      </c>
      <c r="Q5879" t="s">
        <v>216</v>
      </c>
      <c r="R5879" t="s">
        <v>326</v>
      </c>
      <c r="S5879" t="s">
        <v>333</v>
      </c>
      <c r="T5879" t="s">
        <v>335</v>
      </c>
      <c r="U5879" t="s">
        <v>340</v>
      </c>
      <c r="V5879" t="s">
        <v>344</v>
      </c>
      <c r="W5879" t="s">
        <v>349</v>
      </c>
      <c r="AK5879" t="s">
        <v>363</v>
      </c>
    </row>
    <row r="5880" spans="1:37">
      <c r="A5880" t="s">
        <v>43</v>
      </c>
      <c r="B5880" t="s">
        <v>63</v>
      </c>
      <c r="C5880" t="s">
        <v>85</v>
      </c>
      <c r="D5880" t="s">
        <v>104</v>
      </c>
      <c r="E5880" t="s">
        <v>123</v>
      </c>
      <c r="F5880" t="s">
        <v>157</v>
      </c>
      <c r="G5880" t="s">
        <v>183</v>
      </c>
      <c r="AK5880" t="s">
        <v>363</v>
      </c>
    </row>
    <row r="5881" spans="1:37">
      <c r="A5881" t="s">
        <v>44</v>
      </c>
      <c r="B5881" t="s">
        <v>64</v>
      </c>
      <c r="C5881" t="s">
        <v>86</v>
      </c>
      <c r="D5881" t="s">
        <v>105</v>
      </c>
      <c r="E5881" t="s">
        <v>124</v>
      </c>
      <c r="F5881" t="s">
        <v>158</v>
      </c>
      <c r="G5881" t="s">
        <v>184</v>
      </c>
      <c r="AK5881" t="s">
        <v>363</v>
      </c>
    </row>
    <row r="5882" spans="1:37">
      <c r="A5882" t="s">
        <v>45</v>
      </c>
      <c r="B5882" t="s">
        <v>65</v>
      </c>
      <c r="C5882" t="s">
        <v>87</v>
      </c>
      <c r="D5882" t="s">
        <v>106</v>
      </c>
      <c r="E5882" t="s">
        <v>125</v>
      </c>
      <c r="F5882" t="s">
        <v>159</v>
      </c>
      <c r="G5882" t="s">
        <v>185</v>
      </c>
      <c r="H5882" t="s">
        <v>159</v>
      </c>
      <c r="I5882" t="s">
        <v>185</v>
      </c>
      <c r="J5882" t="s">
        <v>255</v>
      </c>
      <c r="AK5882" t="s">
        <v>363</v>
      </c>
    </row>
    <row r="5883" spans="1:37">
      <c r="A5883" t="s">
        <v>46</v>
      </c>
      <c r="B5883" t="s">
        <v>66</v>
      </c>
      <c r="C5883" t="s">
        <v>88</v>
      </c>
      <c r="D5883" t="s">
        <v>76</v>
      </c>
      <c r="E5883" t="s">
        <v>126</v>
      </c>
      <c r="F5883" t="s">
        <v>160</v>
      </c>
      <c r="G5883" t="s">
        <v>186</v>
      </c>
      <c r="H5883" t="s">
        <v>217</v>
      </c>
      <c r="I5883" t="s">
        <v>238</v>
      </c>
      <c r="J5883" t="s">
        <v>256</v>
      </c>
      <c r="K5883" t="s">
        <v>265</v>
      </c>
      <c r="L5883" t="s">
        <v>281</v>
      </c>
      <c r="M5883" t="s">
        <v>290</v>
      </c>
      <c r="N5883" t="s">
        <v>299</v>
      </c>
      <c r="O5883" t="s">
        <v>308</v>
      </c>
      <c r="P5883" t="s">
        <v>228</v>
      </c>
      <c r="Q5883" t="s">
        <v>72</v>
      </c>
      <c r="R5883" t="s">
        <v>327</v>
      </c>
      <c r="S5883" t="s">
        <v>327</v>
      </c>
      <c r="T5883" t="s">
        <v>336</v>
      </c>
      <c r="U5883" t="s">
        <v>336</v>
      </c>
      <c r="V5883" t="s">
        <v>336</v>
      </c>
      <c r="W5883" t="s">
        <v>336</v>
      </c>
      <c r="X5883" t="s">
        <v>353</v>
      </c>
      <c r="AK5883" t="s">
        <v>363</v>
      </c>
    </row>
    <row r="5884" spans="1:37">
      <c r="B5884" t="s">
        <v>67</v>
      </c>
      <c r="C5884" t="s">
        <v>89</v>
      </c>
      <c r="D5884" t="s">
        <v>107</v>
      </c>
      <c r="AK5884" t="s">
        <v>363</v>
      </c>
    </row>
    <row r="5885" spans="1:37">
      <c r="B5885" t="s">
        <v>68</v>
      </c>
      <c r="C5885" t="s">
        <v>90</v>
      </c>
      <c r="D5885" t="s">
        <v>108</v>
      </c>
      <c r="AK5885" t="s">
        <v>363</v>
      </c>
    </row>
    <row r="5886" spans="1:37">
      <c r="A5886" t="s">
        <v>47</v>
      </c>
      <c r="B5886" t="s">
        <v>69</v>
      </c>
      <c r="C5886" t="s">
        <v>91</v>
      </c>
      <c r="D5886" t="s">
        <v>109</v>
      </c>
      <c r="E5886" t="s">
        <v>109</v>
      </c>
      <c r="F5886" t="s">
        <v>109</v>
      </c>
      <c r="G5886" t="s">
        <v>109</v>
      </c>
      <c r="H5886" t="s">
        <v>109</v>
      </c>
      <c r="I5886" t="s">
        <v>239</v>
      </c>
      <c r="AK5886" t="s">
        <v>363</v>
      </c>
    </row>
    <row r="5887" spans="1:37">
      <c r="B5887" t="s">
        <v>70</v>
      </c>
      <c r="C5887" t="s">
        <v>92</v>
      </c>
      <c r="D5887" t="s">
        <v>110</v>
      </c>
      <c r="E5887" t="s">
        <v>127</v>
      </c>
      <c r="F5887" t="s">
        <v>161</v>
      </c>
      <c r="G5887" t="s">
        <v>187</v>
      </c>
      <c r="H5887" t="s">
        <v>218</v>
      </c>
      <c r="AK5887" t="s">
        <v>363</v>
      </c>
    </row>
    <row r="5888" spans="1:37">
      <c r="B5888" t="s">
        <v>71</v>
      </c>
      <c r="C5888" t="s">
        <v>93</v>
      </c>
      <c r="D5888" t="s">
        <v>111</v>
      </c>
      <c r="E5888" t="s">
        <v>128</v>
      </c>
      <c r="F5888" t="s">
        <v>162</v>
      </c>
      <c r="G5888" t="s">
        <v>188</v>
      </c>
      <c r="H5888" t="s">
        <v>219</v>
      </c>
      <c r="I5888" t="s">
        <v>240</v>
      </c>
      <c r="J5888" t="s">
        <v>257</v>
      </c>
      <c r="K5888" t="s">
        <v>269</v>
      </c>
      <c r="L5888" t="s">
        <v>109</v>
      </c>
      <c r="M5888" t="s">
        <v>109</v>
      </c>
      <c r="N5888" t="s">
        <v>109</v>
      </c>
      <c r="O5888" t="s">
        <v>109</v>
      </c>
      <c r="P5888" t="s">
        <v>109</v>
      </c>
      <c r="Q5888" t="s">
        <v>321</v>
      </c>
      <c r="AK5888" t="s">
        <v>363</v>
      </c>
    </row>
    <row r="5889" spans="1:37">
      <c r="A5889" t="s">
        <v>48</v>
      </c>
      <c r="B5889" t="s">
        <v>71</v>
      </c>
      <c r="C5889" t="s">
        <v>93</v>
      </c>
      <c r="D5889" t="s">
        <v>111</v>
      </c>
      <c r="E5889" t="s">
        <v>128</v>
      </c>
      <c r="F5889" t="s">
        <v>163</v>
      </c>
      <c r="G5889" t="s">
        <v>189</v>
      </c>
      <c r="H5889" t="s">
        <v>220</v>
      </c>
      <c r="I5889" t="s">
        <v>241</v>
      </c>
      <c r="J5889" t="s">
        <v>258</v>
      </c>
      <c r="K5889" t="s">
        <v>270</v>
      </c>
      <c r="AK5889" t="s">
        <v>363</v>
      </c>
    </row>
    <row r="5890" spans="1:37">
      <c r="B5890" t="s">
        <v>72</v>
      </c>
      <c r="C5890" t="s">
        <v>72</v>
      </c>
      <c r="D5890" t="s">
        <v>72</v>
      </c>
      <c r="E5890" t="s">
        <v>72</v>
      </c>
      <c r="F5890" t="s">
        <v>72</v>
      </c>
      <c r="G5890" t="s">
        <v>72</v>
      </c>
      <c r="H5890" t="s">
        <v>72</v>
      </c>
      <c r="I5890" t="s">
        <v>72</v>
      </c>
      <c r="J5890" t="s">
        <v>72</v>
      </c>
      <c r="K5890" t="s">
        <v>272</v>
      </c>
      <c r="AK5890" t="s">
        <v>363</v>
      </c>
    </row>
    <row r="5891" spans="1:37">
      <c r="A5891" t="s">
        <v>37</v>
      </c>
      <c r="B5891" t="s">
        <v>49</v>
      </c>
      <c r="C5891" t="s">
        <v>73</v>
      </c>
      <c r="D5891" t="s">
        <v>94</v>
      </c>
      <c r="E5891" t="s">
        <v>112</v>
      </c>
      <c r="F5891" t="s">
        <v>146</v>
      </c>
      <c r="G5891" t="s">
        <v>172</v>
      </c>
      <c r="H5891" t="s">
        <v>207</v>
      </c>
      <c r="I5891" t="s">
        <v>226</v>
      </c>
      <c r="J5891" t="s">
        <v>246</v>
      </c>
      <c r="K5891" t="s">
        <v>259</v>
      </c>
      <c r="AK5891" t="s">
        <v>363</v>
      </c>
    </row>
    <row r="5892" spans="1:37">
      <c r="A5892" t="s">
        <v>38</v>
      </c>
      <c r="B5892" t="s">
        <v>50</v>
      </c>
      <c r="C5892" t="s">
        <v>74</v>
      </c>
      <c r="D5892" t="s">
        <v>95</v>
      </c>
      <c r="E5892" t="s">
        <v>113</v>
      </c>
      <c r="F5892" t="s">
        <v>147</v>
      </c>
      <c r="G5892" t="s">
        <v>173</v>
      </c>
      <c r="H5892" t="s">
        <v>208</v>
      </c>
      <c r="I5892" t="s">
        <v>227</v>
      </c>
      <c r="J5892" t="s">
        <v>115</v>
      </c>
      <c r="K5892" t="s">
        <v>260</v>
      </c>
      <c r="L5892" t="s">
        <v>273</v>
      </c>
      <c r="M5892" t="s">
        <v>282</v>
      </c>
      <c r="N5892" t="s">
        <v>291</v>
      </c>
      <c r="AK5892" t="s">
        <v>363</v>
      </c>
    </row>
    <row r="5893" spans="1:37">
      <c r="B5893" t="s">
        <v>51</v>
      </c>
      <c r="C5893" t="s">
        <v>75</v>
      </c>
      <c r="D5893" t="s">
        <v>52</v>
      </c>
      <c r="E5893" t="s">
        <v>114</v>
      </c>
      <c r="F5893" t="s">
        <v>148</v>
      </c>
      <c r="G5893" t="s">
        <v>148</v>
      </c>
      <c r="H5893" t="s">
        <v>209</v>
      </c>
      <c r="I5893" t="s">
        <v>228</v>
      </c>
      <c r="J5893" t="s">
        <v>247</v>
      </c>
      <c r="K5893" t="s">
        <v>261</v>
      </c>
      <c r="L5893" t="s">
        <v>274</v>
      </c>
      <c r="M5893" t="s">
        <v>283</v>
      </c>
      <c r="N5893" t="s">
        <v>292</v>
      </c>
      <c r="O5893" t="s">
        <v>300</v>
      </c>
      <c r="AK5893" t="s">
        <v>363</v>
      </c>
    </row>
    <row r="5894" spans="1:37">
      <c r="B5894" t="s">
        <v>52</v>
      </c>
      <c r="C5894" t="s">
        <v>76</v>
      </c>
      <c r="D5894" t="s">
        <v>96</v>
      </c>
      <c r="E5894" t="s">
        <v>115</v>
      </c>
      <c r="F5894" t="s">
        <v>149</v>
      </c>
      <c r="G5894" t="s">
        <v>174</v>
      </c>
      <c r="H5894" t="s">
        <v>96</v>
      </c>
      <c r="I5894" t="s">
        <v>229</v>
      </c>
      <c r="J5894" t="s">
        <v>248</v>
      </c>
      <c r="K5894" t="s">
        <v>262</v>
      </c>
      <c r="L5894" t="s">
        <v>52</v>
      </c>
      <c r="M5894" t="s">
        <v>76</v>
      </c>
      <c r="N5894" t="s">
        <v>293</v>
      </c>
      <c r="O5894" t="s">
        <v>301</v>
      </c>
      <c r="P5894" t="s">
        <v>309</v>
      </c>
      <c r="Q5894" t="s">
        <v>315</v>
      </c>
      <c r="R5894" t="s">
        <v>228</v>
      </c>
      <c r="S5894" t="s">
        <v>328</v>
      </c>
      <c r="T5894" t="s">
        <v>149</v>
      </c>
      <c r="U5894" t="s">
        <v>337</v>
      </c>
      <c r="V5894" t="s">
        <v>341</v>
      </c>
      <c r="W5894" t="s">
        <v>345</v>
      </c>
      <c r="X5894" t="s">
        <v>350</v>
      </c>
      <c r="AK5894" t="s">
        <v>363</v>
      </c>
    </row>
    <row r="5895" spans="1:37">
      <c r="B5895" t="s">
        <v>53</v>
      </c>
      <c r="C5895" t="s">
        <v>77</v>
      </c>
      <c r="D5895" t="s">
        <v>97</v>
      </c>
      <c r="E5895" t="s">
        <v>116</v>
      </c>
      <c r="F5895" t="s">
        <v>150</v>
      </c>
      <c r="G5895" t="s">
        <v>175</v>
      </c>
      <c r="H5895" t="s">
        <v>210</v>
      </c>
      <c r="I5895" t="s">
        <v>230</v>
      </c>
      <c r="J5895" t="s">
        <v>249</v>
      </c>
      <c r="K5895" t="s">
        <v>263</v>
      </c>
      <c r="L5895" t="s">
        <v>275</v>
      </c>
      <c r="M5895" t="s">
        <v>284</v>
      </c>
      <c r="N5895" t="s">
        <v>294</v>
      </c>
      <c r="O5895" t="s">
        <v>302</v>
      </c>
      <c r="P5895" t="s">
        <v>310</v>
      </c>
      <c r="Q5895" t="s">
        <v>316</v>
      </c>
      <c r="R5895" t="s">
        <v>322</v>
      </c>
      <c r="S5895" t="s">
        <v>329</v>
      </c>
      <c r="AK5895" t="s">
        <v>363</v>
      </c>
    </row>
    <row r="5896" spans="1:37">
      <c r="A5896" t="s">
        <v>39</v>
      </c>
      <c r="B5896" t="s">
        <v>54</v>
      </c>
      <c r="C5896" t="s">
        <v>54</v>
      </c>
      <c r="D5896" t="s">
        <v>54</v>
      </c>
      <c r="E5896" t="s">
        <v>54</v>
      </c>
      <c r="F5896" t="s">
        <v>54</v>
      </c>
      <c r="G5896" t="s">
        <v>54</v>
      </c>
      <c r="H5896" t="s">
        <v>54</v>
      </c>
      <c r="I5896" t="s">
        <v>54</v>
      </c>
      <c r="J5896" t="s">
        <v>54</v>
      </c>
      <c r="K5896" t="s">
        <v>54</v>
      </c>
      <c r="L5896" t="s">
        <v>54</v>
      </c>
      <c r="M5896" t="s">
        <v>54</v>
      </c>
      <c r="N5896" t="s">
        <v>54</v>
      </c>
      <c r="O5896" t="s">
        <v>54</v>
      </c>
      <c r="P5896" t="s">
        <v>54</v>
      </c>
      <c r="Q5896" t="s">
        <v>54</v>
      </c>
      <c r="R5896" t="s">
        <v>323</v>
      </c>
      <c r="S5896" t="s">
        <v>330</v>
      </c>
      <c r="AK5896" t="s">
        <v>363</v>
      </c>
    </row>
    <row r="5897" spans="1:37">
      <c r="B5897" t="s">
        <v>55</v>
      </c>
      <c r="C5897" t="s">
        <v>78</v>
      </c>
      <c r="D5897" t="s">
        <v>55</v>
      </c>
      <c r="E5897" t="s">
        <v>78</v>
      </c>
      <c r="F5897" t="s">
        <v>55</v>
      </c>
      <c r="G5897" t="s">
        <v>78</v>
      </c>
      <c r="H5897" t="s">
        <v>55</v>
      </c>
      <c r="I5897" t="s">
        <v>78</v>
      </c>
      <c r="J5897" t="s">
        <v>55</v>
      </c>
      <c r="K5897" t="s">
        <v>78</v>
      </c>
      <c r="L5897" t="s">
        <v>55</v>
      </c>
      <c r="M5897" t="s">
        <v>78</v>
      </c>
      <c r="N5897" t="s">
        <v>55</v>
      </c>
      <c r="O5897" t="s">
        <v>78</v>
      </c>
      <c r="P5897" t="s">
        <v>55</v>
      </c>
      <c r="Q5897" t="s">
        <v>78</v>
      </c>
      <c r="R5897" t="s">
        <v>55</v>
      </c>
      <c r="S5897" t="s">
        <v>78</v>
      </c>
      <c r="T5897" t="s">
        <v>55</v>
      </c>
      <c r="U5897" t="s">
        <v>78</v>
      </c>
      <c r="V5897" t="s">
        <v>55</v>
      </c>
      <c r="W5897" t="s">
        <v>78</v>
      </c>
      <c r="X5897" t="s">
        <v>55</v>
      </c>
      <c r="Y5897" t="s">
        <v>78</v>
      </c>
      <c r="Z5897" t="s">
        <v>55</v>
      </c>
      <c r="AA5897" t="s">
        <v>78</v>
      </c>
      <c r="AB5897" t="s">
        <v>55</v>
      </c>
      <c r="AC5897" t="s">
        <v>78</v>
      </c>
      <c r="AD5897" t="s">
        <v>55</v>
      </c>
      <c r="AE5897" t="s">
        <v>78</v>
      </c>
      <c r="AF5897" t="s">
        <v>55</v>
      </c>
      <c r="AG5897" t="s">
        <v>78</v>
      </c>
      <c r="AH5897" t="s">
        <v>55</v>
      </c>
      <c r="AI5897" t="s">
        <v>78</v>
      </c>
      <c r="AK5897" t="s">
        <v>363</v>
      </c>
    </row>
    <row r="5898" spans="1:37">
      <c r="B5898" t="s">
        <v>56</v>
      </c>
      <c r="C5898" t="s">
        <v>56</v>
      </c>
      <c r="D5898" t="s">
        <v>56</v>
      </c>
      <c r="E5898" t="s">
        <v>56</v>
      </c>
      <c r="F5898" t="s">
        <v>56</v>
      </c>
      <c r="G5898" t="s">
        <v>176</v>
      </c>
      <c r="H5898" t="s">
        <v>211</v>
      </c>
      <c r="I5898" t="s">
        <v>231</v>
      </c>
      <c r="J5898" t="s">
        <v>250</v>
      </c>
      <c r="K5898" t="s">
        <v>264</v>
      </c>
      <c r="L5898" t="s">
        <v>276</v>
      </c>
      <c r="M5898" t="s">
        <v>285</v>
      </c>
      <c r="N5898" t="s">
        <v>295</v>
      </c>
      <c r="O5898" t="s">
        <v>303</v>
      </c>
      <c r="P5898" t="s">
        <v>56</v>
      </c>
      <c r="Q5898" t="s">
        <v>317</v>
      </c>
      <c r="R5898" t="s">
        <v>324</v>
      </c>
      <c r="S5898" t="s">
        <v>331</v>
      </c>
      <c r="T5898" t="s">
        <v>334</v>
      </c>
      <c r="U5898" t="s">
        <v>338</v>
      </c>
      <c r="V5898" t="s">
        <v>342</v>
      </c>
      <c r="W5898" t="s">
        <v>346</v>
      </c>
      <c r="X5898" t="s">
        <v>351</v>
      </c>
      <c r="AK5898" t="s">
        <v>363</v>
      </c>
    </row>
    <row r="5899" spans="1:37">
      <c r="B5899" t="s">
        <v>57</v>
      </c>
      <c r="C5899" t="s">
        <v>79</v>
      </c>
      <c r="D5899" t="s">
        <v>98</v>
      </c>
      <c r="E5899" t="s">
        <v>117</v>
      </c>
      <c r="F5899" t="s">
        <v>151</v>
      </c>
      <c r="G5899" t="s">
        <v>177</v>
      </c>
      <c r="H5899" t="s">
        <v>212</v>
      </c>
      <c r="I5899" t="s">
        <v>232</v>
      </c>
      <c r="J5899" t="s">
        <v>251</v>
      </c>
      <c r="K5899" t="s">
        <v>265</v>
      </c>
      <c r="L5899" t="s">
        <v>277</v>
      </c>
      <c r="M5899" t="s">
        <v>286</v>
      </c>
      <c r="N5899" t="s">
        <v>296</v>
      </c>
      <c r="O5899" t="s">
        <v>304</v>
      </c>
      <c r="P5899" t="s">
        <v>311</v>
      </c>
      <c r="Q5899" t="s">
        <v>318</v>
      </c>
      <c r="R5899" t="s">
        <v>185</v>
      </c>
      <c r="S5899" t="s">
        <v>159</v>
      </c>
      <c r="T5899" t="s">
        <v>185</v>
      </c>
      <c r="U5899" t="s">
        <v>339</v>
      </c>
      <c r="V5899" t="s">
        <v>72</v>
      </c>
      <c r="W5899" t="s">
        <v>347</v>
      </c>
      <c r="X5899" t="s">
        <v>72</v>
      </c>
      <c r="Y5899" t="s">
        <v>96</v>
      </c>
      <c r="AK5899" t="s">
        <v>363</v>
      </c>
    </row>
    <row r="5900" spans="1:37">
      <c r="B5900" t="s">
        <v>58</v>
      </c>
      <c r="C5900" t="s">
        <v>80</v>
      </c>
      <c r="D5900" t="s">
        <v>99</v>
      </c>
      <c r="E5900" t="s">
        <v>118</v>
      </c>
      <c r="F5900" t="s">
        <v>152</v>
      </c>
      <c r="G5900" t="s">
        <v>178</v>
      </c>
      <c r="H5900" t="s">
        <v>213</v>
      </c>
      <c r="I5900" t="s">
        <v>233</v>
      </c>
      <c r="J5900" t="s">
        <v>252</v>
      </c>
      <c r="K5900" t="s">
        <v>266</v>
      </c>
      <c r="L5900" t="s">
        <v>278</v>
      </c>
      <c r="M5900" t="s">
        <v>287</v>
      </c>
      <c r="N5900" t="s">
        <v>297</v>
      </c>
      <c r="O5900" t="s">
        <v>305</v>
      </c>
      <c r="P5900" t="s">
        <v>312</v>
      </c>
      <c r="Q5900" t="s">
        <v>319</v>
      </c>
      <c r="R5900">
        <f>&gt;10       ветра      2.5     17  28</f>
        <v>0</v>
      </c>
      <c r="AK5900" t="s">
        <v>363</v>
      </c>
    </row>
    <row r="5901" spans="1:37">
      <c r="A5901" t="s">
        <v>40</v>
      </c>
      <c r="B5901" t="s">
        <v>59</v>
      </c>
      <c r="C5901" t="s">
        <v>81</v>
      </c>
      <c r="D5901" t="s">
        <v>100</v>
      </c>
      <c r="E5901" t="s">
        <v>119</v>
      </c>
      <c r="F5901" t="s">
        <v>153</v>
      </c>
      <c r="G5901" t="s">
        <v>179</v>
      </c>
      <c r="H5901" t="s">
        <v>214</v>
      </c>
      <c r="I5901" t="s">
        <v>234</v>
      </c>
      <c r="AK5901" t="s">
        <v>363</v>
      </c>
    </row>
    <row r="5902" spans="1:37">
      <c r="A5902" t="s">
        <v>40</v>
      </c>
      <c r="B5902" t="s">
        <v>60</v>
      </c>
      <c r="C5902" t="s">
        <v>82</v>
      </c>
      <c r="D5902" t="s">
        <v>101</v>
      </c>
      <c r="E5902" t="s">
        <v>120</v>
      </c>
      <c r="F5902" t="s">
        <v>154</v>
      </c>
      <c r="G5902" t="s">
        <v>180</v>
      </c>
      <c r="H5902" t="s">
        <v>215</v>
      </c>
      <c r="I5902" t="s">
        <v>235</v>
      </c>
      <c r="J5902" t="s">
        <v>253</v>
      </c>
      <c r="K5902" t="s">
        <v>267</v>
      </c>
      <c r="L5902" t="s">
        <v>279</v>
      </c>
      <c r="M5902" t="s">
        <v>288</v>
      </c>
      <c r="N5902" t="s">
        <v>100</v>
      </c>
      <c r="O5902" t="s">
        <v>306</v>
      </c>
      <c r="P5902" t="s">
        <v>313</v>
      </c>
      <c r="Q5902" t="s">
        <v>320</v>
      </c>
      <c r="R5902" t="s">
        <v>325</v>
      </c>
      <c r="S5902" t="s">
        <v>332</v>
      </c>
      <c r="T5902" t="s">
        <v>119</v>
      </c>
      <c r="U5902" t="s">
        <v>234</v>
      </c>
      <c r="V5902" t="s">
        <v>343</v>
      </c>
      <c r="W5902" t="s">
        <v>348</v>
      </c>
      <c r="X5902" t="s">
        <v>352</v>
      </c>
      <c r="Y5902" t="s">
        <v>354</v>
      </c>
      <c r="AK5902" t="s">
        <v>363</v>
      </c>
    </row>
    <row r="5903" spans="1:37">
      <c r="A5903" t="s">
        <v>41</v>
      </c>
      <c r="B5903" t="s">
        <v>61</v>
      </c>
      <c r="C5903" t="s">
        <v>83</v>
      </c>
      <c r="D5903" t="s">
        <v>102</v>
      </c>
      <c r="E5903" t="s">
        <v>121</v>
      </c>
      <c r="F5903" t="s">
        <v>155</v>
      </c>
      <c r="G5903" t="s">
        <v>181</v>
      </c>
      <c r="H5903" t="s">
        <v>216</v>
      </c>
      <c r="I5903" t="s">
        <v>236</v>
      </c>
      <c r="AK5903" t="s">
        <v>363</v>
      </c>
    </row>
    <row r="5904" spans="1:37">
      <c r="A5904" t="s">
        <v>42</v>
      </c>
      <c r="B5904" t="s">
        <v>62</v>
      </c>
      <c r="C5904" t="s">
        <v>84</v>
      </c>
      <c r="D5904" t="s">
        <v>103</v>
      </c>
      <c r="E5904" t="s">
        <v>122</v>
      </c>
      <c r="F5904" t="s">
        <v>156</v>
      </c>
      <c r="G5904" t="s">
        <v>182</v>
      </c>
      <c r="H5904" t="s">
        <v>83</v>
      </c>
      <c r="I5904" t="s">
        <v>237</v>
      </c>
      <c r="J5904" t="s">
        <v>254</v>
      </c>
      <c r="K5904" t="s">
        <v>268</v>
      </c>
      <c r="L5904" t="s">
        <v>280</v>
      </c>
      <c r="M5904" t="s">
        <v>289</v>
      </c>
      <c r="N5904" t="s">
        <v>298</v>
      </c>
      <c r="O5904" t="s">
        <v>307</v>
      </c>
      <c r="P5904" t="s">
        <v>314</v>
      </c>
      <c r="Q5904" t="s">
        <v>216</v>
      </c>
      <c r="R5904" t="s">
        <v>326</v>
      </c>
      <c r="S5904" t="s">
        <v>333</v>
      </c>
      <c r="T5904" t="s">
        <v>335</v>
      </c>
      <c r="U5904" t="s">
        <v>340</v>
      </c>
      <c r="V5904" t="s">
        <v>344</v>
      </c>
      <c r="W5904" t="s">
        <v>349</v>
      </c>
      <c r="AK5904" t="s">
        <v>363</v>
      </c>
    </row>
    <row r="5905" spans="1:37">
      <c r="A5905" t="s">
        <v>43</v>
      </c>
      <c r="B5905" t="s">
        <v>63</v>
      </c>
      <c r="C5905" t="s">
        <v>85</v>
      </c>
      <c r="D5905" t="s">
        <v>104</v>
      </c>
      <c r="E5905" t="s">
        <v>123</v>
      </c>
      <c r="F5905" t="s">
        <v>157</v>
      </c>
      <c r="G5905" t="s">
        <v>183</v>
      </c>
      <c r="AK5905" t="s">
        <v>363</v>
      </c>
    </row>
    <row r="5906" spans="1:37">
      <c r="A5906" t="s">
        <v>44</v>
      </c>
      <c r="B5906" t="s">
        <v>64</v>
      </c>
      <c r="C5906" t="s">
        <v>86</v>
      </c>
      <c r="D5906" t="s">
        <v>105</v>
      </c>
      <c r="E5906" t="s">
        <v>124</v>
      </c>
      <c r="F5906" t="s">
        <v>158</v>
      </c>
      <c r="G5906" t="s">
        <v>184</v>
      </c>
      <c r="AK5906" t="s">
        <v>363</v>
      </c>
    </row>
    <row r="5907" spans="1:37">
      <c r="A5907" t="s">
        <v>45</v>
      </c>
      <c r="B5907" t="s">
        <v>65</v>
      </c>
      <c r="C5907" t="s">
        <v>87</v>
      </c>
      <c r="D5907" t="s">
        <v>106</v>
      </c>
      <c r="E5907" t="s">
        <v>125</v>
      </c>
      <c r="F5907" t="s">
        <v>159</v>
      </c>
      <c r="G5907" t="s">
        <v>185</v>
      </c>
      <c r="H5907" t="s">
        <v>159</v>
      </c>
      <c r="I5907" t="s">
        <v>185</v>
      </c>
      <c r="J5907" t="s">
        <v>255</v>
      </c>
      <c r="AK5907" t="s">
        <v>363</v>
      </c>
    </row>
    <row r="5908" spans="1:37">
      <c r="A5908" t="s">
        <v>46</v>
      </c>
      <c r="B5908" t="s">
        <v>66</v>
      </c>
      <c r="C5908" t="s">
        <v>88</v>
      </c>
      <c r="D5908" t="s">
        <v>76</v>
      </c>
      <c r="E5908" t="s">
        <v>126</v>
      </c>
      <c r="F5908" t="s">
        <v>160</v>
      </c>
      <c r="G5908" t="s">
        <v>186</v>
      </c>
      <c r="H5908" t="s">
        <v>217</v>
      </c>
      <c r="I5908" t="s">
        <v>238</v>
      </c>
      <c r="J5908" t="s">
        <v>256</v>
      </c>
      <c r="K5908" t="s">
        <v>265</v>
      </c>
      <c r="L5908" t="s">
        <v>281</v>
      </c>
      <c r="M5908" t="s">
        <v>290</v>
      </c>
      <c r="N5908" t="s">
        <v>299</v>
      </c>
      <c r="O5908" t="s">
        <v>308</v>
      </c>
      <c r="P5908" t="s">
        <v>228</v>
      </c>
      <c r="Q5908" t="s">
        <v>72</v>
      </c>
      <c r="R5908" t="s">
        <v>327</v>
      </c>
      <c r="S5908" t="s">
        <v>327</v>
      </c>
      <c r="T5908" t="s">
        <v>336</v>
      </c>
      <c r="U5908" t="s">
        <v>336</v>
      </c>
      <c r="V5908" t="s">
        <v>336</v>
      </c>
      <c r="W5908" t="s">
        <v>336</v>
      </c>
      <c r="X5908" t="s">
        <v>353</v>
      </c>
      <c r="AK5908" t="s">
        <v>363</v>
      </c>
    </row>
    <row r="5909" spans="1:37">
      <c r="B5909" t="s">
        <v>67</v>
      </c>
      <c r="C5909" t="s">
        <v>89</v>
      </c>
      <c r="D5909" t="s">
        <v>107</v>
      </c>
      <c r="AK5909" t="s">
        <v>363</v>
      </c>
    </row>
    <row r="5910" spans="1:37">
      <c r="B5910" t="s">
        <v>68</v>
      </c>
      <c r="C5910" t="s">
        <v>90</v>
      </c>
      <c r="D5910" t="s">
        <v>108</v>
      </c>
      <c r="AK5910" t="s">
        <v>363</v>
      </c>
    </row>
    <row r="5911" spans="1:37">
      <c r="A5911" t="s">
        <v>47</v>
      </c>
      <c r="B5911" t="s">
        <v>69</v>
      </c>
      <c r="C5911" t="s">
        <v>91</v>
      </c>
      <c r="D5911" t="s">
        <v>109</v>
      </c>
      <c r="E5911" t="s">
        <v>109</v>
      </c>
      <c r="F5911" t="s">
        <v>109</v>
      </c>
      <c r="G5911" t="s">
        <v>109</v>
      </c>
      <c r="H5911" t="s">
        <v>109</v>
      </c>
      <c r="I5911" t="s">
        <v>239</v>
      </c>
      <c r="AK5911" t="s">
        <v>363</v>
      </c>
    </row>
    <row r="5912" spans="1:37">
      <c r="B5912" t="s">
        <v>70</v>
      </c>
      <c r="C5912" t="s">
        <v>92</v>
      </c>
      <c r="D5912" t="s">
        <v>110</v>
      </c>
      <c r="E5912" t="s">
        <v>127</v>
      </c>
      <c r="F5912" t="s">
        <v>161</v>
      </c>
      <c r="G5912" t="s">
        <v>187</v>
      </c>
      <c r="H5912" t="s">
        <v>218</v>
      </c>
      <c r="AK5912" t="s">
        <v>363</v>
      </c>
    </row>
    <row r="5913" spans="1:37">
      <c r="B5913" t="s">
        <v>71</v>
      </c>
      <c r="C5913" t="s">
        <v>93</v>
      </c>
      <c r="D5913" t="s">
        <v>111</v>
      </c>
      <c r="E5913" t="s">
        <v>128</v>
      </c>
      <c r="F5913" t="s">
        <v>162</v>
      </c>
      <c r="G5913" t="s">
        <v>188</v>
      </c>
      <c r="H5913" t="s">
        <v>219</v>
      </c>
      <c r="I5913" t="s">
        <v>240</v>
      </c>
      <c r="J5913" t="s">
        <v>257</v>
      </c>
      <c r="K5913" t="s">
        <v>269</v>
      </c>
      <c r="L5913" t="s">
        <v>109</v>
      </c>
      <c r="M5913" t="s">
        <v>109</v>
      </c>
      <c r="N5913" t="s">
        <v>109</v>
      </c>
      <c r="O5913" t="s">
        <v>109</v>
      </c>
      <c r="P5913" t="s">
        <v>109</v>
      </c>
      <c r="Q5913" t="s">
        <v>321</v>
      </c>
      <c r="AK5913" t="s">
        <v>363</v>
      </c>
    </row>
    <row r="5914" spans="1:37">
      <c r="A5914" t="s">
        <v>48</v>
      </c>
      <c r="B5914" t="s">
        <v>71</v>
      </c>
      <c r="C5914" t="s">
        <v>93</v>
      </c>
      <c r="D5914" t="s">
        <v>111</v>
      </c>
      <c r="E5914" t="s">
        <v>128</v>
      </c>
      <c r="F5914" t="s">
        <v>163</v>
      </c>
      <c r="G5914" t="s">
        <v>189</v>
      </c>
      <c r="H5914" t="s">
        <v>220</v>
      </c>
      <c r="I5914" t="s">
        <v>241</v>
      </c>
      <c r="J5914" t="s">
        <v>258</v>
      </c>
      <c r="K5914" t="s">
        <v>270</v>
      </c>
      <c r="AK5914" t="s">
        <v>363</v>
      </c>
    </row>
    <row r="5915" spans="1:37">
      <c r="B5915" t="s">
        <v>72</v>
      </c>
      <c r="C5915" t="s">
        <v>72</v>
      </c>
      <c r="D5915" t="s">
        <v>72</v>
      </c>
      <c r="E5915" t="s">
        <v>72</v>
      </c>
      <c r="F5915" t="s">
        <v>72</v>
      </c>
      <c r="G5915" t="s">
        <v>72</v>
      </c>
      <c r="H5915" t="s">
        <v>72</v>
      </c>
      <c r="I5915" t="s">
        <v>72</v>
      </c>
      <c r="J5915" t="s">
        <v>72</v>
      </c>
      <c r="K5915" t="s">
        <v>272</v>
      </c>
      <c r="AK5915" t="s">
        <v>363</v>
      </c>
    </row>
    <row r="5916" spans="1:37">
      <c r="A5916" t="s">
        <v>37</v>
      </c>
      <c r="B5916" t="s">
        <v>49</v>
      </c>
      <c r="C5916" t="s">
        <v>73</v>
      </c>
      <c r="D5916" t="s">
        <v>94</v>
      </c>
      <c r="E5916" t="s">
        <v>112</v>
      </c>
      <c r="F5916" t="s">
        <v>146</v>
      </c>
      <c r="G5916" t="s">
        <v>172</v>
      </c>
      <c r="H5916" t="s">
        <v>207</v>
      </c>
      <c r="I5916" t="s">
        <v>226</v>
      </c>
      <c r="J5916" t="s">
        <v>246</v>
      </c>
      <c r="K5916" t="s">
        <v>259</v>
      </c>
      <c r="AK5916" t="s">
        <v>363</v>
      </c>
    </row>
    <row r="5917" spans="1:37">
      <c r="A5917" t="s">
        <v>38</v>
      </c>
      <c r="B5917" t="s">
        <v>50</v>
      </c>
      <c r="C5917" t="s">
        <v>74</v>
      </c>
      <c r="D5917" t="s">
        <v>95</v>
      </c>
      <c r="E5917" t="s">
        <v>113</v>
      </c>
      <c r="F5917" t="s">
        <v>147</v>
      </c>
      <c r="G5917" t="s">
        <v>173</v>
      </c>
      <c r="H5917" t="s">
        <v>208</v>
      </c>
      <c r="I5917" t="s">
        <v>227</v>
      </c>
      <c r="J5917" t="s">
        <v>115</v>
      </c>
      <c r="K5917" t="s">
        <v>260</v>
      </c>
      <c r="L5917" t="s">
        <v>273</v>
      </c>
      <c r="M5917" t="s">
        <v>282</v>
      </c>
      <c r="N5917" t="s">
        <v>291</v>
      </c>
      <c r="AK5917" t="s">
        <v>363</v>
      </c>
    </row>
    <row r="5918" spans="1:37">
      <c r="B5918" t="s">
        <v>51</v>
      </c>
      <c r="C5918" t="s">
        <v>75</v>
      </c>
      <c r="D5918" t="s">
        <v>52</v>
      </c>
      <c r="E5918" t="s">
        <v>114</v>
      </c>
      <c r="F5918" t="s">
        <v>148</v>
      </c>
      <c r="G5918" t="s">
        <v>148</v>
      </c>
      <c r="H5918" t="s">
        <v>209</v>
      </c>
      <c r="I5918" t="s">
        <v>228</v>
      </c>
      <c r="J5918" t="s">
        <v>247</v>
      </c>
      <c r="K5918" t="s">
        <v>261</v>
      </c>
      <c r="L5918" t="s">
        <v>274</v>
      </c>
      <c r="M5918" t="s">
        <v>283</v>
      </c>
      <c r="N5918" t="s">
        <v>292</v>
      </c>
      <c r="O5918" t="s">
        <v>300</v>
      </c>
      <c r="AK5918" t="s">
        <v>363</v>
      </c>
    </row>
    <row r="5919" spans="1:37">
      <c r="B5919" t="s">
        <v>52</v>
      </c>
      <c r="C5919" t="s">
        <v>76</v>
      </c>
      <c r="D5919" t="s">
        <v>96</v>
      </c>
      <c r="E5919" t="s">
        <v>115</v>
      </c>
      <c r="F5919" t="s">
        <v>149</v>
      </c>
      <c r="G5919" t="s">
        <v>174</v>
      </c>
      <c r="H5919" t="s">
        <v>96</v>
      </c>
      <c r="I5919" t="s">
        <v>229</v>
      </c>
      <c r="J5919" t="s">
        <v>248</v>
      </c>
      <c r="K5919" t="s">
        <v>262</v>
      </c>
      <c r="L5919" t="s">
        <v>52</v>
      </c>
      <c r="M5919" t="s">
        <v>76</v>
      </c>
      <c r="N5919" t="s">
        <v>293</v>
      </c>
      <c r="O5919" t="s">
        <v>301</v>
      </c>
      <c r="P5919" t="s">
        <v>309</v>
      </c>
      <c r="Q5919" t="s">
        <v>315</v>
      </c>
      <c r="R5919" t="s">
        <v>228</v>
      </c>
      <c r="S5919" t="s">
        <v>328</v>
      </c>
      <c r="T5919" t="s">
        <v>149</v>
      </c>
      <c r="U5919" t="s">
        <v>337</v>
      </c>
      <c r="V5919" t="s">
        <v>341</v>
      </c>
      <c r="W5919" t="s">
        <v>345</v>
      </c>
      <c r="X5919" t="s">
        <v>350</v>
      </c>
      <c r="AK5919" t="s">
        <v>363</v>
      </c>
    </row>
    <row r="5920" spans="1:37">
      <c r="B5920" t="s">
        <v>53</v>
      </c>
      <c r="C5920" t="s">
        <v>77</v>
      </c>
      <c r="D5920" t="s">
        <v>97</v>
      </c>
      <c r="E5920" t="s">
        <v>116</v>
      </c>
      <c r="F5920" t="s">
        <v>150</v>
      </c>
      <c r="G5920" t="s">
        <v>175</v>
      </c>
      <c r="H5920" t="s">
        <v>210</v>
      </c>
      <c r="I5920" t="s">
        <v>230</v>
      </c>
      <c r="J5920" t="s">
        <v>249</v>
      </c>
      <c r="K5920" t="s">
        <v>263</v>
      </c>
      <c r="L5920" t="s">
        <v>275</v>
      </c>
      <c r="M5920" t="s">
        <v>284</v>
      </c>
      <c r="N5920" t="s">
        <v>294</v>
      </c>
      <c r="O5920" t="s">
        <v>302</v>
      </c>
      <c r="P5920" t="s">
        <v>310</v>
      </c>
      <c r="Q5920" t="s">
        <v>316</v>
      </c>
      <c r="R5920" t="s">
        <v>322</v>
      </c>
      <c r="S5920" t="s">
        <v>329</v>
      </c>
      <c r="AK5920" t="s">
        <v>363</v>
      </c>
    </row>
    <row r="5921" spans="1:37">
      <c r="A5921" t="s">
        <v>39</v>
      </c>
      <c r="B5921" t="s">
        <v>54</v>
      </c>
      <c r="C5921" t="s">
        <v>54</v>
      </c>
      <c r="D5921" t="s">
        <v>54</v>
      </c>
      <c r="E5921" t="s">
        <v>54</v>
      </c>
      <c r="F5921" t="s">
        <v>54</v>
      </c>
      <c r="G5921" t="s">
        <v>54</v>
      </c>
      <c r="H5921" t="s">
        <v>54</v>
      </c>
      <c r="I5921" t="s">
        <v>54</v>
      </c>
      <c r="J5921" t="s">
        <v>54</v>
      </c>
      <c r="K5921" t="s">
        <v>54</v>
      </c>
      <c r="L5921" t="s">
        <v>54</v>
      </c>
      <c r="M5921" t="s">
        <v>54</v>
      </c>
      <c r="N5921" t="s">
        <v>54</v>
      </c>
      <c r="O5921" t="s">
        <v>54</v>
      </c>
      <c r="P5921" t="s">
        <v>54</v>
      </c>
      <c r="Q5921" t="s">
        <v>54</v>
      </c>
      <c r="R5921" t="s">
        <v>323</v>
      </c>
      <c r="S5921" t="s">
        <v>330</v>
      </c>
      <c r="AK5921" t="s">
        <v>363</v>
      </c>
    </row>
    <row r="5922" spans="1:37">
      <c r="B5922" t="s">
        <v>55</v>
      </c>
      <c r="C5922" t="s">
        <v>78</v>
      </c>
      <c r="D5922" t="s">
        <v>55</v>
      </c>
      <c r="E5922" t="s">
        <v>78</v>
      </c>
      <c r="F5922" t="s">
        <v>55</v>
      </c>
      <c r="G5922" t="s">
        <v>78</v>
      </c>
      <c r="H5922" t="s">
        <v>55</v>
      </c>
      <c r="I5922" t="s">
        <v>78</v>
      </c>
      <c r="J5922" t="s">
        <v>55</v>
      </c>
      <c r="K5922" t="s">
        <v>78</v>
      </c>
      <c r="L5922" t="s">
        <v>55</v>
      </c>
      <c r="M5922" t="s">
        <v>78</v>
      </c>
      <c r="N5922" t="s">
        <v>55</v>
      </c>
      <c r="O5922" t="s">
        <v>78</v>
      </c>
      <c r="P5922" t="s">
        <v>55</v>
      </c>
      <c r="Q5922" t="s">
        <v>78</v>
      </c>
      <c r="R5922" t="s">
        <v>55</v>
      </c>
      <c r="S5922" t="s">
        <v>78</v>
      </c>
      <c r="T5922" t="s">
        <v>55</v>
      </c>
      <c r="U5922" t="s">
        <v>78</v>
      </c>
      <c r="V5922" t="s">
        <v>55</v>
      </c>
      <c r="W5922" t="s">
        <v>78</v>
      </c>
      <c r="X5922" t="s">
        <v>55</v>
      </c>
      <c r="Y5922" t="s">
        <v>78</v>
      </c>
      <c r="Z5922" t="s">
        <v>55</v>
      </c>
      <c r="AA5922" t="s">
        <v>78</v>
      </c>
      <c r="AB5922" t="s">
        <v>55</v>
      </c>
      <c r="AC5922" t="s">
        <v>78</v>
      </c>
      <c r="AD5922" t="s">
        <v>55</v>
      </c>
      <c r="AE5922" t="s">
        <v>78</v>
      </c>
      <c r="AF5922" t="s">
        <v>55</v>
      </c>
      <c r="AG5922" t="s">
        <v>78</v>
      </c>
      <c r="AH5922" t="s">
        <v>55</v>
      </c>
      <c r="AI5922" t="s">
        <v>78</v>
      </c>
      <c r="AK5922" t="s">
        <v>363</v>
      </c>
    </row>
    <row r="5923" spans="1:37">
      <c r="B5923" t="s">
        <v>56</v>
      </c>
      <c r="C5923" t="s">
        <v>56</v>
      </c>
      <c r="D5923" t="s">
        <v>56</v>
      </c>
      <c r="E5923" t="s">
        <v>56</v>
      </c>
      <c r="F5923" t="s">
        <v>56</v>
      </c>
      <c r="G5923" t="s">
        <v>176</v>
      </c>
      <c r="H5923" t="s">
        <v>211</v>
      </c>
      <c r="I5923" t="s">
        <v>231</v>
      </c>
      <c r="J5923" t="s">
        <v>250</v>
      </c>
      <c r="K5923" t="s">
        <v>264</v>
      </c>
      <c r="L5923" t="s">
        <v>276</v>
      </c>
      <c r="M5923" t="s">
        <v>285</v>
      </c>
      <c r="N5923" t="s">
        <v>295</v>
      </c>
      <c r="O5923" t="s">
        <v>303</v>
      </c>
      <c r="P5923" t="s">
        <v>56</v>
      </c>
      <c r="Q5923" t="s">
        <v>317</v>
      </c>
      <c r="R5923" t="s">
        <v>324</v>
      </c>
      <c r="S5923" t="s">
        <v>331</v>
      </c>
      <c r="T5923" t="s">
        <v>334</v>
      </c>
      <c r="U5923" t="s">
        <v>338</v>
      </c>
      <c r="V5923" t="s">
        <v>342</v>
      </c>
      <c r="W5923" t="s">
        <v>346</v>
      </c>
      <c r="X5923" t="s">
        <v>351</v>
      </c>
      <c r="AK5923" t="s">
        <v>363</v>
      </c>
    </row>
    <row r="5924" spans="1:37">
      <c r="B5924" t="s">
        <v>57</v>
      </c>
      <c r="C5924" t="s">
        <v>79</v>
      </c>
      <c r="D5924" t="s">
        <v>98</v>
      </c>
      <c r="E5924" t="s">
        <v>117</v>
      </c>
      <c r="F5924" t="s">
        <v>151</v>
      </c>
      <c r="G5924" t="s">
        <v>177</v>
      </c>
      <c r="H5924" t="s">
        <v>212</v>
      </c>
      <c r="I5924" t="s">
        <v>232</v>
      </c>
      <c r="J5924" t="s">
        <v>251</v>
      </c>
      <c r="K5924" t="s">
        <v>265</v>
      </c>
      <c r="L5924" t="s">
        <v>277</v>
      </c>
      <c r="M5924" t="s">
        <v>286</v>
      </c>
      <c r="N5924" t="s">
        <v>296</v>
      </c>
      <c r="O5924" t="s">
        <v>304</v>
      </c>
      <c r="P5924" t="s">
        <v>311</v>
      </c>
      <c r="Q5924" t="s">
        <v>318</v>
      </c>
      <c r="R5924" t="s">
        <v>185</v>
      </c>
      <c r="S5924" t="s">
        <v>159</v>
      </c>
      <c r="T5924" t="s">
        <v>185</v>
      </c>
      <c r="U5924" t="s">
        <v>339</v>
      </c>
      <c r="V5924" t="s">
        <v>72</v>
      </c>
      <c r="W5924" t="s">
        <v>347</v>
      </c>
      <c r="X5924" t="s">
        <v>72</v>
      </c>
      <c r="Y5924" t="s">
        <v>96</v>
      </c>
      <c r="AK5924" t="s">
        <v>363</v>
      </c>
    </row>
    <row r="5925" spans="1:37">
      <c r="B5925" t="s">
        <v>58</v>
      </c>
      <c r="C5925" t="s">
        <v>80</v>
      </c>
      <c r="D5925" t="s">
        <v>99</v>
      </c>
      <c r="E5925" t="s">
        <v>118</v>
      </c>
      <c r="F5925" t="s">
        <v>152</v>
      </c>
      <c r="G5925" t="s">
        <v>178</v>
      </c>
      <c r="H5925" t="s">
        <v>213</v>
      </c>
      <c r="I5925" t="s">
        <v>233</v>
      </c>
      <c r="J5925" t="s">
        <v>252</v>
      </c>
      <c r="K5925" t="s">
        <v>266</v>
      </c>
      <c r="L5925" t="s">
        <v>278</v>
      </c>
      <c r="M5925" t="s">
        <v>287</v>
      </c>
      <c r="N5925" t="s">
        <v>297</v>
      </c>
      <c r="O5925" t="s">
        <v>305</v>
      </c>
      <c r="P5925" t="s">
        <v>312</v>
      </c>
      <c r="Q5925" t="s">
        <v>319</v>
      </c>
      <c r="R5925">
        <f>&gt;10       ветра      2.6     14   8 28</f>
        <v>0</v>
      </c>
      <c r="AK5925" t="s">
        <v>363</v>
      </c>
    </row>
    <row r="5926" spans="1:37">
      <c r="A5926" t="s">
        <v>40</v>
      </c>
      <c r="B5926" t="s">
        <v>59</v>
      </c>
      <c r="C5926" t="s">
        <v>81</v>
      </c>
      <c r="D5926" t="s">
        <v>100</v>
      </c>
      <c r="E5926" t="s">
        <v>119</v>
      </c>
      <c r="F5926" t="s">
        <v>153</v>
      </c>
      <c r="G5926" t="s">
        <v>179</v>
      </c>
      <c r="H5926" t="s">
        <v>214</v>
      </c>
      <c r="I5926" t="s">
        <v>234</v>
      </c>
      <c r="AK5926" t="s">
        <v>363</v>
      </c>
    </row>
    <row r="5927" spans="1:37">
      <c r="A5927" t="s">
        <v>40</v>
      </c>
      <c r="B5927" t="s">
        <v>60</v>
      </c>
      <c r="C5927" t="s">
        <v>82</v>
      </c>
      <c r="D5927" t="s">
        <v>101</v>
      </c>
      <c r="E5927" t="s">
        <v>120</v>
      </c>
      <c r="F5927" t="s">
        <v>154</v>
      </c>
      <c r="G5927" t="s">
        <v>180</v>
      </c>
      <c r="H5927" t="s">
        <v>215</v>
      </c>
      <c r="I5927" t="s">
        <v>235</v>
      </c>
      <c r="J5927" t="s">
        <v>253</v>
      </c>
      <c r="K5927" t="s">
        <v>267</v>
      </c>
      <c r="L5927" t="s">
        <v>279</v>
      </c>
      <c r="M5927" t="s">
        <v>288</v>
      </c>
      <c r="N5927" t="s">
        <v>100</v>
      </c>
      <c r="O5927" t="s">
        <v>306</v>
      </c>
      <c r="P5927" t="s">
        <v>313</v>
      </c>
      <c r="Q5927" t="s">
        <v>320</v>
      </c>
      <c r="R5927" t="s">
        <v>325</v>
      </c>
      <c r="S5927" t="s">
        <v>332</v>
      </c>
      <c r="T5927" t="s">
        <v>119</v>
      </c>
      <c r="U5927" t="s">
        <v>234</v>
      </c>
      <c r="V5927" t="s">
        <v>343</v>
      </c>
      <c r="W5927" t="s">
        <v>348</v>
      </c>
      <c r="X5927" t="s">
        <v>352</v>
      </c>
      <c r="Y5927" t="s">
        <v>354</v>
      </c>
      <c r="AK5927" t="s">
        <v>363</v>
      </c>
    </row>
    <row r="5928" spans="1:37">
      <c r="A5928" t="s">
        <v>41</v>
      </c>
      <c r="B5928" t="s">
        <v>61</v>
      </c>
      <c r="C5928" t="s">
        <v>83</v>
      </c>
      <c r="D5928" t="s">
        <v>102</v>
      </c>
      <c r="E5928" t="s">
        <v>121</v>
      </c>
      <c r="F5928" t="s">
        <v>155</v>
      </c>
      <c r="G5928" t="s">
        <v>181</v>
      </c>
      <c r="H5928" t="s">
        <v>216</v>
      </c>
      <c r="I5928" t="s">
        <v>236</v>
      </c>
      <c r="AK5928" t="s">
        <v>363</v>
      </c>
    </row>
    <row r="5929" spans="1:37">
      <c r="A5929" t="s">
        <v>42</v>
      </c>
      <c r="B5929" t="s">
        <v>62</v>
      </c>
      <c r="C5929" t="s">
        <v>84</v>
      </c>
      <c r="D5929" t="s">
        <v>103</v>
      </c>
      <c r="E5929" t="s">
        <v>122</v>
      </c>
      <c r="F5929" t="s">
        <v>156</v>
      </c>
      <c r="G5929" t="s">
        <v>182</v>
      </c>
      <c r="H5929" t="s">
        <v>83</v>
      </c>
      <c r="I5929" t="s">
        <v>237</v>
      </c>
      <c r="J5929" t="s">
        <v>254</v>
      </c>
      <c r="K5929" t="s">
        <v>268</v>
      </c>
      <c r="L5929" t="s">
        <v>280</v>
      </c>
      <c r="M5929" t="s">
        <v>289</v>
      </c>
      <c r="N5929" t="s">
        <v>298</v>
      </c>
      <c r="O5929" t="s">
        <v>307</v>
      </c>
      <c r="P5929" t="s">
        <v>314</v>
      </c>
      <c r="Q5929" t="s">
        <v>216</v>
      </c>
      <c r="R5929" t="s">
        <v>326</v>
      </c>
      <c r="S5929" t="s">
        <v>333</v>
      </c>
      <c r="T5929" t="s">
        <v>335</v>
      </c>
      <c r="U5929" t="s">
        <v>340</v>
      </c>
      <c r="V5929" t="s">
        <v>344</v>
      </c>
      <c r="W5929" t="s">
        <v>349</v>
      </c>
      <c r="AK5929" t="s">
        <v>363</v>
      </c>
    </row>
    <row r="5930" spans="1:37">
      <c r="A5930" t="s">
        <v>43</v>
      </c>
      <c r="B5930" t="s">
        <v>63</v>
      </c>
      <c r="C5930" t="s">
        <v>85</v>
      </c>
      <c r="D5930" t="s">
        <v>104</v>
      </c>
      <c r="E5930" t="s">
        <v>123</v>
      </c>
      <c r="F5930" t="s">
        <v>157</v>
      </c>
      <c r="G5930" t="s">
        <v>183</v>
      </c>
      <c r="AK5930" t="s">
        <v>363</v>
      </c>
    </row>
    <row r="5931" spans="1:37">
      <c r="A5931" t="s">
        <v>44</v>
      </c>
      <c r="B5931" t="s">
        <v>64</v>
      </c>
      <c r="C5931" t="s">
        <v>86</v>
      </c>
      <c r="D5931" t="s">
        <v>105</v>
      </c>
      <c r="E5931" t="s">
        <v>124</v>
      </c>
      <c r="F5931" t="s">
        <v>158</v>
      </c>
      <c r="G5931" t="s">
        <v>184</v>
      </c>
      <c r="AK5931" t="s">
        <v>363</v>
      </c>
    </row>
    <row r="5932" spans="1:37">
      <c r="A5932" t="s">
        <v>45</v>
      </c>
      <c r="B5932" t="s">
        <v>65</v>
      </c>
      <c r="C5932" t="s">
        <v>87</v>
      </c>
      <c r="D5932" t="s">
        <v>106</v>
      </c>
      <c r="E5932" t="s">
        <v>125</v>
      </c>
      <c r="F5932" t="s">
        <v>159</v>
      </c>
      <c r="G5932" t="s">
        <v>185</v>
      </c>
      <c r="H5932" t="s">
        <v>159</v>
      </c>
      <c r="I5932" t="s">
        <v>185</v>
      </c>
      <c r="J5932" t="s">
        <v>255</v>
      </c>
      <c r="AK5932" t="s">
        <v>363</v>
      </c>
    </row>
    <row r="5933" spans="1:37">
      <c r="A5933" t="s">
        <v>46</v>
      </c>
      <c r="B5933" t="s">
        <v>66</v>
      </c>
      <c r="C5933" t="s">
        <v>88</v>
      </c>
      <c r="D5933" t="s">
        <v>76</v>
      </c>
      <c r="E5933" t="s">
        <v>126</v>
      </c>
      <c r="F5933" t="s">
        <v>160</v>
      </c>
      <c r="G5933" t="s">
        <v>186</v>
      </c>
      <c r="H5933" t="s">
        <v>217</v>
      </c>
      <c r="I5933" t="s">
        <v>238</v>
      </c>
      <c r="J5933" t="s">
        <v>256</v>
      </c>
      <c r="K5933" t="s">
        <v>265</v>
      </c>
      <c r="L5933" t="s">
        <v>281</v>
      </c>
      <c r="M5933" t="s">
        <v>290</v>
      </c>
      <c r="N5933" t="s">
        <v>299</v>
      </c>
      <c r="O5933" t="s">
        <v>308</v>
      </c>
      <c r="P5933" t="s">
        <v>228</v>
      </c>
      <c r="Q5933" t="s">
        <v>72</v>
      </c>
      <c r="R5933" t="s">
        <v>327</v>
      </c>
      <c r="S5933" t="s">
        <v>327</v>
      </c>
      <c r="T5933" t="s">
        <v>336</v>
      </c>
      <c r="U5933" t="s">
        <v>336</v>
      </c>
      <c r="V5933" t="s">
        <v>336</v>
      </c>
      <c r="W5933" t="s">
        <v>336</v>
      </c>
      <c r="X5933" t="s">
        <v>353</v>
      </c>
      <c r="AK5933" t="s">
        <v>363</v>
      </c>
    </row>
    <row r="5934" spans="1:37">
      <c r="B5934" t="s">
        <v>67</v>
      </c>
      <c r="C5934" t="s">
        <v>89</v>
      </c>
      <c r="D5934" t="s">
        <v>107</v>
      </c>
      <c r="AK5934" t="s">
        <v>363</v>
      </c>
    </row>
    <row r="5935" spans="1:37">
      <c r="B5935" t="s">
        <v>68</v>
      </c>
      <c r="C5935" t="s">
        <v>90</v>
      </c>
      <c r="D5935" t="s">
        <v>108</v>
      </c>
      <c r="AK5935" t="s">
        <v>363</v>
      </c>
    </row>
    <row r="5936" spans="1:37">
      <c r="A5936" t="s">
        <v>47</v>
      </c>
      <c r="B5936" t="s">
        <v>69</v>
      </c>
      <c r="C5936" t="s">
        <v>91</v>
      </c>
      <c r="D5936" t="s">
        <v>109</v>
      </c>
      <c r="E5936" t="s">
        <v>109</v>
      </c>
      <c r="F5936" t="s">
        <v>109</v>
      </c>
      <c r="G5936" t="s">
        <v>109</v>
      </c>
      <c r="H5936" t="s">
        <v>109</v>
      </c>
      <c r="I5936" t="s">
        <v>239</v>
      </c>
      <c r="AK5936" t="s">
        <v>363</v>
      </c>
    </row>
    <row r="5937" spans="1:37">
      <c r="B5937" t="s">
        <v>70</v>
      </c>
      <c r="C5937" t="s">
        <v>92</v>
      </c>
      <c r="D5937" t="s">
        <v>110</v>
      </c>
      <c r="E5937" t="s">
        <v>127</v>
      </c>
      <c r="F5937" t="s">
        <v>161</v>
      </c>
      <c r="G5937" t="s">
        <v>187</v>
      </c>
      <c r="H5937" t="s">
        <v>218</v>
      </c>
      <c r="AK5937" t="s">
        <v>363</v>
      </c>
    </row>
    <row r="5938" spans="1:37">
      <c r="B5938" t="s">
        <v>71</v>
      </c>
      <c r="C5938" t="s">
        <v>93</v>
      </c>
      <c r="D5938" t="s">
        <v>111</v>
      </c>
      <c r="E5938" t="s">
        <v>128</v>
      </c>
      <c r="F5938" t="s">
        <v>162</v>
      </c>
      <c r="G5938" t="s">
        <v>188</v>
      </c>
      <c r="H5938" t="s">
        <v>219</v>
      </c>
      <c r="I5938" t="s">
        <v>240</v>
      </c>
      <c r="J5938" t="s">
        <v>257</v>
      </c>
      <c r="K5938" t="s">
        <v>269</v>
      </c>
      <c r="L5938" t="s">
        <v>109</v>
      </c>
      <c r="M5938" t="s">
        <v>109</v>
      </c>
      <c r="N5938" t="s">
        <v>109</v>
      </c>
      <c r="O5938" t="s">
        <v>109</v>
      </c>
      <c r="P5938" t="s">
        <v>109</v>
      </c>
      <c r="Q5938" t="s">
        <v>321</v>
      </c>
      <c r="AK5938" t="s">
        <v>363</v>
      </c>
    </row>
    <row r="5939" spans="1:37">
      <c r="A5939" t="s">
        <v>48</v>
      </c>
      <c r="B5939" t="s">
        <v>71</v>
      </c>
      <c r="C5939" t="s">
        <v>93</v>
      </c>
      <c r="D5939" t="s">
        <v>111</v>
      </c>
      <c r="E5939" t="s">
        <v>128</v>
      </c>
      <c r="F5939" t="s">
        <v>163</v>
      </c>
      <c r="G5939" t="s">
        <v>189</v>
      </c>
      <c r="H5939" t="s">
        <v>220</v>
      </c>
      <c r="I5939" t="s">
        <v>241</v>
      </c>
      <c r="J5939" t="s">
        <v>258</v>
      </c>
      <c r="K5939" t="s">
        <v>270</v>
      </c>
      <c r="AK5939" t="s">
        <v>363</v>
      </c>
    </row>
    <row r="5940" spans="1:37">
      <c r="B5940" t="s">
        <v>72</v>
      </c>
      <c r="C5940" t="s">
        <v>72</v>
      </c>
      <c r="D5940" t="s">
        <v>72</v>
      </c>
      <c r="E5940" t="s">
        <v>139</v>
      </c>
      <c r="F5940" t="s">
        <v>139</v>
      </c>
      <c r="G5940" t="s">
        <v>192</v>
      </c>
      <c r="H5940" t="s">
        <v>72</v>
      </c>
      <c r="I5940" t="s">
        <v>192</v>
      </c>
      <c r="J5940" t="s">
        <v>72</v>
      </c>
      <c r="K5940" t="s">
        <v>271</v>
      </c>
      <c r="AK5940" t="s">
        <v>363</v>
      </c>
    </row>
    <row r="5941" spans="1:37">
      <c r="A5941" t="s">
        <v>37</v>
      </c>
      <c r="B5941" t="s">
        <v>49</v>
      </c>
      <c r="C5941" t="s">
        <v>73</v>
      </c>
      <c r="D5941" t="s">
        <v>94</v>
      </c>
      <c r="E5941" t="s">
        <v>112</v>
      </c>
      <c r="F5941" t="s">
        <v>146</v>
      </c>
      <c r="G5941" t="s">
        <v>172</v>
      </c>
      <c r="H5941" t="s">
        <v>207</v>
      </c>
      <c r="I5941" t="s">
        <v>226</v>
      </c>
      <c r="J5941" t="s">
        <v>246</v>
      </c>
      <c r="K5941" t="s">
        <v>259</v>
      </c>
      <c r="AK5941" t="s">
        <v>363</v>
      </c>
    </row>
    <row r="5942" spans="1:37">
      <c r="A5942" t="s">
        <v>38</v>
      </c>
      <c r="B5942" t="s">
        <v>50</v>
      </c>
      <c r="C5942" t="s">
        <v>74</v>
      </c>
      <c r="D5942" t="s">
        <v>95</v>
      </c>
      <c r="E5942" t="s">
        <v>113</v>
      </c>
      <c r="F5942" t="s">
        <v>147</v>
      </c>
      <c r="G5942" t="s">
        <v>173</v>
      </c>
      <c r="H5942" t="s">
        <v>208</v>
      </c>
      <c r="I5942" t="s">
        <v>227</v>
      </c>
      <c r="J5942" t="s">
        <v>115</v>
      </c>
      <c r="K5942" t="s">
        <v>260</v>
      </c>
      <c r="L5942" t="s">
        <v>273</v>
      </c>
      <c r="M5942" t="s">
        <v>282</v>
      </c>
      <c r="N5942" t="s">
        <v>291</v>
      </c>
      <c r="AK5942" t="s">
        <v>363</v>
      </c>
    </row>
    <row r="5943" spans="1:37">
      <c r="B5943" t="s">
        <v>51</v>
      </c>
      <c r="C5943" t="s">
        <v>75</v>
      </c>
      <c r="D5943" t="s">
        <v>52</v>
      </c>
      <c r="E5943" t="s">
        <v>114</v>
      </c>
      <c r="F5943" t="s">
        <v>148</v>
      </c>
      <c r="G5943" t="s">
        <v>148</v>
      </c>
      <c r="H5943" t="s">
        <v>209</v>
      </c>
      <c r="I5943" t="s">
        <v>228</v>
      </c>
      <c r="J5943" t="s">
        <v>247</v>
      </c>
      <c r="K5943" t="s">
        <v>261</v>
      </c>
      <c r="L5943" t="s">
        <v>274</v>
      </c>
      <c r="M5943" t="s">
        <v>283</v>
      </c>
      <c r="N5943" t="s">
        <v>292</v>
      </c>
      <c r="O5943" t="s">
        <v>300</v>
      </c>
      <c r="AK5943" t="s">
        <v>363</v>
      </c>
    </row>
    <row r="5944" spans="1:37">
      <c r="B5944" t="s">
        <v>52</v>
      </c>
      <c r="C5944" t="s">
        <v>76</v>
      </c>
      <c r="D5944" t="s">
        <v>96</v>
      </c>
      <c r="E5944" t="s">
        <v>115</v>
      </c>
      <c r="F5944" t="s">
        <v>149</v>
      </c>
      <c r="G5944" t="s">
        <v>174</v>
      </c>
      <c r="H5944" t="s">
        <v>96</v>
      </c>
      <c r="I5944" t="s">
        <v>229</v>
      </c>
      <c r="J5944" t="s">
        <v>248</v>
      </c>
      <c r="K5944" t="s">
        <v>262</v>
      </c>
      <c r="L5944" t="s">
        <v>52</v>
      </c>
      <c r="M5944" t="s">
        <v>76</v>
      </c>
      <c r="N5944" t="s">
        <v>293</v>
      </c>
      <c r="O5944" t="s">
        <v>301</v>
      </c>
      <c r="P5944" t="s">
        <v>309</v>
      </c>
      <c r="Q5944" t="s">
        <v>315</v>
      </c>
      <c r="R5944" t="s">
        <v>228</v>
      </c>
      <c r="S5944" t="s">
        <v>328</v>
      </c>
      <c r="T5944" t="s">
        <v>149</v>
      </c>
      <c r="U5944" t="s">
        <v>337</v>
      </c>
      <c r="V5944" t="s">
        <v>341</v>
      </c>
      <c r="W5944" t="s">
        <v>345</v>
      </c>
      <c r="X5944" t="s">
        <v>350</v>
      </c>
      <c r="AK5944" t="s">
        <v>363</v>
      </c>
    </row>
    <row r="5945" spans="1:37">
      <c r="B5945" t="s">
        <v>53</v>
      </c>
      <c r="C5945" t="s">
        <v>77</v>
      </c>
      <c r="D5945" t="s">
        <v>97</v>
      </c>
      <c r="E5945" t="s">
        <v>116</v>
      </c>
      <c r="F5945" t="s">
        <v>150</v>
      </c>
      <c r="G5945" t="s">
        <v>175</v>
      </c>
      <c r="H5945" t="s">
        <v>210</v>
      </c>
      <c r="I5945" t="s">
        <v>230</v>
      </c>
      <c r="J5945" t="s">
        <v>249</v>
      </c>
      <c r="K5945" t="s">
        <v>263</v>
      </c>
      <c r="L5945" t="s">
        <v>275</v>
      </c>
      <c r="M5945" t="s">
        <v>284</v>
      </c>
      <c r="N5945" t="s">
        <v>294</v>
      </c>
      <c r="O5945" t="s">
        <v>302</v>
      </c>
      <c r="P5945" t="s">
        <v>310</v>
      </c>
      <c r="Q5945" t="s">
        <v>316</v>
      </c>
      <c r="R5945" t="s">
        <v>322</v>
      </c>
      <c r="S5945" t="s">
        <v>329</v>
      </c>
      <c r="AK5945" t="s">
        <v>363</v>
      </c>
    </row>
    <row r="5946" spans="1:37">
      <c r="A5946" t="s">
        <v>39</v>
      </c>
      <c r="B5946" t="s">
        <v>54</v>
      </c>
      <c r="C5946" t="s">
        <v>54</v>
      </c>
      <c r="D5946" t="s">
        <v>54</v>
      </c>
      <c r="E5946" t="s">
        <v>54</v>
      </c>
      <c r="F5946" t="s">
        <v>54</v>
      </c>
      <c r="G5946" t="s">
        <v>54</v>
      </c>
      <c r="H5946" t="s">
        <v>54</v>
      </c>
      <c r="I5946" t="s">
        <v>54</v>
      </c>
      <c r="J5946" t="s">
        <v>54</v>
      </c>
      <c r="K5946" t="s">
        <v>54</v>
      </c>
      <c r="L5946" t="s">
        <v>54</v>
      </c>
      <c r="M5946" t="s">
        <v>54</v>
      </c>
      <c r="N5946" t="s">
        <v>54</v>
      </c>
      <c r="O5946" t="s">
        <v>54</v>
      </c>
      <c r="P5946" t="s">
        <v>54</v>
      </c>
      <c r="Q5946" t="s">
        <v>54</v>
      </c>
      <c r="R5946" t="s">
        <v>323</v>
      </c>
      <c r="S5946" t="s">
        <v>330</v>
      </c>
      <c r="AK5946" t="s">
        <v>363</v>
      </c>
    </row>
    <row r="5947" spans="1:37">
      <c r="B5947" t="s">
        <v>55</v>
      </c>
      <c r="C5947" t="s">
        <v>78</v>
      </c>
      <c r="D5947" t="s">
        <v>55</v>
      </c>
      <c r="E5947" t="s">
        <v>78</v>
      </c>
      <c r="F5947" t="s">
        <v>55</v>
      </c>
      <c r="G5947" t="s">
        <v>78</v>
      </c>
      <c r="H5947" t="s">
        <v>55</v>
      </c>
      <c r="I5947" t="s">
        <v>78</v>
      </c>
      <c r="J5947" t="s">
        <v>55</v>
      </c>
      <c r="K5947" t="s">
        <v>78</v>
      </c>
      <c r="L5947" t="s">
        <v>55</v>
      </c>
      <c r="M5947" t="s">
        <v>78</v>
      </c>
      <c r="N5947" t="s">
        <v>55</v>
      </c>
      <c r="O5947" t="s">
        <v>78</v>
      </c>
      <c r="P5947" t="s">
        <v>55</v>
      </c>
      <c r="Q5947" t="s">
        <v>78</v>
      </c>
      <c r="R5947" t="s">
        <v>55</v>
      </c>
      <c r="S5947" t="s">
        <v>78</v>
      </c>
      <c r="T5947" t="s">
        <v>55</v>
      </c>
      <c r="U5947" t="s">
        <v>78</v>
      </c>
      <c r="V5947" t="s">
        <v>55</v>
      </c>
      <c r="W5947" t="s">
        <v>78</v>
      </c>
      <c r="X5947" t="s">
        <v>55</v>
      </c>
      <c r="Y5947" t="s">
        <v>78</v>
      </c>
      <c r="Z5947" t="s">
        <v>55</v>
      </c>
      <c r="AA5947" t="s">
        <v>78</v>
      </c>
      <c r="AB5947" t="s">
        <v>55</v>
      </c>
      <c r="AC5947" t="s">
        <v>78</v>
      </c>
      <c r="AD5947" t="s">
        <v>55</v>
      </c>
      <c r="AE5947" t="s">
        <v>78</v>
      </c>
      <c r="AF5947" t="s">
        <v>55</v>
      </c>
      <c r="AG5947" t="s">
        <v>78</v>
      </c>
      <c r="AH5947" t="s">
        <v>55</v>
      </c>
      <c r="AI5947" t="s">
        <v>78</v>
      </c>
      <c r="AK5947" t="s">
        <v>363</v>
      </c>
    </row>
    <row r="5948" spans="1:37">
      <c r="B5948" t="s">
        <v>56</v>
      </c>
      <c r="C5948" t="s">
        <v>56</v>
      </c>
      <c r="D5948" t="s">
        <v>56</v>
      </c>
      <c r="E5948" t="s">
        <v>56</v>
      </c>
      <c r="F5948" t="s">
        <v>56</v>
      </c>
      <c r="G5948" t="s">
        <v>176</v>
      </c>
      <c r="H5948" t="s">
        <v>211</v>
      </c>
      <c r="I5948" t="s">
        <v>231</v>
      </c>
      <c r="J5948" t="s">
        <v>250</v>
      </c>
      <c r="K5948" t="s">
        <v>264</v>
      </c>
      <c r="L5948" t="s">
        <v>276</v>
      </c>
      <c r="M5948" t="s">
        <v>285</v>
      </c>
      <c r="N5948" t="s">
        <v>295</v>
      </c>
      <c r="O5948" t="s">
        <v>303</v>
      </c>
      <c r="P5948" t="s">
        <v>56</v>
      </c>
      <c r="Q5948" t="s">
        <v>317</v>
      </c>
      <c r="R5948" t="s">
        <v>324</v>
      </c>
      <c r="S5948" t="s">
        <v>331</v>
      </c>
      <c r="T5948" t="s">
        <v>334</v>
      </c>
      <c r="U5948" t="s">
        <v>338</v>
      </c>
      <c r="V5948" t="s">
        <v>342</v>
      </c>
      <c r="W5948" t="s">
        <v>346</v>
      </c>
      <c r="X5948" t="s">
        <v>351</v>
      </c>
      <c r="AK5948" t="s">
        <v>363</v>
      </c>
    </row>
    <row r="5949" spans="1:37">
      <c r="B5949" t="s">
        <v>57</v>
      </c>
      <c r="C5949" t="s">
        <v>79</v>
      </c>
      <c r="D5949" t="s">
        <v>98</v>
      </c>
      <c r="E5949" t="s">
        <v>117</v>
      </c>
      <c r="F5949" t="s">
        <v>151</v>
      </c>
      <c r="G5949" t="s">
        <v>177</v>
      </c>
      <c r="H5949" t="s">
        <v>212</v>
      </c>
      <c r="I5949" t="s">
        <v>232</v>
      </c>
      <c r="J5949" t="s">
        <v>251</v>
      </c>
      <c r="K5949" t="s">
        <v>265</v>
      </c>
      <c r="L5949" t="s">
        <v>277</v>
      </c>
      <c r="M5949" t="s">
        <v>286</v>
      </c>
      <c r="N5949" t="s">
        <v>296</v>
      </c>
      <c r="O5949" t="s">
        <v>304</v>
      </c>
      <c r="P5949" t="s">
        <v>311</v>
      </c>
      <c r="Q5949" t="s">
        <v>318</v>
      </c>
      <c r="R5949" t="s">
        <v>185</v>
      </c>
      <c r="S5949" t="s">
        <v>159</v>
      </c>
      <c r="T5949" t="s">
        <v>185</v>
      </c>
      <c r="U5949" t="s">
        <v>339</v>
      </c>
      <c r="V5949" t="s">
        <v>72</v>
      </c>
      <c r="W5949" t="s">
        <v>347</v>
      </c>
      <c r="X5949" t="s">
        <v>72</v>
      </c>
      <c r="Y5949" t="s">
        <v>96</v>
      </c>
      <c r="AK5949" t="s">
        <v>363</v>
      </c>
    </row>
    <row r="5950" spans="1:37">
      <c r="B5950" t="s">
        <v>58</v>
      </c>
      <c r="C5950" t="s">
        <v>80</v>
      </c>
      <c r="D5950" t="s">
        <v>99</v>
      </c>
      <c r="E5950" t="s">
        <v>118</v>
      </c>
      <c r="F5950" t="s">
        <v>152</v>
      </c>
      <c r="G5950" t="s">
        <v>178</v>
      </c>
      <c r="H5950" t="s">
        <v>213</v>
      </c>
      <c r="I5950" t="s">
        <v>233</v>
      </c>
      <c r="J5950" t="s">
        <v>252</v>
      </c>
      <c r="K5950" t="s">
        <v>266</v>
      </c>
      <c r="L5950" t="s">
        <v>278</v>
      </c>
      <c r="M5950" t="s">
        <v>287</v>
      </c>
      <c r="N5950" t="s">
        <v>297</v>
      </c>
      <c r="O5950" t="s">
        <v>305</v>
      </c>
      <c r="P5950" t="s">
        <v>312</v>
      </c>
      <c r="Q5950" t="s">
        <v>319</v>
      </c>
      <c r="R5950">
        <f>&gt;10       ветра      2.8     16   3 10</f>
        <v>0</v>
      </c>
      <c r="AK5950" t="s">
        <v>363</v>
      </c>
    </row>
    <row r="5951" spans="1:37">
      <c r="A5951" t="s">
        <v>40</v>
      </c>
      <c r="B5951" t="s">
        <v>59</v>
      </c>
      <c r="C5951" t="s">
        <v>81</v>
      </c>
      <c r="D5951" t="s">
        <v>100</v>
      </c>
      <c r="E5951" t="s">
        <v>119</v>
      </c>
      <c r="F5951" t="s">
        <v>153</v>
      </c>
      <c r="G5951" t="s">
        <v>179</v>
      </c>
      <c r="H5951" t="s">
        <v>214</v>
      </c>
      <c r="I5951" t="s">
        <v>234</v>
      </c>
      <c r="AK5951" t="s">
        <v>363</v>
      </c>
    </row>
    <row r="5952" spans="1:37">
      <c r="A5952" t="s">
        <v>40</v>
      </c>
      <c r="B5952" t="s">
        <v>60</v>
      </c>
      <c r="C5952" t="s">
        <v>82</v>
      </c>
      <c r="D5952" t="s">
        <v>101</v>
      </c>
      <c r="E5952" t="s">
        <v>120</v>
      </c>
      <c r="F5952" t="s">
        <v>154</v>
      </c>
      <c r="G5952" t="s">
        <v>180</v>
      </c>
      <c r="H5952" t="s">
        <v>215</v>
      </c>
      <c r="I5952" t="s">
        <v>235</v>
      </c>
      <c r="J5952" t="s">
        <v>253</v>
      </c>
      <c r="K5952" t="s">
        <v>267</v>
      </c>
      <c r="L5952" t="s">
        <v>279</v>
      </c>
      <c r="M5952" t="s">
        <v>288</v>
      </c>
      <c r="N5952" t="s">
        <v>100</v>
      </c>
      <c r="O5952" t="s">
        <v>306</v>
      </c>
      <c r="P5952" t="s">
        <v>313</v>
      </c>
      <c r="Q5952" t="s">
        <v>320</v>
      </c>
      <c r="R5952" t="s">
        <v>325</v>
      </c>
      <c r="S5952" t="s">
        <v>332</v>
      </c>
      <c r="T5952" t="s">
        <v>119</v>
      </c>
      <c r="U5952" t="s">
        <v>234</v>
      </c>
      <c r="V5952" t="s">
        <v>343</v>
      </c>
      <c r="W5952" t="s">
        <v>348</v>
      </c>
      <c r="X5952" t="s">
        <v>352</v>
      </c>
      <c r="Y5952" t="s">
        <v>354</v>
      </c>
      <c r="AK5952" t="s">
        <v>363</v>
      </c>
    </row>
    <row r="5953" spans="1:37">
      <c r="A5953" t="s">
        <v>41</v>
      </c>
      <c r="B5953" t="s">
        <v>61</v>
      </c>
      <c r="C5953" t="s">
        <v>83</v>
      </c>
      <c r="D5953" t="s">
        <v>102</v>
      </c>
      <c r="E5953" t="s">
        <v>121</v>
      </c>
      <c r="F5953" t="s">
        <v>155</v>
      </c>
      <c r="G5953" t="s">
        <v>181</v>
      </c>
      <c r="H5953" t="s">
        <v>216</v>
      </c>
      <c r="I5953" t="s">
        <v>236</v>
      </c>
      <c r="AK5953" t="s">
        <v>363</v>
      </c>
    </row>
    <row r="5954" spans="1:37">
      <c r="A5954" t="s">
        <v>42</v>
      </c>
      <c r="B5954" t="s">
        <v>62</v>
      </c>
      <c r="C5954" t="s">
        <v>84</v>
      </c>
      <c r="D5954" t="s">
        <v>103</v>
      </c>
      <c r="E5954" t="s">
        <v>122</v>
      </c>
      <c r="F5954" t="s">
        <v>156</v>
      </c>
      <c r="G5954" t="s">
        <v>182</v>
      </c>
      <c r="H5954" t="s">
        <v>83</v>
      </c>
      <c r="I5954" t="s">
        <v>237</v>
      </c>
      <c r="J5954" t="s">
        <v>254</v>
      </c>
      <c r="K5954" t="s">
        <v>268</v>
      </c>
      <c r="L5954" t="s">
        <v>280</v>
      </c>
      <c r="M5954" t="s">
        <v>289</v>
      </c>
      <c r="N5954" t="s">
        <v>298</v>
      </c>
      <c r="O5954" t="s">
        <v>307</v>
      </c>
      <c r="P5954" t="s">
        <v>314</v>
      </c>
      <c r="Q5954" t="s">
        <v>216</v>
      </c>
      <c r="R5954" t="s">
        <v>326</v>
      </c>
      <c r="S5954" t="s">
        <v>333</v>
      </c>
      <c r="T5954" t="s">
        <v>335</v>
      </c>
      <c r="U5954" t="s">
        <v>340</v>
      </c>
      <c r="V5954" t="s">
        <v>344</v>
      </c>
      <c r="W5954" t="s">
        <v>349</v>
      </c>
      <c r="AK5954" t="s">
        <v>363</v>
      </c>
    </row>
    <row r="5955" spans="1:37">
      <c r="A5955" t="s">
        <v>43</v>
      </c>
      <c r="B5955" t="s">
        <v>63</v>
      </c>
      <c r="C5955" t="s">
        <v>85</v>
      </c>
      <c r="D5955" t="s">
        <v>104</v>
      </c>
      <c r="E5955" t="s">
        <v>123</v>
      </c>
      <c r="F5955" t="s">
        <v>157</v>
      </c>
      <c r="G5955" t="s">
        <v>183</v>
      </c>
      <c r="AK5955" t="s">
        <v>363</v>
      </c>
    </row>
    <row r="5956" spans="1:37">
      <c r="A5956" t="s">
        <v>44</v>
      </c>
      <c r="B5956" t="s">
        <v>64</v>
      </c>
      <c r="C5956" t="s">
        <v>86</v>
      </c>
      <c r="D5956" t="s">
        <v>105</v>
      </c>
      <c r="E5956" t="s">
        <v>124</v>
      </c>
      <c r="F5956" t="s">
        <v>158</v>
      </c>
      <c r="G5956" t="s">
        <v>184</v>
      </c>
      <c r="AK5956" t="s">
        <v>363</v>
      </c>
    </row>
    <row r="5957" spans="1:37">
      <c r="A5957" t="s">
        <v>45</v>
      </c>
      <c r="B5957" t="s">
        <v>65</v>
      </c>
      <c r="C5957" t="s">
        <v>87</v>
      </c>
      <c r="D5957" t="s">
        <v>106</v>
      </c>
      <c r="E5957" t="s">
        <v>125</v>
      </c>
      <c r="F5957" t="s">
        <v>159</v>
      </c>
      <c r="G5957" t="s">
        <v>185</v>
      </c>
      <c r="H5957" t="s">
        <v>159</v>
      </c>
      <c r="I5957" t="s">
        <v>185</v>
      </c>
      <c r="J5957" t="s">
        <v>255</v>
      </c>
      <c r="AK5957" t="s">
        <v>363</v>
      </c>
    </row>
    <row r="5958" spans="1:37">
      <c r="A5958" t="s">
        <v>46</v>
      </c>
      <c r="B5958" t="s">
        <v>66</v>
      </c>
      <c r="C5958" t="s">
        <v>88</v>
      </c>
      <c r="D5958" t="s">
        <v>76</v>
      </c>
      <c r="E5958" t="s">
        <v>126</v>
      </c>
      <c r="F5958" t="s">
        <v>160</v>
      </c>
      <c r="G5958" t="s">
        <v>186</v>
      </c>
      <c r="H5958" t="s">
        <v>217</v>
      </c>
      <c r="I5958" t="s">
        <v>238</v>
      </c>
      <c r="J5958" t="s">
        <v>256</v>
      </c>
      <c r="K5958" t="s">
        <v>265</v>
      </c>
      <c r="L5958" t="s">
        <v>281</v>
      </c>
      <c r="M5958" t="s">
        <v>290</v>
      </c>
      <c r="N5958" t="s">
        <v>299</v>
      </c>
      <c r="O5958" t="s">
        <v>308</v>
      </c>
      <c r="P5958" t="s">
        <v>228</v>
      </c>
      <c r="Q5958" t="s">
        <v>72</v>
      </c>
      <c r="R5958" t="s">
        <v>327</v>
      </c>
      <c r="S5958" t="s">
        <v>327</v>
      </c>
      <c r="T5958" t="s">
        <v>336</v>
      </c>
      <c r="U5958" t="s">
        <v>336</v>
      </c>
      <c r="V5958" t="s">
        <v>336</v>
      </c>
      <c r="W5958" t="s">
        <v>336</v>
      </c>
      <c r="X5958" t="s">
        <v>353</v>
      </c>
      <c r="AK5958" t="s">
        <v>363</v>
      </c>
    </row>
    <row r="5959" spans="1:37">
      <c r="B5959" t="s">
        <v>67</v>
      </c>
      <c r="C5959" t="s">
        <v>89</v>
      </c>
      <c r="D5959" t="s">
        <v>107</v>
      </c>
      <c r="AK5959" t="s">
        <v>363</v>
      </c>
    </row>
    <row r="5960" spans="1:37">
      <c r="B5960" t="s">
        <v>68</v>
      </c>
      <c r="C5960" t="s">
        <v>90</v>
      </c>
      <c r="D5960" t="s">
        <v>108</v>
      </c>
      <c r="AK5960" t="s">
        <v>363</v>
      </c>
    </row>
    <row r="5961" spans="1:37">
      <c r="A5961" t="s">
        <v>47</v>
      </c>
      <c r="B5961" t="s">
        <v>69</v>
      </c>
      <c r="C5961" t="s">
        <v>91</v>
      </c>
      <c r="D5961" t="s">
        <v>109</v>
      </c>
      <c r="E5961" t="s">
        <v>109</v>
      </c>
      <c r="F5961" t="s">
        <v>109</v>
      </c>
      <c r="G5961" t="s">
        <v>109</v>
      </c>
      <c r="H5961" t="s">
        <v>109</v>
      </c>
      <c r="I5961" t="s">
        <v>239</v>
      </c>
      <c r="AK5961" t="s">
        <v>363</v>
      </c>
    </row>
    <row r="5962" spans="1:37">
      <c r="B5962" t="s">
        <v>70</v>
      </c>
      <c r="C5962" t="s">
        <v>92</v>
      </c>
      <c r="D5962" t="s">
        <v>110</v>
      </c>
      <c r="E5962" t="s">
        <v>127</v>
      </c>
      <c r="F5962" t="s">
        <v>161</v>
      </c>
      <c r="G5962" t="s">
        <v>187</v>
      </c>
      <c r="H5962" t="s">
        <v>218</v>
      </c>
      <c r="AK5962" t="s">
        <v>363</v>
      </c>
    </row>
    <row r="5963" spans="1:37">
      <c r="B5963" t="s">
        <v>71</v>
      </c>
      <c r="C5963" t="s">
        <v>93</v>
      </c>
      <c r="D5963" t="s">
        <v>111</v>
      </c>
      <c r="E5963" t="s">
        <v>128</v>
      </c>
      <c r="F5963" t="s">
        <v>162</v>
      </c>
      <c r="G5963" t="s">
        <v>188</v>
      </c>
      <c r="H5963" t="s">
        <v>219</v>
      </c>
      <c r="I5963" t="s">
        <v>240</v>
      </c>
      <c r="J5963" t="s">
        <v>257</v>
      </c>
      <c r="K5963" t="s">
        <v>269</v>
      </c>
      <c r="L5963" t="s">
        <v>109</v>
      </c>
      <c r="M5963" t="s">
        <v>109</v>
      </c>
      <c r="N5963" t="s">
        <v>109</v>
      </c>
      <c r="O5963" t="s">
        <v>109</v>
      </c>
      <c r="P5963" t="s">
        <v>109</v>
      </c>
      <c r="Q5963" t="s">
        <v>321</v>
      </c>
      <c r="AK5963" t="s">
        <v>363</v>
      </c>
    </row>
    <row r="5964" spans="1:37">
      <c r="A5964" t="s">
        <v>48</v>
      </c>
      <c r="B5964" t="s">
        <v>71</v>
      </c>
      <c r="C5964" t="s">
        <v>93</v>
      </c>
      <c r="D5964" t="s">
        <v>111</v>
      </c>
      <c r="E5964" t="s">
        <v>128</v>
      </c>
      <c r="F5964" t="s">
        <v>163</v>
      </c>
      <c r="G5964" t="s">
        <v>189</v>
      </c>
      <c r="H5964" t="s">
        <v>220</v>
      </c>
      <c r="I5964" t="s">
        <v>241</v>
      </c>
      <c r="J5964" t="s">
        <v>258</v>
      </c>
      <c r="K5964" t="s">
        <v>270</v>
      </c>
      <c r="AK5964" t="s">
        <v>363</v>
      </c>
    </row>
    <row r="5965" spans="1:37">
      <c r="B5965" t="s">
        <v>72</v>
      </c>
      <c r="C5965" t="s">
        <v>72</v>
      </c>
      <c r="D5965" t="s">
        <v>72</v>
      </c>
      <c r="E5965" t="s">
        <v>139</v>
      </c>
      <c r="F5965" t="s">
        <v>139</v>
      </c>
      <c r="G5965" t="s">
        <v>192</v>
      </c>
      <c r="H5965" t="s">
        <v>192</v>
      </c>
      <c r="I5965" t="s">
        <v>192</v>
      </c>
      <c r="J5965" t="s">
        <v>192</v>
      </c>
      <c r="K5965" t="s">
        <v>271</v>
      </c>
      <c r="AK5965" t="s">
        <v>363</v>
      </c>
    </row>
    <row r="5966" spans="1:37">
      <c r="A5966" t="s">
        <v>37</v>
      </c>
      <c r="B5966" t="s">
        <v>49</v>
      </c>
      <c r="C5966" t="s">
        <v>73</v>
      </c>
      <c r="D5966" t="s">
        <v>94</v>
      </c>
      <c r="E5966" t="s">
        <v>112</v>
      </c>
      <c r="F5966" t="s">
        <v>146</v>
      </c>
      <c r="G5966" t="s">
        <v>172</v>
      </c>
      <c r="H5966" t="s">
        <v>207</v>
      </c>
      <c r="I5966" t="s">
        <v>226</v>
      </c>
      <c r="J5966" t="s">
        <v>246</v>
      </c>
      <c r="K5966" t="s">
        <v>259</v>
      </c>
      <c r="AK5966" t="s">
        <v>363</v>
      </c>
    </row>
    <row r="5967" spans="1:37">
      <c r="A5967" t="s">
        <v>38</v>
      </c>
      <c r="B5967" t="s">
        <v>50</v>
      </c>
      <c r="C5967" t="s">
        <v>74</v>
      </c>
      <c r="D5967" t="s">
        <v>95</v>
      </c>
      <c r="E5967" t="s">
        <v>113</v>
      </c>
      <c r="F5967" t="s">
        <v>147</v>
      </c>
      <c r="G5967" t="s">
        <v>173</v>
      </c>
      <c r="H5967" t="s">
        <v>208</v>
      </c>
      <c r="I5967" t="s">
        <v>227</v>
      </c>
      <c r="J5967" t="s">
        <v>115</v>
      </c>
      <c r="K5967" t="s">
        <v>260</v>
      </c>
      <c r="L5967" t="s">
        <v>273</v>
      </c>
      <c r="M5967" t="s">
        <v>282</v>
      </c>
      <c r="N5967" t="s">
        <v>291</v>
      </c>
      <c r="AK5967" t="s">
        <v>363</v>
      </c>
    </row>
    <row r="5968" spans="1:37">
      <c r="B5968" t="s">
        <v>51</v>
      </c>
      <c r="C5968" t="s">
        <v>75</v>
      </c>
      <c r="D5968" t="s">
        <v>52</v>
      </c>
      <c r="E5968" t="s">
        <v>114</v>
      </c>
      <c r="F5968" t="s">
        <v>148</v>
      </c>
      <c r="G5968" t="s">
        <v>148</v>
      </c>
      <c r="H5968" t="s">
        <v>209</v>
      </c>
      <c r="I5968" t="s">
        <v>228</v>
      </c>
      <c r="J5968" t="s">
        <v>247</v>
      </c>
      <c r="K5968" t="s">
        <v>261</v>
      </c>
      <c r="L5968" t="s">
        <v>274</v>
      </c>
      <c r="M5968" t="s">
        <v>283</v>
      </c>
      <c r="N5968" t="s">
        <v>292</v>
      </c>
      <c r="O5968" t="s">
        <v>300</v>
      </c>
      <c r="AK5968" t="s">
        <v>363</v>
      </c>
    </row>
    <row r="5969" spans="1:37">
      <c r="B5969" t="s">
        <v>52</v>
      </c>
      <c r="C5969" t="s">
        <v>76</v>
      </c>
      <c r="D5969" t="s">
        <v>96</v>
      </c>
      <c r="E5969" t="s">
        <v>115</v>
      </c>
      <c r="F5969" t="s">
        <v>149</v>
      </c>
      <c r="G5969" t="s">
        <v>174</v>
      </c>
      <c r="H5969" t="s">
        <v>96</v>
      </c>
      <c r="I5969" t="s">
        <v>229</v>
      </c>
      <c r="J5969" t="s">
        <v>248</v>
      </c>
      <c r="K5969" t="s">
        <v>262</v>
      </c>
      <c r="L5969" t="s">
        <v>52</v>
      </c>
      <c r="M5969" t="s">
        <v>76</v>
      </c>
      <c r="N5969" t="s">
        <v>293</v>
      </c>
      <c r="O5969" t="s">
        <v>301</v>
      </c>
      <c r="P5969" t="s">
        <v>309</v>
      </c>
      <c r="Q5969" t="s">
        <v>315</v>
      </c>
      <c r="R5969" t="s">
        <v>228</v>
      </c>
      <c r="S5969" t="s">
        <v>328</v>
      </c>
      <c r="T5969" t="s">
        <v>149</v>
      </c>
      <c r="U5969" t="s">
        <v>337</v>
      </c>
      <c r="V5969" t="s">
        <v>341</v>
      </c>
      <c r="W5969" t="s">
        <v>345</v>
      </c>
      <c r="X5969" t="s">
        <v>350</v>
      </c>
      <c r="AK5969" t="s">
        <v>363</v>
      </c>
    </row>
    <row r="5970" spans="1:37">
      <c r="B5970" t="s">
        <v>53</v>
      </c>
      <c r="C5970" t="s">
        <v>77</v>
      </c>
      <c r="D5970" t="s">
        <v>97</v>
      </c>
      <c r="E5970" t="s">
        <v>116</v>
      </c>
      <c r="F5970" t="s">
        <v>150</v>
      </c>
      <c r="G5970" t="s">
        <v>175</v>
      </c>
      <c r="H5970" t="s">
        <v>210</v>
      </c>
      <c r="I5970" t="s">
        <v>230</v>
      </c>
      <c r="J5970" t="s">
        <v>249</v>
      </c>
      <c r="K5970" t="s">
        <v>263</v>
      </c>
      <c r="L5970" t="s">
        <v>275</v>
      </c>
      <c r="M5970" t="s">
        <v>284</v>
      </c>
      <c r="N5970" t="s">
        <v>294</v>
      </c>
      <c r="O5970" t="s">
        <v>302</v>
      </c>
      <c r="P5970" t="s">
        <v>310</v>
      </c>
      <c r="Q5970" t="s">
        <v>316</v>
      </c>
      <c r="R5970" t="s">
        <v>322</v>
      </c>
      <c r="S5970" t="s">
        <v>329</v>
      </c>
      <c r="AK5970" t="s">
        <v>363</v>
      </c>
    </row>
    <row r="5971" spans="1:37">
      <c r="A5971" t="s">
        <v>39</v>
      </c>
      <c r="B5971" t="s">
        <v>54</v>
      </c>
      <c r="C5971" t="s">
        <v>54</v>
      </c>
      <c r="D5971" t="s">
        <v>54</v>
      </c>
      <c r="E5971" t="s">
        <v>54</v>
      </c>
      <c r="F5971" t="s">
        <v>54</v>
      </c>
      <c r="G5971" t="s">
        <v>54</v>
      </c>
      <c r="H5971" t="s">
        <v>54</v>
      </c>
      <c r="I5971" t="s">
        <v>54</v>
      </c>
      <c r="J5971" t="s">
        <v>54</v>
      </c>
      <c r="K5971" t="s">
        <v>54</v>
      </c>
      <c r="L5971" t="s">
        <v>54</v>
      </c>
      <c r="M5971" t="s">
        <v>54</v>
      </c>
      <c r="N5971" t="s">
        <v>54</v>
      </c>
      <c r="O5971" t="s">
        <v>54</v>
      </c>
      <c r="P5971" t="s">
        <v>54</v>
      </c>
      <c r="Q5971" t="s">
        <v>54</v>
      </c>
      <c r="R5971" t="s">
        <v>323</v>
      </c>
      <c r="S5971" t="s">
        <v>330</v>
      </c>
      <c r="AK5971" t="s">
        <v>363</v>
      </c>
    </row>
    <row r="5972" spans="1:37">
      <c r="B5972" t="s">
        <v>55</v>
      </c>
      <c r="C5972" t="s">
        <v>78</v>
      </c>
      <c r="D5972" t="s">
        <v>55</v>
      </c>
      <c r="E5972" t="s">
        <v>78</v>
      </c>
      <c r="F5972" t="s">
        <v>55</v>
      </c>
      <c r="G5972" t="s">
        <v>78</v>
      </c>
      <c r="H5972" t="s">
        <v>55</v>
      </c>
      <c r="I5972" t="s">
        <v>78</v>
      </c>
      <c r="J5972" t="s">
        <v>55</v>
      </c>
      <c r="K5972" t="s">
        <v>78</v>
      </c>
      <c r="L5972" t="s">
        <v>55</v>
      </c>
      <c r="M5972" t="s">
        <v>78</v>
      </c>
      <c r="N5972" t="s">
        <v>55</v>
      </c>
      <c r="O5972" t="s">
        <v>78</v>
      </c>
      <c r="P5972" t="s">
        <v>55</v>
      </c>
      <c r="Q5972" t="s">
        <v>78</v>
      </c>
      <c r="R5972" t="s">
        <v>55</v>
      </c>
      <c r="S5972" t="s">
        <v>78</v>
      </c>
      <c r="T5972" t="s">
        <v>55</v>
      </c>
      <c r="U5972" t="s">
        <v>78</v>
      </c>
      <c r="V5972" t="s">
        <v>55</v>
      </c>
      <c r="W5972" t="s">
        <v>78</v>
      </c>
      <c r="X5972" t="s">
        <v>55</v>
      </c>
      <c r="Y5972" t="s">
        <v>78</v>
      </c>
      <c r="Z5972" t="s">
        <v>55</v>
      </c>
      <c r="AA5972" t="s">
        <v>78</v>
      </c>
      <c r="AB5972" t="s">
        <v>55</v>
      </c>
      <c r="AC5972" t="s">
        <v>78</v>
      </c>
      <c r="AD5972" t="s">
        <v>55</v>
      </c>
      <c r="AE5972" t="s">
        <v>78</v>
      </c>
      <c r="AF5972" t="s">
        <v>55</v>
      </c>
      <c r="AG5972" t="s">
        <v>78</v>
      </c>
      <c r="AH5972" t="s">
        <v>55</v>
      </c>
      <c r="AI5972" t="s">
        <v>78</v>
      </c>
      <c r="AK5972" t="s">
        <v>363</v>
      </c>
    </row>
    <row r="5973" spans="1:37">
      <c r="B5973" t="s">
        <v>56</v>
      </c>
      <c r="C5973" t="s">
        <v>56</v>
      </c>
      <c r="D5973" t="s">
        <v>56</v>
      </c>
      <c r="E5973" t="s">
        <v>56</v>
      </c>
      <c r="F5973" t="s">
        <v>56</v>
      </c>
      <c r="G5973" t="s">
        <v>176</v>
      </c>
      <c r="H5973" t="s">
        <v>211</v>
      </c>
      <c r="I5973" t="s">
        <v>231</v>
      </c>
      <c r="J5973" t="s">
        <v>250</v>
      </c>
      <c r="K5973" t="s">
        <v>264</v>
      </c>
      <c r="L5973" t="s">
        <v>276</v>
      </c>
      <c r="M5973" t="s">
        <v>285</v>
      </c>
      <c r="N5973" t="s">
        <v>295</v>
      </c>
      <c r="O5973" t="s">
        <v>303</v>
      </c>
      <c r="P5973" t="s">
        <v>56</v>
      </c>
      <c r="Q5973" t="s">
        <v>317</v>
      </c>
      <c r="R5973" t="s">
        <v>324</v>
      </c>
      <c r="S5973" t="s">
        <v>331</v>
      </c>
      <c r="T5973" t="s">
        <v>334</v>
      </c>
      <c r="U5973" t="s">
        <v>338</v>
      </c>
      <c r="V5973" t="s">
        <v>342</v>
      </c>
      <c r="W5973" t="s">
        <v>346</v>
      </c>
      <c r="X5973" t="s">
        <v>351</v>
      </c>
      <c r="AK5973" t="s">
        <v>363</v>
      </c>
    </row>
    <row r="5974" spans="1:37">
      <c r="B5974" t="s">
        <v>57</v>
      </c>
      <c r="C5974" t="s">
        <v>79</v>
      </c>
      <c r="D5974" t="s">
        <v>98</v>
      </c>
      <c r="E5974" t="s">
        <v>117</v>
      </c>
      <c r="F5974" t="s">
        <v>151</v>
      </c>
      <c r="G5974" t="s">
        <v>177</v>
      </c>
      <c r="H5974" t="s">
        <v>212</v>
      </c>
      <c r="I5974" t="s">
        <v>232</v>
      </c>
      <c r="J5974" t="s">
        <v>251</v>
      </c>
      <c r="K5974" t="s">
        <v>265</v>
      </c>
      <c r="L5974" t="s">
        <v>277</v>
      </c>
      <c r="M5974" t="s">
        <v>286</v>
      </c>
      <c r="N5974" t="s">
        <v>296</v>
      </c>
      <c r="O5974" t="s">
        <v>304</v>
      </c>
      <c r="P5974" t="s">
        <v>311</v>
      </c>
      <c r="Q5974" t="s">
        <v>318</v>
      </c>
      <c r="R5974" t="s">
        <v>185</v>
      </c>
      <c r="S5974" t="s">
        <v>159</v>
      </c>
      <c r="T5974" t="s">
        <v>185</v>
      </c>
      <c r="U5974" t="s">
        <v>339</v>
      </c>
      <c r="V5974" t="s">
        <v>72</v>
      </c>
      <c r="W5974" t="s">
        <v>347</v>
      </c>
      <c r="X5974" t="s">
        <v>72</v>
      </c>
      <c r="Y5974" t="s">
        <v>96</v>
      </c>
      <c r="AK5974" t="s">
        <v>363</v>
      </c>
    </row>
    <row r="5975" spans="1:37">
      <c r="B5975" t="s">
        <v>58</v>
      </c>
      <c r="C5975" t="s">
        <v>80</v>
      </c>
      <c r="D5975" t="s">
        <v>99</v>
      </c>
      <c r="E5975" t="s">
        <v>118</v>
      </c>
      <c r="F5975" t="s">
        <v>152</v>
      </c>
      <c r="G5975" t="s">
        <v>178</v>
      </c>
      <c r="H5975" t="s">
        <v>213</v>
      </c>
      <c r="I5975" t="s">
        <v>233</v>
      </c>
      <c r="J5975" t="s">
        <v>252</v>
      </c>
      <c r="K5975" t="s">
        <v>266</v>
      </c>
      <c r="L5975" t="s">
        <v>278</v>
      </c>
      <c r="M5975" t="s">
        <v>287</v>
      </c>
      <c r="N5975" t="s">
        <v>297</v>
      </c>
      <c r="O5975" t="s">
        <v>305</v>
      </c>
      <c r="P5975" t="s">
        <v>312</v>
      </c>
      <c r="Q5975" t="s">
        <v>319</v>
      </c>
      <c r="R5975">
        <f>&gt;10       ветра      1.5     11   3 29</f>
        <v>0</v>
      </c>
      <c r="AK5975" t="s">
        <v>363</v>
      </c>
    </row>
    <row r="5976" spans="1:37">
      <c r="A5976" t="s">
        <v>40</v>
      </c>
      <c r="B5976" t="s">
        <v>59</v>
      </c>
      <c r="C5976" t="s">
        <v>81</v>
      </c>
      <c r="D5976" t="s">
        <v>100</v>
      </c>
      <c r="E5976" t="s">
        <v>119</v>
      </c>
      <c r="F5976" t="s">
        <v>153</v>
      </c>
      <c r="G5976" t="s">
        <v>179</v>
      </c>
      <c r="H5976" t="s">
        <v>214</v>
      </c>
      <c r="I5976" t="s">
        <v>234</v>
      </c>
      <c r="AK5976" t="s">
        <v>363</v>
      </c>
    </row>
    <row r="5977" spans="1:37">
      <c r="A5977" t="s">
        <v>40</v>
      </c>
      <c r="B5977" t="s">
        <v>60</v>
      </c>
      <c r="C5977" t="s">
        <v>82</v>
      </c>
      <c r="D5977" t="s">
        <v>101</v>
      </c>
      <c r="E5977" t="s">
        <v>120</v>
      </c>
      <c r="F5977" t="s">
        <v>154</v>
      </c>
      <c r="G5977" t="s">
        <v>180</v>
      </c>
      <c r="H5977" t="s">
        <v>215</v>
      </c>
      <c r="I5977" t="s">
        <v>235</v>
      </c>
      <c r="J5977" t="s">
        <v>253</v>
      </c>
      <c r="K5977" t="s">
        <v>267</v>
      </c>
      <c r="L5977" t="s">
        <v>279</v>
      </c>
      <c r="M5977" t="s">
        <v>288</v>
      </c>
      <c r="N5977" t="s">
        <v>100</v>
      </c>
      <c r="O5977" t="s">
        <v>306</v>
      </c>
      <c r="P5977" t="s">
        <v>313</v>
      </c>
      <c r="Q5977" t="s">
        <v>320</v>
      </c>
      <c r="R5977" t="s">
        <v>325</v>
      </c>
      <c r="S5977" t="s">
        <v>332</v>
      </c>
      <c r="T5977" t="s">
        <v>119</v>
      </c>
      <c r="U5977" t="s">
        <v>234</v>
      </c>
      <c r="V5977" t="s">
        <v>343</v>
      </c>
      <c r="W5977" t="s">
        <v>348</v>
      </c>
      <c r="X5977" t="s">
        <v>352</v>
      </c>
      <c r="Y5977" t="s">
        <v>354</v>
      </c>
      <c r="AK5977" t="s">
        <v>363</v>
      </c>
    </row>
    <row r="5978" spans="1:37">
      <c r="A5978" t="s">
        <v>41</v>
      </c>
      <c r="B5978" t="s">
        <v>61</v>
      </c>
      <c r="C5978" t="s">
        <v>83</v>
      </c>
      <c r="D5978" t="s">
        <v>102</v>
      </c>
      <c r="E5978" t="s">
        <v>121</v>
      </c>
      <c r="F5978" t="s">
        <v>155</v>
      </c>
      <c r="G5978" t="s">
        <v>181</v>
      </c>
      <c r="H5978" t="s">
        <v>216</v>
      </c>
      <c r="I5978" t="s">
        <v>236</v>
      </c>
      <c r="AK5978" t="s">
        <v>363</v>
      </c>
    </row>
    <row r="5979" spans="1:37">
      <c r="A5979" t="s">
        <v>42</v>
      </c>
      <c r="B5979" t="s">
        <v>62</v>
      </c>
      <c r="C5979" t="s">
        <v>84</v>
      </c>
      <c r="D5979" t="s">
        <v>103</v>
      </c>
      <c r="E5979" t="s">
        <v>122</v>
      </c>
      <c r="F5979" t="s">
        <v>156</v>
      </c>
      <c r="G5979" t="s">
        <v>182</v>
      </c>
      <c r="H5979" t="s">
        <v>83</v>
      </c>
      <c r="I5979" t="s">
        <v>237</v>
      </c>
      <c r="J5979" t="s">
        <v>254</v>
      </c>
      <c r="K5979" t="s">
        <v>268</v>
      </c>
      <c r="L5979" t="s">
        <v>280</v>
      </c>
      <c r="M5979" t="s">
        <v>289</v>
      </c>
      <c r="N5979" t="s">
        <v>298</v>
      </c>
      <c r="O5979" t="s">
        <v>307</v>
      </c>
      <c r="P5979" t="s">
        <v>314</v>
      </c>
      <c r="Q5979" t="s">
        <v>216</v>
      </c>
      <c r="R5979" t="s">
        <v>326</v>
      </c>
      <c r="S5979" t="s">
        <v>333</v>
      </c>
      <c r="T5979" t="s">
        <v>335</v>
      </c>
      <c r="U5979" t="s">
        <v>340</v>
      </c>
      <c r="V5979" t="s">
        <v>344</v>
      </c>
      <c r="W5979" t="s">
        <v>349</v>
      </c>
      <c r="AK5979" t="s">
        <v>363</v>
      </c>
    </row>
    <row r="5980" spans="1:37">
      <c r="A5980" t="s">
        <v>43</v>
      </c>
      <c r="B5980" t="s">
        <v>63</v>
      </c>
      <c r="C5980" t="s">
        <v>85</v>
      </c>
      <c r="D5980" t="s">
        <v>104</v>
      </c>
      <c r="E5980" t="s">
        <v>123</v>
      </c>
      <c r="F5980" t="s">
        <v>157</v>
      </c>
      <c r="G5980" t="s">
        <v>183</v>
      </c>
      <c r="AK5980" t="s">
        <v>363</v>
      </c>
    </row>
    <row r="5981" spans="1:37">
      <c r="A5981" t="s">
        <v>44</v>
      </c>
      <c r="B5981" t="s">
        <v>64</v>
      </c>
      <c r="C5981" t="s">
        <v>86</v>
      </c>
      <c r="D5981" t="s">
        <v>105</v>
      </c>
      <c r="E5981" t="s">
        <v>124</v>
      </c>
      <c r="F5981" t="s">
        <v>158</v>
      </c>
      <c r="G5981" t="s">
        <v>184</v>
      </c>
      <c r="AK5981" t="s">
        <v>363</v>
      </c>
    </row>
    <row r="5982" spans="1:37">
      <c r="A5982" t="s">
        <v>45</v>
      </c>
      <c r="B5982" t="s">
        <v>65</v>
      </c>
      <c r="C5982" t="s">
        <v>87</v>
      </c>
      <c r="D5982" t="s">
        <v>106</v>
      </c>
      <c r="E5982" t="s">
        <v>125</v>
      </c>
      <c r="F5982" t="s">
        <v>159</v>
      </c>
      <c r="G5982" t="s">
        <v>185</v>
      </c>
      <c r="H5982" t="s">
        <v>159</v>
      </c>
      <c r="I5982" t="s">
        <v>185</v>
      </c>
      <c r="J5982" t="s">
        <v>255</v>
      </c>
      <c r="AK5982" t="s">
        <v>363</v>
      </c>
    </row>
    <row r="5983" spans="1:37">
      <c r="A5983" t="s">
        <v>46</v>
      </c>
      <c r="B5983" t="s">
        <v>66</v>
      </c>
      <c r="C5983" t="s">
        <v>88</v>
      </c>
      <c r="D5983" t="s">
        <v>76</v>
      </c>
      <c r="E5983" t="s">
        <v>126</v>
      </c>
      <c r="F5983" t="s">
        <v>160</v>
      </c>
      <c r="G5983" t="s">
        <v>186</v>
      </c>
      <c r="H5983" t="s">
        <v>217</v>
      </c>
      <c r="I5983" t="s">
        <v>238</v>
      </c>
      <c r="J5983" t="s">
        <v>256</v>
      </c>
      <c r="K5983" t="s">
        <v>265</v>
      </c>
      <c r="L5983" t="s">
        <v>281</v>
      </c>
      <c r="M5983" t="s">
        <v>290</v>
      </c>
      <c r="N5983" t="s">
        <v>299</v>
      </c>
      <c r="O5983" t="s">
        <v>308</v>
      </c>
      <c r="P5983" t="s">
        <v>228</v>
      </c>
      <c r="Q5983" t="s">
        <v>72</v>
      </c>
      <c r="R5983" t="s">
        <v>327</v>
      </c>
      <c r="S5983" t="s">
        <v>327</v>
      </c>
      <c r="T5983" t="s">
        <v>336</v>
      </c>
      <c r="U5983" t="s">
        <v>336</v>
      </c>
      <c r="V5983" t="s">
        <v>336</v>
      </c>
      <c r="W5983" t="s">
        <v>336</v>
      </c>
      <c r="X5983" t="s">
        <v>353</v>
      </c>
      <c r="AK5983" t="s">
        <v>363</v>
      </c>
    </row>
    <row r="5984" spans="1:37">
      <c r="B5984" t="s">
        <v>67</v>
      </c>
      <c r="C5984" t="s">
        <v>89</v>
      </c>
      <c r="D5984" t="s">
        <v>107</v>
      </c>
      <c r="AK5984" t="s">
        <v>363</v>
      </c>
    </row>
    <row r="5985" spans="1:37">
      <c r="B5985" t="s">
        <v>68</v>
      </c>
      <c r="C5985" t="s">
        <v>90</v>
      </c>
      <c r="D5985" t="s">
        <v>108</v>
      </c>
      <c r="AK5985" t="s">
        <v>363</v>
      </c>
    </row>
    <row r="5986" spans="1:37">
      <c r="A5986" t="s">
        <v>47</v>
      </c>
      <c r="B5986" t="s">
        <v>69</v>
      </c>
      <c r="C5986" t="s">
        <v>91</v>
      </c>
      <c r="D5986" t="s">
        <v>109</v>
      </c>
      <c r="E5986" t="s">
        <v>109</v>
      </c>
      <c r="F5986" t="s">
        <v>109</v>
      </c>
      <c r="G5986" t="s">
        <v>109</v>
      </c>
      <c r="H5986" t="s">
        <v>109</v>
      </c>
      <c r="I5986" t="s">
        <v>239</v>
      </c>
      <c r="AK5986" t="s">
        <v>363</v>
      </c>
    </row>
    <row r="5987" spans="1:37">
      <c r="B5987" t="s">
        <v>70</v>
      </c>
      <c r="C5987" t="s">
        <v>92</v>
      </c>
      <c r="D5987" t="s">
        <v>110</v>
      </c>
      <c r="E5987" t="s">
        <v>127</v>
      </c>
      <c r="F5987" t="s">
        <v>161</v>
      </c>
      <c r="G5987" t="s">
        <v>187</v>
      </c>
      <c r="H5987" t="s">
        <v>218</v>
      </c>
      <c r="AK5987" t="s">
        <v>363</v>
      </c>
    </row>
    <row r="5988" spans="1:37">
      <c r="B5988" t="s">
        <v>71</v>
      </c>
      <c r="C5988" t="s">
        <v>93</v>
      </c>
      <c r="D5988" t="s">
        <v>111</v>
      </c>
      <c r="E5988" t="s">
        <v>128</v>
      </c>
      <c r="F5988" t="s">
        <v>162</v>
      </c>
      <c r="G5988" t="s">
        <v>188</v>
      </c>
      <c r="H5988" t="s">
        <v>219</v>
      </c>
      <c r="I5988" t="s">
        <v>240</v>
      </c>
      <c r="J5988" t="s">
        <v>257</v>
      </c>
      <c r="K5988" t="s">
        <v>269</v>
      </c>
      <c r="L5988" t="s">
        <v>109</v>
      </c>
      <c r="M5988" t="s">
        <v>109</v>
      </c>
      <c r="N5988" t="s">
        <v>109</v>
      </c>
      <c r="O5988" t="s">
        <v>109</v>
      </c>
      <c r="P5988" t="s">
        <v>109</v>
      </c>
      <c r="Q5988" t="s">
        <v>321</v>
      </c>
      <c r="AK5988" t="s">
        <v>363</v>
      </c>
    </row>
    <row r="5989" spans="1:37">
      <c r="A5989" t="s">
        <v>48</v>
      </c>
      <c r="B5989" t="s">
        <v>71</v>
      </c>
      <c r="C5989" t="s">
        <v>93</v>
      </c>
      <c r="D5989" t="s">
        <v>111</v>
      </c>
      <c r="E5989" t="s">
        <v>128</v>
      </c>
      <c r="F5989" t="s">
        <v>163</v>
      </c>
      <c r="G5989" t="s">
        <v>189</v>
      </c>
      <c r="H5989" t="s">
        <v>220</v>
      </c>
      <c r="I5989" t="s">
        <v>241</v>
      </c>
      <c r="J5989" t="s">
        <v>258</v>
      </c>
      <c r="K5989" t="s">
        <v>270</v>
      </c>
      <c r="AK5989" t="s">
        <v>363</v>
      </c>
    </row>
    <row r="5990" spans="1:37">
      <c r="B5990" t="s">
        <v>72</v>
      </c>
      <c r="C5990" t="s">
        <v>72</v>
      </c>
      <c r="D5990" t="s">
        <v>72</v>
      </c>
      <c r="E5990" t="s">
        <v>72</v>
      </c>
      <c r="F5990" t="s">
        <v>72</v>
      </c>
      <c r="G5990" t="s">
        <v>72</v>
      </c>
      <c r="H5990" t="s">
        <v>72</v>
      </c>
      <c r="I5990" t="s">
        <v>72</v>
      </c>
      <c r="J5990" t="s">
        <v>72</v>
      </c>
      <c r="K5990" t="s">
        <v>272</v>
      </c>
      <c r="AK5990" t="s">
        <v>363</v>
      </c>
    </row>
    <row r="5991" spans="1:37">
      <c r="A5991" t="s">
        <v>37</v>
      </c>
      <c r="B5991" t="s">
        <v>49</v>
      </c>
      <c r="C5991" t="s">
        <v>73</v>
      </c>
      <c r="D5991" t="s">
        <v>94</v>
      </c>
      <c r="E5991" t="s">
        <v>112</v>
      </c>
      <c r="F5991" t="s">
        <v>146</v>
      </c>
      <c r="G5991" t="s">
        <v>172</v>
      </c>
      <c r="H5991" t="s">
        <v>207</v>
      </c>
      <c r="I5991" t="s">
        <v>226</v>
      </c>
      <c r="J5991" t="s">
        <v>246</v>
      </c>
      <c r="K5991" t="s">
        <v>259</v>
      </c>
      <c r="AK5991" t="s">
        <v>363</v>
      </c>
    </row>
    <row r="5992" spans="1:37">
      <c r="A5992" t="s">
        <v>38</v>
      </c>
      <c r="B5992" t="s">
        <v>50</v>
      </c>
      <c r="C5992" t="s">
        <v>74</v>
      </c>
      <c r="D5992" t="s">
        <v>95</v>
      </c>
      <c r="E5992" t="s">
        <v>113</v>
      </c>
      <c r="F5992" t="s">
        <v>147</v>
      </c>
      <c r="G5992" t="s">
        <v>173</v>
      </c>
      <c r="H5992" t="s">
        <v>208</v>
      </c>
      <c r="I5992" t="s">
        <v>227</v>
      </c>
      <c r="J5992" t="s">
        <v>115</v>
      </c>
      <c r="K5992" t="s">
        <v>260</v>
      </c>
      <c r="L5992" t="s">
        <v>273</v>
      </c>
      <c r="M5992" t="s">
        <v>282</v>
      </c>
      <c r="N5992" t="s">
        <v>291</v>
      </c>
      <c r="AK5992" t="s">
        <v>363</v>
      </c>
    </row>
    <row r="5993" spans="1:37">
      <c r="B5993" t="s">
        <v>51</v>
      </c>
      <c r="C5993" t="s">
        <v>75</v>
      </c>
      <c r="D5993" t="s">
        <v>52</v>
      </c>
      <c r="E5993" t="s">
        <v>114</v>
      </c>
      <c r="F5993" t="s">
        <v>148</v>
      </c>
      <c r="G5993" t="s">
        <v>148</v>
      </c>
      <c r="H5993" t="s">
        <v>209</v>
      </c>
      <c r="I5993" t="s">
        <v>228</v>
      </c>
      <c r="J5993" t="s">
        <v>247</v>
      </c>
      <c r="K5993" t="s">
        <v>261</v>
      </c>
      <c r="L5993" t="s">
        <v>274</v>
      </c>
      <c r="M5993" t="s">
        <v>283</v>
      </c>
      <c r="N5993" t="s">
        <v>292</v>
      </c>
      <c r="O5993" t="s">
        <v>300</v>
      </c>
      <c r="AK5993" t="s">
        <v>363</v>
      </c>
    </row>
    <row r="5994" spans="1:37">
      <c r="B5994" t="s">
        <v>52</v>
      </c>
      <c r="C5994" t="s">
        <v>76</v>
      </c>
      <c r="D5994" t="s">
        <v>96</v>
      </c>
      <c r="E5994" t="s">
        <v>115</v>
      </c>
      <c r="F5994" t="s">
        <v>149</v>
      </c>
      <c r="G5994" t="s">
        <v>174</v>
      </c>
      <c r="H5994" t="s">
        <v>96</v>
      </c>
      <c r="I5994" t="s">
        <v>229</v>
      </c>
      <c r="J5994" t="s">
        <v>248</v>
      </c>
      <c r="K5994" t="s">
        <v>262</v>
      </c>
      <c r="L5994" t="s">
        <v>52</v>
      </c>
      <c r="M5994" t="s">
        <v>76</v>
      </c>
      <c r="N5994" t="s">
        <v>293</v>
      </c>
      <c r="O5994" t="s">
        <v>301</v>
      </c>
      <c r="P5994" t="s">
        <v>309</v>
      </c>
      <c r="Q5994" t="s">
        <v>315</v>
      </c>
      <c r="R5994" t="s">
        <v>228</v>
      </c>
      <c r="S5994" t="s">
        <v>328</v>
      </c>
      <c r="T5994" t="s">
        <v>149</v>
      </c>
      <c r="U5994" t="s">
        <v>337</v>
      </c>
      <c r="V5994" t="s">
        <v>341</v>
      </c>
      <c r="W5994" t="s">
        <v>345</v>
      </c>
      <c r="X5994" t="s">
        <v>350</v>
      </c>
      <c r="AK5994" t="s">
        <v>363</v>
      </c>
    </row>
    <row r="5995" spans="1:37">
      <c r="B5995" t="s">
        <v>53</v>
      </c>
      <c r="C5995" t="s">
        <v>77</v>
      </c>
      <c r="D5995" t="s">
        <v>97</v>
      </c>
      <c r="E5995" t="s">
        <v>116</v>
      </c>
      <c r="F5995" t="s">
        <v>150</v>
      </c>
      <c r="G5995" t="s">
        <v>175</v>
      </c>
      <c r="H5995" t="s">
        <v>210</v>
      </c>
      <c r="I5995" t="s">
        <v>230</v>
      </c>
      <c r="J5995" t="s">
        <v>249</v>
      </c>
      <c r="K5995" t="s">
        <v>263</v>
      </c>
      <c r="L5995" t="s">
        <v>275</v>
      </c>
      <c r="M5995" t="s">
        <v>284</v>
      </c>
      <c r="N5995" t="s">
        <v>294</v>
      </c>
      <c r="O5995" t="s">
        <v>302</v>
      </c>
      <c r="P5995" t="s">
        <v>310</v>
      </c>
      <c r="Q5995" t="s">
        <v>316</v>
      </c>
      <c r="R5995" t="s">
        <v>322</v>
      </c>
      <c r="S5995" t="s">
        <v>329</v>
      </c>
      <c r="AK5995" t="s">
        <v>363</v>
      </c>
    </row>
    <row r="5996" spans="1:37">
      <c r="A5996" t="s">
        <v>39</v>
      </c>
      <c r="B5996" t="s">
        <v>54</v>
      </c>
      <c r="C5996" t="s">
        <v>54</v>
      </c>
      <c r="D5996" t="s">
        <v>54</v>
      </c>
      <c r="E5996" t="s">
        <v>54</v>
      </c>
      <c r="F5996" t="s">
        <v>54</v>
      </c>
      <c r="G5996" t="s">
        <v>54</v>
      </c>
      <c r="H5996" t="s">
        <v>54</v>
      </c>
      <c r="I5996" t="s">
        <v>54</v>
      </c>
      <c r="J5996" t="s">
        <v>54</v>
      </c>
      <c r="K5996" t="s">
        <v>54</v>
      </c>
      <c r="L5996" t="s">
        <v>54</v>
      </c>
      <c r="M5996" t="s">
        <v>54</v>
      </c>
      <c r="N5996" t="s">
        <v>54</v>
      </c>
      <c r="O5996" t="s">
        <v>54</v>
      </c>
      <c r="P5996" t="s">
        <v>54</v>
      </c>
      <c r="Q5996" t="s">
        <v>54</v>
      </c>
      <c r="R5996" t="s">
        <v>323</v>
      </c>
      <c r="S5996" t="s">
        <v>330</v>
      </c>
      <c r="AK5996" t="s">
        <v>363</v>
      </c>
    </row>
    <row r="5997" spans="1:37">
      <c r="B5997" t="s">
        <v>55</v>
      </c>
      <c r="C5997" t="s">
        <v>78</v>
      </c>
      <c r="D5997" t="s">
        <v>55</v>
      </c>
      <c r="E5997" t="s">
        <v>78</v>
      </c>
      <c r="F5997" t="s">
        <v>55</v>
      </c>
      <c r="G5997" t="s">
        <v>78</v>
      </c>
      <c r="H5997" t="s">
        <v>55</v>
      </c>
      <c r="I5997" t="s">
        <v>78</v>
      </c>
      <c r="J5997" t="s">
        <v>55</v>
      </c>
      <c r="K5997" t="s">
        <v>78</v>
      </c>
      <c r="L5997" t="s">
        <v>55</v>
      </c>
      <c r="M5997" t="s">
        <v>78</v>
      </c>
      <c r="N5997" t="s">
        <v>55</v>
      </c>
      <c r="O5997" t="s">
        <v>78</v>
      </c>
      <c r="P5997" t="s">
        <v>55</v>
      </c>
      <c r="Q5997" t="s">
        <v>78</v>
      </c>
      <c r="R5997" t="s">
        <v>55</v>
      </c>
      <c r="S5997" t="s">
        <v>78</v>
      </c>
      <c r="T5997" t="s">
        <v>55</v>
      </c>
      <c r="U5997" t="s">
        <v>78</v>
      </c>
      <c r="V5997" t="s">
        <v>55</v>
      </c>
      <c r="W5997" t="s">
        <v>78</v>
      </c>
      <c r="X5997" t="s">
        <v>55</v>
      </c>
      <c r="Y5997" t="s">
        <v>78</v>
      </c>
      <c r="Z5997" t="s">
        <v>55</v>
      </c>
      <c r="AA5997" t="s">
        <v>78</v>
      </c>
      <c r="AB5997" t="s">
        <v>55</v>
      </c>
      <c r="AC5997" t="s">
        <v>78</v>
      </c>
      <c r="AD5997" t="s">
        <v>55</v>
      </c>
      <c r="AE5997" t="s">
        <v>78</v>
      </c>
      <c r="AF5997" t="s">
        <v>55</v>
      </c>
      <c r="AG5997" t="s">
        <v>78</v>
      </c>
      <c r="AH5997" t="s">
        <v>55</v>
      </c>
      <c r="AI5997" t="s">
        <v>78</v>
      </c>
      <c r="AK5997" t="s">
        <v>363</v>
      </c>
    </row>
    <row r="5998" spans="1:37">
      <c r="B5998" t="s">
        <v>56</v>
      </c>
      <c r="C5998" t="s">
        <v>56</v>
      </c>
      <c r="D5998" t="s">
        <v>56</v>
      </c>
      <c r="E5998" t="s">
        <v>56</v>
      </c>
      <c r="F5998" t="s">
        <v>56</v>
      </c>
      <c r="G5998" t="s">
        <v>176</v>
      </c>
      <c r="H5998" t="s">
        <v>211</v>
      </c>
      <c r="I5998" t="s">
        <v>231</v>
      </c>
      <c r="J5998" t="s">
        <v>250</v>
      </c>
      <c r="K5998" t="s">
        <v>264</v>
      </c>
      <c r="L5998" t="s">
        <v>276</v>
      </c>
      <c r="M5998" t="s">
        <v>285</v>
      </c>
      <c r="N5998" t="s">
        <v>295</v>
      </c>
      <c r="O5998" t="s">
        <v>303</v>
      </c>
      <c r="P5998" t="s">
        <v>56</v>
      </c>
      <c r="Q5998" t="s">
        <v>317</v>
      </c>
      <c r="R5998" t="s">
        <v>324</v>
      </c>
      <c r="S5998" t="s">
        <v>331</v>
      </c>
      <c r="T5998" t="s">
        <v>334</v>
      </c>
      <c r="U5998" t="s">
        <v>338</v>
      </c>
      <c r="V5998" t="s">
        <v>342</v>
      </c>
      <c r="W5998" t="s">
        <v>346</v>
      </c>
      <c r="X5998" t="s">
        <v>351</v>
      </c>
      <c r="AK5998" t="s">
        <v>363</v>
      </c>
    </row>
    <row r="5999" spans="1:37">
      <c r="B5999" t="s">
        <v>57</v>
      </c>
      <c r="C5999" t="s">
        <v>79</v>
      </c>
      <c r="D5999" t="s">
        <v>98</v>
      </c>
      <c r="E5999" t="s">
        <v>117</v>
      </c>
      <c r="F5999" t="s">
        <v>151</v>
      </c>
      <c r="G5999" t="s">
        <v>177</v>
      </c>
      <c r="H5999" t="s">
        <v>212</v>
      </c>
      <c r="I5999" t="s">
        <v>232</v>
      </c>
      <c r="J5999" t="s">
        <v>251</v>
      </c>
      <c r="K5999" t="s">
        <v>265</v>
      </c>
      <c r="L5999" t="s">
        <v>277</v>
      </c>
      <c r="M5999" t="s">
        <v>286</v>
      </c>
      <c r="N5999" t="s">
        <v>296</v>
      </c>
      <c r="O5999" t="s">
        <v>304</v>
      </c>
      <c r="P5999" t="s">
        <v>311</v>
      </c>
      <c r="Q5999" t="s">
        <v>318</v>
      </c>
      <c r="R5999" t="s">
        <v>185</v>
      </c>
      <c r="S5999" t="s">
        <v>159</v>
      </c>
      <c r="T5999" t="s">
        <v>185</v>
      </c>
      <c r="U5999" t="s">
        <v>339</v>
      </c>
      <c r="V5999" t="s">
        <v>72</v>
      </c>
      <c r="W5999" t="s">
        <v>347</v>
      </c>
      <c r="X5999" t="s">
        <v>72</v>
      </c>
      <c r="Y5999" t="s">
        <v>96</v>
      </c>
      <c r="AK5999" t="s">
        <v>363</v>
      </c>
    </row>
    <row r="6000" spans="1:37">
      <c r="B6000" t="s">
        <v>58</v>
      </c>
      <c r="C6000" t="s">
        <v>80</v>
      </c>
      <c r="D6000" t="s">
        <v>99</v>
      </c>
      <c r="E6000" t="s">
        <v>118</v>
      </c>
      <c r="F6000" t="s">
        <v>152</v>
      </c>
      <c r="G6000" t="s">
        <v>178</v>
      </c>
      <c r="H6000" t="s">
        <v>213</v>
      </c>
      <c r="I6000" t="s">
        <v>233</v>
      </c>
      <c r="J6000" t="s">
        <v>252</v>
      </c>
      <c r="K6000" t="s">
        <v>266</v>
      </c>
      <c r="L6000" t="s">
        <v>278</v>
      </c>
      <c r="M6000" t="s">
        <v>287</v>
      </c>
      <c r="N6000" t="s">
        <v>297</v>
      </c>
      <c r="O6000" t="s">
        <v>305</v>
      </c>
      <c r="P6000" t="s">
        <v>312</v>
      </c>
      <c r="Q6000" t="s">
        <v>319</v>
      </c>
      <c r="R6000">
        <f>&gt;10       ветра      3.3     18   3</f>
        <v>0</v>
      </c>
      <c r="AK6000" t="s">
        <v>363</v>
      </c>
    </row>
    <row r="6001" spans="1:37">
      <c r="A6001" t="s">
        <v>40</v>
      </c>
      <c r="B6001" t="s">
        <v>59</v>
      </c>
      <c r="C6001" t="s">
        <v>81</v>
      </c>
      <c r="D6001" t="s">
        <v>100</v>
      </c>
      <c r="E6001" t="s">
        <v>119</v>
      </c>
      <c r="F6001" t="s">
        <v>153</v>
      </c>
      <c r="G6001" t="s">
        <v>179</v>
      </c>
      <c r="H6001" t="s">
        <v>214</v>
      </c>
      <c r="I6001" t="s">
        <v>234</v>
      </c>
      <c r="AK6001" t="s">
        <v>363</v>
      </c>
    </row>
    <row r="6002" spans="1:37">
      <c r="A6002" t="s">
        <v>40</v>
      </c>
      <c r="B6002" t="s">
        <v>60</v>
      </c>
      <c r="C6002" t="s">
        <v>82</v>
      </c>
      <c r="D6002" t="s">
        <v>101</v>
      </c>
      <c r="E6002" t="s">
        <v>120</v>
      </c>
      <c r="F6002" t="s">
        <v>154</v>
      </c>
      <c r="G6002" t="s">
        <v>180</v>
      </c>
      <c r="H6002" t="s">
        <v>215</v>
      </c>
      <c r="I6002" t="s">
        <v>235</v>
      </c>
      <c r="J6002" t="s">
        <v>253</v>
      </c>
      <c r="K6002" t="s">
        <v>267</v>
      </c>
      <c r="L6002" t="s">
        <v>279</v>
      </c>
      <c r="M6002" t="s">
        <v>288</v>
      </c>
      <c r="N6002" t="s">
        <v>100</v>
      </c>
      <c r="O6002" t="s">
        <v>306</v>
      </c>
      <c r="P6002" t="s">
        <v>313</v>
      </c>
      <c r="Q6002" t="s">
        <v>320</v>
      </c>
      <c r="R6002" t="s">
        <v>325</v>
      </c>
      <c r="S6002" t="s">
        <v>332</v>
      </c>
      <c r="T6002" t="s">
        <v>119</v>
      </c>
      <c r="U6002" t="s">
        <v>234</v>
      </c>
      <c r="V6002" t="s">
        <v>343</v>
      </c>
      <c r="W6002" t="s">
        <v>348</v>
      </c>
      <c r="X6002" t="s">
        <v>352</v>
      </c>
      <c r="Y6002" t="s">
        <v>354</v>
      </c>
      <c r="AK6002" t="s">
        <v>363</v>
      </c>
    </row>
    <row r="6003" spans="1:37">
      <c r="A6003" t="s">
        <v>41</v>
      </c>
      <c r="B6003" t="s">
        <v>61</v>
      </c>
      <c r="C6003" t="s">
        <v>83</v>
      </c>
      <c r="D6003" t="s">
        <v>102</v>
      </c>
      <c r="E6003" t="s">
        <v>121</v>
      </c>
      <c r="F6003" t="s">
        <v>155</v>
      </c>
      <c r="G6003" t="s">
        <v>181</v>
      </c>
      <c r="H6003" t="s">
        <v>216</v>
      </c>
      <c r="I6003" t="s">
        <v>236</v>
      </c>
      <c r="AK6003" t="s">
        <v>363</v>
      </c>
    </row>
    <row r="6004" spans="1:37">
      <c r="A6004" t="s">
        <v>42</v>
      </c>
      <c r="B6004" t="s">
        <v>62</v>
      </c>
      <c r="C6004" t="s">
        <v>84</v>
      </c>
      <c r="D6004" t="s">
        <v>103</v>
      </c>
      <c r="E6004" t="s">
        <v>122</v>
      </c>
      <c r="F6004" t="s">
        <v>156</v>
      </c>
      <c r="G6004" t="s">
        <v>182</v>
      </c>
      <c r="H6004" t="s">
        <v>83</v>
      </c>
      <c r="I6004" t="s">
        <v>237</v>
      </c>
      <c r="J6004" t="s">
        <v>254</v>
      </c>
      <c r="K6004" t="s">
        <v>268</v>
      </c>
      <c r="L6004" t="s">
        <v>280</v>
      </c>
      <c r="M6004" t="s">
        <v>289</v>
      </c>
      <c r="N6004" t="s">
        <v>298</v>
      </c>
      <c r="O6004" t="s">
        <v>307</v>
      </c>
      <c r="P6004" t="s">
        <v>314</v>
      </c>
      <c r="Q6004" t="s">
        <v>216</v>
      </c>
      <c r="R6004" t="s">
        <v>326</v>
      </c>
      <c r="S6004" t="s">
        <v>333</v>
      </c>
      <c r="T6004" t="s">
        <v>335</v>
      </c>
      <c r="U6004" t="s">
        <v>340</v>
      </c>
      <c r="V6004" t="s">
        <v>344</v>
      </c>
      <c r="W6004" t="s">
        <v>349</v>
      </c>
      <c r="AK6004" t="s">
        <v>363</v>
      </c>
    </row>
    <row r="6005" spans="1:37">
      <c r="A6005" t="s">
        <v>43</v>
      </c>
      <c r="B6005" t="s">
        <v>63</v>
      </c>
      <c r="C6005" t="s">
        <v>85</v>
      </c>
      <c r="D6005" t="s">
        <v>104</v>
      </c>
      <c r="E6005" t="s">
        <v>123</v>
      </c>
      <c r="F6005" t="s">
        <v>157</v>
      </c>
      <c r="G6005" t="s">
        <v>183</v>
      </c>
      <c r="AK6005" t="s">
        <v>363</v>
      </c>
    </row>
    <row r="6006" spans="1:37">
      <c r="A6006" t="s">
        <v>44</v>
      </c>
      <c r="B6006" t="s">
        <v>64</v>
      </c>
      <c r="C6006" t="s">
        <v>86</v>
      </c>
      <c r="D6006" t="s">
        <v>105</v>
      </c>
      <c r="E6006" t="s">
        <v>124</v>
      </c>
      <c r="F6006" t="s">
        <v>158</v>
      </c>
      <c r="G6006" t="s">
        <v>184</v>
      </c>
      <c r="AK6006" t="s">
        <v>363</v>
      </c>
    </row>
    <row r="6007" spans="1:37">
      <c r="A6007" t="s">
        <v>45</v>
      </c>
      <c r="B6007" t="s">
        <v>65</v>
      </c>
      <c r="C6007" t="s">
        <v>87</v>
      </c>
      <c r="D6007" t="s">
        <v>106</v>
      </c>
      <c r="E6007" t="s">
        <v>125</v>
      </c>
      <c r="F6007" t="s">
        <v>159</v>
      </c>
      <c r="G6007" t="s">
        <v>185</v>
      </c>
      <c r="H6007" t="s">
        <v>159</v>
      </c>
      <c r="I6007" t="s">
        <v>185</v>
      </c>
      <c r="J6007" t="s">
        <v>255</v>
      </c>
      <c r="AK6007" t="s">
        <v>363</v>
      </c>
    </row>
    <row r="6008" spans="1:37">
      <c r="A6008" t="s">
        <v>46</v>
      </c>
      <c r="B6008" t="s">
        <v>66</v>
      </c>
      <c r="C6008" t="s">
        <v>88</v>
      </c>
      <c r="D6008" t="s">
        <v>76</v>
      </c>
      <c r="E6008" t="s">
        <v>126</v>
      </c>
      <c r="F6008" t="s">
        <v>160</v>
      </c>
      <c r="G6008" t="s">
        <v>186</v>
      </c>
      <c r="H6008" t="s">
        <v>217</v>
      </c>
      <c r="I6008" t="s">
        <v>238</v>
      </c>
      <c r="J6008" t="s">
        <v>256</v>
      </c>
      <c r="K6008" t="s">
        <v>265</v>
      </c>
      <c r="L6008" t="s">
        <v>281</v>
      </c>
      <c r="M6008" t="s">
        <v>290</v>
      </c>
      <c r="N6008" t="s">
        <v>299</v>
      </c>
      <c r="O6008" t="s">
        <v>308</v>
      </c>
      <c r="P6008" t="s">
        <v>228</v>
      </c>
      <c r="Q6008" t="s">
        <v>72</v>
      </c>
      <c r="R6008" t="s">
        <v>327</v>
      </c>
      <c r="S6008" t="s">
        <v>327</v>
      </c>
      <c r="T6008" t="s">
        <v>336</v>
      </c>
      <c r="U6008" t="s">
        <v>336</v>
      </c>
      <c r="V6008" t="s">
        <v>336</v>
      </c>
      <c r="W6008" t="s">
        <v>336</v>
      </c>
      <c r="X6008" t="s">
        <v>353</v>
      </c>
      <c r="AK6008" t="s">
        <v>363</v>
      </c>
    </row>
    <row r="6009" spans="1:37">
      <c r="B6009" t="s">
        <v>67</v>
      </c>
      <c r="C6009" t="s">
        <v>89</v>
      </c>
      <c r="D6009" t="s">
        <v>107</v>
      </c>
      <c r="AK6009" t="s">
        <v>363</v>
      </c>
    </row>
    <row r="6010" spans="1:37">
      <c r="B6010" t="s">
        <v>68</v>
      </c>
      <c r="C6010" t="s">
        <v>90</v>
      </c>
      <c r="D6010" t="s">
        <v>108</v>
      </c>
      <c r="AK6010" t="s">
        <v>363</v>
      </c>
    </row>
    <row r="6011" spans="1:37">
      <c r="A6011" t="s">
        <v>47</v>
      </c>
      <c r="B6011" t="s">
        <v>69</v>
      </c>
      <c r="C6011" t="s">
        <v>91</v>
      </c>
      <c r="D6011" t="s">
        <v>109</v>
      </c>
      <c r="E6011" t="s">
        <v>109</v>
      </c>
      <c r="F6011" t="s">
        <v>109</v>
      </c>
      <c r="G6011" t="s">
        <v>109</v>
      </c>
      <c r="H6011" t="s">
        <v>109</v>
      </c>
      <c r="I6011" t="s">
        <v>239</v>
      </c>
      <c r="AK6011" t="s">
        <v>363</v>
      </c>
    </row>
    <row r="6012" spans="1:37">
      <c r="B6012" t="s">
        <v>70</v>
      </c>
      <c r="C6012" t="s">
        <v>92</v>
      </c>
      <c r="D6012" t="s">
        <v>110</v>
      </c>
      <c r="E6012" t="s">
        <v>127</v>
      </c>
      <c r="F6012" t="s">
        <v>161</v>
      </c>
      <c r="G6012" t="s">
        <v>187</v>
      </c>
      <c r="H6012" t="s">
        <v>218</v>
      </c>
      <c r="AK6012" t="s">
        <v>363</v>
      </c>
    </row>
    <row r="6013" spans="1:37">
      <c r="B6013" t="s">
        <v>71</v>
      </c>
      <c r="C6013" t="s">
        <v>93</v>
      </c>
      <c r="D6013" t="s">
        <v>111</v>
      </c>
      <c r="E6013" t="s">
        <v>128</v>
      </c>
      <c r="F6013" t="s">
        <v>162</v>
      </c>
      <c r="G6013" t="s">
        <v>188</v>
      </c>
      <c r="H6013" t="s">
        <v>219</v>
      </c>
      <c r="I6013" t="s">
        <v>240</v>
      </c>
      <c r="J6013" t="s">
        <v>257</v>
      </c>
      <c r="K6013" t="s">
        <v>269</v>
      </c>
      <c r="L6013" t="s">
        <v>109</v>
      </c>
      <c r="M6013" t="s">
        <v>109</v>
      </c>
      <c r="N6013" t="s">
        <v>109</v>
      </c>
      <c r="O6013" t="s">
        <v>109</v>
      </c>
      <c r="P6013" t="s">
        <v>109</v>
      </c>
      <c r="Q6013" t="s">
        <v>321</v>
      </c>
      <c r="AK6013" t="s">
        <v>363</v>
      </c>
    </row>
    <row r="6014" spans="1:37">
      <c r="A6014" t="s">
        <v>48</v>
      </c>
      <c r="B6014" t="s">
        <v>71</v>
      </c>
      <c r="C6014" t="s">
        <v>93</v>
      </c>
      <c r="D6014" t="s">
        <v>111</v>
      </c>
      <c r="E6014" t="s">
        <v>128</v>
      </c>
      <c r="F6014" t="s">
        <v>163</v>
      </c>
      <c r="G6014" t="s">
        <v>189</v>
      </c>
      <c r="H6014" t="s">
        <v>220</v>
      </c>
      <c r="I6014" t="s">
        <v>241</v>
      </c>
      <c r="J6014" t="s">
        <v>258</v>
      </c>
      <c r="K6014" t="s">
        <v>270</v>
      </c>
      <c r="AK6014" t="s">
        <v>363</v>
      </c>
    </row>
    <row r="6015" spans="1:37">
      <c r="B6015" t="s">
        <v>72</v>
      </c>
      <c r="C6015" t="s">
        <v>72</v>
      </c>
      <c r="D6015" t="s">
        <v>72</v>
      </c>
      <c r="E6015" t="s">
        <v>72</v>
      </c>
      <c r="F6015" t="s">
        <v>72</v>
      </c>
      <c r="G6015" t="s">
        <v>72</v>
      </c>
      <c r="H6015" t="s">
        <v>72</v>
      </c>
      <c r="I6015" t="s">
        <v>72</v>
      </c>
      <c r="J6015" t="s">
        <v>72</v>
      </c>
      <c r="K6015" t="s">
        <v>272</v>
      </c>
      <c r="AK6015" t="s">
        <v>363</v>
      </c>
    </row>
    <row r="6016" spans="1:37">
      <c r="A6016" t="s">
        <v>37</v>
      </c>
      <c r="B6016" t="s">
        <v>49</v>
      </c>
      <c r="C6016" t="s">
        <v>73</v>
      </c>
      <c r="D6016" t="s">
        <v>94</v>
      </c>
      <c r="E6016" t="s">
        <v>112</v>
      </c>
      <c r="F6016" t="s">
        <v>146</v>
      </c>
      <c r="G6016" t="s">
        <v>172</v>
      </c>
      <c r="H6016" t="s">
        <v>207</v>
      </c>
      <c r="I6016" t="s">
        <v>226</v>
      </c>
      <c r="J6016" t="s">
        <v>246</v>
      </c>
      <c r="K6016" t="s">
        <v>259</v>
      </c>
      <c r="AK6016" t="s">
        <v>363</v>
      </c>
    </row>
    <row r="6017" spans="1:37">
      <c r="A6017" t="s">
        <v>38</v>
      </c>
      <c r="B6017" t="s">
        <v>50</v>
      </c>
      <c r="C6017" t="s">
        <v>74</v>
      </c>
      <c r="D6017" t="s">
        <v>95</v>
      </c>
      <c r="E6017" t="s">
        <v>113</v>
      </c>
      <c r="F6017" t="s">
        <v>147</v>
      </c>
      <c r="G6017" t="s">
        <v>173</v>
      </c>
      <c r="H6017" t="s">
        <v>208</v>
      </c>
      <c r="I6017" t="s">
        <v>227</v>
      </c>
      <c r="J6017" t="s">
        <v>115</v>
      </c>
      <c r="K6017" t="s">
        <v>260</v>
      </c>
      <c r="L6017" t="s">
        <v>273</v>
      </c>
      <c r="M6017" t="s">
        <v>282</v>
      </c>
      <c r="N6017" t="s">
        <v>291</v>
      </c>
      <c r="AK6017" t="s">
        <v>363</v>
      </c>
    </row>
    <row r="6018" spans="1:37">
      <c r="B6018" t="s">
        <v>51</v>
      </c>
      <c r="C6018" t="s">
        <v>75</v>
      </c>
      <c r="D6018" t="s">
        <v>52</v>
      </c>
      <c r="E6018" t="s">
        <v>114</v>
      </c>
      <c r="F6018" t="s">
        <v>148</v>
      </c>
      <c r="G6018" t="s">
        <v>148</v>
      </c>
      <c r="H6018" t="s">
        <v>209</v>
      </c>
      <c r="I6018" t="s">
        <v>228</v>
      </c>
      <c r="J6018" t="s">
        <v>247</v>
      </c>
      <c r="K6018" t="s">
        <v>261</v>
      </c>
      <c r="L6018" t="s">
        <v>274</v>
      </c>
      <c r="M6018" t="s">
        <v>283</v>
      </c>
      <c r="N6018" t="s">
        <v>292</v>
      </c>
      <c r="O6018" t="s">
        <v>300</v>
      </c>
      <c r="AK6018" t="s">
        <v>363</v>
      </c>
    </row>
    <row r="6019" spans="1:37">
      <c r="B6019" t="s">
        <v>52</v>
      </c>
      <c r="C6019" t="s">
        <v>76</v>
      </c>
      <c r="D6019" t="s">
        <v>96</v>
      </c>
      <c r="E6019" t="s">
        <v>115</v>
      </c>
      <c r="F6019" t="s">
        <v>149</v>
      </c>
      <c r="G6019" t="s">
        <v>174</v>
      </c>
      <c r="H6019" t="s">
        <v>96</v>
      </c>
      <c r="I6019" t="s">
        <v>229</v>
      </c>
      <c r="J6019" t="s">
        <v>248</v>
      </c>
      <c r="K6019" t="s">
        <v>262</v>
      </c>
      <c r="L6019" t="s">
        <v>52</v>
      </c>
      <c r="M6019" t="s">
        <v>76</v>
      </c>
      <c r="N6019" t="s">
        <v>293</v>
      </c>
      <c r="O6019" t="s">
        <v>301</v>
      </c>
      <c r="P6019" t="s">
        <v>309</v>
      </c>
      <c r="Q6019" t="s">
        <v>315</v>
      </c>
      <c r="R6019" t="s">
        <v>228</v>
      </c>
      <c r="S6019" t="s">
        <v>328</v>
      </c>
      <c r="T6019" t="s">
        <v>149</v>
      </c>
      <c r="U6019" t="s">
        <v>337</v>
      </c>
      <c r="V6019" t="s">
        <v>341</v>
      </c>
      <c r="W6019" t="s">
        <v>345</v>
      </c>
      <c r="X6019" t="s">
        <v>350</v>
      </c>
      <c r="AK6019" t="s">
        <v>363</v>
      </c>
    </row>
    <row r="6020" spans="1:37">
      <c r="B6020" t="s">
        <v>53</v>
      </c>
      <c r="C6020" t="s">
        <v>77</v>
      </c>
      <c r="D6020" t="s">
        <v>97</v>
      </c>
      <c r="E6020" t="s">
        <v>116</v>
      </c>
      <c r="F6020" t="s">
        <v>150</v>
      </c>
      <c r="G6020" t="s">
        <v>175</v>
      </c>
      <c r="H6020" t="s">
        <v>210</v>
      </c>
      <c r="I6020" t="s">
        <v>230</v>
      </c>
      <c r="J6020" t="s">
        <v>249</v>
      </c>
      <c r="K6020" t="s">
        <v>263</v>
      </c>
      <c r="L6020" t="s">
        <v>275</v>
      </c>
      <c r="M6020" t="s">
        <v>284</v>
      </c>
      <c r="N6020" t="s">
        <v>294</v>
      </c>
      <c r="O6020" t="s">
        <v>302</v>
      </c>
      <c r="P6020" t="s">
        <v>310</v>
      </c>
      <c r="Q6020" t="s">
        <v>316</v>
      </c>
      <c r="R6020" t="s">
        <v>322</v>
      </c>
      <c r="S6020" t="s">
        <v>329</v>
      </c>
      <c r="AK6020" t="s">
        <v>363</v>
      </c>
    </row>
    <row r="6021" spans="1:37">
      <c r="A6021" t="s">
        <v>39</v>
      </c>
      <c r="B6021" t="s">
        <v>54</v>
      </c>
      <c r="C6021" t="s">
        <v>54</v>
      </c>
      <c r="D6021" t="s">
        <v>54</v>
      </c>
      <c r="E6021" t="s">
        <v>54</v>
      </c>
      <c r="F6021" t="s">
        <v>54</v>
      </c>
      <c r="G6021" t="s">
        <v>54</v>
      </c>
      <c r="H6021" t="s">
        <v>54</v>
      </c>
      <c r="I6021" t="s">
        <v>54</v>
      </c>
      <c r="J6021" t="s">
        <v>54</v>
      </c>
      <c r="K6021" t="s">
        <v>54</v>
      </c>
      <c r="L6021" t="s">
        <v>54</v>
      </c>
      <c r="M6021" t="s">
        <v>54</v>
      </c>
      <c r="N6021" t="s">
        <v>54</v>
      </c>
      <c r="O6021" t="s">
        <v>54</v>
      </c>
      <c r="P6021" t="s">
        <v>54</v>
      </c>
      <c r="Q6021" t="s">
        <v>54</v>
      </c>
      <c r="R6021" t="s">
        <v>323</v>
      </c>
      <c r="S6021" t="s">
        <v>330</v>
      </c>
      <c r="AK6021" t="s">
        <v>363</v>
      </c>
    </row>
    <row r="6022" spans="1:37">
      <c r="B6022" t="s">
        <v>55</v>
      </c>
      <c r="C6022" t="s">
        <v>78</v>
      </c>
      <c r="D6022" t="s">
        <v>55</v>
      </c>
      <c r="E6022" t="s">
        <v>78</v>
      </c>
      <c r="F6022" t="s">
        <v>55</v>
      </c>
      <c r="G6022" t="s">
        <v>78</v>
      </c>
      <c r="H6022" t="s">
        <v>55</v>
      </c>
      <c r="I6022" t="s">
        <v>78</v>
      </c>
      <c r="J6022" t="s">
        <v>55</v>
      </c>
      <c r="K6022" t="s">
        <v>78</v>
      </c>
      <c r="L6022" t="s">
        <v>55</v>
      </c>
      <c r="M6022" t="s">
        <v>78</v>
      </c>
      <c r="N6022" t="s">
        <v>55</v>
      </c>
      <c r="O6022" t="s">
        <v>78</v>
      </c>
      <c r="P6022" t="s">
        <v>55</v>
      </c>
      <c r="Q6022" t="s">
        <v>78</v>
      </c>
      <c r="R6022" t="s">
        <v>55</v>
      </c>
      <c r="S6022" t="s">
        <v>78</v>
      </c>
      <c r="T6022" t="s">
        <v>55</v>
      </c>
      <c r="U6022" t="s">
        <v>78</v>
      </c>
      <c r="V6022" t="s">
        <v>55</v>
      </c>
      <c r="W6022" t="s">
        <v>78</v>
      </c>
      <c r="X6022" t="s">
        <v>55</v>
      </c>
      <c r="Y6022" t="s">
        <v>78</v>
      </c>
      <c r="Z6022" t="s">
        <v>55</v>
      </c>
      <c r="AA6022" t="s">
        <v>78</v>
      </c>
      <c r="AB6022" t="s">
        <v>55</v>
      </c>
      <c r="AC6022" t="s">
        <v>78</v>
      </c>
      <c r="AD6022" t="s">
        <v>55</v>
      </c>
      <c r="AE6022" t="s">
        <v>78</v>
      </c>
      <c r="AF6022" t="s">
        <v>55</v>
      </c>
      <c r="AG6022" t="s">
        <v>78</v>
      </c>
      <c r="AH6022" t="s">
        <v>55</v>
      </c>
      <c r="AI6022" t="s">
        <v>78</v>
      </c>
      <c r="AK6022" t="s">
        <v>363</v>
      </c>
    </row>
    <row r="6023" spans="1:37">
      <c r="B6023" t="s">
        <v>56</v>
      </c>
      <c r="C6023" t="s">
        <v>56</v>
      </c>
      <c r="D6023" t="s">
        <v>56</v>
      </c>
      <c r="E6023" t="s">
        <v>56</v>
      </c>
      <c r="F6023" t="s">
        <v>56</v>
      </c>
      <c r="G6023" t="s">
        <v>176</v>
      </c>
      <c r="H6023" t="s">
        <v>211</v>
      </c>
      <c r="I6023" t="s">
        <v>231</v>
      </c>
      <c r="J6023" t="s">
        <v>250</v>
      </c>
      <c r="K6023" t="s">
        <v>264</v>
      </c>
      <c r="L6023" t="s">
        <v>276</v>
      </c>
      <c r="M6023" t="s">
        <v>285</v>
      </c>
      <c r="N6023" t="s">
        <v>295</v>
      </c>
      <c r="O6023" t="s">
        <v>303</v>
      </c>
      <c r="P6023" t="s">
        <v>56</v>
      </c>
      <c r="Q6023" t="s">
        <v>317</v>
      </c>
      <c r="R6023" t="s">
        <v>324</v>
      </c>
      <c r="S6023" t="s">
        <v>331</v>
      </c>
      <c r="T6023" t="s">
        <v>334</v>
      </c>
      <c r="U6023" t="s">
        <v>338</v>
      </c>
      <c r="V6023" t="s">
        <v>342</v>
      </c>
      <c r="W6023" t="s">
        <v>346</v>
      </c>
      <c r="X6023" t="s">
        <v>351</v>
      </c>
      <c r="AK6023" t="s">
        <v>363</v>
      </c>
    </row>
    <row r="6024" spans="1:37">
      <c r="B6024" t="s">
        <v>57</v>
      </c>
      <c r="C6024" t="s">
        <v>79</v>
      </c>
      <c r="D6024" t="s">
        <v>98</v>
      </c>
      <c r="E6024" t="s">
        <v>117</v>
      </c>
      <c r="F6024" t="s">
        <v>151</v>
      </c>
      <c r="G6024" t="s">
        <v>177</v>
      </c>
      <c r="H6024" t="s">
        <v>212</v>
      </c>
      <c r="I6024" t="s">
        <v>232</v>
      </c>
      <c r="J6024" t="s">
        <v>251</v>
      </c>
      <c r="K6024" t="s">
        <v>265</v>
      </c>
      <c r="L6024" t="s">
        <v>277</v>
      </c>
      <c r="M6024" t="s">
        <v>286</v>
      </c>
      <c r="N6024" t="s">
        <v>296</v>
      </c>
      <c r="O6024" t="s">
        <v>304</v>
      </c>
      <c r="P6024" t="s">
        <v>311</v>
      </c>
      <c r="Q6024" t="s">
        <v>318</v>
      </c>
      <c r="R6024" t="s">
        <v>185</v>
      </c>
      <c r="S6024" t="s">
        <v>159</v>
      </c>
      <c r="T6024" t="s">
        <v>185</v>
      </c>
      <c r="U6024" t="s">
        <v>339</v>
      </c>
      <c r="V6024" t="s">
        <v>72</v>
      </c>
      <c r="W6024" t="s">
        <v>347</v>
      </c>
      <c r="X6024" t="s">
        <v>72</v>
      </c>
      <c r="Y6024" t="s">
        <v>96</v>
      </c>
      <c r="AK6024" t="s">
        <v>363</v>
      </c>
    </row>
    <row r="6025" spans="1:37">
      <c r="B6025" t="s">
        <v>58</v>
      </c>
      <c r="C6025" t="s">
        <v>80</v>
      </c>
      <c r="D6025" t="s">
        <v>99</v>
      </c>
      <c r="E6025" t="s">
        <v>118</v>
      </c>
      <c r="F6025" t="s">
        <v>152</v>
      </c>
      <c r="G6025" t="s">
        <v>178</v>
      </c>
      <c r="H6025" t="s">
        <v>213</v>
      </c>
      <c r="I6025" t="s">
        <v>233</v>
      </c>
      <c r="J6025" t="s">
        <v>252</v>
      </c>
      <c r="K6025" t="s">
        <v>266</v>
      </c>
      <c r="L6025" t="s">
        <v>278</v>
      </c>
      <c r="M6025" t="s">
        <v>287</v>
      </c>
      <c r="N6025" t="s">
        <v>297</v>
      </c>
      <c r="O6025" t="s">
        <v>305</v>
      </c>
      <c r="P6025" t="s">
        <v>312</v>
      </c>
      <c r="Q6025" t="s">
        <v>319</v>
      </c>
      <c r="R6025">
        <f>&gt;10       ветра      1.7     14   9</f>
        <v>0</v>
      </c>
      <c r="AK6025" t="s">
        <v>363</v>
      </c>
    </row>
    <row r="6026" spans="1:37">
      <c r="A6026" t="s">
        <v>40</v>
      </c>
      <c r="B6026" t="s">
        <v>59</v>
      </c>
      <c r="C6026" t="s">
        <v>81</v>
      </c>
      <c r="D6026" t="s">
        <v>100</v>
      </c>
      <c r="E6026" t="s">
        <v>119</v>
      </c>
      <c r="F6026" t="s">
        <v>153</v>
      </c>
      <c r="G6026" t="s">
        <v>179</v>
      </c>
      <c r="H6026" t="s">
        <v>214</v>
      </c>
      <c r="I6026" t="s">
        <v>234</v>
      </c>
      <c r="AK6026" t="s">
        <v>363</v>
      </c>
    </row>
    <row r="6027" spans="1:37">
      <c r="A6027" t="s">
        <v>40</v>
      </c>
      <c r="B6027" t="s">
        <v>60</v>
      </c>
      <c r="C6027" t="s">
        <v>82</v>
      </c>
      <c r="D6027" t="s">
        <v>101</v>
      </c>
      <c r="E6027" t="s">
        <v>120</v>
      </c>
      <c r="F6027" t="s">
        <v>154</v>
      </c>
      <c r="G6027" t="s">
        <v>180</v>
      </c>
      <c r="H6027" t="s">
        <v>215</v>
      </c>
      <c r="I6027" t="s">
        <v>235</v>
      </c>
      <c r="J6027" t="s">
        <v>253</v>
      </c>
      <c r="K6027" t="s">
        <v>267</v>
      </c>
      <c r="L6027" t="s">
        <v>279</v>
      </c>
      <c r="M6027" t="s">
        <v>288</v>
      </c>
      <c r="N6027" t="s">
        <v>100</v>
      </c>
      <c r="O6027" t="s">
        <v>306</v>
      </c>
      <c r="P6027" t="s">
        <v>313</v>
      </c>
      <c r="Q6027" t="s">
        <v>320</v>
      </c>
      <c r="R6027" t="s">
        <v>325</v>
      </c>
      <c r="S6027" t="s">
        <v>332</v>
      </c>
      <c r="T6027" t="s">
        <v>119</v>
      </c>
      <c r="U6027" t="s">
        <v>234</v>
      </c>
      <c r="V6027" t="s">
        <v>343</v>
      </c>
      <c r="W6027" t="s">
        <v>348</v>
      </c>
      <c r="X6027" t="s">
        <v>352</v>
      </c>
      <c r="Y6027" t="s">
        <v>354</v>
      </c>
      <c r="AK6027" t="s">
        <v>363</v>
      </c>
    </row>
    <row r="6028" spans="1:37">
      <c r="A6028" t="s">
        <v>41</v>
      </c>
      <c r="B6028" t="s">
        <v>61</v>
      </c>
      <c r="C6028" t="s">
        <v>83</v>
      </c>
      <c r="D6028" t="s">
        <v>102</v>
      </c>
      <c r="E6028" t="s">
        <v>121</v>
      </c>
      <c r="F6028" t="s">
        <v>155</v>
      </c>
      <c r="G6028" t="s">
        <v>181</v>
      </c>
      <c r="H6028" t="s">
        <v>216</v>
      </c>
      <c r="I6028" t="s">
        <v>236</v>
      </c>
      <c r="AK6028" t="s">
        <v>363</v>
      </c>
    </row>
    <row r="6029" spans="1:37">
      <c r="A6029" t="s">
        <v>42</v>
      </c>
      <c r="B6029" t="s">
        <v>62</v>
      </c>
      <c r="C6029" t="s">
        <v>84</v>
      </c>
      <c r="D6029" t="s">
        <v>103</v>
      </c>
      <c r="E6029" t="s">
        <v>122</v>
      </c>
      <c r="F6029" t="s">
        <v>156</v>
      </c>
      <c r="G6029" t="s">
        <v>182</v>
      </c>
      <c r="H6029" t="s">
        <v>83</v>
      </c>
      <c r="I6029" t="s">
        <v>237</v>
      </c>
      <c r="J6029" t="s">
        <v>254</v>
      </c>
      <c r="K6029" t="s">
        <v>268</v>
      </c>
      <c r="L6029" t="s">
        <v>280</v>
      </c>
      <c r="M6029" t="s">
        <v>289</v>
      </c>
      <c r="N6029" t="s">
        <v>298</v>
      </c>
      <c r="O6029" t="s">
        <v>307</v>
      </c>
      <c r="P6029" t="s">
        <v>314</v>
      </c>
      <c r="Q6029" t="s">
        <v>216</v>
      </c>
      <c r="R6029" t="s">
        <v>326</v>
      </c>
      <c r="S6029" t="s">
        <v>333</v>
      </c>
      <c r="T6029" t="s">
        <v>335</v>
      </c>
      <c r="U6029" t="s">
        <v>340</v>
      </c>
      <c r="V6029" t="s">
        <v>344</v>
      </c>
      <c r="W6029" t="s">
        <v>349</v>
      </c>
      <c r="AK6029" t="s">
        <v>363</v>
      </c>
    </row>
    <row r="6030" spans="1:37">
      <c r="A6030" t="s">
        <v>43</v>
      </c>
      <c r="B6030" t="s">
        <v>63</v>
      </c>
      <c r="C6030" t="s">
        <v>85</v>
      </c>
      <c r="D6030" t="s">
        <v>104</v>
      </c>
      <c r="E6030" t="s">
        <v>123</v>
      </c>
      <c r="F6030" t="s">
        <v>157</v>
      </c>
      <c r="G6030" t="s">
        <v>183</v>
      </c>
      <c r="AK6030" t="s">
        <v>363</v>
      </c>
    </row>
    <row r="6031" spans="1:37">
      <c r="A6031" t="s">
        <v>44</v>
      </c>
      <c r="B6031" t="s">
        <v>64</v>
      </c>
      <c r="C6031" t="s">
        <v>86</v>
      </c>
      <c r="D6031" t="s">
        <v>105</v>
      </c>
      <c r="E6031" t="s">
        <v>124</v>
      </c>
      <c r="F6031" t="s">
        <v>158</v>
      </c>
      <c r="G6031" t="s">
        <v>184</v>
      </c>
      <c r="AK6031" t="s">
        <v>363</v>
      </c>
    </row>
    <row r="6032" spans="1:37">
      <c r="A6032" t="s">
        <v>45</v>
      </c>
      <c r="B6032" t="s">
        <v>65</v>
      </c>
      <c r="C6032" t="s">
        <v>87</v>
      </c>
      <c r="D6032" t="s">
        <v>106</v>
      </c>
      <c r="E6032" t="s">
        <v>125</v>
      </c>
      <c r="F6032" t="s">
        <v>159</v>
      </c>
      <c r="G6032" t="s">
        <v>185</v>
      </c>
      <c r="H6032" t="s">
        <v>159</v>
      </c>
      <c r="I6032" t="s">
        <v>185</v>
      </c>
      <c r="J6032" t="s">
        <v>255</v>
      </c>
      <c r="AK6032" t="s">
        <v>363</v>
      </c>
    </row>
    <row r="6033" spans="1:37">
      <c r="A6033" t="s">
        <v>46</v>
      </c>
      <c r="B6033" t="s">
        <v>66</v>
      </c>
      <c r="C6033" t="s">
        <v>88</v>
      </c>
      <c r="D6033" t="s">
        <v>76</v>
      </c>
      <c r="E6033" t="s">
        <v>126</v>
      </c>
      <c r="F6033" t="s">
        <v>160</v>
      </c>
      <c r="G6033" t="s">
        <v>186</v>
      </c>
      <c r="H6033" t="s">
        <v>217</v>
      </c>
      <c r="I6033" t="s">
        <v>238</v>
      </c>
      <c r="J6033" t="s">
        <v>256</v>
      </c>
      <c r="K6033" t="s">
        <v>265</v>
      </c>
      <c r="L6033" t="s">
        <v>281</v>
      </c>
      <c r="M6033" t="s">
        <v>290</v>
      </c>
      <c r="N6033" t="s">
        <v>299</v>
      </c>
      <c r="O6033" t="s">
        <v>308</v>
      </c>
      <c r="P6033" t="s">
        <v>228</v>
      </c>
      <c r="Q6033" t="s">
        <v>72</v>
      </c>
      <c r="R6033" t="s">
        <v>327</v>
      </c>
      <c r="S6033" t="s">
        <v>327</v>
      </c>
      <c r="T6033" t="s">
        <v>336</v>
      </c>
      <c r="U6033" t="s">
        <v>336</v>
      </c>
      <c r="V6033" t="s">
        <v>336</v>
      </c>
      <c r="W6033" t="s">
        <v>336</v>
      </c>
      <c r="X6033" t="s">
        <v>353</v>
      </c>
      <c r="AK6033" t="s">
        <v>363</v>
      </c>
    </row>
    <row r="6034" spans="1:37">
      <c r="B6034" t="s">
        <v>67</v>
      </c>
      <c r="C6034" t="s">
        <v>89</v>
      </c>
      <c r="D6034" t="s">
        <v>107</v>
      </c>
      <c r="AK6034" t="s">
        <v>363</v>
      </c>
    </row>
    <row r="6035" spans="1:37">
      <c r="B6035" t="s">
        <v>68</v>
      </c>
      <c r="C6035" t="s">
        <v>90</v>
      </c>
      <c r="D6035" t="s">
        <v>108</v>
      </c>
      <c r="AK6035" t="s">
        <v>363</v>
      </c>
    </row>
    <row r="6036" spans="1:37">
      <c r="A6036" t="s">
        <v>47</v>
      </c>
      <c r="B6036" t="s">
        <v>69</v>
      </c>
      <c r="C6036" t="s">
        <v>91</v>
      </c>
      <c r="D6036" t="s">
        <v>109</v>
      </c>
      <c r="E6036" t="s">
        <v>109</v>
      </c>
      <c r="F6036" t="s">
        <v>109</v>
      </c>
      <c r="G6036" t="s">
        <v>109</v>
      </c>
      <c r="H6036" t="s">
        <v>109</v>
      </c>
      <c r="I6036" t="s">
        <v>239</v>
      </c>
      <c r="AK6036" t="s">
        <v>363</v>
      </c>
    </row>
    <row r="6037" spans="1:37">
      <c r="B6037" t="s">
        <v>70</v>
      </c>
      <c r="C6037" t="s">
        <v>92</v>
      </c>
      <c r="D6037" t="s">
        <v>110</v>
      </c>
      <c r="E6037" t="s">
        <v>127</v>
      </c>
      <c r="F6037" t="s">
        <v>161</v>
      </c>
      <c r="G6037" t="s">
        <v>187</v>
      </c>
      <c r="H6037" t="s">
        <v>218</v>
      </c>
      <c r="AK6037" t="s">
        <v>363</v>
      </c>
    </row>
    <row r="6038" spans="1:37">
      <c r="B6038" t="s">
        <v>71</v>
      </c>
      <c r="C6038" t="s">
        <v>93</v>
      </c>
      <c r="D6038" t="s">
        <v>111</v>
      </c>
      <c r="E6038" t="s">
        <v>128</v>
      </c>
      <c r="F6038" t="s">
        <v>162</v>
      </c>
      <c r="G6038" t="s">
        <v>188</v>
      </c>
      <c r="H6038" t="s">
        <v>219</v>
      </c>
      <c r="I6038" t="s">
        <v>240</v>
      </c>
      <c r="J6038" t="s">
        <v>257</v>
      </c>
      <c r="K6038" t="s">
        <v>269</v>
      </c>
      <c r="L6038" t="s">
        <v>109</v>
      </c>
      <c r="M6038" t="s">
        <v>109</v>
      </c>
      <c r="N6038" t="s">
        <v>109</v>
      </c>
      <c r="O6038" t="s">
        <v>109</v>
      </c>
      <c r="P6038" t="s">
        <v>109</v>
      </c>
      <c r="Q6038" t="s">
        <v>321</v>
      </c>
      <c r="AK6038" t="s">
        <v>363</v>
      </c>
    </row>
    <row r="6039" spans="1:37">
      <c r="A6039" t="s">
        <v>48</v>
      </c>
      <c r="B6039" t="s">
        <v>71</v>
      </c>
      <c r="C6039" t="s">
        <v>93</v>
      </c>
      <c r="D6039" t="s">
        <v>111</v>
      </c>
      <c r="E6039" t="s">
        <v>128</v>
      </c>
      <c r="F6039" t="s">
        <v>163</v>
      </c>
      <c r="G6039" t="s">
        <v>189</v>
      </c>
      <c r="H6039" t="s">
        <v>220</v>
      </c>
      <c r="I6039" t="s">
        <v>241</v>
      </c>
      <c r="J6039" t="s">
        <v>258</v>
      </c>
      <c r="K6039" t="s">
        <v>270</v>
      </c>
      <c r="AK6039" t="s">
        <v>363</v>
      </c>
    </row>
    <row r="6040" spans="1:37">
      <c r="B6040" t="s">
        <v>72</v>
      </c>
      <c r="C6040" t="s">
        <v>72</v>
      </c>
      <c r="D6040" t="s">
        <v>72</v>
      </c>
      <c r="E6040" t="s">
        <v>72</v>
      </c>
      <c r="F6040" t="s">
        <v>72</v>
      </c>
      <c r="G6040" t="s">
        <v>72</v>
      </c>
      <c r="H6040" t="s">
        <v>72</v>
      </c>
      <c r="I6040" t="s">
        <v>72</v>
      </c>
      <c r="J6040" t="s">
        <v>72</v>
      </c>
      <c r="K6040" t="s">
        <v>272</v>
      </c>
      <c r="AK6040" t="s">
        <v>363</v>
      </c>
    </row>
    <row r="6041" spans="1:37">
      <c r="A6041" t="s">
        <v>37</v>
      </c>
      <c r="B6041" t="s">
        <v>49</v>
      </c>
      <c r="C6041" t="s">
        <v>73</v>
      </c>
      <c r="D6041" t="s">
        <v>94</v>
      </c>
      <c r="E6041" t="s">
        <v>112</v>
      </c>
      <c r="F6041" t="s">
        <v>146</v>
      </c>
      <c r="G6041" t="s">
        <v>172</v>
      </c>
      <c r="H6041" t="s">
        <v>207</v>
      </c>
      <c r="I6041" t="s">
        <v>226</v>
      </c>
      <c r="J6041" t="s">
        <v>246</v>
      </c>
      <c r="K6041" t="s">
        <v>259</v>
      </c>
      <c r="AK6041" t="s">
        <v>363</v>
      </c>
    </row>
    <row r="6042" spans="1:37">
      <c r="A6042" t="s">
        <v>38</v>
      </c>
      <c r="B6042" t="s">
        <v>50</v>
      </c>
      <c r="C6042" t="s">
        <v>74</v>
      </c>
      <c r="D6042" t="s">
        <v>95</v>
      </c>
      <c r="E6042" t="s">
        <v>113</v>
      </c>
      <c r="F6042" t="s">
        <v>147</v>
      </c>
      <c r="G6042" t="s">
        <v>173</v>
      </c>
      <c r="H6042" t="s">
        <v>208</v>
      </c>
      <c r="I6042" t="s">
        <v>227</v>
      </c>
      <c r="J6042" t="s">
        <v>115</v>
      </c>
      <c r="K6042" t="s">
        <v>260</v>
      </c>
      <c r="L6042" t="s">
        <v>273</v>
      </c>
      <c r="M6042" t="s">
        <v>282</v>
      </c>
      <c r="N6042" t="s">
        <v>291</v>
      </c>
      <c r="AK6042" t="s">
        <v>363</v>
      </c>
    </row>
    <row r="6043" spans="1:37">
      <c r="B6043" t="s">
        <v>51</v>
      </c>
      <c r="C6043" t="s">
        <v>75</v>
      </c>
      <c r="D6043" t="s">
        <v>52</v>
      </c>
      <c r="E6043" t="s">
        <v>114</v>
      </c>
      <c r="F6043" t="s">
        <v>148</v>
      </c>
      <c r="G6043" t="s">
        <v>148</v>
      </c>
      <c r="H6043" t="s">
        <v>209</v>
      </c>
      <c r="I6043" t="s">
        <v>228</v>
      </c>
      <c r="J6043" t="s">
        <v>247</v>
      </c>
      <c r="K6043" t="s">
        <v>261</v>
      </c>
      <c r="L6043" t="s">
        <v>274</v>
      </c>
      <c r="M6043" t="s">
        <v>283</v>
      </c>
      <c r="N6043" t="s">
        <v>292</v>
      </c>
      <c r="O6043" t="s">
        <v>300</v>
      </c>
      <c r="AK6043" t="s">
        <v>363</v>
      </c>
    </row>
    <row r="6044" spans="1:37">
      <c r="B6044" t="s">
        <v>52</v>
      </c>
      <c r="C6044" t="s">
        <v>76</v>
      </c>
      <c r="D6044" t="s">
        <v>96</v>
      </c>
      <c r="E6044" t="s">
        <v>115</v>
      </c>
      <c r="F6044" t="s">
        <v>149</v>
      </c>
      <c r="G6044" t="s">
        <v>174</v>
      </c>
      <c r="H6044" t="s">
        <v>96</v>
      </c>
      <c r="I6044" t="s">
        <v>229</v>
      </c>
      <c r="J6044" t="s">
        <v>248</v>
      </c>
      <c r="K6044" t="s">
        <v>262</v>
      </c>
      <c r="L6044" t="s">
        <v>52</v>
      </c>
      <c r="M6044" t="s">
        <v>76</v>
      </c>
      <c r="N6044" t="s">
        <v>293</v>
      </c>
      <c r="O6044" t="s">
        <v>301</v>
      </c>
      <c r="P6044" t="s">
        <v>309</v>
      </c>
      <c r="Q6044" t="s">
        <v>315</v>
      </c>
      <c r="R6044" t="s">
        <v>228</v>
      </c>
      <c r="S6044" t="s">
        <v>328</v>
      </c>
      <c r="T6044" t="s">
        <v>149</v>
      </c>
      <c r="U6044" t="s">
        <v>337</v>
      </c>
      <c r="V6044" t="s">
        <v>341</v>
      </c>
      <c r="W6044" t="s">
        <v>345</v>
      </c>
      <c r="X6044" t="s">
        <v>350</v>
      </c>
      <c r="AK6044" t="s">
        <v>363</v>
      </c>
    </row>
    <row r="6045" spans="1:37">
      <c r="B6045" t="s">
        <v>53</v>
      </c>
      <c r="C6045" t="s">
        <v>77</v>
      </c>
      <c r="D6045" t="s">
        <v>97</v>
      </c>
      <c r="E6045" t="s">
        <v>116</v>
      </c>
      <c r="F6045" t="s">
        <v>150</v>
      </c>
      <c r="G6045" t="s">
        <v>175</v>
      </c>
      <c r="H6045" t="s">
        <v>210</v>
      </c>
      <c r="I6045" t="s">
        <v>230</v>
      </c>
      <c r="J6045" t="s">
        <v>249</v>
      </c>
      <c r="K6045" t="s">
        <v>263</v>
      </c>
      <c r="L6045" t="s">
        <v>275</v>
      </c>
      <c r="M6045" t="s">
        <v>284</v>
      </c>
      <c r="N6045" t="s">
        <v>294</v>
      </c>
      <c r="O6045" t="s">
        <v>302</v>
      </c>
      <c r="P6045" t="s">
        <v>310</v>
      </c>
      <c r="Q6045" t="s">
        <v>316</v>
      </c>
      <c r="R6045" t="s">
        <v>322</v>
      </c>
      <c r="S6045" t="s">
        <v>329</v>
      </c>
      <c r="AK6045" t="s">
        <v>363</v>
      </c>
    </row>
    <row r="6046" spans="1:37">
      <c r="A6046" t="s">
        <v>39</v>
      </c>
      <c r="B6046" t="s">
        <v>54</v>
      </c>
      <c r="C6046" t="s">
        <v>54</v>
      </c>
      <c r="D6046" t="s">
        <v>54</v>
      </c>
      <c r="E6046" t="s">
        <v>54</v>
      </c>
      <c r="F6046" t="s">
        <v>54</v>
      </c>
      <c r="G6046" t="s">
        <v>54</v>
      </c>
      <c r="H6046" t="s">
        <v>54</v>
      </c>
      <c r="I6046" t="s">
        <v>54</v>
      </c>
      <c r="J6046" t="s">
        <v>54</v>
      </c>
      <c r="K6046" t="s">
        <v>54</v>
      </c>
      <c r="L6046" t="s">
        <v>54</v>
      </c>
      <c r="M6046" t="s">
        <v>54</v>
      </c>
      <c r="N6046" t="s">
        <v>54</v>
      </c>
      <c r="O6046" t="s">
        <v>54</v>
      </c>
      <c r="P6046" t="s">
        <v>54</v>
      </c>
      <c r="Q6046" t="s">
        <v>54</v>
      </c>
      <c r="R6046" t="s">
        <v>323</v>
      </c>
      <c r="S6046" t="s">
        <v>330</v>
      </c>
      <c r="AK6046" t="s">
        <v>363</v>
      </c>
    </row>
    <row r="6047" spans="1:37">
      <c r="B6047" t="s">
        <v>55</v>
      </c>
      <c r="C6047" t="s">
        <v>78</v>
      </c>
      <c r="D6047" t="s">
        <v>55</v>
      </c>
      <c r="E6047" t="s">
        <v>78</v>
      </c>
      <c r="F6047" t="s">
        <v>55</v>
      </c>
      <c r="G6047" t="s">
        <v>78</v>
      </c>
      <c r="H6047" t="s">
        <v>55</v>
      </c>
      <c r="I6047" t="s">
        <v>78</v>
      </c>
      <c r="J6047" t="s">
        <v>55</v>
      </c>
      <c r="K6047" t="s">
        <v>78</v>
      </c>
      <c r="L6047" t="s">
        <v>55</v>
      </c>
      <c r="M6047" t="s">
        <v>78</v>
      </c>
      <c r="N6047" t="s">
        <v>55</v>
      </c>
      <c r="O6047" t="s">
        <v>78</v>
      </c>
      <c r="P6047" t="s">
        <v>55</v>
      </c>
      <c r="Q6047" t="s">
        <v>78</v>
      </c>
      <c r="R6047" t="s">
        <v>55</v>
      </c>
      <c r="S6047" t="s">
        <v>78</v>
      </c>
      <c r="T6047" t="s">
        <v>55</v>
      </c>
      <c r="U6047" t="s">
        <v>78</v>
      </c>
      <c r="V6047" t="s">
        <v>55</v>
      </c>
      <c r="W6047" t="s">
        <v>78</v>
      </c>
      <c r="X6047" t="s">
        <v>55</v>
      </c>
      <c r="Y6047" t="s">
        <v>78</v>
      </c>
      <c r="Z6047" t="s">
        <v>55</v>
      </c>
      <c r="AA6047" t="s">
        <v>78</v>
      </c>
      <c r="AB6047" t="s">
        <v>55</v>
      </c>
      <c r="AC6047" t="s">
        <v>78</v>
      </c>
      <c r="AD6047" t="s">
        <v>55</v>
      </c>
      <c r="AE6047" t="s">
        <v>78</v>
      </c>
      <c r="AF6047" t="s">
        <v>55</v>
      </c>
      <c r="AG6047" t="s">
        <v>78</v>
      </c>
      <c r="AH6047" t="s">
        <v>55</v>
      </c>
      <c r="AI6047" t="s">
        <v>78</v>
      </c>
      <c r="AK6047" t="s">
        <v>363</v>
      </c>
    </row>
    <row r="6048" spans="1:37">
      <c r="B6048" t="s">
        <v>56</v>
      </c>
      <c r="C6048" t="s">
        <v>56</v>
      </c>
      <c r="D6048" t="s">
        <v>56</v>
      </c>
      <c r="E6048" t="s">
        <v>56</v>
      </c>
      <c r="F6048" t="s">
        <v>56</v>
      </c>
      <c r="G6048" t="s">
        <v>176</v>
      </c>
      <c r="H6048" t="s">
        <v>211</v>
      </c>
      <c r="I6048" t="s">
        <v>231</v>
      </c>
      <c r="J6048" t="s">
        <v>250</v>
      </c>
      <c r="K6048" t="s">
        <v>264</v>
      </c>
      <c r="L6048" t="s">
        <v>276</v>
      </c>
      <c r="M6048" t="s">
        <v>285</v>
      </c>
      <c r="N6048" t="s">
        <v>295</v>
      </c>
      <c r="O6048" t="s">
        <v>303</v>
      </c>
      <c r="P6048" t="s">
        <v>56</v>
      </c>
      <c r="Q6048" t="s">
        <v>317</v>
      </c>
      <c r="R6048" t="s">
        <v>324</v>
      </c>
      <c r="S6048" t="s">
        <v>331</v>
      </c>
      <c r="T6048" t="s">
        <v>334</v>
      </c>
      <c r="U6048" t="s">
        <v>338</v>
      </c>
      <c r="V6048" t="s">
        <v>342</v>
      </c>
      <c r="W6048" t="s">
        <v>346</v>
      </c>
      <c r="X6048" t="s">
        <v>351</v>
      </c>
      <c r="AK6048" t="s">
        <v>363</v>
      </c>
    </row>
    <row r="6049" spans="1:37">
      <c r="B6049" t="s">
        <v>57</v>
      </c>
      <c r="C6049" t="s">
        <v>79</v>
      </c>
      <c r="D6049" t="s">
        <v>98</v>
      </c>
      <c r="E6049" t="s">
        <v>117</v>
      </c>
      <c r="F6049" t="s">
        <v>151</v>
      </c>
      <c r="G6049" t="s">
        <v>177</v>
      </c>
      <c r="H6049" t="s">
        <v>212</v>
      </c>
      <c r="I6049" t="s">
        <v>232</v>
      </c>
      <c r="J6049" t="s">
        <v>251</v>
      </c>
      <c r="K6049" t="s">
        <v>265</v>
      </c>
      <c r="L6049" t="s">
        <v>277</v>
      </c>
      <c r="M6049" t="s">
        <v>286</v>
      </c>
      <c r="N6049" t="s">
        <v>296</v>
      </c>
      <c r="O6049" t="s">
        <v>304</v>
      </c>
      <c r="P6049" t="s">
        <v>311</v>
      </c>
      <c r="Q6049" t="s">
        <v>318</v>
      </c>
      <c r="R6049" t="s">
        <v>185</v>
      </c>
      <c r="S6049" t="s">
        <v>159</v>
      </c>
      <c r="T6049" t="s">
        <v>185</v>
      </c>
      <c r="U6049" t="s">
        <v>339</v>
      </c>
      <c r="V6049" t="s">
        <v>72</v>
      </c>
      <c r="W6049" t="s">
        <v>347</v>
      </c>
      <c r="X6049" t="s">
        <v>72</v>
      </c>
      <c r="Y6049" t="s">
        <v>96</v>
      </c>
      <c r="AK6049" t="s">
        <v>363</v>
      </c>
    </row>
    <row r="6050" spans="1:37">
      <c r="B6050" t="s">
        <v>58</v>
      </c>
      <c r="C6050" t="s">
        <v>80</v>
      </c>
      <c r="D6050" t="s">
        <v>99</v>
      </c>
      <c r="E6050" t="s">
        <v>118</v>
      </c>
      <c r="F6050" t="s">
        <v>152</v>
      </c>
      <c r="G6050" t="s">
        <v>178</v>
      </c>
      <c r="H6050" t="s">
        <v>213</v>
      </c>
      <c r="I6050" t="s">
        <v>233</v>
      </c>
      <c r="J6050" t="s">
        <v>252</v>
      </c>
      <c r="K6050" t="s">
        <v>266</v>
      </c>
      <c r="L6050" t="s">
        <v>278</v>
      </c>
      <c r="M6050" t="s">
        <v>287</v>
      </c>
      <c r="N6050" t="s">
        <v>297</v>
      </c>
      <c r="O6050" t="s">
        <v>305</v>
      </c>
      <c r="P6050" t="s">
        <v>312</v>
      </c>
      <c r="Q6050" t="s">
        <v>319</v>
      </c>
      <c r="R6050">
        <f>&gt;10       ветра      1.5     19  28</f>
        <v>0</v>
      </c>
      <c r="AK6050" t="s">
        <v>363</v>
      </c>
    </row>
    <row r="6051" spans="1:37">
      <c r="A6051" t="s">
        <v>40</v>
      </c>
      <c r="B6051" t="s">
        <v>59</v>
      </c>
      <c r="C6051" t="s">
        <v>81</v>
      </c>
      <c r="D6051" t="s">
        <v>100</v>
      </c>
      <c r="E6051" t="s">
        <v>119</v>
      </c>
      <c r="F6051" t="s">
        <v>153</v>
      </c>
      <c r="G6051" t="s">
        <v>179</v>
      </c>
      <c r="H6051" t="s">
        <v>214</v>
      </c>
      <c r="I6051" t="s">
        <v>234</v>
      </c>
      <c r="AK6051" t="s">
        <v>363</v>
      </c>
    </row>
    <row r="6052" spans="1:37">
      <c r="A6052" t="s">
        <v>40</v>
      </c>
      <c r="B6052" t="s">
        <v>60</v>
      </c>
      <c r="C6052" t="s">
        <v>82</v>
      </c>
      <c r="D6052" t="s">
        <v>101</v>
      </c>
      <c r="E6052" t="s">
        <v>120</v>
      </c>
      <c r="F6052" t="s">
        <v>154</v>
      </c>
      <c r="G6052" t="s">
        <v>180</v>
      </c>
      <c r="H6052" t="s">
        <v>215</v>
      </c>
      <c r="I6052" t="s">
        <v>235</v>
      </c>
      <c r="J6052" t="s">
        <v>253</v>
      </c>
      <c r="K6052" t="s">
        <v>267</v>
      </c>
      <c r="L6052" t="s">
        <v>279</v>
      </c>
      <c r="M6052" t="s">
        <v>288</v>
      </c>
      <c r="N6052" t="s">
        <v>100</v>
      </c>
      <c r="O6052" t="s">
        <v>306</v>
      </c>
      <c r="P6052" t="s">
        <v>313</v>
      </c>
      <c r="Q6052" t="s">
        <v>320</v>
      </c>
      <c r="R6052" t="s">
        <v>325</v>
      </c>
      <c r="S6052" t="s">
        <v>332</v>
      </c>
      <c r="T6052" t="s">
        <v>119</v>
      </c>
      <c r="U6052" t="s">
        <v>234</v>
      </c>
      <c r="V6052" t="s">
        <v>343</v>
      </c>
      <c r="W6052" t="s">
        <v>348</v>
      </c>
      <c r="X6052" t="s">
        <v>352</v>
      </c>
      <c r="Y6052" t="s">
        <v>354</v>
      </c>
      <c r="AK6052" t="s">
        <v>363</v>
      </c>
    </row>
    <row r="6053" spans="1:37">
      <c r="A6053" t="s">
        <v>41</v>
      </c>
      <c r="B6053" t="s">
        <v>61</v>
      </c>
      <c r="C6053" t="s">
        <v>83</v>
      </c>
      <c r="D6053" t="s">
        <v>102</v>
      </c>
      <c r="E6053" t="s">
        <v>121</v>
      </c>
      <c r="F6053" t="s">
        <v>155</v>
      </c>
      <c r="G6053" t="s">
        <v>181</v>
      </c>
      <c r="H6053" t="s">
        <v>216</v>
      </c>
      <c r="I6053" t="s">
        <v>236</v>
      </c>
      <c r="AK6053" t="s">
        <v>363</v>
      </c>
    </row>
    <row r="6054" spans="1:37">
      <c r="A6054" t="s">
        <v>42</v>
      </c>
      <c r="B6054" t="s">
        <v>62</v>
      </c>
      <c r="C6054" t="s">
        <v>84</v>
      </c>
      <c r="D6054" t="s">
        <v>103</v>
      </c>
      <c r="E6054" t="s">
        <v>122</v>
      </c>
      <c r="F6054" t="s">
        <v>156</v>
      </c>
      <c r="G6054" t="s">
        <v>182</v>
      </c>
      <c r="H6054" t="s">
        <v>83</v>
      </c>
      <c r="I6054" t="s">
        <v>237</v>
      </c>
      <c r="J6054" t="s">
        <v>254</v>
      </c>
      <c r="K6054" t="s">
        <v>268</v>
      </c>
      <c r="L6054" t="s">
        <v>280</v>
      </c>
      <c r="M6054" t="s">
        <v>289</v>
      </c>
      <c r="N6054" t="s">
        <v>298</v>
      </c>
      <c r="O6054" t="s">
        <v>307</v>
      </c>
      <c r="P6054" t="s">
        <v>314</v>
      </c>
      <c r="Q6054" t="s">
        <v>216</v>
      </c>
      <c r="R6054" t="s">
        <v>326</v>
      </c>
      <c r="S6054" t="s">
        <v>333</v>
      </c>
      <c r="T6054" t="s">
        <v>335</v>
      </c>
      <c r="U6054" t="s">
        <v>340</v>
      </c>
      <c r="V6054" t="s">
        <v>344</v>
      </c>
      <c r="W6054" t="s">
        <v>349</v>
      </c>
      <c r="AK6054" t="s">
        <v>363</v>
      </c>
    </row>
    <row r="6055" spans="1:37">
      <c r="A6055" t="s">
        <v>43</v>
      </c>
      <c r="B6055" t="s">
        <v>63</v>
      </c>
      <c r="C6055" t="s">
        <v>85</v>
      </c>
      <c r="D6055" t="s">
        <v>104</v>
      </c>
      <c r="E6055" t="s">
        <v>123</v>
      </c>
      <c r="F6055" t="s">
        <v>157</v>
      </c>
      <c r="G6055" t="s">
        <v>183</v>
      </c>
      <c r="AK6055" t="s">
        <v>363</v>
      </c>
    </row>
    <row r="6056" spans="1:37">
      <c r="A6056" t="s">
        <v>44</v>
      </c>
      <c r="B6056" t="s">
        <v>64</v>
      </c>
      <c r="C6056" t="s">
        <v>86</v>
      </c>
      <c r="D6056" t="s">
        <v>105</v>
      </c>
      <c r="E6056" t="s">
        <v>124</v>
      </c>
      <c r="F6056" t="s">
        <v>158</v>
      </c>
      <c r="G6056" t="s">
        <v>184</v>
      </c>
      <c r="AK6056" t="s">
        <v>363</v>
      </c>
    </row>
    <row r="6057" spans="1:37">
      <c r="A6057" t="s">
        <v>45</v>
      </c>
      <c r="B6057" t="s">
        <v>65</v>
      </c>
      <c r="C6057" t="s">
        <v>87</v>
      </c>
      <c r="D6057" t="s">
        <v>106</v>
      </c>
      <c r="E6057" t="s">
        <v>125</v>
      </c>
      <c r="F6057" t="s">
        <v>159</v>
      </c>
      <c r="G6057" t="s">
        <v>185</v>
      </c>
      <c r="H6057" t="s">
        <v>159</v>
      </c>
      <c r="I6057" t="s">
        <v>185</v>
      </c>
      <c r="J6057" t="s">
        <v>255</v>
      </c>
      <c r="AK6057" t="s">
        <v>363</v>
      </c>
    </row>
    <row r="6058" spans="1:37">
      <c r="A6058" t="s">
        <v>46</v>
      </c>
      <c r="B6058" t="s">
        <v>66</v>
      </c>
      <c r="C6058" t="s">
        <v>88</v>
      </c>
      <c r="D6058" t="s">
        <v>76</v>
      </c>
      <c r="E6058" t="s">
        <v>126</v>
      </c>
      <c r="F6058" t="s">
        <v>160</v>
      </c>
      <c r="G6058" t="s">
        <v>186</v>
      </c>
      <c r="H6058" t="s">
        <v>217</v>
      </c>
      <c r="I6058" t="s">
        <v>238</v>
      </c>
      <c r="J6058" t="s">
        <v>256</v>
      </c>
      <c r="K6058" t="s">
        <v>265</v>
      </c>
      <c r="L6058" t="s">
        <v>281</v>
      </c>
      <c r="M6058" t="s">
        <v>290</v>
      </c>
      <c r="N6058" t="s">
        <v>299</v>
      </c>
      <c r="O6058" t="s">
        <v>308</v>
      </c>
      <c r="P6058" t="s">
        <v>228</v>
      </c>
      <c r="Q6058" t="s">
        <v>72</v>
      </c>
      <c r="R6058" t="s">
        <v>327</v>
      </c>
      <c r="S6058" t="s">
        <v>327</v>
      </c>
      <c r="T6058" t="s">
        <v>336</v>
      </c>
      <c r="U6058" t="s">
        <v>336</v>
      </c>
      <c r="V6058" t="s">
        <v>336</v>
      </c>
      <c r="W6058" t="s">
        <v>336</v>
      </c>
      <c r="X6058" t="s">
        <v>353</v>
      </c>
      <c r="AK6058" t="s">
        <v>363</v>
      </c>
    </row>
    <row r="6059" spans="1:37">
      <c r="B6059" t="s">
        <v>67</v>
      </c>
      <c r="C6059" t="s">
        <v>89</v>
      </c>
      <c r="D6059" t="s">
        <v>107</v>
      </c>
      <c r="AK6059" t="s">
        <v>363</v>
      </c>
    </row>
    <row r="6060" spans="1:37">
      <c r="B6060" t="s">
        <v>68</v>
      </c>
      <c r="C6060" t="s">
        <v>90</v>
      </c>
      <c r="D6060" t="s">
        <v>108</v>
      </c>
      <c r="AK6060" t="s">
        <v>363</v>
      </c>
    </row>
    <row r="6061" spans="1:37">
      <c r="A6061" t="s">
        <v>47</v>
      </c>
      <c r="B6061" t="s">
        <v>69</v>
      </c>
      <c r="C6061" t="s">
        <v>91</v>
      </c>
      <c r="D6061" t="s">
        <v>109</v>
      </c>
      <c r="E6061" t="s">
        <v>109</v>
      </c>
      <c r="F6061" t="s">
        <v>109</v>
      </c>
      <c r="G6061" t="s">
        <v>109</v>
      </c>
      <c r="H6061" t="s">
        <v>109</v>
      </c>
      <c r="I6061" t="s">
        <v>239</v>
      </c>
      <c r="AK6061" t="s">
        <v>363</v>
      </c>
    </row>
    <row r="6062" spans="1:37">
      <c r="B6062" t="s">
        <v>70</v>
      </c>
      <c r="C6062" t="s">
        <v>92</v>
      </c>
      <c r="D6062" t="s">
        <v>110</v>
      </c>
      <c r="E6062" t="s">
        <v>127</v>
      </c>
      <c r="F6062" t="s">
        <v>161</v>
      </c>
      <c r="G6062" t="s">
        <v>187</v>
      </c>
      <c r="H6062" t="s">
        <v>218</v>
      </c>
      <c r="AK6062" t="s">
        <v>363</v>
      </c>
    </row>
    <row r="6063" spans="1:37">
      <c r="B6063" t="s">
        <v>71</v>
      </c>
      <c r="C6063" t="s">
        <v>93</v>
      </c>
      <c r="D6063" t="s">
        <v>111</v>
      </c>
      <c r="E6063" t="s">
        <v>128</v>
      </c>
      <c r="F6063" t="s">
        <v>162</v>
      </c>
      <c r="G6063" t="s">
        <v>188</v>
      </c>
      <c r="H6063" t="s">
        <v>219</v>
      </c>
      <c r="I6063" t="s">
        <v>240</v>
      </c>
      <c r="J6063" t="s">
        <v>257</v>
      </c>
      <c r="K6063" t="s">
        <v>269</v>
      </c>
      <c r="L6063" t="s">
        <v>109</v>
      </c>
      <c r="M6063" t="s">
        <v>109</v>
      </c>
      <c r="N6063" t="s">
        <v>109</v>
      </c>
      <c r="O6063" t="s">
        <v>109</v>
      </c>
      <c r="P6063" t="s">
        <v>109</v>
      </c>
      <c r="Q6063" t="s">
        <v>321</v>
      </c>
      <c r="AK6063" t="s">
        <v>363</v>
      </c>
    </row>
    <row r="6064" spans="1:37">
      <c r="A6064" t="s">
        <v>48</v>
      </c>
      <c r="B6064" t="s">
        <v>71</v>
      </c>
      <c r="C6064" t="s">
        <v>93</v>
      </c>
      <c r="D6064" t="s">
        <v>111</v>
      </c>
      <c r="E6064" t="s">
        <v>128</v>
      </c>
      <c r="F6064" t="s">
        <v>163</v>
      </c>
      <c r="G6064" t="s">
        <v>189</v>
      </c>
      <c r="H6064" t="s">
        <v>220</v>
      </c>
      <c r="I6064" t="s">
        <v>241</v>
      </c>
      <c r="J6064" t="s">
        <v>258</v>
      </c>
      <c r="K6064" t="s">
        <v>270</v>
      </c>
      <c r="AK6064" t="s">
        <v>363</v>
      </c>
    </row>
    <row r="6065" spans="1:37">
      <c r="B6065" t="s">
        <v>72</v>
      </c>
      <c r="C6065" t="s">
        <v>72</v>
      </c>
      <c r="D6065" t="s">
        <v>72</v>
      </c>
      <c r="E6065" t="s">
        <v>139</v>
      </c>
      <c r="F6065" t="s">
        <v>139</v>
      </c>
      <c r="G6065" t="s">
        <v>192</v>
      </c>
      <c r="H6065" t="s">
        <v>192</v>
      </c>
      <c r="I6065" t="s">
        <v>192</v>
      </c>
      <c r="J6065" t="s">
        <v>192</v>
      </c>
      <c r="K6065" t="s">
        <v>271</v>
      </c>
      <c r="AK6065" t="s">
        <v>363</v>
      </c>
    </row>
    <row r="6066" spans="1:37">
      <c r="A6066" t="s">
        <v>37</v>
      </c>
      <c r="B6066" t="s">
        <v>49</v>
      </c>
      <c r="C6066" t="s">
        <v>73</v>
      </c>
      <c r="D6066" t="s">
        <v>94</v>
      </c>
      <c r="E6066" t="s">
        <v>112</v>
      </c>
      <c r="F6066" t="s">
        <v>146</v>
      </c>
      <c r="G6066" t="s">
        <v>172</v>
      </c>
      <c r="H6066" t="s">
        <v>207</v>
      </c>
      <c r="I6066" t="s">
        <v>226</v>
      </c>
      <c r="J6066" t="s">
        <v>246</v>
      </c>
      <c r="K6066" t="s">
        <v>259</v>
      </c>
      <c r="AK6066" t="s">
        <v>363</v>
      </c>
    </row>
    <row r="6067" spans="1:37">
      <c r="A6067" t="s">
        <v>38</v>
      </c>
      <c r="B6067" t="s">
        <v>50</v>
      </c>
      <c r="C6067" t="s">
        <v>74</v>
      </c>
      <c r="D6067" t="s">
        <v>95</v>
      </c>
      <c r="E6067" t="s">
        <v>113</v>
      </c>
      <c r="F6067" t="s">
        <v>147</v>
      </c>
      <c r="G6067" t="s">
        <v>173</v>
      </c>
      <c r="H6067" t="s">
        <v>208</v>
      </c>
      <c r="I6067" t="s">
        <v>227</v>
      </c>
      <c r="J6067" t="s">
        <v>115</v>
      </c>
      <c r="K6067" t="s">
        <v>260</v>
      </c>
      <c r="L6067" t="s">
        <v>273</v>
      </c>
      <c r="M6067" t="s">
        <v>282</v>
      </c>
      <c r="N6067" t="s">
        <v>291</v>
      </c>
      <c r="AK6067" t="s">
        <v>363</v>
      </c>
    </row>
    <row r="6068" spans="1:37">
      <c r="B6068" t="s">
        <v>51</v>
      </c>
      <c r="C6068" t="s">
        <v>75</v>
      </c>
      <c r="D6068" t="s">
        <v>52</v>
      </c>
      <c r="E6068" t="s">
        <v>114</v>
      </c>
      <c r="F6068" t="s">
        <v>148</v>
      </c>
      <c r="G6068" t="s">
        <v>148</v>
      </c>
      <c r="H6068" t="s">
        <v>209</v>
      </c>
      <c r="I6068" t="s">
        <v>228</v>
      </c>
      <c r="J6068" t="s">
        <v>247</v>
      </c>
      <c r="K6068" t="s">
        <v>261</v>
      </c>
      <c r="L6068" t="s">
        <v>274</v>
      </c>
      <c r="M6068" t="s">
        <v>283</v>
      </c>
      <c r="N6068" t="s">
        <v>292</v>
      </c>
      <c r="O6068" t="s">
        <v>300</v>
      </c>
      <c r="AK6068" t="s">
        <v>363</v>
      </c>
    </row>
    <row r="6069" spans="1:37">
      <c r="B6069" t="s">
        <v>52</v>
      </c>
      <c r="C6069" t="s">
        <v>76</v>
      </c>
      <c r="D6069" t="s">
        <v>96</v>
      </c>
      <c r="E6069" t="s">
        <v>115</v>
      </c>
      <c r="F6069" t="s">
        <v>149</v>
      </c>
      <c r="G6069" t="s">
        <v>174</v>
      </c>
      <c r="H6069" t="s">
        <v>96</v>
      </c>
      <c r="I6069" t="s">
        <v>229</v>
      </c>
      <c r="J6069" t="s">
        <v>248</v>
      </c>
      <c r="K6069" t="s">
        <v>262</v>
      </c>
      <c r="L6069" t="s">
        <v>52</v>
      </c>
      <c r="M6069" t="s">
        <v>76</v>
      </c>
      <c r="N6069" t="s">
        <v>293</v>
      </c>
      <c r="O6069" t="s">
        <v>301</v>
      </c>
      <c r="P6069" t="s">
        <v>309</v>
      </c>
      <c r="Q6069" t="s">
        <v>315</v>
      </c>
      <c r="R6069" t="s">
        <v>228</v>
      </c>
      <c r="S6069" t="s">
        <v>328</v>
      </c>
      <c r="T6069" t="s">
        <v>149</v>
      </c>
      <c r="U6069" t="s">
        <v>337</v>
      </c>
      <c r="V6069" t="s">
        <v>341</v>
      </c>
      <c r="W6069" t="s">
        <v>345</v>
      </c>
      <c r="X6069" t="s">
        <v>350</v>
      </c>
      <c r="AK6069" t="s">
        <v>363</v>
      </c>
    </row>
    <row r="6070" spans="1:37">
      <c r="B6070" t="s">
        <v>53</v>
      </c>
      <c r="C6070" t="s">
        <v>77</v>
      </c>
      <c r="D6070" t="s">
        <v>97</v>
      </c>
      <c r="E6070" t="s">
        <v>116</v>
      </c>
      <c r="F6070" t="s">
        <v>150</v>
      </c>
      <c r="G6070" t="s">
        <v>175</v>
      </c>
      <c r="H6070" t="s">
        <v>210</v>
      </c>
      <c r="I6070" t="s">
        <v>230</v>
      </c>
      <c r="J6070" t="s">
        <v>249</v>
      </c>
      <c r="K6070" t="s">
        <v>263</v>
      </c>
      <c r="L6070" t="s">
        <v>275</v>
      </c>
      <c r="M6070" t="s">
        <v>284</v>
      </c>
      <c r="N6070" t="s">
        <v>294</v>
      </c>
      <c r="O6070" t="s">
        <v>302</v>
      </c>
      <c r="P6070" t="s">
        <v>310</v>
      </c>
      <c r="Q6070" t="s">
        <v>316</v>
      </c>
      <c r="R6070" t="s">
        <v>322</v>
      </c>
      <c r="S6070" t="s">
        <v>329</v>
      </c>
      <c r="AK6070" t="s">
        <v>363</v>
      </c>
    </row>
    <row r="6071" spans="1:37">
      <c r="A6071" t="s">
        <v>39</v>
      </c>
      <c r="B6071" t="s">
        <v>54</v>
      </c>
      <c r="C6071" t="s">
        <v>54</v>
      </c>
      <c r="D6071" t="s">
        <v>54</v>
      </c>
      <c r="E6071" t="s">
        <v>54</v>
      </c>
      <c r="F6071" t="s">
        <v>54</v>
      </c>
      <c r="G6071" t="s">
        <v>54</v>
      </c>
      <c r="H6071" t="s">
        <v>54</v>
      </c>
      <c r="I6071" t="s">
        <v>54</v>
      </c>
      <c r="J6071" t="s">
        <v>54</v>
      </c>
      <c r="K6071" t="s">
        <v>54</v>
      </c>
      <c r="L6071" t="s">
        <v>54</v>
      </c>
      <c r="M6071" t="s">
        <v>54</v>
      </c>
      <c r="N6071" t="s">
        <v>54</v>
      </c>
      <c r="O6071" t="s">
        <v>54</v>
      </c>
      <c r="P6071" t="s">
        <v>54</v>
      </c>
      <c r="Q6071" t="s">
        <v>54</v>
      </c>
      <c r="R6071" t="s">
        <v>323</v>
      </c>
      <c r="S6071" t="s">
        <v>330</v>
      </c>
      <c r="AK6071" t="s">
        <v>363</v>
      </c>
    </row>
    <row r="6072" spans="1:37">
      <c r="B6072" t="s">
        <v>55</v>
      </c>
      <c r="C6072" t="s">
        <v>78</v>
      </c>
      <c r="D6072" t="s">
        <v>55</v>
      </c>
      <c r="E6072" t="s">
        <v>78</v>
      </c>
      <c r="F6072" t="s">
        <v>55</v>
      </c>
      <c r="G6072" t="s">
        <v>78</v>
      </c>
      <c r="H6072" t="s">
        <v>55</v>
      </c>
      <c r="I6072" t="s">
        <v>78</v>
      </c>
      <c r="J6072" t="s">
        <v>55</v>
      </c>
      <c r="K6072" t="s">
        <v>78</v>
      </c>
      <c r="L6072" t="s">
        <v>55</v>
      </c>
      <c r="M6072" t="s">
        <v>78</v>
      </c>
      <c r="N6072" t="s">
        <v>55</v>
      </c>
      <c r="O6072" t="s">
        <v>78</v>
      </c>
      <c r="P6072" t="s">
        <v>55</v>
      </c>
      <c r="Q6072" t="s">
        <v>78</v>
      </c>
      <c r="R6072" t="s">
        <v>55</v>
      </c>
      <c r="S6072" t="s">
        <v>78</v>
      </c>
      <c r="T6072" t="s">
        <v>55</v>
      </c>
      <c r="U6072" t="s">
        <v>78</v>
      </c>
      <c r="V6072" t="s">
        <v>55</v>
      </c>
      <c r="W6072" t="s">
        <v>78</v>
      </c>
      <c r="X6072" t="s">
        <v>55</v>
      </c>
      <c r="Y6072" t="s">
        <v>78</v>
      </c>
      <c r="Z6072" t="s">
        <v>55</v>
      </c>
      <c r="AA6072" t="s">
        <v>78</v>
      </c>
      <c r="AB6072" t="s">
        <v>55</v>
      </c>
      <c r="AC6072" t="s">
        <v>78</v>
      </c>
      <c r="AD6072" t="s">
        <v>55</v>
      </c>
      <c r="AE6072" t="s">
        <v>78</v>
      </c>
      <c r="AF6072" t="s">
        <v>55</v>
      </c>
      <c r="AG6072" t="s">
        <v>78</v>
      </c>
      <c r="AH6072" t="s">
        <v>55</v>
      </c>
      <c r="AI6072" t="s">
        <v>78</v>
      </c>
      <c r="AK6072" t="s">
        <v>363</v>
      </c>
    </row>
    <row r="6073" spans="1:37">
      <c r="B6073" t="s">
        <v>56</v>
      </c>
      <c r="C6073" t="s">
        <v>56</v>
      </c>
      <c r="D6073" t="s">
        <v>56</v>
      </c>
      <c r="E6073" t="s">
        <v>56</v>
      </c>
      <c r="F6073" t="s">
        <v>56</v>
      </c>
      <c r="G6073" t="s">
        <v>176</v>
      </c>
      <c r="H6073" t="s">
        <v>211</v>
      </c>
      <c r="I6073" t="s">
        <v>231</v>
      </c>
      <c r="J6073" t="s">
        <v>250</v>
      </c>
      <c r="K6073" t="s">
        <v>264</v>
      </c>
      <c r="L6073" t="s">
        <v>276</v>
      </c>
      <c r="M6073" t="s">
        <v>285</v>
      </c>
      <c r="N6073" t="s">
        <v>295</v>
      </c>
      <c r="O6073" t="s">
        <v>303</v>
      </c>
      <c r="P6073" t="s">
        <v>56</v>
      </c>
      <c r="Q6073" t="s">
        <v>317</v>
      </c>
      <c r="R6073" t="s">
        <v>324</v>
      </c>
      <c r="S6073" t="s">
        <v>331</v>
      </c>
      <c r="T6073" t="s">
        <v>334</v>
      </c>
      <c r="U6073" t="s">
        <v>338</v>
      </c>
      <c r="V6073" t="s">
        <v>342</v>
      </c>
      <c r="W6073" t="s">
        <v>346</v>
      </c>
      <c r="X6073" t="s">
        <v>351</v>
      </c>
      <c r="AK6073" t="s">
        <v>363</v>
      </c>
    </row>
    <row r="6074" spans="1:37">
      <c r="B6074" t="s">
        <v>57</v>
      </c>
      <c r="C6074" t="s">
        <v>79</v>
      </c>
      <c r="D6074" t="s">
        <v>98</v>
      </c>
      <c r="E6074" t="s">
        <v>117</v>
      </c>
      <c r="F6074" t="s">
        <v>151</v>
      </c>
      <c r="G6074" t="s">
        <v>177</v>
      </c>
      <c r="H6074" t="s">
        <v>212</v>
      </c>
      <c r="I6074" t="s">
        <v>232</v>
      </c>
      <c r="J6074" t="s">
        <v>251</v>
      </c>
      <c r="K6074" t="s">
        <v>265</v>
      </c>
      <c r="L6074" t="s">
        <v>277</v>
      </c>
      <c r="M6074" t="s">
        <v>286</v>
      </c>
      <c r="N6074" t="s">
        <v>296</v>
      </c>
      <c r="O6074" t="s">
        <v>304</v>
      </c>
      <c r="P6074" t="s">
        <v>311</v>
      </c>
      <c r="Q6074" t="s">
        <v>318</v>
      </c>
      <c r="R6074" t="s">
        <v>185</v>
      </c>
      <c r="S6074" t="s">
        <v>159</v>
      </c>
      <c r="T6074" t="s">
        <v>185</v>
      </c>
      <c r="U6074" t="s">
        <v>339</v>
      </c>
      <c r="V6074" t="s">
        <v>72</v>
      </c>
      <c r="W6074" t="s">
        <v>347</v>
      </c>
      <c r="X6074" t="s">
        <v>72</v>
      </c>
      <c r="Y6074" t="s">
        <v>96</v>
      </c>
      <c r="AK6074" t="s">
        <v>363</v>
      </c>
    </row>
    <row r="6075" spans="1:37">
      <c r="B6075" t="s">
        <v>58</v>
      </c>
      <c r="C6075" t="s">
        <v>80</v>
      </c>
      <c r="D6075" t="s">
        <v>99</v>
      </c>
      <c r="E6075" t="s">
        <v>118</v>
      </c>
      <c r="F6075" t="s">
        <v>152</v>
      </c>
      <c r="G6075" t="s">
        <v>178</v>
      </c>
      <c r="H6075" t="s">
        <v>213</v>
      </c>
      <c r="I6075" t="s">
        <v>233</v>
      </c>
      <c r="J6075" t="s">
        <v>252</v>
      </c>
      <c r="K6075" t="s">
        <v>266</v>
      </c>
      <c r="L6075" t="s">
        <v>278</v>
      </c>
      <c r="M6075" t="s">
        <v>287</v>
      </c>
      <c r="N6075" t="s">
        <v>297</v>
      </c>
      <c r="O6075" t="s">
        <v>305</v>
      </c>
      <c r="P6075" t="s">
        <v>312</v>
      </c>
      <c r="Q6075" t="s">
        <v>319</v>
      </c>
      <c r="R6075">
        <f>&gt;10       ветра      1.2     14   3</f>
        <v>0</v>
      </c>
      <c r="AK6075" t="s">
        <v>363</v>
      </c>
    </row>
    <row r="6076" spans="1:37">
      <c r="A6076" t="s">
        <v>40</v>
      </c>
      <c r="B6076" t="s">
        <v>59</v>
      </c>
      <c r="C6076" t="s">
        <v>81</v>
      </c>
      <c r="D6076" t="s">
        <v>100</v>
      </c>
      <c r="E6076" t="s">
        <v>119</v>
      </c>
      <c r="F6076" t="s">
        <v>153</v>
      </c>
      <c r="G6076" t="s">
        <v>179</v>
      </c>
      <c r="H6076" t="s">
        <v>214</v>
      </c>
      <c r="I6076" t="s">
        <v>234</v>
      </c>
      <c r="AK6076" t="s">
        <v>363</v>
      </c>
    </row>
    <row r="6077" spans="1:37">
      <c r="A6077" t="s">
        <v>40</v>
      </c>
      <c r="B6077" t="s">
        <v>60</v>
      </c>
      <c r="C6077" t="s">
        <v>82</v>
      </c>
      <c r="D6077" t="s">
        <v>101</v>
      </c>
      <c r="E6077" t="s">
        <v>120</v>
      </c>
      <c r="F6077" t="s">
        <v>154</v>
      </c>
      <c r="G6077" t="s">
        <v>180</v>
      </c>
      <c r="H6077" t="s">
        <v>215</v>
      </c>
      <c r="I6077" t="s">
        <v>235</v>
      </c>
      <c r="J6077" t="s">
        <v>253</v>
      </c>
      <c r="K6077" t="s">
        <v>267</v>
      </c>
      <c r="L6077" t="s">
        <v>279</v>
      </c>
      <c r="M6077" t="s">
        <v>288</v>
      </c>
      <c r="N6077" t="s">
        <v>100</v>
      </c>
      <c r="O6077" t="s">
        <v>306</v>
      </c>
      <c r="P6077" t="s">
        <v>313</v>
      </c>
      <c r="Q6077" t="s">
        <v>320</v>
      </c>
      <c r="R6077" t="s">
        <v>325</v>
      </c>
      <c r="S6077" t="s">
        <v>332</v>
      </c>
      <c r="T6077" t="s">
        <v>119</v>
      </c>
      <c r="U6077" t="s">
        <v>234</v>
      </c>
      <c r="V6077" t="s">
        <v>343</v>
      </c>
      <c r="W6077" t="s">
        <v>348</v>
      </c>
      <c r="X6077" t="s">
        <v>352</v>
      </c>
      <c r="Y6077" t="s">
        <v>354</v>
      </c>
      <c r="AK6077" t="s">
        <v>363</v>
      </c>
    </row>
    <row r="6078" spans="1:37">
      <c r="A6078" t="s">
        <v>41</v>
      </c>
      <c r="B6078" t="s">
        <v>61</v>
      </c>
      <c r="C6078" t="s">
        <v>83</v>
      </c>
      <c r="D6078" t="s">
        <v>102</v>
      </c>
      <c r="E6078" t="s">
        <v>121</v>
      </c>
      <c r="F6078" t="s">
        <v>155</v>
      </c>
      <c r="G6078" t="s">
        <v>181</v>
      </c>
      <c r="H6078" t="s">
        <v>216</v>
      </c>
      <c r="I6078" t="s">
        <v>236</v>
      </c>
      <c r="AK6078" t="s">
        <v>363</v>
      </c>
    </row>
    <row r="6079" spans="1:37">
      <c r="A6079" t="s">
        <v>42</v>
      </c>
      <c r="B6079" t="s">
        <v>62</v>
      </c>
      <c r="C6079" t="s">
        <v>84</v>
      </c>
      <c r="D6079" t="s">
        <v>103</v>
      </c>
      <c r="E6079" t="s">
        <v>122</v>
      </c>
      <c r="F6079" t="s">
        <v>156</v>
      </c>
      <c r="G6079" t="s">
        <v>182</v>
      </c>
      <c r="H6079" t="s">
        <v>83</v>
      </c>
      <c r="I6079" t="s">
        <v>237</v>
      </c>
      <c r="J6079" t="s">
        <v>254</v>
      </c>
      <c r="K6079" t="s">
        <v>268</v>
      </c>
      <c r="L6079" t="s">
        <v>280</v>
      </c>
      <c r="M6079" t="s">
        <v>289</v>
      </c>
      <c r="N6079" t="s">
        <v>298</v>
      </c>
      <c r="O6079" t="s">
        <v>307</v>
      </c>
      <c r="P6079" t="s">
        <v>314</v>
      </c>
      <c r="Q6079" t="s">
        <v>216</v>
      </c>
      <c r="R6079" t="s">
        <v>326</v>
      </c>
      <c r="S6079" t="s">
        <v>333</v>
      </c>
      <c r="T6079" t="s">
        <v>335</v>
      </c>
      <c r="U6079" t="s">
        <v>340</v>
      </c>
      <c r="V6079" t="s">
        <v>344</v>
      </c>
      <c r="W6079" t="s">
        <v>349</v>
      </c>
      <c r="AK6079" t="s">
        <v>363</v>
      </c>
    </row>
    <row r="6080" spans="1:37">
      <c r="A6080" t="s">
        <v>43</v>
      </c>
      <c r="B6080" t="s">
        <v>63</v>
      </c>
      <c r="C6080" t="s">
        <v>85</v>
      </c>
      <c r="D6080" t="s">
        <v>104</v>
      </c>
      <c r="E6080" t="s">
        <v>123</v>
      </c>
      <c r="F6080" t="s">
        <v>157</v>
      </c>
      <c r="G6080" t="s">
        <v>183</v>
      </c>
      <c r="AK6080" t="s">
        <v>363</v>
      </c>
    </row>
    <row r="6081" spans="1:37">
      <c r="A6081" t="s">
        <v>44</v>
      </c>
      <c r="B6081" t="s">
        <v>64</v>
      </c>
      <c r="C6081" t="s">
        <v>86</v>
      </c>
      <c r="D6081" t="s">
        <v>105</v>
      </c>
      <c r="E6081" t="s">
        <v>124</v>
      </c>
      <c r="F6081" t="s">
        <v>158</v>
      </c>
      <c r="G6081" t="s">
        <v>184</v>
      </c>
      <c r="AK6081" t="s">
        <v>363</v>
      </c>
    </row>
    <row r="6082" spans="1:37">
      <c r="A6082" t="s">
        <v>45</v>
      </c>
      <c r="B6082" t="s">
        <v>65</v>
      </c>
      <c r="C6082" t="s">
        <v>87</v>
      </c>
      <c r="D6082" t="s">
        <v>106</v>
      </c>
      <c r="E6082" t="s">
        <v>125</v>
      </c>
      <c r="F6082" t="s">
        <v>159</v>
      </c>
      <c r="G6082" t="s">
        <v>185</v>
      </c>
      <c r="H6082" t="s">
        <v>159</v>
      </c>
      <c r="I6082" t="s">
        <v>185</v>
      </c>
      <c r="J6082" t="s">
        <v>255</v>
      </c>
      <c r="AK6082" t="s">
        <v>363</v>
      </c>
    </row>
    <row r="6083" spans="1:37">
      <c r="A6083" t="s">
        <v>46</v>
      </c>
      <c r="B6083" t="s">
        <v>66</v>
      </c>
      <c r="C6083" t="s">
        <v>88</v>
      </c>
      <c r="D6083" t="s">
        <v>76</v>
      </c>
      <c r="E6083" t="s">
        <v>126</v>
      </c>
      <c r="F6083" t="s">
        <v>160</v>
      </c>
      <c r="G6083" t="s">
        <v>186</v>
      </c>
      <c r="H6083" t="s">
        <v>217</v>
      </c>
      <c r="I6083" t="s">
        <v>238</v>
      </c>
      <c r="J6083" t="s">
        <v>256</v>
      </c>
      <c r="K6083" t="s">
        <v>265</v>
      </c>
      <c r="L6083" t="s">
        <v>281</v>
      </c>
      <c r="M6083" t="s">
        <v>290</v>
      </c>
      <c r="N6083" t="s">
        <v>299</v>
      </c>
      <c r="O6083" t="s">
        <v>308</v>
      </c>
      <c r="P6083" t="s">
        <v>228</v>
      </c>
      <c r="Q6083" t="s">
        <v>72</v>
      </c>
      <c r="R6083" t="s">
        <v>327</v>
      </c>
      <c r="S6083" t="s">
        <v>327</v>
      </c>
      <c r="T6083" t="s">
        <v>336</v>
      </c>
      <c r="U6083" t="s">
        <v>336</v>
      </c>
      <c r="V6083" t="s">
        <v>336</v>
      </c>
      <c r="W6083" t="s">
        <v>336</v>
      </c>
      <c r="X6083" t="s">
        <v>353</v>
      </c>
      <c r="AK6083" t="s">
        <v>363</v>
      </c>
    </row>
    <row r="6084" spans="1:37">
      <c r="B6084" t="s">
        <v>67</v>
      </c>
      <c r="C6084" t="s">
        <v>89</v>
      </c>
      <c r="D6084" t="s">
        <v>107</v>
      </c>
      <c r="AK6084" t="s">
        <v>363</v>
      </c>
    </row>
    <row r="6085" spans="1:37">
      <c r="B6085" t="s">
        <v>68</v>
      </c>
      <c r="C6085" t="s">
        <v>90</v>
      </c>
      <c r="D6085" t="s">
        <v>108</v>
      </c>
      <c r="AK6085" t="s">
        <v>363</v>
      </c>
    </row>
    <row r="6086" spans="1:37">
      <c r="A6086" t="s">
        <v>47</v>
      </c>
      <c r="B6086" t="s">
        <v>69</v>
      </c>
      <c r="C6086" t="s">
        <v>91</v>
      </c>
      <c r="D6086" t="s">
        <v>109</v>
      </c>
      <c r="E6086" t="s">
        <v>109</v>
      </c>
      <c r="F6086" t="s">
        <v>109</v>
      </c>
      <c r="G6086" t="s">
        <v>109</v>
      </c>
      <c r="H6086" t="s">
        <v>109</v>
      </c>
      <c r="I6086" t="s">
        <v>239</v>
      </c>
      <c r="AK6086" t="s">
        <v>363</v>
      </c>
    </row>
    <row r="6087" spans="1:37">
      <c r="B6087" t="s">
        <v>70</v>
      </c>
      <c r="C6087" t="s">
        <v>92</v>
      </c>
      <c r="D6087" t="s">
        <v>110</v>
      </c>
      <c r="E6087" t="s">
        <v>127</v>
      </c>
      <c r="F6087" t="s">
        <v>161</v>
      </c>
      <c r="G6087" t="s">
        <v>187</v>
      </c>
      <c r="H6087" t="s">
        <v>218</v>
      </c>
      <c r="AK6087" t="s">
        <v>363</v>
      </c>
    </row>
    <row r="6088" spans="1:37">
      <c r="B6088" t="s">
        <v>71</v>
      </c>
      <c r="C6088" t="s">
        <v>93</v>
      </c>
      <c r="D6088" t="s">
        <v>111</v>
      </c>
      <c r="E6088" t="s">
        <v>128</v>
      </c>
      <c r="F6088" t="s">
        <v>162</v>
      </c>
      <c r="G6088" t="s">
        <v>188</v>
      </c>
      <c r="H6088" t="s">
        <v>219</v>
      </c>
      <c r="I6088" t="s">
        <v>240</v>
      </c>
      <c r="J6088" t="s">
        <v>257</v>
      </c>
      <c r="K6088" t="s">
        <v>269</v>
      </c>
      <c r="L6088" t="s">
        <v>109</v>
      </c>
      <c r="M6088" t="s">
        <v>109</v>
      </c>
      <c r="N6088" t="s">
        <v>109</v>
      </c>
      <c r="O6088" t="s">
        <v>109</v>
      </c>
      <c r="P6088" t="s">
        <v>109</v>
      </c>
      <c r="Q6088" t="s">
        <v>321</v>
      </c>
      <c r="AK6088" t="s">
        <v>363</v>
      </c>
    </row>
    <row r="6089" spans="1:37">
      <c r="A6089" t="s">
        <v>48</v>
      </c>
      <c r="B6089" t="s">
        <v>71</v>
      </c>
      <c r="C6089" t="s">
        <v>93</v>
      </c>
      <c r="D6089" t="s">
        <v>111</v>
      </c>
      <c r="E6089" t="s">
        <v>128</v>
      </c>
      <c r="F6089" t="s">
        <v>163</v>
      </c>
      <c r="G6089" t="s">
        <v>189</v>
      </c>
      <c r="H6089" t="s">
        <v>220</v>
      </c>
      <c r="I6089" t="s">
        <v>241</v>
      </c>
      <c r="J6089" t="s">
        <v>258</v>
      </c>
      <c r="K6089" t="s">
        <v>270</v>
      </c>
      <c r="AK6089" t="s">
        <v>363</v>
      </c>
    </row>
    <row r="6090" spans="1:37">
      <c r="B6090" t="s">
        <v>72</v>
      </c>
      <c r="C6090" t="s">
        <v>72</v>
      </c>
      <c r="D6090" t="s">
        <v>72</v>
      </c>
      <c r="E6090" t="s">
        <v>72</v>
      </c>
      <c r="F6090" t="s">
        <v>72</v>
      </c>
      <c r="G6090" t="s">
        <v>72</v>
      </c>
      <c r="H6090" t="s">
        <v>72</v>
      </c>
      <c r="I6090" t="s">
        <v>72</v>
      </c>
      <c r="J6090" t="s">
        <v>72</v>
      </c>
      <c r="K6090" t="s">
        <v>272</v>
      </c>
      <c r="AK6090" t="s">
        <v>363</v>
      </c>
    </row>
    <row r="6091" spans="1:37">
      <c r="A6091" t="s">
        <v>37</v>
      </c>
      <c r="B6091" t="s">
        <v>49</v>
      </c>
      <c r="C6091" t="s">
        <v>73</v>
      </c>
      <c r="D6091" t="s">
        <v>94</v>
      </c>
      <c r="E6091" t="s">
        <v>112</v>
      </c>
      <c r="F6091" t="s">
        <v>146</v>
      </c>
      <c r="G6091" t="s">
        <v>172</v>
      </c>
      <c r="H6091" t="s">
        <v>207</v>
      </c>
      <c r="I6091" t="s">
        <v>226</v>
      </c>
      <c r="J6091" t="s">
        <v>246</v>
      </c>
      <c r="K6091" t="s">
        <v>259</v>
      </c>
      <c r="AK6091" t="s">
        <v>363</v>
      </c>
    </row>
    <row r="6092" spans="1:37">
      <c r="A6092" t="s">
        <v>38</v>
      </c>
      <c r="B6092" t="s">
        <v>50</v>
      </c>
      <c r="C6092" t="s">
        <v>74</v>
      </c>
      <c r="D6092" t="s">
        <v>95</v>
      </c>
      <c r="E6092" t="s">
        <v>113</v>
      </c>
      <c r="F6092" t="s">
        <v>147</v>
      </c>
      <c r="G6092" t="s">
        <v>173</v>
      </c>
      <c r="H6092" t="s">
        <v>208</v>
      </c>
      <c r="I6092" t="s">
        <v>227</v>
      </c>
      <c r="J6092" t="s">
        <v>115</v>
      </c>
      <c r="K6092" t="s">
        <v>260</v>
      </c>
      <c r="L6092" t="s">
        <v>273</v>
      </c>
      <c r="M6092" t="s">
        <v>282</v>
      </c>
      <c r="N6092" t="s">
        <v>291</v>
      </c>
      <c r="AK6092" t="s">
        <v>363</v>
      </c>
    </row>
    <row r="6093" spans="1:37">
      <c r="B6093" t="s">
        <v>51</v>
      </c>
      <c r="C6093" t="s">
        <v>75</v>
      </c>
      <c r="D6093" t="s">
        <v>52</v>
      </c>
      <c r="E6093" t="s">
        <v>114</v>
      </c>
      <c r="F6093" t="s">
        <v>148</v>
      </c>
      <c r="G6093" t="s">
        <v>148</v>
      </c>
      <c r="H6093" t="s">
        <v>209</v>
      </c>
      <c r="I6093" t="s">
        <v>228</v>
      </c>
      <c r="J6093" t="s">
        <v>247</v>
      </c>
      <c r="K6093" t="s">
        <v>261</v>
      </c>
      <c r="L6093" t="s">
        <v>274</v>
      </c>
      <c r="M6093" t="s">
        <v>283</v>
      </c>
      <c r="N6093" t="s">
        <v>292</v>
      </c>
      <c r="O6093" t="s">
        <v>300</v>
      </c>
      <c r="AK6093" t="s">
        <v>363</v>
      </c>
    </row>
    <row r="6094" spans="1:37">
      <c r="B6094" t="s">
        <v>52</v>
      </c>
      <c r="C6094" t="s">
        <v>76</v>
      </c>
      <c r="D6094" t="s">
        <v>96</v>
      </c>
      <c r="E6094" t="s">
        <v>115</v>
      </c>
      <c r="F6094" t="s">
        <v>149</v>
      </c>
      <c r="G6094" t="s">
        <v>174</v>
      </c>
      <c r="H6094" t="s">
        <v>96</v>
      </c>
      <c r="I6094" t="s">
        <v>229</v>
      </c>
      <c r="J6094" t="s">
        <v>248</v>
      </c>
      <c r="K6094" t="s">
        <v>262</v>
      </c>
      <c r="L6094" t="s">
        <v>52</v>
      </c>
      <c r="M6094" t="s">
        <v>76</v>
      </c>
      <c r="N6094" t="s">
        <v>293</v>
      </c>
      <c r="O6094" t="s">
        <v>301</v>
      </c>
      <c r="P6094" t="s">
        <v>309</v>
      </c>
      <c r="Q6094" t="s">
        <v>315</v>
      </c>
      <c r="R6094" t="s">
        <v>228</v>
      </c>
      <c r="S6094" t="s">
        <v>328</v>
      </c>
      <c r="T6094" t="s">
        <v>149</v>
      </c>
      <c r="U6094" t="s">
        <v>337</v>
      </c>
      <c r="V6094" t="s">
        <v>341</v>
      </c>
      <c r="W6094" t="s">
        <v>345</v>
      </c>
      <c r="X6094" t="s">
        <v>350</v>
      </c>
      <c r="AK6094" t="s">
        <v>363</v>
      </c>
    </row>
    <row r="6095" spans="1:37">
      <c r="B6095" t="s">
        <v>53</v>
      </c>
      <c r="C6095" t="s">
        <v>77</v>
      </c>
      <c r="D6095" t="s">
        <v>97</v>
      </c>
      <c r="E6095" t="s">
        <v>116</v>
      </c>
      <c r="F6095" t="s">
        <v>150</v>
      </c>
      <c r="G6095" t="s">
        <v>175</v>
      </c>
      <c r="H6095" t="s">
        <v>210</v>
      </c>
      <c r="I6095" t="s">
        <v>230</v>
      </c>
      <c r="J6095" t="s">
        <v>249</v>
      </c>
      <c r="K6095" t="s">
        <v>263</v>
      </c>
      <c r="L6095" t="s">
        <v>275</v>
      </c>
      <c r="M6095" t="s">
        <v>284</v>
      </c>
      <c r="N6095" t="s">
        <v>294</v>
      </c>
      <c r="O6095" t="s">
        <v>302</v>
      </c>
      <c r="P6095" t="s">
        <v>310</v>
      </c>
      <c r="Q6095" t="s">
        <v>316</v>
      </c>
      <c r="R6095" t="s">
        <v>322</v>
      </c>
      <c r="S6095" t="s">
        <v>329</v>
      </c>
      <c r="AK6095" t="s">
        <v>363</v>
      </c>
    </row>
    <row r="6096" spans="1:37">
      <c r="A6096" t="s">
        <v>39</v>
      </c>
      <c r="B6096" t="s">
        <v>54</v>
      </c>
      <c r="C6096" t="s">
        <v>54</v>
      </c>
      <c r="D6096" t="s">
        <v>54</v>
      </c>
      <c r="E6096" t="s">
        <v>54</v>
      </c>
      <c r="F6096" t="s">
        <v>54</v>
      </c>
      <c r="G6096" t="s">
        <v>54</v>
      </c>
      <c r="H6096" t="s">
        <v>54</v>
      </c>
      <c r="I6096" t="s">
        <v>54</v>
      </c>
      <c r="J6096" t="s">
        <v>54</v>
      </c>
      <c r="K6096" t="s">
        <v>54</v>
      </c>
      <c r="L6096" t="s">
        <v>54</v>
      </c>
      <c r="M6096" t="s">
        <v>54</v>
      </c>
      <c r="N6096" t="s">
        <v>54</v>
      </c>
      <c r="O6096" t="s">
        <v>54</v>
      </c>
      <c r="P6096" t="s">
        <v>54</v>
      </c>
      <c r="Q6096" t="s">
        <v>54</v>
      </c>
      <c r="R6096" t="s">
        <v>323</v>
      </c>
      <c r="S6096" t="s">
        <v>330</v>
      </c>
      <c r="AK6096" t="s">
        <v>363</v>
      </c>
    </row>
    <row r="6097" spans="1:37">
      <c r="B6097" t="s">
        <v>55</v>
      </c>
      <c r="C6097" t="s">
        <v>78</v>
      </c>
      <c r="D6097" t="s">
        <v>55</v>
      </c>
      <c r="E6097" t="s">
        <v>78</v>
      </c>
      <c r="F6097" t="s">
        <v>55</v>
      </c>
      <c r="G6097" t="s">
        <v>78</v>
      </c>
      <c r="H6097" t="s">
        <v>55</v>
      </c>
      <c r="I6097" t="s">
        <v>78</v>
      </c>
      <c r="J6097" t="s">
        <v>55</v>
      </c>
      <c r="K6097" t="s">
        <v>78</v>
      </c>
      <c r="L6097" t="s">
        <v>55</v>
      </c>
      <c r="M6097" t="s">
        <v>78</v>
      </c>
      <c r="N6097" t="s">
        <v>55</v>
      </c>
      <c r="O6097" t="s">
        <v>78</v>
      </c>
      <c r="P6097" t="s">
        <v>55</v>
      </c>
      <c r="Q6097" t="s">
        <v>78</v>
      </c>
      <c r="R6097" t="s">
        <v>55</v>
      </c>
      <c r="S6097" t="s">
        <v>78</v>
      </c>
      <c r="T6097" t="s">
        <v>55</v>
      </c>
      <c r="U6097" t="s">
        <v>78</v>
      </c>
      <c r="V6097" t="s">
        <v>55</v>
      </c>
      <c r="W6097" t="s">
        <v>78</v>
      </c>
      <c r="X6097" t="s">
        <v>55</v>
      </c>
      <c r="Y6097" t="s">
        <v>78</v>
      </c>
      <c r="Z6097" t="s">
        <v>55</v>
      </c>
      <c r="AA6097" t="s">
        <v>78</v>
      </c>
      <c r="AB6097" t="s">
        <v>55</v>
      </c>
      <c r="AC6097" t="s">
        <v>78</v>
      </c>
      <c r="AD6097" t="s">
        <v>55</v>
      </c>
      <c r="AE6097" t="s">
        <v>78</v>
      </c>
      <c r="AF6097" t="s">
        <v>55</v>
      </c>
      <c r="AG6097" t="s">
        <v>78</v>
      </c>
      <c r="AH6097" t="s">
        <v>55</v>
      </c>
      <c r="AI6097" t="s">
        <v>78</v>
      </c>
      <c r="AK6097" t="s">
        <v>363</v>
      </c>
    </row>
    <row r="6098" spans="1:37">
      <c r="B6098" t="s">
        <v>56</v>
      </c>
      <c r="C6098" t="s">
        <v>56</v>
      </c>
      <c r="D6098" t="s">
        <v>56</v>
      </c>
      <c r="E6098" t="s">
        <v>56</v>
      </c>
      <c r="F6098" t="s">
        <v>56</v>
      </c>
      <c r="G6098" t="s">
        <v>176</v>
      </c>
      <c r="H6098" t="s">
        <v>211</v>
      </c>
      <c r="I6098" t="s">
        <v>231</v>
      </c>
      <c r="J6098" t="s">
        <v>250</v>
      </c>
      <c r="K6098" t="s">
        <v>264</v>
      </c>
      <c r="L6098" t="s">
        <v>276</v>
      </c>
      <c r="M6098" t="s">
        <v>285</v>
      </c>
      <c r="N6098" t="s">
        <v>295</v>
      </c>
      <c r="O6098" t="s">
        <v>303</v>
      </c>
      <c r="P6098" t="s">
        <v>56</v>
      </c>
      <c r="Q6098" t="s">
        <v>317</v>
      </c>
      <c r="R6098" t="s">
        <v>324</v>
      </c>
      <c r="S6098" t="s">
        <v>331</v>
      </c>
      <c r="T6098" t="s">
        <v>334</v>
      </c>
      <c r="U6098" t="s">
        <v>338</v>
      </c>
      <c r="V6098" t="s">
        <v>342</v>
      </c>
      <c r="W6098" t="s">
        <v>346</v>
      </c>
      <c r="X6098" t="s">
        <v>351</v>
      </c>
      <c r="AK6098" t="s">
        <v>363</v>
      </c>
    </row>
    <row r="6099" spans="1:37">
      <c r="B6099" t="s">
        <v>57</v>
      </c>
      <c r="C6099" t="s">
        <v>79</v>
      </c>
      <c r="D6099" t="s">
        <v>98</v>
      </c>
      <c r="E6099" t="s">
        <v>117</v>
      </c>
      <c r="F6099" t="s">
        <v>151</v>
      </c>
      <c r="G6099" t="s">
        <v>177</v>
      </c>
      <c r="H6099" t="s">
        <v>212</v>
      </c>
      <c r="I6099" t="s">
        <v>232</v>
      </c>
      <c r="J6099" t="s">
        <v>251</v>
      </c>
      <c r="K6099" t="s">
        <v>265</v>
      </c>
      <c r="L6099" t="s">
        <v>277</v>
      </c>
      <c r="M6099" t="s">
        <v>286</v>
      </c>
      <c r="N6099" t="s">
        <v>296</v>
      </c>
      <c r="O6099" t="s">
        <v>304</v>
      </c>
      <c r="P6099" t="s">
        <v>311</v>
      </c>
      <c r="Q6099" t="s">
        <v>318</v>
      </c>
      <c r="R6099" t="s">
        <v>185</v>
      </c>
      <c r="S6099" t="s">
        <v>159</v>
      </c>
      <c r="T6099" t="s">
        <v>185</v>
      </c>
      <c r="U6099" t="s">
        <v>339</v>
      </c>
      <c r="V6099" t="s">
        <v>72</v>
      </c>
      <c r="W6099" t="s">
        <v>347</v>
      </c>
      <c r="X6099" t="s">
        <v>72</v>
      </c>
      <c r="Y6099" t="s">
        <v>96</v>
      </c>
      <c r="AK6099" t="s">
        <v>363</v>
      </c>
    </row>
    <row r="6100" spans="1:37">
      <c r="B6100" t="s">
        <v>58</v>
      </c>
      <c r="C6100" t="s">
        <v>80</v>
      </c>
      <c r="D6100" t="s">
        <v>99</v>
      </c>
      <c r="E6100" t="s">
        <v>118</v>
      </c>
      <c r="F6100" t="s">
        <v>152</v>
      </c>
      <c r="G6100" t="s">
        <v>178</v>
      </c>
      <c r="H6100" t="s">
        <v>213</v>
      </c>
      <c r="I6100" t="s">
        <v>233</v>
      </c>
      <c r="J6100" t="s">
        <v>252</v>
      </c>
      <c r="K6100" t="s">
        <v>266</v>
      </c>
      <c r="L6100" t="s">
        <v>278</v>
      </c>
      <c r="M6100" t="s">
        <v>287</v>
      </c>
      <c r="N6100" t="s">
        <v>297</v>
      </c>
      <c r="O6100" t="s">
        <v>305</v>
      </c>
      <c r="P6100" t="s">
        <v>312</v>
      </c>
      <c r="Q6100" t="s">
        <v>319</v>
      </c>
      <c r="R6100">
        <f>&gt;10       ветра      1.8     19   8</f>
        <v>0</v>
      </c>
      <c r="AK6100" t="s">
        <v>363</v>
      </c>
    </row>
    <row r="6101" spans="1:37">
      <c r="A6101" t="s">
        <v>40</v>
      </c>
      <c r="B6101" t="s">
        <v>59</v>
      </c>
      <c r="C6101" t="s">
        <v>81</v>
      </c>
      <c r="D6101" t="s">
        <v>100</v>
      </c>
      <c r="E6101" t="s">
        <v>119</v>
      </c>
      <c r="F6101" t="s">
        <v>153</v>
      </c>
      <c r="G6101" t="s">
        <v>179</v>
      </c>
      <c r="H6101" t="s">
        <v>214</v>
      </c>
      <c r="I6101" t="s">
        <v>234</v>
      </c>
      <c r="AK6101" t="s">
        <v>363</v>
      </c>
    </row>
    <row r="6102" spans="1:37">
      <c r="A6102" t="s">
        <v>40</v>
      </c>
      <c r="B6102" t="s">
        <v>60</v>
      </c>
      <c r="C6102" t="s">
        <v>82</v>
      </c>
      <c r="D6102" t="s">
        <v>101</v>
      </c>
      <c r="E6102" t="s">
        <v>120</v>
      </c>
      <c r="F6102" t="s">
        <v>154</v>
      </c>
      <c r="G6102" t="s">
        <v>180</v>
      </c>
      <c r="H6102" t="s">
        <v>215</v>
      </c>
      <c r="I6102" t="s">
        <v>235</v>
      </c>
      <c r="J6102" t="s">
        <v>253</v>
      </c>
      <c r="K6102" t="s">
        <v>267</v>
      </c>
      <c r="L6102" t="s">
        <v>279</v>
      </c>
      <c r="M6102" t="s">
        <v>288</v>
      </c>
      <c r="N6102" t="s">
        <v>100</v>
      </c>
      <c r="O6102" t="s">
        <v>306</v>
      </c>
      <c r="P6102" t="s">
        <v>313</v>
      </c>
      <c r="Q6102" t="s">
        <v>320</v>
      </c>
      <c r="R6102" t="s">
        <v>325</v>
      </c>
      <c r="S6102" t="s">
        <v>332</v>
      </c>
      <c r="T6102" t="s">
        <v>119</v>
      </c>
      <c r="U6102" t="s">
        <v>234</v>
      </c>
      <c r="V6102" t="s">
        <v>343</v>
      </c>
      <c r="W6102" t="s">
        <v>348</v>
      </c>
      <c r="X6102" t="s">
        <v>352</v>
      </c>
      <c r="Y6102" t="s">
        <v>354</v>
      </c>
      <c r="AK6102" t="s">
        <v>363</v>
      </c>
    </row>
    <row r="6103" spans="1:37">
      <c r="A6103" t="s">
        <v>41</v>
      </c>
      <c r="B6103" t="s">
        <v>61</v>
      </c>
      <c r="C6103" t="s">
        <v>83</v>
      </c>
      <c r="D6103" t="s">
        <v>102</v>
      </c>
      <c r="E6103" t="s">
        <v>121</v>
      </c>
      <c r="F6103" t="s">
        <v>155</v>
      </c>
      <c r="G6103" t="s">
        <v>181</v>
      </c>
      <c r="H6103" t="s">
        <v>216</v>
      </c>
      <c r="I6103" t="s">
        <v>236</v>
      </c>
      <c r="AK6103" t="s">
        <v>363</v>
      </c>
    </row>
    <row r="6104" spans="1:37">
      <c r="A6104" t="s">
        <v>42</v>
      </c>
      <c r="B6104" t="s">
        <v>62</v>
      </c>
      <c r="C6104" t="s">
        <v>84</v>
      </c>
      <c r="D6104" t="s">
        <v>103</v>
      </c>
      <c r="E6104" t="s">
        <v>122</v>
      </c>
      <c r="F6104" t="s">
        <v>156</v>
      </c>
      <c r="G6104" t="s">
        <v>182</v>
      </c>
      <c r="H6104" t="s">
        <v>83</v>
      </c>
      <c r="I6104" t="s">
        <v>237</v>
      </c>
      <c r="J6104" t="s">
        <v>254</v>
      </c>
      <c r="K6104" t="s">
        <v>268</v>
      </c>
      <c r="L6104" t="s">
        <v>280</v>
      </c>
      <c r="M6104" t="s">
        <v>289</v>
      </c>
      <c r="N6104" t="s">
        <v>298</v>
      </c>
      <c r="O6104" t="s">
        <v>307</v>
      </c>
      <c r="P6104" t="s">
        <v>314</v>
      </c>
      <c r="Q6104" t="s">
        <v>216</v>
      </c>
      <c r="R6104" t="s">
        <v>326</v>
      </c>
      <c r="S6104" t="s">
        <v>333</v>
      </c>
      <c r="T6104" t="s">
        <v>335</v>
      </c>
      <c r="U6104" t="s">
        <v>340</v>
      </c>
      <c r="V6104" t="s">
        <v>344</v>
      </c>
      <c r="W6104" t="s">
        <v>349</v>
      </c>
      <c r="AK6104" t="s">
        <v>363</v>
      </c>
    </row>
    <row r="6105" spans="1:37">
      <c r="A6105" t="s">
        <v>43</v>
      </c>
      <c r="B6105" t="s">
        <v>63</v>
      </c>
      <c r="C6105" t="s">
        <v>85</v>
      </c>
      <c r="D6105" t="s">
        <v>104</v>
      </c>
      <c r="E6105" t="s">
        <v>123</v>
      </c>
      <c r="F6105" t="s">
        <v>157</v>
      </c>
      <c r="G6105" t="s">
        <v>183</v>
      </c>
      <c r="AK6105" t="s">
        <v>363</v>
      </c>
    </row>
    <row r="6106" spans="1:37">
      <c r="A6106" t="s">
        <v>44</v>
      </c>
      <c r="B6106" t="s">
        <v>64</v>
      </c>
      <c r="C6106" t="s">
        <v>86</v>
      </c>
      <c r="D6106" t="s">
        <v>105</v>
      </c>
      <c r="E6106" t="s">
        <v>124</v>
      </c>
      <c r="F6106" t="s">
        <v>158</v>
      </c>
      <c r="G6106" t="s">
        <v>184</v>
      </c>
      <c r="AK6106" t="s">
        <v>363</v>
      </c>
    </row>
    <row r="6107" spans="1:37">
      <c r="A6107" t="s">
        <v>45</v>
      </c>
      <c r="B6107" t="s">
        <v>65</v>
      </c>
      <c r="C6107" t="s">
        <v>87</v>
      </c>
      <c r="D6107" t="s">
        <v>106</v>
      </c>
      <c r="E6107" t="s">
        <v>125</v>
      </c>
      <c r="F6107" t="s">
        <v>159</v>
      </c>
      <c r="G6107" t="s">
        <v>185</v>
      </c>
      <c r="H6107" t="s">
        <v>159</v>
      </c>
      <c r="I6107" t="s">
        <v>185</v>
      </c>
      <c r="J6107" t="s">
        <v>255</v>
      </c>
      <c r="AK6107" t="s">
        <v>363</v>
      </c>
    </row>
    <row r="6108" spans="1:37">
      <c r="A6108" t="s">
        <v>46</v>
      </c>
      <c r="B6108" t="s">
        <v>66</v>
      </c>
      <c r="C6108" t="s">
        <v>88</v>
      </c>
      <c r="D6108" t="s">
        <v>76</v>
      </c>
      <c r="E6108" t="s">
        <v>126</v>
      </c>
      <c r="F6108" t="s">
        <v>160</v>
      </c>
      <c r="G6108" t="s">
        <v>186</v>
      </c>
      <c r="H6108" t="s">
        <v>217</v>
      </c>
      <c r="I6108" t="s">
        <v>238</v>
      </c>
      <c r="J6108" t="s">
        <v>256</v>
      </c>
      <c r="K6108" t="s">
        <v>265</v>
      </c>
      <c r="L6108" t="s">
        <v>281</v>
      </c>
      <c r="M6108" t="s">
        <v>290</v>
      </c>
      <c r="N6108" t="s">
        <v>299</v>
      </c>
      <c r="O6108" t="s">
        <v>308</v>
      </c>
      <c r="P6108" t="s">
        <v>228</v>
      </c>
      <c r="Q6108" t="s">
        <v>72</v>
      </c>
      <c r="R6108" t="s">
        <v>327</v>
      </c>
      <c r="S6108" t="s">
        <v>327</v>
      </c>
      <c r="T6108" t="s">
        <v>336</v>
      </c>
      <c r="U6108" t="s">
        <v>336</v>
      </c>
      <c r="V6108" t="s">
        <v>336</v>
      </c>
      <c r="W6108" t="s">
        <v>336</v>
      </c>
      <c r="X6108" t="s">
        <v>353</v>
      </c>
      <c r="AK6108" t="s">
        <v>363</v>
      </c>
    </row>
    <row r="6109" spans="1:37">
      <c r="B6109" t="s">
        <v>67</v>
      </c>
      <c r="C6109" t="s">
        <v>89</v>
      </c>
      <c r="D6109" t="s">
        <v>107</v>
      </c>
      <c r="AK6109" t="s">
        <v>363</v>
      </c>
    </row>
    <row r="6110" spans="1:37">
      <c r="B6110" t="s">
        <v>68</v>
      </c>
      <c r="C6110" t="s">
        <v>90</v>
      </c>
      <c r="D6110" t="s">
        <v>108</v>
      </c>
      <c r="AK6110" t="s">
        <v>363</v>
      </c>
    </row>
    <row r="6111" spans="1:37">
      <c r="A6111" t="s">
        <v>47</v>
      </c>
      <c r="B6111" t="s">
        <v>69</v>
      </c>
      <c r="C6111" t="s">
        <v>91</v>
      </c>
      <c r="D6111" t="s">
        <v>109</v>
      </c>
      <c r="E6111" t="s">
        <v>109</v>
      </c>
      <c r="F6111" t="s">
        <v>109</v>
      </c>
      <c r="G6111" t="s">
        <v>109</v>
      </c>
      <c r="H6111" t="s">
        <v>109</v>
      </c>
      <c r="I6111" t="s">
        <v>239</v>
      </c>
      <c r="AK6111" t="s">
        <v>363</v>
      </c>
    </row>
    <row r="6112" spans="1:37">
      <c r="B6112" t="s">
        <v>70</v>
      </c>
      <c r="C6112" t="s">
        <v>92</v>
      </c>
      <c r="D6112" t="s">
        <v>110</v>
      </c>
      <c r="E6112" t="s">
        <v>127</v>
      </c>
      <c r="F6112" t="s">
        <v>161</v>
      </c>
      <c r="G6112" t="s">
        <v>187</v>
      </c>
      <c r="H6112" t="s">
        <v>218</v>
      </c>
      <c r="AK6112" t="s">
        <v>363</v>
      </c>
    </row>
    <row r="6113" spans="1:37">
      <c r="B6113" t="s">
        <v>71</v>
      </c>
      <c r="C6113" t="s">
        <v>93</v>
      </c>
      <c r="D6113" t="s">
        <v>111</v>
      </c>
      <c r="E6113" t="s">
        <v>128</v>
      </c>
      <c r="F6113" t="s">
        <v>162</v>
      </c>
      <c r="G6113" t="s">
        <v>188</v>
      </c>
      <c r="H6113" t="s">
        <v>219</v>
      </c>
      <c r="I6113" t="s">
        <v>240</v>
      </c>
      <c r="J6113" t="s">
        <v>257</v>
      </c>
      <c r="K6113" t="s">
        <v>269</v>
      </c>
      <c r="L6113" t="s">
        <v>109</v>
      </c>
      <c r="M6113" t="s">
        <v>109</v>
      </c>
      <c r="N6113" t="s">
        <v>109</v>
      </c>
      <c r="O6113" t="s">
        <v>109</v>
      </c>
      <c r="P6113" t="s">
        <v>109</v>
      </c>
      <c r="Q6113" t="s">
        <v>321</v>
      </c>
      <c r="AK6113" t="s">
        <v>363</v>
      </c>
    </row>
    <row r="6114" spans="1:37">
      <c r="A6114" t="s">
        <v>48</v>
      </c>
      <c r="B6114" t="s">
        <v>71</v>
      </c>
      <c r="C6114" t="s">
        <v>93</v>
      </c>
      <c r="D6114" t="s">
        <v>111</v>
      </c>
      <c r="E6114" t="s">
        <v>128</v>
      </c>
      <c r="F6114" t="s">
        <v>163</v>
      </c>
      <c r="G6114" t="s">
        <v>189</v>
      </c>
      <c r="H6114" t="s">
        <v>220</v>
      </c>
      <c r="I6114" t="s">
        <v>241</v>
      </c>
      <c r="J6114" t="s">
        <v>258</v>
      </c>
      <c r="K6114" t="s">
        <v>270</v>
      </c>
      <c r="AK6114" t="s">
        <v>363</v>
      </c>
    </row>
    <row r="6115" spans="1:37">
      <c r="B6115" t="s">
        <v>72</v>
      </c>
      <c r="C6115" t="s">
        <v>72</v>
      </c>
      <c r="D6115" t="s">
        <v>72</v>
      </c>
      <c r="E6115" t="s">
        <v>139</v>
      </c>
      <c r="F6115" t="s">
        <v>139</v>
      </c>
      <c r="G6115" t="s">
        <v>192</v>
      </c>
      <c r="H6115" t="s">
        <v>192</v>
      </c>
      <c r="I6115" t="s">
        <v>192</v>
      </c>
      <c r="J6115" t="s">
        <v>192</v>
      </c>
      <c r="K6115" t="s">
        <v>272</v>
      </c>
      <c r="AK6115" t="s">
        <v>363</v>
      </c>
    </row>
    <row r="6116" spans="1:37">
      <c r="A6116" t="s">
        <v>37</v>
      </c>
      <c r="B6116" t="s">
        <v>49</v>
      </c>
      <c r="C6116" t="s">
        <v>73</v>
      </c>
      <c r="D6116" t="s">
        <v>94</v>
      </c>
      <c r="E6116" t="s">
        <v>112</v>
      </c>
      <c r="F6116" t="s">
        <v>146</v>
      </c>
      <c r="G6116" t="s">
        <v>172</v>
      </c>
      <c r="H6116" t="s">
        <v>207</v>
      </c>
      <c r="I6116" t="s">
        <v>226</v>
      </c>
      <c r="J6116" t="s">
        <v>246</v>
      </c>
      <c r="K6116" t="s">
        <v>259</v>
      </c>
      <c r="AK6116" t="s">
        <v>363</v>
      </c>
    </row>
    <row r="6117" spans="1:37">
      <c r="A6117" t="s">
        <v>38</v>
      </c>
      <c r="B6117" t="s">
        <v>50</v>
      </c>
      <c r="C6117" t="s">
        <v>74</v>
      </c>
      <c r="D6117" t="s">
        <v>95</v>
      </c>
      <c r="E6117" t="s">
        <v>113</v>
      </c>
      <c r="F6117" t="s">
        <v>147</v>
      </c>
      <c r="G6117" t="s">
        <v>173</v>
      </c>
      <c r="H6117" t="s">
        <v>208</v>
      </c>
      <c r="I6117" t="s">
        <v>227</v>
      </c>
      <c r="J6117" t="s">
        <v>115</v>
      </c>
      <c r="K6117" t="s">
        <v>260</v>
      </c>
      <c r="L6117" t="s">
        <v>273</v>
      </c>
      <c r="M6117" t="s">
        <v>282</v>
      </c>
      <c r="N6117" t="s">
        <v>291</v>
      </c>
      <c r="AK6117" t="s">
        <v>363</v>
      </c>
    </row>
    <row r="6118" spans="1:37">
      <c r="B6118" t="s">
        <v>51</v>
      </c>
      <c r="C6118" t="s">
        <v>75</v>
      </c>
      <c r="D6118" t="s">
        <v>52</v>
      </c>
      <c r="E6118" t="s">
        <v>114</v>
      </c>
      <c r="F6118" t="s">
        <v>148</v>
      </c>
      <c r="G6118" t="s">
        <v>148</v>
      </c>
      <c r="H6118" t="s">
        <v>209</v>
      </c>
      <c r="I6118" t="s">
        <v>228</v>
      </c>
      <c r="J6118" t="s">
        <v>247</v>
      </c>
      <c r="K6118" t="s">
        <v>261</v>
      </c>
      <c r="L6118" t="s">
        <v>274</v>
      </c>
      <c r="M6118" t="s">
        <v>283</v>
      </c>
      <c r="N6118" t="s">
        <v>292</v>
      </c>
      <c r="O6118" t="s">
        <v>300</v>
      </c>
      <c r="AK6118" t="s">
        <v>363</v>
      </c>
    </row>
    <row r="6119" spans="1:37">
      <c r="B6119" t="s">
        <v>52</v>
      </c>
      <c r="C6119" t="s">
        <v>76</v>
      </c>
      <c r="D6119" t="s">
        <v>96</v>
      </c>
      <c r="E6119" t="s">
        <v>115</v>
      </c>
      <c r="F6119" t="s">
        <v>149</v>
      </c>
      <c r="G6119" t="s">
        <v>174</v>
      </c>
      <c r="H6119" t="s">
        <v>96</v>
      </c>
      <c r="I6119" t="s">
        <v>229</v>
      </c>
      <c r="J6119" t="s">
        <v>248</v>
      </c>
      <c r="K6119" t="s">
        <v>262</v>
      </c>
      <c r="L6119" t="s">
        <v>52</v>
      </c>
      <c r="M6119" t="s">
        <v>76</v>
      </c>
      <c r="N6119" t="s">
        <v>293</v>
      </c>
      <c r="O6119" t="s">
        <v>301</v>
      </c>
      <c r="P6119" t="s">
        <v>309</v>
      </c>
      <c r="Q6119" t="s">
        <v>315</v>
      </c>
      <c r="R6119" t="s">
        <v>228</v>
      </c>
      <c r="S6119" t="s">
        <v>328</v>
      </c>
      <c r="T6119" t="s">
        <v>149</v>
      </c>
      <c r="U6119" t="s">
        <v>337</v>
      </c>
      <c r="V6119" t="s">
        <v>341</v>
      </c>
      <c r="W6119" t="s">
        <v>345</v>
      </c>
      <c r="X6119" t="s">
        <v>350</v>
      </c>
      <c r="AK6119" t="s">
        <v>363</v>
      </c>
    </row>
    <row r="6120" spans="1:37">
      <c r="B6120" t="s">
        <v>53</v>
      </c>
      <c r="C6120" t="s">
        <v>77</v>
      </c>
      <c r="D6120" t="s">
        <v>97</v>
      </c>
      <c r="E6120" t="s">
        <v>116</v>
      </c>
      <c r="F6120" t="s">
        <v>150</v>
      </c>
      <c r="G6120" t="s">
        <v>175</v>
      </c>
      <c r="H6120" t="s">
        <v>210</v>
      </c>
      <c r="I6120" t="s">
        <v>230</v>
      </c>
      <c r="J6120" t="s">
        <v>249</v>
      </c>
      <c r="K6120" t="s">
        <v>263</v>
      </c>
      <c r="L6120" t="s">
        <v>275</v>
      </c>
      <c r="M6120" t="s">
        <v>284</v>
      </c>
      <c r="N6120" t="s">
        <v>294</v>
      </c>
      <c r="O6120" t="s">
        <v>302</v>
      </c>
      <c r="P6120" t="s">
        <v>310</v>
      </c>
      <c r="Q6120" t="s">
        <v>316</v>
      </c>
      <c r="R6120" t="s">
        <v>322</v>
      </c>
      <c r="S6120" t="s">
        <v>329</v>
      </c>
      <c r="AK6120" t="s">
        <v>363</v>
      </c>
    </row>
    <row r="6121" spans="1:37">
      <c r="A6121" t="s">
        <v>39</v>
      </c>
      <c r="B6121" t="s">
        <v>54</v>
      </c>
      <c r="C6121" t="s">
        <v>54</v>
      </c>
      <c r="D6121" t="s">
        <v>54</v>
      </c>
      <c r="E6121" t="s">
        <v>54</v>
      </c>
      <c r="F6121" t="s">
        <v>54</v>
      </c>
      <c r="G6121" t="s">
        <v>54</v>
      </c>
      <c r="H6121" t="s">
        <v>54</v>
      </c>
      <c r="I6121" t="s">
        <v>54</v>
      </c>
      <c r="J6121" t="s">
        <v>54</v>
      </c>
      <c r="K6121" t="s">
        <v>54</v>
      </c>
      <c r="L6121" t="s">
        <v>54</v>
      </c>
      <c r="M6121" t="s">
        <v>54</v>
      </c>
      <c r="N6121" t="s">
        <v>54</v>
      </c>
      <c r="O6121" t="s">
        <v>54</v>
      </c>
      <c r="P6121" t="s">
        <v>54</v>
      </c>
      <c r="Q6121" t="s">
        <v>54</v>
      </c>
      <c r="R6121" t="s">
        <v>323</v>
      </c>
      <c r="S6121" t="s">
        <v>330</v>
      </c>
      <c r="AK6121" t="s">
        <v>363</v>
      </c>
    </row>
    <row r="6122" spans="1:37">
      <c r="B6122" t="s">
        <v>55</v>
      </c>
      <c r="C6122" t="s">
        <v>78</v>
      </c>
      <c r="D6122" t="s">
        <v>55</v>
      </c>
      <c r="E6122" t="s">
        <v>78</v>
      </c>
      <c r="F6122" t="s">
        <v>55</v>
      </c>
      <c r="G6122" t="s">
        <v>78</v>
      </c>
      <c r="H6122" t="s">
        <v>55</v>
      </c>
      <c r="I6122" t="s">
        <v>78</v>
      </c>
      <c r="J6122" t="s">
        <v>55</v>
      </c>
      <c r="K6122" t="s">
        <v>78</v>
      </c>
      <c r="L6122" t="s">
        <v>55</v>
      </c>
      <c r="M6122" t="s">
        <v>78</v>
      </c>
      <c r="N6122" t="s">
        <v>55</v>
      </c>
      <c r="O6122" t="s">
        <v>78</v>
      </c>
      <c r="P6122" t="s">
        <v>55</v>
      </c>
      <c r="Q6122" t="s">
        <v>78</v>
      </c>
      <c r="R6122" t="s">
        <v>55</v>
      </c>
      <c r="S6122" t="s">
        <v>78</v>
      </c>
      <c r="T6122" t="s">
        <v>55</v>
      </c>
      <c r="U6122" t="s">
        <v>78</v>
      </c>
      <c r="V6122" t="s">
        <v>55</v>
      </c>
      <c r="W6122" t="s">
        <v>78</v>
      </c>
      <c r="X6122" t="s">
        <v>55</v>
      </c>
      <c r="Y6122" t="s">
        <v>78</v>
      </c>
      <c r="Z6122" t="s">
        <v>55</v>
      </c>
      <c r="AA6122" t="s">
        <v>78</v>
      </c>
      <c r="AB6122" t="s">
        <v>55</v>
      </c>
      <c r="AC6122" t="s">
        <v>78</v>
      </c>
      <c r="AD6122" t="s">
        <v>55</v>
      </c>
      <c r="AE6122" t="s">
        <v>78</v>
      </c>
      <c r="AF6122" t="s">
        <v>55</v>
      </c>
      <c r="AG6122" t="s">
        <v>78</v>
      </c>
      <c r="AH6122" t="s">
        <v>55</v>
      </c>
      <c r="AI6122" t="s">
        <v>78</v>
      </c>
      <c r="AK6122" t="s">
        <v>363</v>
      </c>
    </row>
    <row r="6123" spans="1:37">
      <c r="B6123" t="s">
        <v>56</v>
      </c>
      <c r="C6123" t="s">
        <v>56</v>
      </c>
      <c r="D6123" t="s">
        <v>56</v>
      </c>
      <c r="E6123" t="s">
        <v>56</v>
      </c>
      <c r="F6123" t="s">
        <v>56</v>
      </c>
      <c r="G6123" t="s">
        <v>176</v>
      </c>
      <c r="H6123" t="s">
        <v>211</v>
      </c>
      <c r="I6123" t="s">
        <v>231</v>
      </c>
      <c r="J6123" t="s">
        <v>250</v>
      </c>
      <c r="K6123" t="s">
        <v>264</v>
      </c>
      <c r="L6123" t="s">
        <v>276</v>
      </c>
      <c r="M6123" t="s">
        <v>285</v>
      </c>
      <c r="N6123" t="s">
        <v>295</v>
      </c>
      <c r="O6123" t="s">
        <v>303</v>
      </c>
      <c r="P6123" t="s">
        <v>56</v>
      </c>
      <c r="Q6123" t="s">
        <v>317</v>
      </c>
      <c r="R6123" t="s">
        <v>324</v>
      </c>
      <c r="S6123" t="s">
        <v>331</v>
      </c>
      <c r="T6123" t="s">
        <v>334</v>
      </c>
      <c r="U6123" t="s">
        <v>338</v>
      </c>
      <c r="V6123" t="s">
        <v>342</v>
      </c>
      <c r="W6123" t="s">
        <v>346</v>
      </c>
      <c r="X6123" t="s">
        <v>351</v>
      </c>
      <c r="AK6123" t="s">
        <v>363</v>
      </c>
    </row>
    <row r="6124" spans="1:37">
      <c r="B6124" t="s">
        <v>57</v>
      </c>
      <c r="C6124" t="s">
        <v>79</v>
      </c>
      <c r="D6124" t="s">
        <v>98</v>
      </c>
      <c r="E6124" t="s">
        <v>117</v>
      </c>
      <c r="F6124" t="s">
        <v>151</v>
      </c>
      <c r="G6124" t="s">
        <v>177</v>
      </c>
      <c r="H6124" t="s">
        <v>212</v>
      </c>
      <c r="I6124" t="s">
        <v>232</v>
      </c>
      <c r="J6124" t="s">
        <v>251</v>
      </c>
      <c r="K6124" t="s">
        <v>265</v>
      </c>
      <c r="L6124" t="s">
        <v>277</v>
      </c>
      <c r="M6124" t="s">
        <v>286</v>
      </c>
      <c r="N6124" t="s">
        <v>296</v>
      </c>
      <c r="O6124" t="s">
        <v>304</v>
      </c>
      <c r="P6124" t="s">
        <v>311</v>
      </c>
      <c r="Q6124" t="s">
        <v>318</v>
      </c>
      <c r="R6124" t="s">
        <v>185</v>
      </c>
      <c r="S6124" t="s">
        <v>159</v>
      </c>
      <c r="T6124" t="s">
        <v>185</v>
      </c>
      <c r="U6124" t="s">
        <v>339</v>
      </c>
      <c r="V6124" t="s">
        <v>72</v>
      </c>
      <c r="W6124" t="s">
        <v>347</v>
      </c>
      <c r="X6124" t="s">
        <v>72</v>
      </c>
      <c r="Y6124" t="s">
        <v>96</v>
      </c>
      <c r="AK6124" t="s">
        <v>363</v>
      </c>
    </row>
    <row r="6125" spans="1:37">
      <c r="B6125" t="s">
        <v>58</v>
      </c>
      <c r="C6125" t="s">
        <v>80</v>
      </c>
      <c r="D6125" t="s">
        <v>99</v>
      </c>
      <c r="E6125" t="s">
        <v>118</v>
      </c>
      <c r="F6125" t="s">
        <v>152</v>
      </c>
      <c r="G6125" t="s">
        <v>178</v>
      </c>
      <c r="H6125" t="s">
        <v>213</v>
      </c>
      <c r="I6125" t="s">
        <v>233</v>
      </c>
      <c r="J6125" t="s">
        <v>252</v>
      </c>
      <c r="K6125" t="s">
        <v>266</v>
      </c>
      <c r="L6125" t="s">
        <v>278</v>
      </c>
      <c r="M6125" t="s">
        <v>287</v>
      </c>
      <c r="N6125" t="s">
        <v>297</v>
      </c>
      <c r="O6125" t="s">
        <v>305</v>
      </c>
      <c r="P6125" t="s">
        <v>312</v>
      </c>
      <c r="Q6125" t="s">
        <v>319</v>
      </c>
      <c r="R6125">
        <f>&gt;10       ветра      3.1     17   3</f>
        <v>0</v>
      </c>
      <c r="AK6125" t="s">
        <v>363</v>
      </c>
    </row>
    <row r="6126" spans="1:37">
      <c r="A6126" t="s">
        <v>40</v>
      </c>
      <c r="B6126" t="s">
        <v>59</v>
      </c>
      <c r="C6126" t="s">
        <v>81</v>
      </c>
      <c r="D6126" t="s">
        <v>100</v>
      </c>
      <c r="E6126" t="s">
        <v>119</v>
      </c>
      <c r="F6126" t="s">
        <v>153</v>
      </c>
      <c r="G6126" t="s">
        <v>179</v>
      </c>
      <c r="H6126" t="s">
        <v>214</v>
      </c>
      <c r="I6126" t="s">
        <v>234</v>
      </c>
      <c r="AK6126" t="s">
        <v>363</v>
      </c>
    </row>
    <row r="6127" spans="1:37">
      <c r="A6127" t="s">
        <v>40</v>
      </c>
      <c r="B6127" t="s">
        <v>60</v>
      </c>
      <c r="C6127" t="s">
        <v>82</v>
      </c>
      <c r="D6127" t="s">
        <v>101</v>
      </c>
      <c r="E6127" t="s">
        <v>120</v>
      </c>
      <c r="F6127" t="s">
        <v>154</v>
      </c>
      <c r="G6127" t="s">
        <v>180</v>
      </c>
      <c r="H6127" t="s">
        <v>215</v>
      </c>
      <c r="I6127" t="s">
        <v>235</v>
      </c>
      <c r="J6127" t="s">
        <v>253</v>
      </c>
      <c r="K6127" t="s">
        <v>267</v>
      </c>
      <c r="L6127" t="s">
        <v>279</v>
      </c>
      <c r="M6127" t="s">
        <v>288</v>
      </c>
      <c r="N6127" t="s">
        <v>100</v>
      </c>
      <c r="O6127" t="s">
        <v>306</v>
      </c>
      <c r="P6127" t="s">
        <v>313</v>
      </c>
      <c r="Q6127" t="s">
        <v>320</v>
      </c>
      <c r="R6127" t="s">
        <v>325</v>
      </c>
      <c r="S6127" t="s">
        <v>332</v>
      </c>
      <c r="T6127" t="s">
        <v>119</v>
      </c>
      <c r="U6127" t="s">
        <v>234</v>
      </c>
      <c r="V6127" t="s">
        <v>343</v>
      </c>
      <c r="W6127" t="s">
        <v>348</v>
      </c>
      <c r="X6127" t="s">
        <v>352</v>
      </c>
      <c r="Y6127" t="s">
        <v>354</v>
      </c>
      <c r="AK6127" t="s">
        <v>363</v>
      </c>
    </row>
    <row r="6128" spans="1:37">
      <c r="A6128" t="s">
        <v>41</v>
      </c>
      <c r="B6128" t="s">
        <v>61</v>
      </c>
      <c r="C6128" t="s">
        <v>83</v>
      </c>
      <c r="D6128" t="s">
        <v>102</v>
      </c>
      <c r="E6128" t="s">
        <v>121</v>
      </c>
      <c r="F6128" t="s">
        <v>155</v>
      </c>
      <c r="G6128" t="s">
        <v>181</v>
      </c>
      <c r="H6128" t="s">
        <v>216</v>
      </c>
      <c r="I6128" t="s">
        <v>236</v>
      </c>
      <c r="AK6128" t="s">
        <v>363</v>
      </c>
    </row>
    <row r="6129" spans="1:37">
      <c r="A6129" t="s">
        <v>42</v>
      </c>
      <c r="B6129" t="s">
        <v>62</v>
      </c>
      <c r="C6129" t="s">
        <v>84</v>
      </c>
      <c r="D6129" t="s">
        <v>103</v>
      </c>
      <c r="E6129" t="s">
        <v>122</v>
      </c>
      <c r="F6129" t="s">
        <v>156</v>
      </c>
      <c r="G6129" t="s">
        <v>182</v>
      </c>
      <c r="H6129" t="s">
        <v>83</v>
      </c>
      <c r="I6129" t="s">
        <v>237</v>
      </c>
      <c r="J6129" t="s">
        <v>254</v>
      </c>
      <c r="K6129" t="s">
        <v>268</v>
      </c>
      <c r="L6129" t="s">
        <v>280</v>
      </c>
      <c r="M6129" t="s">
        <v>289</v>
      </c>
      <c r="N6129" t="s">
        <v>298</v>
      </c>
      <c r="O6129" t="s">
        <v>307</v>
      </c>
      <c r="P6129" t="s">
        <v>314</v>
      </c>
      <c r="Q6129" t="s">
        <v>216</v>
      </c>
      <c r="R6129" t="s">
        <v>326</v>
      </c>
      <c r="S6129" t="s">
        <v>333</v>
      </c>
      <c r="T6129" t="s">
        <v>335</v>
      </c>
      <c r="U6129" t="s">
        <v>340</v>
      </c>
      <c r="V6129" t="s">
        <v>344</v>
      </c>
      <c r="W6129" t="s">
        <v>349</v>
      </c>
      <c r="AK6129" t="s">
        <v>363</v>
      </c>
    </row>
    <row r="6130" spans="1:37">
      <c r="A6130" t="s">
        <v>43</v>
      </c>
      <c r="B6130" t="s">
        <v>63</v>
      </c>
      <c r="C6130" t="s">
        <v>85</v>
      </c>
      <c r="D6130" t="s">
        <v>104</v>
      </c>
      <c r="E6130" t="s">
        <v>123</v>
      </c>
      <c r="F6130" t="s">
        <v>157</v>
      </c>
      <c r="G6130" t="s">
        <v>183</v>
      </c>
      <c r="AK6130" t="s">
        <v>363</v>
      </c>
    </row>
    <row r="6131" spans="1:37">
      <c r="A6131" t="s">
        <v>44</v>
      </c>
      <c r="B6131" t="s">
        <v>64</v>
      </c>
      <c r="C6131" t="s">
        <v>86</v>
      </c>
      <c r="D6131" t="s">
        <v>105</v>
      </c>
      <c r="E6131" t="s">
        <v>124</v>
      </c>
      <c r="F6131" t="s">
        <v>158</v>
      </c>
      <c r="G6131" t="s">
        <v>184</v>
      </c>
      <c r="AK6131" t="s">
        <v>363</v>
      </c>
    </row>
    <row r="6132" spans="1:37">
      <c r="A6132" t="s">
        <v>45</v>
      </c>
      <c r="B6132" t="s">
        <v>65</v>
      </c>
      <c r="C6132" t="s">
        <v>87</v>
      </c>
      <c r="D6132" t="s">
        <v>106</v>
      </c>
      <c r="E6132" t="s">
        <v>125</v>
      </c>
      <c r="F6132" t="s">
        <v>159</v>
      </c>
      <c r="G6132" t="s">
        <v>185</v>
      </c>
      <c r="H6132" t="s">
        <v>159</v>
      </c>
      <c r="I6132" t="s">
        <v>185</v>
      </c>
      <c r="J6132" t="s">
        <v>255</v>
      </c>
      <c r="AK6132" t="s">
        <v>363</v>
      </c>
    </row>
    <row r="6133" spans="1:37">
      <c r="A6133" t="s">
        <v>46</v>
      </c>
      <c r="B6133" t="s">
        <v>66</v>
      </c>
      <c r="C6133" t="s">
        <v>88</v>
      </c>
      <c r="D6133" t="s">
        <v>76</v>
      </c>
      <c r="E6133" t="s">
        <v>126</v>
      </c>
      <c r="F6133" t="s">
        <v>160</v>
      </c>
      <c r="G6133" t="s">
        <v>186</v>
      </c>
      <c r="H6133" t="s">
        <v>217</v>
      </c>
      <c r="I6133" t="s">
        <v>238</v>
      </c>
      <c r="J6133" t="s">
        <v>256</v>
      </c>
      <c r="K6133" t="s">
        <v>265</v>
      </c>
      <c r="L6133" t="s">
        <v>281</v>
      </c>
      <c r="M6133" t="s">
        <v>290</v>
      </c>
      <c r="N6133" t="s">
        <v>299</v>
      </c>
      <c r="O6133" t="s">
        <v>308</v>
      </c>
      <c r="P6133" t="s">
        <v>228</v>
      </c>
      <c r="Q6133" t="s">
        <v>72</v>
      </c>
      <c r="R6133" t="s">
        <v>327</v>
      </c>
      <c r="S6133" t="s">
        <v>327</v>
      </c>
      <c r="T6133" t="s">
        <v>336</v>
      </c>
      <c r="U6133" t="s">
        <v>336</v>
      </c>
      <c r="V6133" t="s">
        <v>336</v>
      </c>
      <c r="W6133" t="s">
        <v>336</v>
      </c>
      <c r="X6133" t="s">
        <v>353</v>
      </c>
      <c r="AK6133" t="s">
        <v>363</v>
      </c>
    </row>
    <row r="6134" spans="1:37">
      <c r="B6134" t="s">
        <v>67</v>
      </c>
      <c r="C6134" t="s">
        <v>89</v>
      </c>
      <c r="D6134" t="s">
        <v>107</v>
      </c>
      <c r="AK6134" t="s">
        <v>363</v>
      </c>
    </row>
    <row r="6135" spans="1:37">
      <c r="B6135" t="s">
        <v>68</v>
      </c>
      <c r="C6135" t="s">
        <v>90</v>
      </c>
      <c r="D6135" t="s">
        <v>108</v>
      </c>
      <c r="AK6135" t="s">
        <v>363</v>
      </c>
    </row>
    <row r="6136" spans="1:37">
      <c r="A6136" t="s">
        <v>47</v>
      </c>
      <c r="B6136" t="s">
        <v>69</v>
      </c>
      <c r="C6136" t="s">
        <v>91</v>
      </c>
      <c r="D6136" t="s">
        <v>109</v>
      </c>
      <c r="E6136" t="s">
        <v>109</v>
      </c>
      <c r="F6136" t="s">
        <v>109</v>
      </c>
      <c r="G6136" t="s">
        <v>109</v>
      </c>
      <c r="H6136" t="s">
        <v>109</v>
      </c>
      <c r="I6136" t="s">
        <v>239</v>
      </c>
      <c r="AK6136" t="s">
        <v>363</v>
      </c>
    </row>
    <row r="6137" spans="1:37">
      <c r="B6137" t="s">
        <v>70</v>
      </c>
      <c r="C6137" t="s">
        <v>92</v>
      </c>
      <c r="D6137" t="s">
        <v>110</v>
      </c>
      <c r="E6137" t="s">
        <v>127</v>
      </c>
      <c r="F6137" t="s">
        <v>161</v>
      </c>
      <c r="G6137" t="s">
        <v>187</v>
      </c>
      <c r="H6137" t="s">
        <v>218</v>
      </c>
      <c r="AK6137" t="s">
        <v>363</v>
      </c>
    </row>
    <row r="6138" spans="1:37">
      <c r="B6138" t="s">
        <v>71</v>
      </c>
      <c r="C6138" t="s">
        <v>93</v>
      </c>
      <c r="D6138" t="s">
        <v>111</v>
      </c>
      <c r="E6138" t="s">
        <v>128</v>
      </c>
      <c r="F6138" t="s">
        <v>162</v>
      </c>
      <c r="G6138" t="s">
        <v>188</v>
      </c>
      <c r="H6138" t="s">
        <v>219</v>
      </c>
      <c r="I6138" t="s">
        <v>240</v>
      </c>
      <c r="J6138" t="s">
        <v>257</v>
      </c>
      <c r="K6138" t="s">
        <v>269</v>
      </c>
      <c r="L6138" t="s">
        <v>109</v>
      </c>
      <c r="M6138" t="s">
        <v>109</v>
      </c>
      <c r="N6138" t="s">
        <v>109</v>
      </c>
      <c r="O6138" t="s">
        <v>109</v>
      </c>
      <c r="P6138" t="s">
        <v>109</v>
      </c>
      <c r="Q6138" t="s">
        <v>321</v>
      </c>
      <c r="AK6138" t="s">
        <v>363</v>
      </c>
    </row>
    <row r="6139" spans="1:37">
      <c r="A6139" t="s">
        <v>48</v>
      </c>
      <c r="B6139" t="s">
        <v>71</v>
      </c>
      <c r="C6139" t="s">
        <v>93</v>
      </c>
      <c r="D6139" t="s">
        <v>111</v>
      </c>
      <c r="E6139" t="s">
        <v>128</v>
      </c>
      <c r="F6139" t="s">
        <v>163</v>
      </c>
      <c r="G6139" t="s">
        <v>189</v>
      </c>
      <c r="H6139" t="s">
        <v>220</v>
      </c>
      <c r="I6139" t="s">
        <v>241</v>
      </c>
      <c r="J6139" t="s">
        <v>258</v>
      </c>
      <c r="K6139" t="s">
        <v>270</v>
      </c>
      <c r="AK6139" t="s">
        <v>363</v>
      </c>
    </row>
    <row r="6140" spans="1:37">
      <c r="B6140" t="s">
        <v>72</v>
      </c>
      <c r="C6140" t="s">
        <v>72</v>
      </c>
      <c r="D6140" t="s">
        <v>72</v>
      </c>
      <c r="E6140" t="s">
        <v>139</v>
      </c>
      <c r="F6140" t="s">
        <v>139</v>
      </c>
      <c r="G6140" t="s">
        <v>192</v>
      </c>
      <c r="H6140" t="s">
        <v>192</v>
      </c>
      <c r="I6140" t="s">
        <v>192</v>
      </c>
      <c r="J6140" t="s">
        <v>192</v>
      </c>
      <c r="K6140" t="s">
        <v>271</v>
      </c>
      <c r="AK6140" t="s">
        <v>363</v>
      </c>
    </row>
    <row r="6141" spans="1:37">
      <c r="A6141" t="s">
        <v>37</v>
      </c>
      <c r="B6141" t="s">
        <v>49</v>
      </c>
      <c r="C6141" t="s">
        <v>73</v>
      </c>
      <c r="D6141" t="s">
        <v>94</v>
      </c>
      <c r="E6141" t="s">
        <v>112</v>
      </c>
      <c r="F6141" t="s">
        <v>146</v>
      </c>
      <c r="G6141" t="s">
        <v>172</v>
      </c>
      <c r="H6141" t="s">
        <v>207</v>
      </c>
      <c r="I6141" t="s">
        <v>226</v>
      </c>
      <c r="J6141" t="s">
        <v>246</v>
      </c>
      <c r="K6141" t="s">
        <v>259</v>
      </c>
      <c r="AK6141" t="s">
        <v>363</v>
      </c>
    </row>
    <row r="6142" spans="1:37">
      <c r="A6142" t="s">
        <v>38</v>
      </c>
      <c r="B6142" t="s">
        <v>50</v>
      </c>
      <c r="C6142" t="s">
        <v>74</v>
      </c>
      <c r="D6142" t="s">
        <v>95</v>
      </c>
      <c r="E6142" t="s">
        <v>113</v>
      </c>
      <c r="F6142" t="s">
        <v>147</v>
      </c>
      <c r="G6142" t="s">
        <v>173</v>
      </c>
      <c r="H6142" t="s">
        <v>208</v>
      </c>
      <c r="I6142" t="s">
        <v>227</v>
      </c>
      <c r="J6142" t="s">
        <v>115</v>
      </c>
      <c r="K6142" t="s">
        <v>260</v>
      </c>
      <c r="L6142" t="s">
        <v>273</v>
      </c>
      <c r="M6142" t="s">
        <v>282</v>
      </c>
      <c r="N6142" t="s">
        <v>291</v>
      </c>
      <c r="AK6142" t="s">
        <v>363</v>
      </c>
    </row>
    <row r="6143" spans="1:37">
      <c r="B6143" t="s">
        <v>51</v>
      </c>
      <c r="C6143" t="s">
        <v>75</v>
      </c>
      <c r="D6143" t="s">
        <v>52</v>
      </c>
      <c r="E6143" t="s">
        <v>114</v>
      </c>
      <c r="F6143" t="s">
        <v>148</v>
      </c>
      <c r="G6143" t="s">
        <v>148</v>
      </c>
      <c r="H6143" t="s">
        <v>209</v>
      </c>
      <c r="I6143" t="s">
        <v>228</v>
      </c>
      <c r="J6143" t="s">
        <v>247</v>
      </c>
      <c r="K6143" t="s">
        <v>261</v>
      </c>
      <c r="L6143" t="s">
        <v>274</v>
      </c>
      <c r="M6143" t="s">
        <v>283</v>
      </c>
      <c r="N6143" t="s">
        <v>292</v>
      </c>
      <c r="O6143" t="s">
        <v>300</v>
      </c>
      <c r="AK6143" t="s">
        <v>363</v>
      </c>
    </row>
    <row r="6144" spans="1:37">
      <c r="B6144" t="s">
        <v>52</v>
      </c>
      <c r="C6144" t="s">
        <v>76</v>
      </c>
      <c r="D6144" t="s">
        <v>96</v>
      </c>
      <c r="E6144" t="s">
        <v>115</v>
      </c>
      <c r="F6144" t="s">
        <v>149</v>
      </c>
      <c r="G6144" t="s">
        <v>174</v>
      </c>
      <c r="H6144" t="s">
        <v>96</v>
      </c>
      <c r="I6144" t="s">
        <v>229</v>
      </c>
      <c r="J6144" t="s">
        <v>248</v>
      </c>
      <c r="K6144" t="s">
        <v>262</v>
      </c>
      <c r="L6144" t="s">
        <v>52</v>
      </c>
      <c r="M6144" t="s">
        <v>76</v>
      </c>
      <c r="N6144" t="s">
        <v>293</v>
      </c>
      <c r="O6144" t="s">
        <v>301</v>
      </c>
      <c r="P6144" t="s">
        <v>309</v>
      </c>
      <c r="Q6144" t="s">
        <v>315</v>
      </c>
      <c r="R6144" t="s">
        <v>228</v>
      </c>
      <c r="S6144" t="s">
        <v>328</v>
      </c>
      <c r="T6144" t="s">
        <v>149</v>
      </c>
      <c r="U6144" t="s">
        <v>337</v>
      </c>
      <c r="V6144" t="s">
        <v>341</v>
      </c>
      <c r="W6144" t="s">
        <v>345</v>
      </c>
      <c r="X6144" t="s">
        <v>350</v>
      </c>
      <c r="AK6144" t="s">
        <v>363</v>
      </c>
    </row>
    <row r="6145" spans="1:37">
      <c r="B6145" t="s">
        <v>53</v>
      </c>
      <c r="C6145" t="s">
        <v>77</v>
      </c>
      <c r="D6145" t="s">
        <v>97</v>
      </c>
      <c r="E6145" t="s">
        <v>116</v>
      </c>
      <c r="F6145" t="s">
        <v>150</v>
      </c>
      <c r="G6145" t="s">
        <v>175</v>
      </c>
      <c r="H6145" t="s">
        <v>210</v>
      </c>
      <c r="I6145" t="s">
        <v>230</v>
      </c>
      <c r="J6145" t="s">
        <v>249</v>
      </c>
      <c r="K6145" t="s">
        <v>263</v>
      </c>
      <c r="L6145" t="s">
        <v>275</v>
      </c>
      <c r="M6145" t="s">
        <v>284</v>
      </c>
      <c r="N6145" t="s">
        <v>294</v>
      </c>
      <c r="O6145" t="s">
        <v>302</v>
      </c>
      <c r="P6145" t="s">
        <v>310</v>
      </c>
      <c r="Q6145" t="s">
        <v>316</v>
      </c>
      <c r="R6145" t="s">
        <v>322</v>
      </c>
      <c r="S6145" t="s">
        <v>329</v>
      </c>
      <c r="AK6145" t="s">
        <v>363</v>
      </c>
    </row>
    <row r="6146" spans="1:37">
      <c r="A6146" t="s">
        <v>39</v>
      </c>
      <c r="B6146" t="s">
        <v>54</v>
      </c>
      <c r="C6146" t="s">
        <v>54</v>
      </c>
      <c r="D6146" t="s">
        <v>54</v>
      </c>
      <c r="E6146" t="s">
        <v>54</v>
      </c>
      <c r="F6146" t="s">
        <v>54</v>
      </c>
      <c r="G6146" t="s">
        <v>54</v>
      </c>
      <c r="H6146" t="s">
        <v>54</v>
      </c>
      <c r="I6146" t="s">
        <v>54</v>
      </c>
      <c r="J6146" t="s">
        <v>54</v>
      </c>
      <c r="K6146" t="s">
        <v>54</v>
      </c>
      <c r="L6146" t="s">
        <v>54</v>
      </c>
      <c r="M6146" t="s">
        <v>54</v>
      </c>
      <c r="N6146" t="s">
        <v>54</v>
      </c>
      <c r="O6146" t="s">
        <v>54</v>
      </c>
      <c r="P6146" t="s">
        <v>54</v>
      </c>
      <c r="Q6146" t="s">
        <v>54</v>
      </c>
      <c r="R6146" t="s">
        <v>323</v>
      </c>
      <c r="S6146" t="s">
        <v>330</v>
      </c>
      <c r="AK6146" t="s">
        <v>363</v>
      </c>
    </row>
    <row r="6147" spans="1:37">
      <c r="B6147" t="s">
        <v>55</v>
      </c>
      <c r="C6147" t="s">
        <v>78</v>
      </c>
      <c r="D6147" t="s">
        <v>55</v>
      </c>
      <c r="E6147" t="s">
        <v>78</v>
      </c>
      <c r="F6147" t="s">
        <v>55</v>
      </c>
      <c r="G6147" t="s">
        <v>78</v>
      </c>
      <c r="H6147" t="s">
        <v>55</v>
      </c>
      <c r="I6147" t="s">
        <v>78</v>
      </c>
      <c r="J6147" t="s">
        <v>55</v>
      </c>
      <c r="K6147" t="s">
        <v>78</v>
      </c>
      <c r="L6147" t="s">
        <v>55</v>
      </c>
      <c r="M6147" t="s">
        <v>78</v>
      </c>
      <c r="N6147" t="s">
        <v>55</v>
      </c>
      <c r="O6147" t="s">
        <v>78</v>
      </c>
      <c r="P6147" t="s">
        <v>55</v>
      </c>
      <c r="Q6147" t="s">
        <v>78</v>
      </c>
      <c r="R6147" t="s">
        <v>55</v>
      </c>
      <c r="S6147" t="s">
        <v>78</v>
      </c>
      <c r="T6147" t="s">
        <v>55</v>
      </c>
      <c r="U6147" t="s">
        <v>78</v>
      </c>
      <c r="V6147" t="s">
        <v>55</v>
      </c>
      <c r="W6147" t="s">
        <v>78</v>
      </c>
      <c r="X6147" t="s">
        <v>55</v>
      </c>
      <c r="Y6147" t="s">
        <v>78</v>
      </c>
      <c r="Z6147" t="s">
        <v>55</v>
      </c>
      <c r="AA6147" t="s">
        <v>78</v>
      </c>
      <c r="AB6147" t="s">
        <v>55</v>
      </c>
      <c r="AC6147" t="s">
        <v>78</v>
      </c>
      <c r="AD6147" t="s">
        <v>55</v>
      </c>
      <c r="AE6147" t="s">
        <v>78</v>
      </c>
      <c r="AF6147" t="s">
        <v>55</v>
      </c>
      <c r="AG6147" t="s">
        <v>78</v>
      </c>
      <c r="AH6147" t="s">
        <v>55</v>
      </c>
      <c r="AI6147" t="s">
        <v>78</v>
      </c>
      <c r="AK6147" t="s">
        <v>363</v>
      </c>
    </row>
    <row r="6148" spans="1:37">
      <c r="B6148" t="s">
        <v>56</v>
      </c>
      <c r="C6148" t="s">
        <v>56</v>
      </c>
      <c r="D6148" t="s">
        <v>56</v>
      </c>
      <c r="E6148" t="s">
        <v>56</v>
      </c>
      <c r="F6148" t="s">
        <v>56</v>
      </c>
      <c r="G6148" t="s">
        <v>176</v>
      </c>
      <c r="H6148" t="s">
        <v>211</v>
      </c>
      <c r="I6148" t="s">
        <v>231</v>
      </c>
      <c r="J6148" t="s">
        <v>250</v>
      </c>
      <c r="K6148" t="s">
        <v>264</v>
      </c>
      <c r="L6148" t="s">
        <v>276</v>
      </c>
      <c r="M6148" t="s">
        <v>285</v>
      </c>
      <c r="N6148" t="s">
        <v>295</v>
      </c>
      <c r="O6148" t="s">
        <v>303</v>
      </c>
      <c r="P6148" t="s">
        <v>56</v>
      </c>
      <c r="Q6148" t="s">
        <v>317</v>
      </c>
      <c r="R6148" t="s">
        <v>324</v>
      </c>
      <c r="S6148" t="s">
        <v>331</v>
      </c>
      <c r="T6148" t="s">
        <v>334</v>
      </c>
      <c r="U6148" t="s">
        <v>338</v>
      </c>
      <c r="V6148" t="s">
        <v>342</v>
      </c>
      <c r="W6148" t="s">
        <v>346</v>
      </c>
      <c r="X6148" t="s">
        <v>351</v>
      </c>
      <c r="AK6148" t="s">
        <v>363</v>
      </c>
    </row>
    <row r="6149" spans="1:37">
      <c r="B6149" t="s">
        <v>57</v>
      </c>
      <c r="C6149" t="s">
        <v>79</v>
      </c>
      <c r="D6149" t="s">
        <v>98</v>
      </c>
      <c r="E6149" t="s">
        <v>117</v>
      </c>
      <c r="F6149" t="s">
        <v>151</v>
      </c>
      <c r="G6149" t="s">
        <v>177</v>
      </c>
      <c r="H6149" t="s">
        <v>212</v>
      </c>
      <c r="I6149" t="s">
        <v>232</v>
      </c>
      <c r="J6149" t="s">
        <v>251</v>
      </c>
      <c r="K6149" t="s">
        <v>265</v>
      </c>
      <c r="L6149" t="s">
        <v>277</v>
      </c>
      <c r="M6149" t="s">
        <v>286</v>
      </c>
      <c r="N6149" t="s">
        <v>296</v>
      </c>
      <c r="O6149" t="s">
        <v>304</v>
      </c>
      <c r="P6149" t="s">
        <v>311</v>
      </c>
      <c r="Q6149" t="s">
        <v>318</v>
      </c>
      <c r="R6149" t="s">
        <v>185</v>
      </c>
      <c r="S6149" t="s">
        <v>159</v>
      </c>
      <c r="T6149" t="s">
        <v>185</v>
      </c>
      <c r="U6149" t="s">
        <v>339</v>
      </c>
      <c r="V6149" t="s">
        <v>72</v>
      </c>
      <c r="W6149" t="s">
        <v>347</v>
      </c>
      <c r="X6149" t="s">
        <v>72</v>
      </c>
      <c r="Y6149" t="s">
        <v>96</v>
      </c>
      <c r="AK6149" t="s">
        <v>363</v>
      </c>
    </row>
    <row r="6150" spans="1:37">
      <c r="B6150" t="s">
        <v>58</v>
      </c>
      <c r="C6150" t="s">
        <v>80</v>
      </c>
      <c r="D6150" t="s">
        <v>99</v>
      </c>
      <c r="E6150" t="s">
        <v>118</v>
      </c>
      <c r="F6150" t="s">
        <v>152</v>
      </c>
      <c r="G6150" t="s">
        <v>178</v>
      </c>
      <c r="H6150" t="s">
        <v>213</v>
      </c>
      <c r="I6150" t="s">
        <v>233</v>
      </c>
      <c r="J6150" t="s">
        <v>252</v>
      </c>
      <c r="K6150" t="s">
        <v>266</v>
      </c>
      <c r="L6150" t="s">
        <v>278</v>
      </c>
      <c r="M6150" t="s">
        <v>287</v>
      </c>
      <c r="N6150" t="s">
        <v>297</v>
      </c>
      <c r="O6150" t="s">
        <v>305</v>
      </c>
      <c r="P6150" t="s">
        <v>312</v>
      </c>
      <c r="Q6150" t="s">
        <v>319</v>
      </c>
      <c r="R6150">
        <f>&gt;10       ветра      1.8     17   3 10</f>
        <v>0</v>
      </c>
      <c r="AK6150" t="s">
        <v>363</v>
      </c>
    </row>
    <row r="6151" spans="1:37">
      <c r="A6151" t="s">
        <v>40</v>
      </c>
      <c r="B6151" t="s">
        <v>59</v>
      </c>
      <c r="C6151" t="s">
        <v>81</v>
      </c>
      <c r="D6151" t="s">
        <v>100</v>
      </c>
      <c r="E6151" t="s">
        <v>119</v>
      </c>
      <c r="F6151" t="s">
        <v>153</v>
      </c>
      <c r="G6151" t="s">
        <v>179</v>
      </c>
      <c r="H6151" t="s">
        <v>214</v>
      </c>
      <c r="I6151" t="s">
        <v>234</v>
      </c>
      <c r="AK6151" t="s">
        <v>363</v>
      </c>
    </row>
    <row r="6152" spans="1:37">
      <c r="A6152" t="s">
        <v>40</v>
      </c>
      <c r="B6152" t="s">
        <v>60</v>
      </c>
      <c r="C6152" t="s">
        <v>82</v>
      </c>
      <c r="D6152" t="s">
        <v>101</v>
      </c>
      <c r="E6152" t="s">
        <v>120</v>
      </c>
      <c r="F6152" t="s">
        <v>154</v>
      </c>
      <c r="G6152" t="s">
        <v>180</v>
      </c>
      <c r="H6152" t="s">
        <v>215</v>
      </c>
      <c r="I6152" t="s">
        <v>235</v>
      </c>
      <c r="J6152" t="s">
        <v>253</v>
      </c>
      <c r="K6152" t="s">
        <v>267</v>
      </c>
      <c r="L6152" t="s">
        <v>279</v>
      </c>
      <c r="M6152" t="s">
        <v>288</v>
      </c>
      <c r="N6152" t="s">
        <v>100</v>
      </c>
      <c r="O6152" t="s">
        <v>306</v>
      </c>
      <c r="P6152" t="s">
        <v>313</v>
      </c>
      <c r="Q6152" t="s">
        <v>320</v>
      </c>
      <c r="R6152" t="s">
        <v>325</v>
      </c>
      <c r="S6152" t="s">
        <v>332</v>
      </c>
      <c r="T6152" t="s">
        <v>119</v>
      </c>
      <c r="U6152" t="s">
        <v>234</v>
      </c>
      <c r="V6152" t="s">
        <v>343</v>
      </c>
      <c r="W6152" t="s">
        <v>348</v>
      </c>
      <c r="X6152" t="s">
        <v>352</v>
      </c>
      <c r="Y6152" t="s">
        <v>354</v>
      </c>
      <c r="AK6152" t="s">
        <v>363</v>
      </c>
    </row>
    <row r="6153" spans="1:37">
      <c r="A6153" t="s">
        <v>41</v>
      </c>
      <c r="B6153" t="s">
        <v>61</v>
      </c>
      <c r="C6153" t="s">
        <v>83</v>
      </c>
      <c r="D6153" t="s">
        <v>102</v>
      </c>
      <c r="E6153" t="s">
        <v>121</v>
      </c>
      <c r="F6153" t="s">
        <v>155</v>
      </c>
      <c r="G6153" t="s">
        <v>181</v>
      </c>
      <c r="H6153" t="s">
        <v>216</v>
      </c>
      <c r="I6153" t="s">
        <v>236</v>
      </c>
      <c r="AK6153" t="s">
        <v>363</v>
      </c>
    </row>
    <row r="6154" spans="1:37">
      <c r="A6154" t="s">
        <v>42</v>
      </c>
      <c r="B6154" t="s">
        <v>62</v>
      </c>
      <c r="C6154" t="s">
        <v>84</v>
      </c>
      <c r="D6154" t="s">
        <v>103</v>
      </c>
      <c r="E6154" t="s">
        <v>122</v>
      </c>
      <c r="F6154" t="s">
        <v>156</v>
      </c>
      <c r="G6154" t="s">
        <v>182</v>
      </c>
      <c r="H6154" t="s">
        <v>83</v>
      </c>
      <c r="I6154" t="s">
        <v>237</v>
      </c>
      <c r="J6154" t="s">
        <v>254</v>
      </c>
      <c r="K6154" t="s">
        <v>268</v>
      </c>
      <c r="L6154" t="s">
        <v>280</v>
      </c>
      <c r="M6154" t="s">
        <v>289</v>
      </c>
      <c r="N6154" t="s">
        <v>298</v>
      </c>
      <c r="O6154" t="s">
        <v>307</v>
      </c>
      <c r="P6154" t="s">
        <v>314</v>
      </c>
      <c r="Q6154" t="s">
        <v>216</v>
      </c>
      <c r="R6154" t="s">
        <v>326</v>
      </c>
      <c r="S6154" t="s">
        <v>333</v>
      </c>
      <c r="T6154" t="s">
        <v>335</v>
      </c>
      <c r="U6154" t="s">
        <v>340</v>
      </c>
      <c r="V6154" t="s">
        <v>344</v>
      </c>
      <c r="W6154" t="s">
        <v>349</v>
      </c>
      <c r="AK6154" t="s">
        <v>363</v>
      </c>
    </row>
    <row r="6155" spans="1:37">
      <c r="A6155" t="s">
        <v>43</v>
      </c>
      <c r="B6155" t="s">
        <v>63</v>
      </c>
      <c r="C6155" t="s">
        <v>85</v>
      </c>
      <c r="D6155" t="s">
        <v>104</v>
      </c>
      <c r="E6155" t="s">
        <v>123</v>
      </c>
      <c r="F6155" t="s">
        <v>157</v>
      </c>
      <c r="G6155" t="s">
        <v>183</v>
      </c>
      <c r="AK6155" t="s">
        <v>363</v>
      </c>
    </row>
    <row r="6156" spans="1:37">
      <c r="A6156" t="s">
        <v>44</v>
      </c>
      <c r="B6156" t="s">
        <v>64</v>
      </c>
      <c r="C6156" t="s">
        <v>86</v>
      </c>
      <c r="D6156" t="s">
        <v>105</v>
      </c>
      <c r="E6156" t="s">
        <v>124</v>
      </c>
      <c r="F6156" t="s">
        <v>158</v>
      </c>
      <c r="G6156" t="s">
        <v>184</v>
      </c>
      <c r="AK6156" t="s">
        <v>363</v>
      </c>
    </row>
    <row r="6157" spans="1:37">
      <c r="A6157" t="s">
        <v>45</v>
      </c>
      <c r="B6157" t="s">
        <v>65</v>
      </c>
      <c r="C6157" t="s">
        <v>87</v>
      </c>
      <c r="D6157" t="s">
        <v>106</v>
      </c>
      <c r="E6157" t="s">
        <v>125</v>
      </c>
      <c r="F6157" t="s">
        <v>159</v>
      </c>
      <c r="G6157" t="s">
        <v>185</v>
      </c>
      <c r="H6157" t="s">
        <v>159</v>
      </c>
      <c r="I6157" t="s">
        <v>185</v>
      </c>
      <c r="J6157" t="s">
        <v>255</v>
      </c>
      <c r="AK6157" t="s">
        <v>363</v>
      </c>
    </row>
    <row r="6158" spans="1:37">
      <c r="A6158" t="s">
        <v>46</v>
      </c>
      <c r="B6158" t="s">
        <v>66</v>
      </c>
      <c r="C6158" t="s">
        <v>88</v>
      </c>
      <c r="D6158" t="s">
        <v>76</v>
      </c>
      <c r="E6158" t="s">
        <v>126</v>
      </c>
      <c r="F6158" t="s">
        <v>160</v>
      </c>
      <c r="G6158" t="s">
        <v>186</v>
      </c>
      <c r="H6158" t="s">
        <v>217</v>
      </c>
      <c r="I6158" t="s">
        <v>238</v>
      </c>
      <c r="J6158" t="s">
        <v>256</v>
      </c>
      <c r="K6158" t="s">
        <v>265</v>
      </c>
      <c r="L6158" t="s">
        <v>281</v>
      </c>
      <c r="M6158" t="s">
        <v>290</v>
      </c>
      <c r="N6158" t="s">
        <v>299</v>
      </c>
      <c r="O6158" t="s">
        <v>308</v>
      </c>
      <c r="P6158" t="s">
        <v>228</v>
      </c>
      <c r="Q6158" t="s">
        <v>72</v>
      </c>
      <c r="R6158" t="s">
        <v>327</v>
      </c>
      <c r="S6158" t="s">
        <v>327</v>
      </c>
      <c r="T6158" t="s">
        <v>336</v>
      </c>
      <c r="U6158" t="s">
        <v>336</v>
      </c>
      <c r="V6158" t="s">
        <v>336</v>
      </c>
      <c r="W6158" t="s">
        <v>336</v>
      </c>
      <c r="X6158" t="s">
        <v>353</v>
      </c>
      <c r="AK6158" t="s">
        <v>363</v>
      </c>
    </row>
    <row r="6159" spans="1:37">
      <c r="B6159" t="s">
        <v>67</v>
      </c>
      <c r="C6159" t="s">
        <v>89</v>
      </c>
      <c r="D6159" t="s">
        <v>107</v>
      </c>
      <c r="AK6159" t="s">
        <v>363</v>
      </c>
    </row>
    <row r="6160" spans="1:37">
      <c r="B6160" t="s">
        <v>68</v>
      </c>
      <c r="C6160" t="s">
        <v>90</v>
      </c>
      <c r="D6160" t="s">
        <v>108</v>
      </c>
      <c r="AK6160" t="s">
        <v>363</v>
      </c>
    </row>
    <row r="6161" spans="1:37">
      <c r="A6161" t="s">
        <v>47</v>
      </c>
      <c r="B6161" t="s">
        <v>69</v>
      </c>
      <c r="C6161" t="s">
        <v>91</v>
      </c>
      <c r="D6161" t="s">
        <v>109</v>
      </c>
      <c r="E6161" t="s">
        <v>109</v>
      </c>
      <c r="F6161" t="s">
        <v>109</v>
      </c>
      <c r="G6161" t="s">
        <v>109</v>
      </c>
      <c r="H6161" t="s">
        <v>109</v>
      </c>
      <c r="I6161" t="s">
        <v>239</v>
      </c>
      <c r="AK6161" t="s">
        <v>363</v>
      </c>
    </row>
    <row r="6162" spans="1:37">
      <c r="B6162" t="s">
        <v>70</v>
      </c>
      <c r="C6162" t="s">
        <v>92</v>
      </c>
      <c r="D6162" t="s">
        <v>110</v>
      </c>
      <c r="E6162" t="s">
        <v>127</v>
      </c>
      <c r="F6162" t="s">
        <v>161</v>
      </c>
      <c r="G6162" t="s">
        <v>187</v>
      </c>
      <c r="H6162" t="s">
        <v>218</v>
      </c>
      <c r="AK6162" t="s">
        <v>363</v>
      </c>
    </row>
    <row r="6163" spans="1:37">
      <c r="B6163" t="s">
        <v>71</v>
      </c>
      <c r="C6163" t="s">
        <v>93</v>
      </c>
      <c r="D6163" t="s">
        <v>111</v>
      </c>
      <c r="E6163" t="s">
        <v>128</v>
      </c>
      <c r="F6163" t="s">
        <v>162</v>
      </c>
      <c r="G6163" t="s">
        <v>188</v>
      </c>
      <c r="H6163" t="s">
        <v>219</v>
      </c>
      <c r="I6163" t="s">
        <v>240</v>
      </c>
      <c r="J6163" t="s">
        <v>257</v>
      </c>
      <c r="K6163" t="s">
        <v>269</v>
      </c>
      <c r="L6163" t="s">
        <v>109</v>
      </c>
      <c r="M6163" t="s">
        <v>109</v>
      </c>
      <c r="N6163" t="s">
        <v>109</v>
      </c>
      <c r="O6163" t="s">
        <v>109</v>
      </c>
      <c r="P6163" t="s">
        <v>109</v>
      </c>
      <c r="Q6163" t="s">
        <v>321</v>
      </c>
      <c r="AK6163" t="s">
        <v>363</v>
      </c>
    </row>
    <row r="6164" spans="1:37">
      <c r="A6164" t="s">
        <v>48</v>
      </c>
      <c r="B6164" t="s">
        <v>71</v>
      </c>
      <c r="C6164" t="s">
        <v>93</v>
      </c>
      <c r="D6164" t="s">
        <v>111</v>
      </c>
      <c r="E6164" t="s">
        <v>128</v>
      </c>
      <c r="F6164" t="s">
        <v>163</v>
      </c>
      <c r="G6164" t="s">
        <v>189</v>
      </c>
      <c r="H6164" t="s">
        <v>220</v>
      </c>
      <c r="I6164" t="s">
        <v>241</v>
      </c>
      <c r="J6164" t="s">
        <v>258</v>
      </c>
      <c r="K6164" t="s">
        <v>270</v>
      </c>
      <c r="AK6164" t="s">
        <v>363</v>
      </c>
    </row>
    <row r="6165" spans="1:37">
      <c r="B6165" t="s">
        <v>72</v>
      </c>
      <c r="C6165" t="s">
        <v>72</v>
      </c>
      <c r="D6165" t="s">
        <v>72</v>
      </c>
      <c r="E6165" t="s">
        <v>72</v>
      </c>
      <c r="F6165" t="s">
        <v>72</v>
      </c>
      <c r="G6165" t="s">
        <v>72</v>
      </c>
      <c r="H6165" t="s">
        <v>72</v>
      </c>
      <c r="I6165" t="s">
        <v>72</v>
      </c>
      <c r="J6165" t="s">
        <v>72</v>
      </c>
      <c r="K6165" t="s">
        <v>272</v>
      </c>
      <c r="AK6165" t="s">
        <v>363</v>
      </c>
    </row>
    <row r="6166" spans="1:37">
      <c r="A6166" t="s">
        <v>37</v>
      </c>
      <c r="B6166" t="s">
        <v>49</v>
      </c>
      <c r="C6166" t="s">
        <v>73</v>
      </c>
      <c r="D6166" t="s">
        <v>94</v>
      </c>
      <c r="E6166" t="s">
        <v>112</v>
      </c>
      <c r="F6166" t="s">
        <v>146</v>
      </c>
      <c r="G6166" t="s">
        <v>172</v>
      </c>
      <c r="H6166" t="s">
        <v>207</v>
      </c>
      <c r="I6166" t="s">
        <v>226</v>
      </c>
      <c r="J6166" t="s">
        <v>246</v>
      </c>
      <c r="K6166" t="s">
        <v>259</v>
      </c>
      <c r="AK6166" t="s">
        <v>363</v>
      </c>
    </row>
    <row r="6167" spans="1:37">
      <c r="A6167" t="s">
        <v>38</v>
      </c>
      <c r="B6167" t="s">
        <v>50</v>
      </c>
      <c r="C6167" t="s">
        <v>74</v>
      </c>
      <c r="D6167" t="s">
        <v>95</v>
      </c>
      <c r="E6167" t="s">
        <v>113</v>
      </c>
      <c r="F6167" t="s">
        <v>147</v>
      </c>
      <c r="G6167" t="s">
        <v>173</v>
      </c>
      <c r="H6167" t="s">
        <v>208</v>
      </c>
      <c r="I6167" t="s">
        <v>227</v>
      </c>
      <c r="J6167" t="s">
        <v>115</v>
      </c>
      <c r="K6167" t="s">
        <v>260</v>
      </c>
      <c r="L6167" t="s">
        <v>273</v>
      </c>
      <c r="M6167" t="s">
        <v>282</v>
      </c>
      <c r="N6167" t="s">
        <v>291</v>
      </c>
      <c r="AK6167" t="s">
        <v>363</v>
      </c>
    </row>
    <row r="6168" spans="1:37">
      <c r="B6168" t="s">
        <v>51</v>
      </c>
      <c r="C6168" t="s">
        <v>75</v>
      </c>
      <c r="D6168" t="s">
        <v>52</v>
      </c>
      <c r="E6168" t="s">
        <v>114</v>
      </c>
      <c r="F6168" t="s">
        <v>148</v>
      </c>
      <c r="G6168" t="s">
        <v>148</v>
      </c>
      <c r="H6168" t="s">
        <v>209</v>
      </c>
      <c r="I6168" t="s">
        <v>228</v>
      </c>
      <c r="J6168" t="s">
        <v>247</v>
      </c>
      <c r="K6168" t="s">
        <v>261</v>
      </c>
      <c r="L6168" t="s">
        <v>274</v>
      </c>
      <c r="M6168" t="s">
        <v>283</v>
      </c>
      <c r="N6168" t="s">
        <v>292</v>
      </c>
      <c r="O6168" t="s">
        <v>300</v>
      </c>
      <c r="AK6168" t="s">
        <v>363</v>
      </c>
    </row>
    <row r="6169" spans="1:37">
      <c r="B6169" t="s">
        <v>52</v>
      </c>
      <c r="C6169" t="s">
        <v>76</v>
      </c>
      <c r="D6169" t="s">
        <v>96</v>
      </c>
      <c r="E6169" t="s">
        <v>115</v>
      </c>
      <c r="F6169" t="s">
        <v>149</v>
      </c>
      <c r="G6169" t="s">
        <v>174</v>
      </c>
      <c r="H6169" t="s">
        <v>96</v>
      </c>
      <c r="I6169" t="s">
        <v>229</v>
      </c>
      <c r="J6169" t="s">
        <v>248</v>
      </c>
      <c r="K6169" t="s">
        <v>262</v>
      </c>
      <c r="L6169" t="s">
        <v>52</v>
      </c>
      <c r="M6169" t="s">
        <v>76</v>
      </c>
      <c r="N6169" t="s">
        <v>293</v>
      </c>
      <c r="O6169" t="s">
        <v>301</v>
      </c>
      <c r="P6169" t="s">
        <v>309</v>
      </c>
      <c r="Q6169" t="s">
        <v>315</v>
      </c>
      <c r="R6169" t="s">
        <v>228</v>
      </c>
      <c r="S6169" t="s">
        <v>328</v>
      </c>
      <c r="T6169" t="s">
        <v>149</v>
      </c>
      <c r="U6169" t="s">
        <v>337</v>
      </c>
      <c r="V6169" t="s">
        <v>341</v>
      </c>
      <c r="W6169" t="s">
        <v>345</v>
      </c>
      <c r="X6169" t="s">
        <v>350</v>
      </c>
      <c r="AK6169" t="s">
        <v>363</v>
      </c>
    </row>
    <row r="6170" spans="1:37">
      <c r="B6170" t="s">
        <v>53</v>
      </c>
      <c r="C6170" t="s">
        <v>77</v>
      </c>
      <c r="D6170" t="s">
        <v>97</v>
      </c>
      <c r="E6170" t="s">
        <v>116</v>
      </c>
      <c r="F6170" t="s">
        <v>150</v>
      </c>
      <c r="G6170" t="s">
        <v>175</v>
      </c>
      <c r="H6170" t="s">
        <v>210</v>
      </c>
      <c r="I6170" t="s">
        <v>230</v>
      </c>
      <c r="J6170" t="s">
        <v>249</v>
      </c>
      <c r="K6170" t="s">
        <v>263</v>
      </c>
      <c r="L6170" t="s">
        <v>275</v>
      </c>
      <c r="M6170" t="s">
        <v>284</v>
      </c>
      <c r="N6170" t="s">
        <v>294</v>
      </c>
      <c r="O6170" t="s">
        <v>302</v>
      </c>
      <c r="P6170" t="s">
        <v>310</v>
      </c>
      <c r="Q6170" t="s">
        <v>316</v>
      </c>
      <c r="R6170" t="s">
        <v>322</v>
      </c>
      <c r="S6170" t="s">
        <v>329</v>
      </c>
      <c r="AK6170" t="s">
        <v>363</v>
      </c>
    </row>
    <row r="6171" spans="1:37">
      <c r="A6171" t="s">
        <v>39</v>
      </c>
      <c r="B6171" t="s">
        <v>54</v>
      </c>
      <c r="C6171" t="s">
        <v>54</v>
      </c>
      <c r="D6171" t="s">
        <v>54</v>
      </c>
      <c r="E6171" t="s">
        <v>54</v>
      </c>
      <c r="F6171" t="s">
        <v>54</v>
      </c>
      <c r="G6171" t="s">
        <v>54</v>
      </c>
      <c r="H6171" t="s">
        <v>54</v>
      </c>
      <c r="I6171" t="s">
        <v>54</v>
      </c>
      <c r="J6171" t="s">
        <v>54</v>
      </c>
      <c r="K6171" t="s">
        <v>54</v>
      </c>
      <c r="L6171" t="s">
        <v>54</v>
      </c>
      <c r="M6171" t="s">
        <v>54</v>
      </c>
      <c r="N6171" t="s">
        <v>54</v>
      </c>
      <c r="O6171" t="s">
        <v>54</v>
      </c>
      <c r="P6171" t="s">
        <v>54</v>
      </c>
      <c r="Q6171" t="s">
        <v>54</v>
      </c>
      <c r="R6171" t="s">
        <v>323</v>
      </c>
      <c r="S6171" t="s">
        <v>330</v>
      </c>
      <c r="AK6171" t="s">
        <v>363</v>
      </c>
    </row>
    <row r="6172" spans="1:37">
      <c r="B6172" t="s">
        <v>55</v>
      </c>
      <c r="C6172" t="s">
        <v>78</v>
      </c>
      <c r="D6172" t="s">
        <v>55</v>
      </c>
      <c r="E6172" t="s">
        <v>78</v>
      </c>
      <c r="F6172" t="s">
        <v>55</v>
      </c>
      <c r="G6172" t="s">
        <v>78</v>
      </c>
      <c r="H6172" t="s">
        <v>55</v>
      </c>
      <c r="I6172" t="s">
        <v>78</v>
      </c>
      <c r="J6172" t="s">
        <v>55</v>
      </c>
      <c r="K6172" t="s">
        <v>78</v>
      </c>
      <c r="L6172" t="s">
        <v>55</v>
      </c>
      <c r="M6172" t="s">
        <v>78</v>
      </c>
      <c r="N6172" t="s">
        <v>55</v>
      </c>
      <c r="O6172" t="s">
        <v>78</v>
      </c>
      <c r="P6172" t="s">
        <v>55</v>
      </c>
      <c r="Q6172" t="s">
        <v>78</v>
      </c>
      <c r="R6172" t="s">
        <v>55</v>
      </c>
      <c r="S6172" t="s">
        <v>78</v>
      </c>
      <c r="T6172" t="s">
        <v>55</v>
      </c>
      <c r="U6172" t="s">
        <v>78</v>
      </c>
      <c r="V6172" t="s">
        <v>55</v>
      </c>
      <c r="W6172" t="s">
        <v>78</v>
      </c>
      <c r="X6172" t="s">
        <v>55</v>
      </c>
      <c r="Y6172" t="s">
        <v>78</v>
      </c>
      <c r="Z6172" t="s">
        <v>55</v>
      </c>
      <c r="AA6172" t="s">
        <v>78</v>
      </c>
      <c r="AB6172" t="s">
        <v>55</v>
      </c>
      <c r="AC6172" t="s">
        <v>78</v>
      </c>
      <c r="AD6172" t="s">
        <v>55</v>
      </c>
      <c r="AE6172" t="s">
        <v>78</v>
      </c>
      <c r="AF6172" t="s">
        <v>55</v>
      </c>
      <c r="AG6172" t="s">
        <v>78</v>
      </c>
      <c r="AH6172" t="s">
        <v>55</v>
      </c>
      <c r="AI6172" t="s">
        <v>78</v>
      </c>
      <c r="AK6172" t="s">
        <v>363</v>
      </c>
    </row>
    <row r="6173" spans="1:37">
      <c r="B6173" t="s">
        <v>56</v>
      </c>
      <c r="C6173" t="s">
        <v>56</v>
      </c>
      <c r="D6173" t="s">
        <v>56</v>
      </c>
      <c r="E6173" t="s">
        <v>56</v>
      </c>
      <c r="F6173" t="s">
        <v>56</v>
      </c>
      <c r="G6173" t="s">
        <v>176</v>
      </c>
      <c r="H6173" t="s">
        <v>211</v>
      </c>
      <c r="I6173" t="s">
        <v>231</v>
      </c>
      <c r="J6173" t="s">
        <v>250</v>
      </c>
      <c r="K6173" t="s">
        <v>264</v>
      </c>
      <c r="L6173" t="s">
        <v>276</v>
      </c>
      <c r="M6173" t="s">
        <v>285</v>
      </c>
      <c r="N6173" t="s">
        <v>295</v>
      </c>
      <c r="O6173" t="s">
        <v>303</v>
      </c>
      <c r="P6173" t="s">
        <v>56</v>
      </c>
      <c r="Q6173" t="s">
        <v>317</v>
      </c>
      <c r="R6173" t="s">
        <v>324</v>
      </c>
      <c r="S6173" t="s">
        <v>331</v>
      </c>
      <c r="T6173" t="s">
        <v>334</v>
      </c>
      <c r="U6173" t="s">
        <v>338</v>
      </c>
      <c r="V6173" t="s">
        <v>342</v>
      </c>
      <c r="W6173" t="s">
        <v>346</v>
      </c>
      <c r="X6173" t="s">
        <v>351</v>
      </c>
      <c r="AK6173" t="s">
        <v>363</v>
      </c>
    </row>
    <row r="6174" spans="1:37">
      <c r="B6174" t="s">
        <v>57</v>
      </c>
      <c r="C6174" t="s">
        <v>79</v>
      </c>
      <c r="D6174" t="s">
        <v>98</v>
      </c>
      <c r="E6174" t="s">
        <v>117</v>
      </c>
      <c r="F6174" t="s">
        <v>151</v>
      </c>
      <c r="G6174" t="s">
        <v>177</v>
      </c>
      <c r="H6174" t="s">
        <v>212</v>
      </c>
      <c r="I6174" t="s">
        <v>232</v>
      </c>
      <c r="J6174" t="s">
        <v>251</v>
      </c>
      <c r="K6174" t="s">
        <v>265</v>
      </c>
      <c r="L6174" t="s">
        <v>277</v>
      </c>
      <c r="M6174" t="s">
        <v>286</v>
      </c>
      <c r="N6174" t="s">
        <v>296</v>
      </c>
      <c r="O6174" t="s">
        <v>304</v>
      </c>
      <c r="P6174" t="s">
        <v>311</v>
      </c>
      <c r="Q6174" t="s">
        <v>318</v>
      </c>
      <c r="R6174" t="s">
        <v>185</v>
      </c>
      <c r="S6174" t="s">
        <v>159</v>
      </c>
      <c r="T6174" t="s">
        <v>185</v>
      </c>
      <c r="U6174" t="s">
        <v>339</v>
      </c>
      <c r="V6174" t="s">
        <v>72</v>
      </c>
      <c r="W6174" t="s">
        <v>347</v>
      </c>
      <c r="X6174" t="s">
        <v>72</v>
      </c>
      <c r="Y6174" t="s">
        <v>96</v>
      </c>
      <c r="AK6174" t="s">
        <v>363</v>
      </c>
    </row>
    <row r="6175" spans="1:37">
      <c r="B6175" t="s">
        <v>58</v>
      </c>
      <c r="C6175" t="s">
        <v>80</v>
      </c>
      <c r="D6175" t="s">
        <v>99</v>
      </c>
      <c r="E6175" t="s">
        <v>118</v>
      </c>
      <c r="F6175" t="s">
        <v>152</v>
      </c>
      <c r="G6175" t="s">
        <v>178</v>
      </c>
      <c r="H6175" t="s">
        <v>213</v>
      </c>
      <c r="I6175" t="s">
        <v>233</v>
      </c>
      <c r="J6175" t="s">
        <v>252</v>
      </c>
      <c r="K6175" t="s">
        <v>266</v>
      </c>
      <c r="L6175" t="s">
        <v>278</v>
      </c>
      <c r="M6175" t="s">
        <v>287</v>
      </c>
      <c r="N6175" t="s">
        <v>297</v>
      </c>
      <c r="O6175" t="s">
        <v>305</v>
      </c>
      <c r="P6175" t="s">
        <v>312</v>
      </c>
      <c r="Q6175" t="s">
        <v>319</v>
      </c>
      <c r="R6175">
        <f>&gt;10       ветра      2.2     19   3</f>
        <v>0</v>
      </c>
      <c r="AK6175" t="s">
        <v>363</v>
      </c>
    </row>
    <row r="6176" spans="1:37">
      <c r="A6176" t="s">
        <v>40</v>
      </c>
      <c r="B6176" t="s">
        <v>59</v>
      </c>
      <c r="C6176" t="s">
        <v>81</v>
      </c>
      <c r="D6176" t="s">
        <v>100</v>
      </c>
      <c r="E6176" t="s">
        <v>119</v>
      </c>
      <c r="F6176" t="s">
        <v>153</v>
      </c>
      <c r="G6176" t="s">
        <v>179</v>
      </c>
      <c r="H6176" t="s">
        <v>214</v>
      </c>
      <c r="I6176" t="s">
        <v>234</v>
      </c>
      <c r="AK6176" t="s">
        <v>363</v>
      </c>
    </row>
    <row r="6177" spans="1:37">
      <c r="A6177" t="s">
        <v>40</v>
      </c>
      <c r="B6177" t="s">
        <v>60</v>
      </c>
      <c r="C6177" t="s">
        <v>82</v>
      </c>
      <c r="D6177" t="s">
        <v>101</v>
      </c>
      <c r="E6177" t="s">
        <v>120</v>
      </c>
      <c r="F6177" t="s">
        <v>154</v>
      </c>
      <c r="G6177" t="s">
        <v>180</v>
      </c>
      <c r="H6177" t="s">
        <v>215</v>
      </c>
      <c r="I6177" t="s">
        <v>235</v>
      </c>
      <c r="J6177" t="s">
        <v>253</v>
      </c>
      <c r="K6177" t="s">
        <v>267</v>
      </c>
      <c r="L6177" t="s">
        <v>279</v>
      </c>
      <c r="M6177" t="s">
        <v>288</v>
      </c>
      <c r="N6177" t="s">
        <v>100</v>
      </c>
      <c r="O6177" t="s">
        <v>306</v>
      </c>
      <c r="P6177" t="s">
        <v>313</v>
      </c>
      <c r="Q6177" t="s">
        <v>320</v>
      </c>
      <c r="R6177" t="s">
        <v>325</v>
      </c>
      <c r="S6177" t="s">
        <v>332</v>
      </c>
      <c r="T6177" t="s">
        <v>119</v>
      </c>
      <c r="U6177" t="s">
        <v>234</v>
      </c>
      <c r="V6177" t="s">
        <v>343</v>
      </c>
      <c r="W6177" t="s">
        <v>348</v>
      </c>
      <c r="X6177" t="s">
        <v>352</v>
      </c>
      <c r="Y6177" t="s">
        <v>354</v>
      </c>
      <c r="AK6177" t="s">
        <v>363</v>
      </c>
    </row>
    <row r="6178" spans="1:37">
      <c r="A6178" t="s">
        <v>41</v>
      </c>
      <c r="B6178" t="s">
        <v>61</v>
      </c>
      <c r="C6178" t="s">
        <v>83</v>
      </c>
      <c r="D6178" t="s">
        <v>102</v>
      </c>
      <c r="E6178" t="s">
        <v>121</v>
      </c>
      <c r="F6178" t="s">
        <v>155</v>
      </c>
      <c r="G6178" t="s">
        <v>181</v>
      </c>
      <c r="H6178" t="s">
        <v>216</v>
      </c>
      <c r="I6178" t="s">
        <v>236</v>
      </c>
      <c r="AK6178" t="s">
        <v>363</v>
      </c>
    </row>
    <row r="6179" spans="1:37">
      <c r="A6179" t="s">
        <v>42</v>
      </c>
      <c r="B6179" t="s">
        <v>62</v>
      </c>
      <c r="C6179" t="s">
        <v>84</v>
      </c>
      <c r="D6179" t="s">
        <v>103</v>
      </c>
      <c r="E6179" t="s">
        <v>122</v>
      </c>
      <c r="F6179" t="s">
        <v>156</v>
      </c>
      <c r="G6179" t="s">
        <v>182</v>
      </c>
      <c r="H6179" t="s">
        <v>83</v>
      </c>
      <c r="I6179" t="s">
        <v>237</v>
      </c>
      <c r="J6179" t="s">
        <v>254</v>
      </c>
      <c r="K6179" t="s">
        <v>268</v>
      </c>
      <c r="L6179" t="s">
        <v>280</v>
      </c>
      <c r="M6179" t="s">
        <v>289</v>
      </c>
      <c r="N6179" t="s">
        <v>298</v>
      </c>
      <c r="O6179" t="s">
        <v>307</v>
      </c>
      <c r="P6179" t="s">
        <v>314</v>
      </c>
      <c r="Q6179" t="s">
        <v>216</v>
      </c>
      <c r="R6179" t="s">
        <v>326</v>
      </c>
      <c r="S6179" t="s">
        <v>333</v>
      </c>
      <c r="T6179" t="s">
        <v>335</v>
      </c>
      <c r="U6179" t="s">
        <v>340</v>
      </c>
      <c r="V6179" t="s">
        <v>344</v>
      </c>
      <c r="W6179" t="s">
        <v>349</v>
      </c>
      <c r="AK6179" t="s">
        <v>363</v>
      </c>
    </row>
    <row r="6180" spans="1:37">
      <c r="A6180" t="s">
        <v>43</v>
      </c>
      <c r="B6180" t="s">
        <v>63</v>
      </c>
      <c r="C6180" t="s">
        <v>85</v>
      </c>
      <c r="D6180" t="s">
        <v>104</v>
      </c>
      <c r="E6180" t="s">
        <v>123</v>
      </c>
      <c r="F6180" t="s">
        <v>157</v>
      </c>
      <c r="G6180" t="s">
        <v>183</v>
      </c>
      <c r="AK6180" t="s">
        <v>363</v>
      </c>
    </row>
    <row r="6181" spans="1:37">
      <c r="A6181" t="s">
        <v>44</v>
      </c>
      <c r="B6181" t="s">
        <v>64</v>
      </c>
      <c r="C6181" t="s">
        <v>86</v>
      </c>
      <c r="D6181" t="s">
        <v>105</v>
      </c>
      <c r="E6181" t="s">
        <v>124</v>
      </c>
      <c r="F6181" t="s">
        <v>158</v>
      </c>
      <c r="G6181" t="s">
        <v>184</v>
      </c>
      <c r="AK6181" t="s">
        <v>363</v>
      </c>
    </row>
    <row r="6182" spans="1:37">
      <c r="A6182" t="s">
        <v>45</v>
      </c>
      <c r="B6182" t="s">
        <v>65</v>
      </c>
      <c r="C6182" t="s">
        <v>87</v>
      </c>
      <c r="D6182" t="s">
        <v>106</v>
      </c>
      <c r="E6182" t="s">
        <v>125</v>
      </c>
      <c r="F6182" t="s">
        <v>159</v>
      </c>
      <c r="G6182" t="s">
        <v>185</v>
      </c>
      <c r="H6182" t="s">
        <v>159</v>
      </c>
      <c r="I6182" t="s">
        <v>185</v>
      </c>
      <c r="J6182" t="s">
        <v>255</v>
      </c>
      <c r="AK6182" t="s">
        <v>363</v>
      </c>
    </row>
    <row r="6183" spans="1:37">
      <c r="A6183" t="s">
        <v>46</v>
      </c>
      <c r="B6183" t="s">
        <v>66</v>
      </c>
      <c r="C6183" t="s">
        <v>88</v>
      </c>
      <c r="D6183" t="s">
        <v>76</v>
      </c>
      <c r="E6183" t="s">
        <v>126</v>
      </c>
      <c r="F6183" t="s">
        <v>160</v>
      </c>
      <c r="G6183" t="s">
        <v>186</v>
      </c>
      <c r="H6183" t="s">
        <v>217</v>
      </c>
      <c r="I6183" t="s">
        <v>238</v>
      </c>
      <c r="J6183" t="s">
        <v>256</v>
      </c>
      <c r="K6183" t="s">
        <v>265</v>
      </c>
      <c r="L6183" t="s">
        <v>281</v>
      </c>
      <c r="M6183" t="s">
        <v>290</v>
      </c>
      <c r="N6183" t="s">
        <v>299</v>
      </c>
      <c r="O6183" t="s">
        <v>308</v>
      </c>
      <c r="P6183" t="s">
        <v>228</v>
      </c>
      <c r="Q6183" t="s">
        <v>72</v>
      </c>
      <c r="R6183" t="s">
        <v>327</v>
      </c>
      <c r="S6183" t="s">
        <v>327</v>
      </c>
      <c r="T6183" t="s">
        <v>336</v>
      </c>
      <c r="U6183" t="s">
        <v>336</v>
      </c>
      <c r="V6183" t="s">
        <v>336</v>
      </c>
      <c r="W6183" t="s">
        <v>336</v>
      </c>
      <c r="X6183" t="s">
        <v>353</v>
      </c>
      <c r="AK6183" t="s">
        <v>363</v>
      </c>
    </row>
    <row r="6184" spans="1:37">
      <c r="B6184" t="s">
        <v>67</v>
      </c>
      <c r="C6184" t="s">
        <v>89</v>
      </c>
      <c r="D6184" t="s">
        <v>107</v>
      </c>
      <c r="AK6184" t="s">
        <v>363</v>
      </c>
    </row>
    <row r="6185" spans="1:37">
      <c r="B6185" t="s">
        <v>68</v>
      </c>
      <c r="C6185" t="s">
        <v>90</v>
      </c>
      <c r="D6185" t="s">
        <v>108</v>
      </c>
      <c r="AK6185" t="s">
        <v>363</v>
      </c>
    </row>
    <row r="6186" spans="1:37">
      <c r="A6186" t="s">
        <v>47</v>
      </c>
      <c r="B6186" t="s">
        <v>69</v>
      </c>
      <c r="C6186" t="s">
        <v>91</v>
      </c>
      <c r="D6186" t="s">
        <v>109</v>
      </c>
      <c r="E6186" t="s">
        <v>109</v>
      </c>
      <c r="F6186" t="s">
        <v>109</v>
      </c>
      <c r="G6186" t="s">
        <v>109</v>
      </c>
      <c r="H6186" t="s">
        <v>109</v>
      </c>
      <c r="I6186" t="s">
        <v>239</v>
      </c>
      <c r="AK6186" t="s">
        <v>363</v>
      </c>
    </row>
    <row r="6187" spans="1:37">
      <c r="B6187" t="s">
        <v>70</v>
      </c>
      <c r="C6187" t="s">
        <v>92</v>
      </c>
      <c r="D6187" t="s">
        <v>110</v>
      </c>
      <c r="E6187" t="s">
        <v>127</v>
      </c>
      <c r="F6187" t="s">
        <v>161</v>
      </c>
      <c r="G6187" t="s">
        <v>187</v>
      </c>
      <c r="H6187" t="s">
        <v>218</v>
      </c>
      <c r="AK6187" t="s">
        <v>363</v>
      </c>
    </row>
    <row r="6188" spans="1:37">
      <c r="B6188" t="s">
        <v>71</v>
      </c>
      <c r="C6188" t="s">
        <v>93</v>
      </c>
      <c r="D6188" t="s">
        <v>111</v>
      </c>
      <c r="E6188" t="s">
        <v>128</v>
      </c>
      <c r="F6188" t="s">
        <v>162</v>
      </c>
      <c r="G6188" t="s">
        <v>188</v>
      </c>
      <c r="H6188" t="s">
        <v>219</v>
      </c>
      <c r="I6188" t="s">
        <v>240</v>
      </c>
      <c r="J6188" t="s">
        <v>257</v>
      </c>
      <c r="K6188" t="s">
        <v>269</v>
      </c>
      <c r="L6188" t="s">
        <v>109</v>
      </c>
      <c r="M6188" t="s">
        <v>109</v>
      </c>
      <c r="N6188" t="s">
        <v>109</v>
      </c>
      <c r="O6188" t="s">
        <v>109</v>
      </c>
      <c r="P6188" t="s">
        <v>109</v>
      </c>
      <c r="Q6188" t="s">
        <v>321</v>
      </c>
      <c r="AK6188" t="s">
        <v>363</v>
      </c>
    </row>
    <row r="6189" spans="1:37">
      <c r="A6189" t="s">
        <v>48</v>
      </c>
      <c r="B6189" t="s">
        <v>71</v>
      </c>
      <c r="C6189" t="s">
        <v>93</v>
      </c>
      <c r="D6189" t="s">
        <v>111</v>
      </c>
      <c r="E6189" t="s">
        <v>128</v>
      </c>
      <c r="F6189" t="s">
        <v>163</v>
      </c>
      <c r="G6189" t="s">
        <v>189</v>
      </c>
      <c r="H6189" t="s">
        <v>220</v>
      </c>
      <c r="I6189" t="s">
        <v>241</v>
      </c>
      <c r="J6189" t="s">
        <v>258</v>
      </c>
      <c r="K6189" t="s">
        <v>270</v>
      </c>
      <c r="AK6189" t="s">
        <v>363</v>
      </c>
    </row>
    <row r="6190" spans="1:37">
      <c r="B6190" t="s">
        <v>72</v>
      </c>
      <c r="C6190" t="s">
        <v>72</v>
      </c>
      <c r="D6190" t="s">
        <v>72</v>
      </c>
      <c r="E6190" t="s">
        <v>72</v>
      </c>
      <c r="F6190" t="s">
        <v>72</v>
      </c>
      <c r="G6190" t="s">
        <v>72</v>
      </c>
      <c r="H6190" t="s">
        <v>72</v>
      </c>
      <c r="I6190" t="s">
        <v>72</v>
      </c>
      <c r="J6190" t="s">
        <v>72</v>
      </c>
      <c r="K6190" t="s">
        <v>272</v>
      </c>
      <c r="AK6190" t="s">
        <v>363</v>
      </c>
    </row>
    <row r="6191" spans="1:37">
      <c r="A6191" t="s">
        <v>37</v>
      </c>
      <c r="B6191" t="s">
        <v>49</v>
      </c>
      <c r="C6191" t="s">
        <v>73</v>
      </c>
      <c r="D6191" t="s">
        <v>94</v>
      </c>
      <c r="E6191" t="s">
        <v>112</v>
      </c>
      <c r="F6191" t="s">
        <v>146</v>
      </c>
      <c r="G6191" t="s">
        <v>172</v>
      </c>
      <c r="H6191" t="s">
        <v>207</v>
      </c>
      <c r="I6191" t="s">
        <v>226</v>
      </c>
      <c r="J6191" t="s">
        <v>246</v>
      </c>
      <c r="K6191" t="s">
        <v>259</v>
      </c>
      <c r="AK6191" t="s">
        <v>363</v>
      </c>
    </row>
    <row r="6192" spans="1:37">
      <c r="A6192" t="s">
        <v>38</v>
      </c>
      <c r="B6192" t="s">
        <v>50</v>
      </c>
      <c r="C6192" t="s">
        <v>74</v>
      </c>
      <c r="D6192" t="s">
        <v>95</v>
      </c>
      <c r="E6192" t="s">
        <v>113</v>
      </c>
      <c r="F6192" t="s">
        <v>147</v>
      </c>
      <c r="G6192" t="s">
        <v>173</v>
      </c>
      <c r="H6192" t="s">
        <v>208</v>
      </c>
      <c r="I6192" t="s">
        <v>227</v>
      </c>
      <c r="J6192" t="s">
        <v>115</v>
      </c>
      <c r="K6192" t="s">
        <v>260</v>
      </c>
      <c r="L6192" t="s">
        <v>273</v>
      </c>
      <c r="M6192" t="s">
        <v>282</v>
      </c>
      <c r="N6192" t="s">
        <v>291</v>
      </c>
      <c r="AK6192" t="s">
        <v>363</v>
      </c>
    </row>
    <row r="6193" spans="1:37">
      <c r="B6193" t="s">
        <v>51</v>
      </c>
      <c r="C6193" t="s">
        <v>75</v>
      </c>
      <c r="D6193" t="s">
        <v>52</v>
      </c>
      <c r="E6193" t="s">
        <v>114</v>
      </c>
      <c r="F6193" t="s">
        <v>148</v>
      </c>
      <c r="G6193" t="s">
        <v>148</v>
      </c>
      <c r="H6193" t="s">
        <v>209</v>
      </c>
      <c r="I6193" t="s">
        <v>228</v>
      </c>
      <c r="J6193" t="s">
        <v>247</v>
      </c>
      <c r="K6193" t="s">
        <v>261</v>
      </c>
      <c r="L6193" t="s">
        <v>274</v>
      </c>
      <c r="M6193" t="s">
        <v>283</v>
      </c>
      <c r="N6193" t="s">
        <v>292</v>
      </c>
      <c r="O6193" t="s">
        <v>300</v>
      </c>
      <c r="AK6193" t="s">
        <v>363</v>
      </c>
    </row>
    <row r="6194" spans="1:37">
      <c r="B6194" t="s">
        <v>52</v>
      </c>
      <c r="C6194" t="s">
        <v>76</v>
      </c>
      <c r="D6194" t="s">
        <v>96</v>
      </c>
      <c r="E6194" t="s">
        <v>115</v>
      </c>
      <c r="F6194" t="s">
        <v>149</v>
      </c>
      <c r="G6194" t="s">
        <v>174</v>
      </c>
      <c r="H6194" t="s">
        <v>96</v>
      </c>
      <c r="I6194" t="s">
        <v>229</v>
      </c>
      <c r="J6194" t="s">
        <v>248</v>
      </c>
      <c r="K6194" t="s">
        <v>262</v>
      </c>
      <c r="L6194" t="s">
        <v>52</v>
      </c>
      <c r="M6194" t="s">
        <v>76</v>
      </c>
      <c r="N6194" t="s">
        <v>293</v>
      </c>
      <c r="O6194" t="s">
        <v>301</v>
      </c>
      <c r="P6194" t="s">
        <v>309</v>
      </c>
      <c r="Q6194" t="s">
        <v>315</v>
      </c>
      <c r="R6194" t="s">
        <v>228</v>
      </c>
      <c r="S6194" t="s">
        <v>328</v>
      </c>
      <c r="T6194" t="s">
        <v>149</v>
      </c>
      <c r="U6194" t="s">
        <v>337</v>
      </c>
      <c r="V6194" t="s">
        <v>341</v>
      </c>
      <c r="W6194" t="s">
        <v>345</v>
      </c>
      <c r="X6194" t="s">
        <v>350</v>
      </c>
      <c r="AK6194" t="s">
        <v>363</v>
      </c>
    </row>
    <row r="6195" spans="1:37">
      <c r="B6195" t="s">
        <v>53</v>
      </c>
      <c r="C6195" t="s">
        <v>77</v>
      </c>
      <c r="D6195" t="s">
        <v>97</v>
      </c>
      <c r="E6195" t="s">
        <v>116</v>
      </c>
      <c r="F6195" t="s">
        <v>150</v>
      </c>
      <c r="G6195" t="s">
        <v>175</v>
      </c>
      <c r="H6195" t="s">
        <v>210</v>
      </c>
      <c r="I6195" t="s">
        <v>230</v>
      </c>
      <c r="J6195" t="s">
        <v>249</v>
      </c>
      <c r="K6195" t="s">
        <v>263</v>
      </c>
      <c r="L6195" t="s">
        <v>275</v>
      </c>
      <c r="M6195" t="s">
        <v>284</v>
      </c>
      <c r="N6195" t="s">
        <v>294</v>
      </c>
      <c r="O6195" t="s">
        <v>302</v>
      </c>
      <c r="P6195" t="s">
        <v>310</v>
      </c>
      <c r="Q6195" t="s">
        <v>316</v>
      </c>
      <c r="R6195" t="s">
        <v>322</v>
      </c>
      <c r="S6195" t="s">
        <v>329</v>
      </c>
      <c r="AK6195" t="s">
        <v>363</v>
      </c>
    </row>
    <row r="6196" spans="1:37">
      <c r="A6196" t="s">
        <v>39</v>
      </c>
      <c r="B6196" t="s">
        <v>54</v>
      </c>
      <c r="C6196" t="s">
        <v>54</v>
      </c>
      <c r="D6196" t="s">
        <v>54</v>
      </c>
      <c r="E6196" t="s">
        <v>54</v>
      </c>
      <c r="F6196" t="s">
        <v>54</v>
      </c>
      <c r="G6196" t="s">
        <v>54</v>
      </c>
      <c r="H6196" t="s">
        <v>54</v>
      </c>
      <c r="I6196" t="s">
        <v>54</v>
      </c>
      <c r="J6196" t="s">
        <v>54</v>
      </c>
      <c r="K6196" t="s">
        <v>54</v>
      </c>
      <c r="L6196" t="s">
        <v>54</v>
      </c>
      <c r="M6196" t="s">
        <v>54</v>
      </c>
      <c r="N6196" t="s">
        <v>54</v>
      </c>
      <c r="O6196" t="s">
        <v>54</v>
      </c>
      <c r="P6196" t="s">
        <v>54</v>
      </c>
      <c r="Q6196" t="s">
        <v>54</v>
      </c>
      <c r="R6196" t="s">
        <v>323</v>
      </c>
      <c r="S6196" t="s">
        <v>330</v>
      </c>
      <c r="AK6196" t="s">
        <v>363</v>
      </c>
    </row>
    <row r="6197" spans="1:37">
      <c r="B6197" t="s">
        <v>55</v>
      </c>
      <c r="C6197" t="s">
        <v>78</v>
      </c>
      <c r="D6197" t="s">
        <v>55</v>
      </c>
      <c r="E6197" t="s">
        <v>78</v>
      </c>
      <c r="F6197" t="s">
        <v>55</v>
      </c>
      <c r="G6197" t="s">
        <v>78</v>
      </c>
      <c r="H6197" t="s">
        <v>55</v>
      </c>
      <c r="I6197" t="s">
        <v>78</v>
      </c>
      <c r="J6197" t="s">
        <v>55</v>
      </c>
      <c r="K6197" t="s">
        <v>78</v>
      </c>
      <c r="L6197" t="s">
        <v>55</v>
      </c>
      <c r="M6197" t="s">
        <v>78</v>
      </c>
      <c r="N6197" t="s">
        <v>55</v>
      </c>
      <c r="O6197" t="s">
        <v>78</v>
      </c>
      <c r="P6197" t="s">
        <v>55</v>
      </c>
      <c r="Q6197" t="s">
        <v>78</v>
      </c>
      <c r="R6197" t="s">
        <v>55</v>
      </c>
      <c r="S6197" t="s">
        <v>78</v>
      </c>
      <c r="T6197" t="s">
        <v>55</v>
      </c>
      <c r="U6197" t="s">
        <v>78</v>
      </c>
      <c r="V6197" t="s">
        <v>55</v>
      </c>
      <c r="W6197" t="s">
        <v>78</v>
      </c>
      <c r="X6197" t="s">
        <v>55</v>
      </c>
      <c r="Y6197" t="s">
        <v>78</v>
      </c>
      <c r="Z6197" t="s">
        <v>55</v>
      </c>
      <c r="AA6197" t="s">
        <v>78</v>
      </c>
      <c r="AB6197" t="s">
        <v>55</v>
      </c>
      <c r="AC6197" t="s">
        <v>78</v>
      </c>
      <c r="AD6197" t="s">
        <v>55</v>
      </c>
      <c r="AE6197" t="s">
        <v>78</v>
      </c>
      <c r="AF6197" t="s">
        <v>55</v>
      </c>
      <c r="AG6197" t="s">
        <v>78</v>
      </c>
      <c r="AH6197" t="s">
        <v>55</v>
      </c>
      <c r="AI6197" t="s">
        <v>78</v>
      </c>
      <c r="AK6197" t="s">
        <v>363</v>
      </c>
    </row>
    <row r="6198" spans="1:37">
      <c r="B6198" t="s">
        <v>56</v>
      </c>
      <c r="C6198" t="s">
        <v>56</v>
      </c>
      <c r="D6198" t="s">
        <v>56</v>
      </c>
      <c r="E6198" t="s">
        <v>56</v>
      </c>
      <c r="F6198" t="s">
        <v>56</v>
      </c>
      <c r="G6198" t="s">
        <v>176</v>
      </c>
      <c r="H6198" t="s">
        <v>211</v>
      </c>
      <c r="I6198" t="s">
        <v>231</v>
      </c>
      <c r="J6198" t="s">
        <v>250</v>
      </c>
      <c r="K6198" t="s">
        <v>264</v>
      </c>
      <c r="L6198" t="s">
        <v>276</v>
      </c>
      <c r="M6198" t="s">
        <v>285</v>
      </c>
      <c r="N6198" t="s">
        <v>295</v>
      </c>
      <c r="O6198" t="s">
        <v>303</v>
      </c>
      <c r="P6198" t="s">
        <v>56</v>
      </c>
      <c r="Q6198" t="s">
        <v>317</v>
      </c>
      <c r="R6198" t="s">
        <v>324</v>
      </c>
      <c r="S6198" t="s">
        <v>331</v>
      </c>
      <c r="T6198" t="s">
        <v>334</v>
      </c>
      <c r="U6198" t="s">
        <v>338</v>
      </c>
      <c r="V6198" t="s">
        <v>342</v>
      </c>
      <c r="W6198" t="s">
        <v>346</v>
      </c>
      <c r="X6198" t="s">
        <v>351</v>
      </c>
      <c r="AK6198" t="s">
        <v>363</v>
      </c>
    </row>
    <row r="6199" spans="1:37">
      <c r="B6199" t="s">
        <v>57</v>
      </c>
      <c r="C6199" t="s">
        <v>79</v>
      </c>
      <c r="D6199" t="s">
        <v>98</v>
      </c>
      <c r="E6199" t="s">
        <v>117</v>
      </c>
      <c r="F6199" t="s">
        <v>151</v>
      </c>
      <c r="G6199" t="s">
        <v>177</v>
      </c>
      <c r="H6199" t="s">
        <v>212</v>
      </c>
      <c r="I6199" t="s">
        <v>232</v>
      </c>
      <c r="J6199" t="s">
        <v>251</v>
      </c>
      <c r="K6199" t="s">
        <v>265</v>
      </c>
      <c r="L6199" t="s">
        <v>277</v>
      </c>
      <c r="M6199" t="s">
        <v>286</v>
      </c>
      <c r="N6199" t="s">
        <v>296</v>
      </c>
      <c r="O6199" t="s">
        <v>304</v>
      </c>
      <c r="P6199" t="s">
        <v>311</v>
      </c>
      <c r="Q6199" t="s">
        <v>318</v>
      </c>
      <c r="R6199" t="s">
        <v>185</v>
      </c>
      <c r="S6199" t="s">
        <v>159</v>
      </c>
      <c r="T6199" t="s">
        <v>185</v>
      </c>
      <c r="U6199" t="s">
        <v>339</v>
      </c>
      <c r="V6199" t="s">
        <v>72</v>
      </c>
      <c r="W6199" t="s">
        <v>347</v>
      </c>
      <c r="X6199" t="s">
        <v>72</v>
      </c>
      <c r="Y6199" t="s">
        <v>96</v>
      </c>
      <c r="AK6199" t="s">
        <v>363</v>
      </c>
    </row>
    <row r="6200" spans="1:37">
      <c r="B6200" t="s">
        <v>58</v>
      </c>
      <c r="C6200" t="s">
        <v>80</v>
      </c>
      <c r="D6200" t="s">
        <v>99</v>
      </c>
      <c r="E6200" t="s">
        <v>118</v>
      </c>
      <c r="F6200" t="s">
        <v>152</v>
      </c>
      <c r="G6200" t="s">
        <v>178</v>
      </c>
      <c r="H6200" t="s">
        <v>213</v>
      </c>
      <c r="I6200" t="s">
        <v>233</v>
      </c>
      <c r="J6200" t="s">
        <v>252</v>
      </c>
      <c r="K6200" t="s">
        <v>266</v>
      </c>
      <c r="L6200" t="s">
        <v>278</v>
      </c>
      <c r="M6200" t="s">
        <v>287</v>
      </c>
      <c r="N6200" t="s">
        <v>297</v>
      </c>
      <c r="O6200" t="s">
        <v>305</v>
      </c>
      <c r="P6200" t="s">
        <v>312</v>
      </c>
      <c r="Q6200" t="s">
        <v>319</v>
      </c>
      <c r="R6200">
        <f>&gt;10       ветра      1.7     16   8  9</f>
        <v>0</v>
      </c>
      <c r="AK6200" t="s">
        <v>363</v>
      </c>
    </row>
    <row r="6201" spans="1:37">
      <c r="A6201" t="s">
        <v>40</v>
      </c>
      <c r="B6201" t="s">
        <v>59</v>
      </c>
      <c r="C6201" t="s">
        <v>81</v>
      </c>
      <c r="D6201" t="s">
        <v>100</v>
      </c>
      <c r="E6201" t="s">
        <v>119</v>
      </c>
      <c r="F6201" t="s">
        <v>153</v>
      </c>
      <c r="G6201" t="s">
        <v>179</v>
      </c>
      <c r="H6201" t="s">
        <v>214</v>
      </c>
      <c r="I6201" t="s">
        <v>234</v>
      </c>
      <c r="AK6201" t="s">
        <v>363</v>
      </c>
    </row>
    <row r="6202" spans="1:37">
      <c r="A6202" t="s">
        <v>40</v>
      </c>
      <c r="B6202" t="s">
        <v>60</v>
      </c>
      <c r="C6202" t="s">
        <v>82</v>
      </c>
      <c r="D6202" t="s">
        <v>101</v>
      </c>
      <c r="E6202" t="s">
        <v>120</v>
      </c>
      <c r="F6202" t="s">
        <v>154</v>
      </c>
      <c r="G6202" t="s">
        <v>180</v>
      </c>
      <c r="H6202" t="s">
        <v>215</v>
      </c>
      <c r="I6202" t="s">
        <v>235</v>
      </c>
      <c r="J6202" t="s">
        <v>253</v>
      </c>
      <c r="K6202" t="s">
        <v>267</v>
      </c>
      <c r="L6202" t="s">
        <v>279</v>
      </c>
      <c r="M6202" t="s">
        <v>288</v>
      </c>
      <c r="N6202" t="s">
        <v>100</v>
      </c>
      <c r="O6202" t="s">
        <v>306</v>
      </c>
      <c r="P6202" t="s">
        <v>313</v>
      </c>
      <c r="Q6202" t="s">
        <v>320</v>
      </c>
      <c r="R6202" t="s">
        <v>325</v>
      </c>
      <c r="S6202" t="s">
        <v>332</v>
      </c>
      <c r="T6202" t="s">
        <v>119</v>
      </c>
      <c r="U6202" t="s">
        <v>234</v>
      </c>
      <c r="V6202" t="s">
        <v>343</v>
      </c>
      <c r="W6202" t="s">
        <v>348</v>
      </c>
      <c r="X6202" t="s">
        <v>352</v>
      </c>
      <c r="Y6202" t="s">
        <v>354</v>
      </c>
      <c r="AK6202" t="s">
        <v>363</v>
      </c>
    </row>
    <row r="6203" spans="1:37">
      <c r="A6203" t="s">
        <v>41</v>
      </c>
      <c r="B6203" t="s">
        <v>61</v>
      </c>
      <c r="C6203" t="s">
        <v>83</v>
      </c>
      <c r="D6203" t="s">
        <v>102</v>
      </c>
      <c r="E6203" t="s">
        <v>121</v>
      </c>
      <c r="F6203" t="s">
        <v>155</v>
      </c>
      <c r="G6203" t="s">
        <v>181</v>
      </c>
      <c r="H6203" t="s">
        <v>216</v>
      </c>
      <c r="I6203" t="s">
        <v>236</v>
      </c>
      <c r="AK6203" t="s">
        <v>363</v>
      </c>
    </row>
    <row r="6204" spans="1:37">
      <c r="A6204" t="s">
        <v>42</v>
      </c>
      <c r="B6204" t="s">
        <v>62</v>
      </c>
      <c r="C6204" t="s">
        <v>84</v>
      </c>
      <c r="D6204" t="s">
        <v>103</v>
      </c>
      <c r="E6204" t="s">
        <v>122</v>
      </c>
      <c r="F6204" t="s">
        <v>156</v>
      </c>
      <c r="G6204" t="s">
        <v>182</v>
      </c>
      <c r="H6204" t="s">
        <v>83</v>
      </c>
      <c r="I6204" t="s">
        <v>237</v>
      </c>
      <c r="J6204" t="s">
        <v>254</v>
      </c>
      <c r="K6204" t="s">
        <v>268</v>
      </c>
      <c r="L6204" t="s">
        <v>280</v>
      </c>
      <c r="M6204" t="s">
        <v>289</v>
      </c>
      <c r="N6204" t="s">
        <v>298</v>
      </c>
      <c r="O6204" t="s">
        <v>307</v>
      </c>
      <c r="P6204" t="s">
        <v>314</v>
      </c>
      <c r="Q6204" t="s">
        <v>216</v>
      </c>
      <c r="R6204" t="s">
        <v>326</v>
      </c>
      <c r="S6204" t="s">
        <v>333</v>
      </c>
      <c r="T6204" t="s">
        <v>335</v>
      </c>
      <c r="U6204" t="s">
        <v>340</v>
      </c>
      <c r="V6204" t="s">
        <v>344</v>
      </c>
      <c r="W6204" t="s">
        <v>349</v>
      </c>
      <c r="AK6204" t="s">
        <v>363</v>
      </c>
    </row>
    <row r="6205" spans="1:37">
      <c r="A6205" t="s">
        <v>43</v>
      </c>
      <c r="B6205" t="s">
        <v>63</v>
      </c>
      <c r="C6205" t="s">
        <v>85</v>
      </c>
      <c r="D6205" t="s">
        <v>104</v>
      </c>
      <c r="E6205" t="s">
        <v>123</v>
      </c>
      <c r="F6205" t="s">
        <v>157</v>
      </c>
      <c r="G6205" t="s">
        <v>183</v>
      </c>
      <c r="AK6205" t="s">
        <v>363</v>
      </c>
    </row>
    <row r="6206" spans="1:37">
      <c r="A6206" t="s">
        <v>44</v>
      </c>
      <c r="B6206" t="s">
        <v>64</v>
      </c>
      <c r="C6206" t="s">
        <v>86</v>
      </c>
      <c r="D6206" t="s">
        <v>105</v>
      </c>
      <c r="E6206" t="s">
        <v>124</v>
      </c>
      <c r="F6206" t="s">
        <v>158</v>
      </c>
      <c r="G6206" t="s">
        <v>184</v>
      </c>
      <c r="AK6206" t="s">
        <v>363</v>
      </c>
    </row>
    <row r="6207" spans="1:37">
      <c r="A6207" t="s">
        <v>45</v>
      </c>
      <c r="B6207" t="s">
        <v>65</v>
      </c>
      <c r="C6207" t="s">
        <v>87</v>
      </c>
      <c r="D6207" t="s">
        <v>106</v>
      </c>
      <c r="E6207" t="s">
        <v>125</v>
      </c>
      <c r="F6207" t="s">
        <v>159</v>
      </c>
      <c r="G6207" t="s">
        <v>185</v>
      </c>
      <c r="H6207" t="s">
        <v>159</v>
      </c>
      <c r="I6207" t="s">
        <v>185</v>
      </c>
      <c r="J6207" t="s">
        <v>255</v>
      </c>
      <c r="AK6207" t="s">
        <v>363</v>
      </c>
    </row>
    <row r="6208" spans="1:37">
      <c r="A6208" t="s">
        <v>46</v>
      </c>
      <c r="B6208" t="s">
        <v>66</v>
      </c>
      <c r="C6208" t="s">
        <v>88</v>
      </c>
      <c r="D6208" t="s">
        <v>76</v>
      </c>
      <c r="E6208" t="s">
        <v>126</v>
      </c>
      <c r="F6208" t="s">
        <v>160</v>
      </c>
      <c r="G6208" t="s">
        <v>186</v>
      </c>
      <c r="H6208" t="s">
        <v>217</v>
      </c>
      <c r="I6208" t="s">
        <v>238</v>
      </c>
      <c r="J6208" t="s">
        <v>256</v>
      </c>
      <c r="K6208" t="s">
        <v>265</v>
      </c>
      <c r="L6208" t="s">
        <v>281</v>
      </c>
      <c r="M6208" t="s">
        <v>290</v>
      </c>
      <c r="N6208" t="s">
        <v>299</v>
      </c>
      <c r="O6208" t="s">
        <v>308</v>
      </c>
      <c r="P6208" t="s">
        <v>228</v>
      </c>
      <c r="Q6208" t="s">
        <v>72</v>
      </c>
      <c r="R6208" t="s">
        <v>327</v>
      </c>
      <c r="S6208" t="s">
        <v>327</v>
      </c>
      <c r="T6208" t="s">
        <v>336</v>
      </c>
      <c r="U6208" t="s">
        <v>336</v>
      </c>
      <c r="V6208" t="s">
        <v>336</v>
      </c>
      <c r="W6208" t="s">
        <v>336</v>
      </c>
      <c r="X6208" t="s">
        <v>353</v>
      </c>
      <c r="AK6208" t="s">
        <v>363</v>
      </c>
    </row>
    <row r="6209" spans="1:37">
      <c r="B6209" t="s">
        <v>67</v>
      </c>
      <c r="C6209" t="s">
        <v>89</v>
      </c>
      <c r="D6209" t="s">
        <v>107</v>
      </c>
      <c r="AK6209" t="s">
        <v>363</v>
      </c>
    </row>
    <row r="6210" spans="1:37">
      <c r="B6210" t="s">
        <v>68</v>
      </c>
      <c r="C6210" t="s">
        <v>90</v>
      </c>
      <c r="D6210" t="s">
        <v>108</v>
      </c>
      <c r="AK6210" t="s">
        <v>363</v>
      </c>
    </row>
    <row r="6211" spans="1:37">
      <c r="A6211" t="s">
        <v>47</v>
      </c>
      <c r="B6211" t="s">
        <v>69</v>
      </c>
      <c r="C6211" t="s">
        <v>91</v>
      </c>
      <c r="D6211" t="s">
        <v>109</v>
      </c>
      <c r="E6211" t="s">
        <v>109</v>
      </c>
      <c r="F6211" t="s">
        <v>109</v>
      </c>
      <c r="G6211" t="s">
        <v>109</v>
      </c>
      <c r="H6211" t="s">
        <v>109</v>
      </c>
      <c r="I6211" t="s">
        <v>239</v>
      </c>
      <c r="AK6211" t="s">
        <v>363</v>
      </c>
    </row>
    <row r="6212" spans="1:37">
      <c r="B6212" t="s">
        <v>70</v>
      </c>
      <c r="C6212" t="s">
        <v>92</v>
      </c>
      <c r="D6212" t="s">
        <v>110</v>
      </c>
      <c r="E6212" t="s">
        <v>127</v>
      </c>
      <c r="F6212" t="s">
        <v>161</v>
      </c>
      <c r="G6212" t="s">
        <v>187</v>
      </c>
      <c r="H6212" t="s">
        <v>218</v>
      </c>
      <c r="AK6212" t="s">
        <v>363</v>
      </c>
    </row>
    <row r="6213" spans="1:37">
      <c r="B6213" t="s">
        <v>71</v>
      </c>
      <c r="C6213" t="s">
        <v>93</v>
      </c>
      <c r="D6213" t="s">
        <v>111</v>
      </c>
      <c r="E6213" t="s">
        <v>128</v>
      </c>
      <c r="F6213" t="s">
        <v>162</v>
      </c>
      <c r="G6213" t="s">
        <v>188</v>
      </c>
      <c r="H6213" t="s">
        <v>219</v>
      </c>
      <c r="I6213" t="s">
        <v>240</v>
      </c>
      <c r="J6213" t="s">
        <v>257</v>
      </c>
      <c r="K6213" t="s">
        <v>269</v>
      </c>
      <c r="L6213" t="s">
        <v>109</v>
      </c>
      <c r="M6213" t="s">
        <v>109</v>
      </c>
      <c r="N6213" t="s">
        <v>109</v>
      </c>
      <c r="O6213" t="s">
        <v>109</v>
      </c>
      <c r="P6213" t="s">
        <v>109</v>
      </c>
      <c r="Q6213" t="s">
        <v>321</v>
      </c>
      <c r="AK6213" t="s">
        <v>363</v>
      </c>
    </row>
    <row r="6214" spans="1:37">
      <c r="A6214" t="s">
        <v>48</v>
      </c>
      <c r="B6214" t="s">
        <v>71</v>
      </c>
      <c r="C6214" t="s">
        <v>93</v>
      </c>
      <c r="D6214" t="s">
        <v>111</v>
      </c>
      <c r="E6214" t="s">
        <v>128</v>
      </c>
      <c r="F6214" t="s">
        <v>163</v>
      </c>
      <c r="G6214" t="s">
        <v>189</v>
      </c>
      <c r="H6214" t="s">
        <v>220</v>
      </c>
      <c r="I6214" t="s">
        <v>241</v>
      </c>
      <c r="J6214" t="s">
        <v>258</v>
      </c>
      <c r="K6214" t="s">
        <v>270</v>
      </c>
      <c r="AK6214" t="s">
        <v>363</v>
      </c>
    </row>
    <row r="6215" spans="1:37">
      <c r="B6215" t="s">
        <v>72</v>
      </c>
      <c r="C6215" t="s">
        <v>72</v>
      </c>
      <c r="D6215" t="s">
        <v>72</v>
      </c>
      <c r="E6215" t="s">
        <v>72</v>
      </c>
      <c r="F6215" t="s">
        <v>72</v>
      </c>
      <c r="G6215" t="s">
        <v>72</v>
      </c>
      <c r="H6215" t="s">
        <v>72</v>
      </c>
      <c r="I6215" t="s">
        <v>72</v>
      </c>
      <c r="J6215" t="s">
        <v>72</v>
      </c>
      <c r="K6215" t="s">
        <v>272</v>
      </c>
      <c r="AK6215" t="s">
        <v>363</v>
      </c>
    </row>
    <row r="6216" spans="1:37">
      <c r="A6216" t="s">
        <v>37</v>
      </c>
      <c r="B6216" t="s">
        <v>49</v>
      </c>
      <c r="C6216" t="s">
        <v>73</v>
      </c>
      <c r="D6216" t="s">
        <v>94</v>
      </c>
      <c r="E6216" t="s">
        <v>112</v>
      </c>
      <c r="F6216" t="s">
        <v>146</v>
      </c>
      <c r="G6216" t="s">
        <v>172</v>
      </c>
      <c r="H6216" t="s">
        <v>207</v>
      </c>
      <c r="I6216" t="s">
        <v>226</v>
      </c>
      <c r="J6216" t="s">
        <v>246</v>
      </c>
      <c r="K6216" t="s">
        <v>259</v>
      </c>
      <c r="AK6216" t="s">
        <v>363</v>
      </c>
    </row>
    <row r="6217" spans="1:37">
      <c r="A6217" t="s">
        <v>38</v>
      </c>
      <c r="B6217" t="s">
        <v>50</v>
      </c>
      <c r="C6217" t="s">
        <v>74</v>
      </c>
      <c r="D6217" t="s">
        <v>95</v>
      </c>
      <c r="E6217" t="s">
        <v>113</v>
      </c>
      <c r="F6217" t="s">
        <v>147</v>
      </c>
      <c r="G6217" t="s">
        <v>173</v>
      </c>
      <c r="H6217" t="s">
        <v>208</v>
      </c>
      <c r="I6217" t="s">
        <v>227</v>
      </c>
      <c r="J6217" t="s">
        <v>115</v>
      </c>
      <c r="K6217" t="s">
        <v>260</v>
      </c>
      <c r="L6217" t="s">
        <v>273</v>
      </c>
      <c r="M6217" t="s">
        <v>282</v>
      </c>
      <c r="N6217" t="s">
        <v>291</v>
      </c>
      <c r="AK6217" t="s">
        <v>363</v>
      </c>
    </row>
    <row r="6218" spans="1:37">
      <c r="B6218" t="s">
        <v>51</v>
      </c>
      <c r="C6218" t="s">
        <v>75</v>
      </c>
      <c r="D6218" t="s">
        <v>52</v>
      </c>
      <c r="E6218" t="s">
        <v>114</v>
      </c>
      <c r="F6218" t="s">
        <v>148</v>
      </c>
      <c r="G6218" t="s">
        <v>148</v>
      </c>
      <c r="H6218" t="s">
        <v>209</v>
      </c>
      <c r="I6218" t="s">
        <v>228</v>
      </c>
      <c r="J6218" t="s">
        <v>247</v>
      </c>
      <c r="K6218" t="s">
        <v>261</v>
      </c>
      <c r="L6218" t="s">
        <v>274</v>
      </c>
      <c r="M6218" t="s">
        <v>283</v>
      </c>
      <c r="N6218" t="s">
        <v>292</v>
      </c>
      <c r="O6218" t="s">
        <v>300</v>
      </c>
      <c r="AK6218" t="s">
        <v>363</v>
      </c>
    </row>
    <row r="6219" spans="1:37">
      <c r="B6219" t="s">
        <v>52</v>
      </c>
      <c r="C6219" t="s">
        <v>76</v>
      </c>
      <c r="D6219" t="s">
        <v>96</v>
      </c>
      <c r="E6219" t="s">
        <v>115</v>
      </c>
      <c r="F6219" t="s">
        <v>149</v>
      </c>
      <c r="G6219" t="s">
        <v>174</v>
      </c>
      <c r="H6219" t="s">
        <v>96</v>
      </c>
      <c r="I6219" t="s">
        <v>229</v>
      </c>
      <c r="J6219" t="s">
        <v>248</v>
      </c>
      <c r="K6219" t="s">
        <v>262</v>
      </c>
      <c r="L6219" t="s">
        <v>52</v>
      </c>
      <c r="M6219" t="s">
        <v>76</v>
      </c>
      <c r="N6219" t="s">
        <v>293</v>
      </c>
      <c r="O6219" t="s">
        <v>301</v>
      </c>
      <c r="P6219" t="s">
        <v>309</v>
      </c>
      <c r="Q6219" t="s">
        <v>315</v>
      </c>
      <c r="R6219" t="s">
        <v>228</v>
      </c>
      <c r="S6219" t="s">
        <v>328</v>
      </c>
      <c r="T6219" t="s">
        <v>149</v>
      </c>
      <c r="U6219" t="s">
        <v>337</v>
      </c>
      <c r="V6219" t="s">
        <v>341</v>
      </c>
      <c r="W6219" t="s">
        <v>345</v>
      </c>
      <c r="X6219" t="s">
        <v>350</v>
      </c>
      <c r="AK6219" t="s">
        <v>363</v>
      </c>
    </row>
    <row r="6220" spans="1:37">
      <c r="B6220" t="s">
        <v>53</v>
      </c>
      <c r="C6220" t="s">
        <v>77</v>
      </c>
      <c r="D6220" t="s">
        <v>97</v>
      </c>
      <c r="E6220" t="s">
        <v>116</v>
      </c>
      <c r="F6220" t="s">
        <v>150</v>
      </c>
      <c r="G6220" t="s">
        <v>175</v>
      </c>
      <c r="H6220" t="s">
        <v>210</v>
      </c>
      <c r="I6220" t="s">
        <v>230</v>
      </c>
      <c r="J6220" t="s">
        <v>249</v>
      </c>
      <c r="K6220" t="s">
        <v>263</v>
      </c>
      <c r="L6220" t="s">
        <v>275</v>
      </c>
      <c r="M6220" t="s">
        <v>284</v>
      </c>
      <c r="N6220" t="s">
        <v>294</v>
      </c>
      <c r="O6220" t="s">
        <v>302</v>
      </c>
      <c r="P6220" t="s">
        <v>310</v>
      </c>
      <c r="Q6220" t="s">
        <v>316</v>
      </c>
      <c r="R6220" t="s">
        <v>322</v>
      </c>
      <c r="S6220" t="s">
        <v>329</v>
      </c>
      <c r="AK6220" t="s">
        <v>363</v>
      </c>
    </row>
    <row r="6221" spans="1:37">
      <c r="A6221" t="s">
        <v>39</v>
      </c>
      <c r="B6221" t="s">
        <v>54</v>
      </c>
      <c r="C6221" t="s">
        <v>54</v>
      </c>
      <c r="D6221" t="s">
        <v>54</v>
      </c>
      <c r="E6221" t="s">
        <v>54</v>
      </c>
      <c r="F6221" t="s">
        <v>54</v>
      </c>
      <c r="G6221" t="s">
        <v>54</v>
      </c>
      <c r="H6221" t="s">
        <v>54</v>
      </c>
      <c r="I6221" t="s">
        <v>54</v>
      </c>
      <c r="J6221" t="s">
        <v>54</v>
      </c>
      <c r="K6221" t="s">
        <v>54</v>
      </c>
      <c r="L6221" t="s">
        <v>54</v>
      </c>
      <c r="M6221" t="s">
        <v>54</v>
      </c>
      <c r="N6221" t="s">
        <v>54</v>
      </c>
      <c r="O6221" t="s">
        <v>54</v>
      </c>
      <c r="P6221" t="s">
        <v>54</v>
      </c>
      <c r="Q6221" t="s">
        <v>54</v>
      </c>
      <c r="R6221" t="s">
        <v>323</v>
      </c>
      <c r="S6221" t="s">
        <v>330</v>
      </c>
      <c r="AK6221" t="s">
        <v>363</v>
      </c>
    </row>
    <row r="6222" spans="1:37">
      <c r="B6222" t="s">
        <v>55</v>
      </c>
      <c r="C6222" t="s">
        <v>78</v>
      </c>
      <c r="D6222" t="s">
        <v>55</v>
      </c>
      <c r="E6222" t="s">
        <v>78</v>
      </c>
      <c r="F6222" t="s">
        <v>55</v>
      </c>
      <c r="G6222" t="s">
        <v>78</v>
      </c>
      <c r="H6222" t="s">
        <v>55</v>
      </c>
      <c r="I6222" t="s">
        <v>78</v>
      </c>
      <c r="J6222" t="s">
        <v>55</v>
      </c>
      <c r="K6222" t="s">
        <v>78</v>
      </c>
      <c r="L6222" t="s">
        <v>55</v>
      </c>
      <c r="M6222" t="s">
        <v>78</v>
      </c>
      <c r="N6222" t="s">
        <v>55</v>
      </c>
      <c r="O6222" t="s">
        <v>78</v>
      </c>
      <c r="P6222" t="s">
        <v>55</v>
      </c>
      <c r="Q6222" t="s">
        <v>78</v>
      </c>
      <c r="R6222" t="s">
        <v>55</v>
      </c>
      <c r="S6222" t="s">
        <v>78</v>
      </c>
      <c r="T6222" t="s">
        <v>55</v>
      </c>
      <c r="U6222" t="s">
        <v>78</v>
      </c>
      <c r="V6222" t="s">
        <v>55</v>
      </c>
      <c r="W6222" t="s">
        <v>78</v>
      </c>
      <c r="X6222" t="s">
        <v>55</v>
      </c>
      <c r="Y6222" t="s">
        <v>78</v>
      </c>
      <c r="Z6222" t="s">
        <v>55</v>
      </c>
      <c r="AA6222" t="s">
        <v>78</v>
      </c>
      <c r="AB6222" t="s">
        <v>55</v>
      </c>
      <c r="AC6222" t="s">
        <v>78</v>
      </c>
      <c r="AD6222" t="s">
        <v>55</v>
      </c>
      <c r="AE6222" t="s">
        <v>78</v>
      </c>
      <c r="AF6222" t="s">
        <v>55</v>
      </c>
      <c r="AG6222" t="s">
        <v>78</v>
      </c>
      <c r="AH6222" t="s">
        <v>55</v>
      </c>
      <c r="AI6222" t="s">
        <v>78</v>
      </c>
      <c r="AK6222" t="s">
        <v>363</v>
      </c>
    </row>
    <row r="6223" spans="1:37">
      <c r="B6223" t="s">
        <v>56</v>
      </c>
      <c r="C6223" t="s">
        <v>56</v>
      </c>
      <c r="D6223" t="s">
        <v>56</v>
      </c>
      <c r="E6223" t="s">
        <v>56</v>
      </c>
      <c r="F6223" t="s">
        <v>56</v>
      </c>
      <c r="G6223" t="s">
        <v>176</v>
      </c>
      <c r="H6223" t="s">
        <v>211</v>
      </c>
      <c r="I6223" t="s">
        <v>231</v>
      </c>
      <c r="J6223" t="s">
        <v>250</v>
      </c>
      <c r="K6223" t="s">
        <v>264</v>
      </c>
      <c r="L6223" t="s">
        <v>276</v>
      </c>
      <c r="M6223" t="s">
        <v>285</v>
      </c>
      <c r="N6223" t="s">
        <v>295</v>
      </c>
      <c r="O6223" t="s">
        <v>303</v>
      </c>
      <c r="P6223" t="s">
        <v>56</v>
      </c>
      <c r="Q6223" t="s">
        <v>317</v>
      </c>
      <c r="R6223" t="s">
        <v>324</v>
      </c>
      <c r="S6223" t="s">
        <v>331</v>
      </c>
      <c r="T6223" t="s">
        <v>334</v>
      </c>
      <c r="U6223" t="s">
        <v>338</v>
      </c>
      <c r="V6223" t="s">
        <v>342</v>
      </c>
      <c r="W6223" t="s">
        <v>346</v>
      </c>
      <c r="X6223" t="s">
        <v>351</v>
      </c>
      <c r="AK6223" t="s">
        <v>363</v>
      </c>
    </row>
    <row r="6224" spans="1:37">
      <c r="B6224" t="s">
        <v>57</v>
      </c>
      <c r="C6224" t="s">
        <v>79</v>
      </c>
      <c r="D6224" t="s">
        <v>98</v>
      </c>
      <c r="E6224" t="s">
        <v>117</v>
      </c>
      <c r="F6224" t="s">
        <v>151</v>
      </c>
      <c r="G6224" t="s">
        <v>177</v>
      </c>
      <c r="H6224" t="s">
        <v>212</v>
      </c>
      <c r="I6224" t="s">
        <v>232</v>
      </c>
      <c r="J6224" t="s">
        <v>251</v>
      </c>
      <c r="K6224" t="s">
        <v>265</v>
      </c>
      <c r="L6224" t="s">
        <v>277</v>
      </c>
      <c r="M6224" t="s">
        <v>286</v>
      </c>
      <c r="N6224" t="s">
        <v>296</v>
      </c>
      <c r="O6224" t="s">
        <v>304</v>
      </c>
      <c r="P6224" t="s">
        <v>311</v>
      </c>
      <c r="Q6224" t="s">
        <v>318</v>
      </c>
      <c r="R6224" t="s">
        <v>185</v>
      </c>
      <c r="S6224" t="s">
        <v>159</v>
      </c>
      <c r="T6224" t="s">
        <v>185</v>
      </c>
      <c r="U6224" t="s">
        <v>339</v>
      </c>
      <c r="V6224" t="s">
        <v>72</v>
      </c>
      <c r="W6224" t="s">
        <v>347</v>
      </c>
      <c r="X6224" t="s">
        <v>72</v>
      </c>
      <c r="Y6224" t="s">
        <v>96</v>
      </c>
      <c r="AK6224" t="s">
        <v>363</v>
      </c>
    </row>
    <row r="6225" spans="1:37">
      <c r="B6225" t="s">
        <v>58</v>
      </c>
      <c r="C6225" t="s">
        <v>80</v>
      </c>
      <c r="D6225" t="s">
        <v>99</v>
      </c>
      <c r="E6225" t="s">
        <v>118</v>
      </c>
      <c r="F6225" t="s">
        <v>152</v>
      </c>
      <c r="G6225" t="s">
        <v>178</v>
      </c>
      <c r="H6225" t="s">
        <v>213</v>
      </c>
      <c r="I6225" t="s">
        <v>233</v>
      </c>
      <c r="J6225" t="s">
        <v>252</v>
      </c>
      <c r="K6225" t="s">
        <v>266</v>
      </c>
      <c r="L6225" t="s">
        <v>278</v>
      </c>
      <c r="M6225" t="s">
        <v>287</v>
      </c>
      <c r="N6225" t="s">
        <v>297</v>
      </c>
      <c r="O6225" t="s">
        <v>305</v>
      </c>
      <c r="P6225" t="s">
        <v>312</v>
      </c>
      <c r="Q6225" t="s">
        <v>319</v>
      </c>
      <c r="R6225">
        <f>&gt;10       ветра      2.2     19   9</f>
        <v>0</v>
      </c>
      <c r="AK6225" t="s">
        <v>363</v>
      </c>
    </row>
    <row r="6226" spans="1:37">
      <c r="A6226" t="s">
        <v>40</v>
      </c>
      <c r="B6226" t="s">
        <v>59</v>
      </c>
      <c r="C6226" t="s">
        <v>81</v>
      </c>
      <c r="D6226" t="s">
        <v>100</v>
      </c>
      <c r="E6226" t="s">
        <v>119</v>
      </c>
      <c r="F6226" t="s">
        <v>153</v>
      </c>
      <c r="G6226" t="s">
        <v>179</v>
      </c>
      <c r="H6226" t="s">
        <v>214</v>
      </c>
      <c r="I6226" t="s">
        <v>234</v>
      </c>
      <c r="AK6226" t="s">
        <v>363</v>
      </c>
    </row>
    <row r="6227" spans="1:37">
      <c r="A6227" t="s">
        <v>40</v>
      </c>
      <c r="B6227" t="s">
        <v>60</v>
      </c>
      <c r="C6227" t="s">
        <v>82</v>
      </c>
      <c r="D6227" t="s">
        <v>101</v>
      </c>
      <c r="E6227" t="s">
        <v>120</v>
      </c>
      <c r="F6227" t="s">
        <v>154</v>
      </c>
      <c r="G6227" t="s">
        <v>180</v>
      </c>
      <c r="H6227" t="s">
        <v>215</v>
      </c>
      <c r="I6227" t="s">
        <v>235</v>
      </c>
      <c r="J6227" t="s">
        <v>253</v>
      </c>
      <c r="K6227" t="s">
        <v>267</v>
      </c>
      <c r="L6227" t="s">
        <v>279</v>
      </c>
      <c r="M6227" t="s">
        <v>288</v>
      </c>
      <c r="N6227" t="s">
        <v>100</v>
      </c>
      <c r="O6227" t="s">
        <v>306</v>
      </c>
      <c r="P6227" t="s">
        <v>313</v>
      </c>
      <c r="Q6227" t="s">
        <v>320</v>
      </c>
      <c r="R6227" t="s">
        <v>325</v>
      </c>
      <c r="S6227" t="s">
        <v>332</v>
      </c>
      <c r="T6227" t="s">
        <v>119</v>
      </c>
      <c r="U6227" t="s">
        <v>234</v>
      </c>
      <c r="V6227" t="s">
        <v>343</v>
      </c>
      <c r="W6227" t="s">
        <v>348</v>
      </c>
      <c r="X6227" t="s">
        <v>352</v>
      </c>
      <c r="Y6227" t="s">
        <v>354</v>
      </c>
      <c r="AK6227" t="s">
        <v>363</v>
      </c>
    </row>
    <row r="6228" spans="1:37">
      <c r="A6228" t="s">
        <v>41</v>
      </c>
      <c r="B6228" t="s">
        <v>61</v>
      </c>
      <c r="C6228" t="s">
        <v>83</v>
      </c>
      <c r="D6228" t="s">
        <v>102</v>
      </c>
      <c r="E6228" t="s">
        <v>121</v>
      </c>
      <c r="F6228" t="s">
        <v>155</v>
      </c>
      <c r="G6228" t="s">
        <v>181</v>
      </c>
      <c r="H6228" t="s">
        <v>216</v>
      </c>
      <c r="I6228" t="s">
        <v>236</v>
      </c>
      <c r="AK6228" t="s">
        <v>363</v>
      </c>
    </row>
    <row r="6229" spans="1:37">
      <c r="A6229" t="s">
        <v>42</v>
      </c>
      <c r="B6229" t="s">
        <v>62</v>
      </c>
      <c r="C6229" t="s">
        <v>84</v>
      </c>
      <c r="D6229" t="s">
        <v>103</v>
      </c>
      <c r="E6229" t="s">
        <v>122</v>
      </c>
      <c r="F6229" t="s">
        <v>156</v>
      </c>
      <c r="G6229" t="s">
        <v>182</v>
      </c>
      <c r="H6229" t="s">
        <v>83</v>
      </c>
      <c r="I6229" t="s">
        <v>237</v>
      </c>
      <c r="J6229" t="s">
        <v>254</v>
      </c>
      <c r="K6229" t="s">
        <v>268</v>
      </c>
      <c r="L6229" t="s">
        <v>280</v>
      </c>
      <c r="M6229" t="s">
        <v>289</v>
      </c>
      <c r="N6229" t="s">
        <v>298</v>
      </c>
      <c r="O6229" t="s">
        <v>307</v>
      </c>
      <c r="P6229" t="s">
        <v>314</v>
      </c>
      <c r="Q6229" t="s">
        <v>216</v>
      </c>
      <c r="R6229" t="s">
        <v>326</v>
      </c>
      <c r="S6229" t="s">
        <v>333</v>
      </c>
      <c r="T6229" t="s">
        <v>335</v>
      </c>
      <c r="U6229" t="s">
        <v>340</v>
      </c>
      <c r="V6229" t="s">
        <v>344</v>
      </c>
      <c r="W6229" t="s">
        <v>349</v>
      </c>
      <c r="AK6229" t="s">
        <v>363</v>
      </c>
    </row>
    <row r="6230" spans="1:37">
      <c r="A6230" t="s">
        <v>43</v>
      </c>
      <c r="B6230" t="s">
        <v>63</v>
      </c>
      <c r="C6230" t="s">
        <v>85</v>
      </c>
      <c r="D6230" t="s">
        <v>104</v>
      </c>
      <c r="E6230" t="s">
        <v>123</v>
      </c>
      <c r="F6230" t="s">
        <v>157</v>
      </c>
      <c r="G6230" t="s">
        <v>183</v>
      </c>
      <c r="AK6230" t="s">
        <v>363</v>
      </c>
    </row>
    <row r="6231" spans="1:37">
      <c r="A6231" t="s">
        <v>44</v>
      </c>
      <c r="B6231" t="s">
        <v>64</v>
      </c>
      <c r="C6231" t="s">
        <v>86</v>
      </c>
      <c r="D6231" t="s">
        <v>105</v>
      </c>
      <c r="E6231" t="s">
        <v>124</v>
      </c>
      <c r="F6231" t="s">
        <v>158</v>
      </c>
      <c r="G6231" t="s">
        <v>184</v>
      </c>
      <c r="AK6231" t="s">
        <v>363</v>
      </c>
    </row>
    <row r="6232" spans="1:37">
      <c r="A6232" t="s">
        <v>45</v>
      </c>
      <c r="B6232" t="s">
        <v>65</v>
      </c>
      <c r="C6232" t="s">
        <v>87</v>
      </c>
      <c r="D6232" t="s">
        <v>106</v>
      </c>
      <c r="E6232" t="s">
        <v>125</v>
      </c>
      <c r="F6232" t="s">
        <v>159</v>
      </c>
      <c r="G6232" t="s">
        <v>185</v>
      </c>
      <c r="H6232" t="s">
        <v>159</v>
      </c>
      <c r="I6232" t="s">
        <v>185</v>
      </c>
      <c r="J6232" t="s">
        <v>255</v>
      </c>
      <c r="AK6232" t="s">
        <v>363</v>
      </c>
    </row>
    <row r="6233" spans="1:37">
      <c r="A6233" t="s">
        <v>46</v>
      </c>
      <c r="B6233" t="s">
        <v>66</v>
      </c>
      <c r="C6233" t="s">
        <v>88</v>
      </c>
      <c r="D6233" t="s">
        <v>76</v>
      </c>
      <c r="E6233" t="s">
        <v>126</v>
      </c>
      <c r="F6233" t="s">
        <v>160</v>
      </c>
      <c r="G6233" t="s">
        <v>186</v>
      </c>
      <c r="H6233" t="s">
        <v>217</v>
      </c>
      <c r="I6233" t="s">
        <v>238</v>
      </c>
      <c r="J6233" t="s">
        <v>256</v>
      </c>
      <c r="K6233" t="s">
        <v>265</v>
      </c>
      <c r="L6233" t="s">
        <v>281</v>
      </c>
      <c r="M6233" t="s">
        <v>290</v>
      </c>
      <c r="N6233" t="s">
        <v>299</v>
      </c>
      <c r="O6233" t="s">
        <v>308</v>
      </c>
      <c r="P6233" t="s">
        <v>228</v>
      </c>
      <c r="Q6233" t="s">
        <v>72</v>
      </c>
      <c r="R6233" t="s">
        <v>327</v>
      </c>
      <c r="S6233" t="s">
        <v>327</v>
      </c>
      <c r="T6233" t="s">
        <v>336</v>
      </c>
      <c r="U6233" t="s">
        <v>336</v>
      </c>
      <c r="V6233" t="s">
        <v>336</v>
      </c>
      <c r="W6233" t="s">
        <v>336</v>
      </c>
      <c r="X6233" t="s">
        <v>353</v>
      </c>
      <c r="AK6233" t="s">
        <v>363</v>
      </c>
    </row>
    <row r="6234" spans="1:37">
      <c r="B6234" t="s">
        <v>67</v>
      </c>
      <c r="C6234" t="s">
        <v>89</v>
      </c>
      <c r="D6234" t="s">
        <v>107</v>
      </c>
      <c r="AK6234" t="s">
        <v>363</v>
      </c>
    </row>
    <row r="6235" spans="1:37">
      <c r="B6235" t="s">
        <v>68</v>
      </c>
      <c r="C6235" t="s">
        <v>90</v>
      </c>
      <c r="D6235" t="s">
        <v>108</v>
      </c>
      <c r="AK6235" t="s">
        <v>363</v>
      </c>
    </row>
    <row r="6236" spans="1:37">
      <c r="A6236" t="s">
        <v>47</v>
      </c>
      <c r="B6236" t="s">
        <v>69</v>
      </c>
      <c r="C6236" t="s">
        <v>91</v>
      </c>
      <c r="D6236" t="s">
        <v>109</v>
      </c>
      <c r="E6236" t="s">
        <v>109</v>
      </c>
      <c r="F6236" t="s">
        <v>109</v>
      </c>
      <c r="G6236" t="s">
        <v>109</v>
      </c>
      <c r="H6236" t="s">
        <v>109</v>
      </c>
      <c r="I6236" t="s">
        <v>239</v>
      </c>
      <c r="AK6236" t="s">
        <v>363</v>
      </c>
    </row>
    <row r="6237" spans="1:37">
      <c r="B6237" t="s">
        <v>70</v>
      </c>
      <c r="C6237" t="s">
        <v>92</v>
      </c>
      <c r="D6237" t="s">
        <v>110</v>
      </c>
      <c r="E6237" t="s">
        <v>127</v>
      </c>
      <c r="F6237" t="s">
        <v>161</v>
      </c>
      <c r="G6237" t="s">
        <v>187</v>
      </c>
      <c r="H6237" t="s">
        <v>218</v>
      </c>
      <c r="AK6237" t="s">
        <v>363</v>
      </c>
    </row>
    <row r="6238" spans="1:37">
      <c r="B6238" t="s">
        <v>71</v>
      </c>
      <c r="C6238" t="s">
        <v>93</v>
      </c>
      <c r="D6238" t="s">
        <v>111</v>
      </c>
      <c r="E6238" t="s">
        <v>128</v>
      </c>
      <c r="F6238" t="s">
        <v>162</v>
      </c>
      <c r="G6238" t="s">
        <v>188</v>
      </c>
      <c r="H6238" t="s">
        <v>219</v>
      </c>
      <c r="I6238" t="s">
        <v>240</v>
      </c>
      <c r="J6238" t="s">
        <v>257</v>
      </c>
      <c r="K6238" t="s">
        <v>269</v>
      </c>
      <c r="L6238" t="s">
        <v>109</v>
      </c>
      <c r="M6238" t="s">
        <v>109</v>
      </c>
      <c r="N6238" t="s">
        <v>109</v>
      </c>
      <c r="O6238" t="s">
        <v>109</v>
      </c>
      <c r="P6238" t="s">
        <v>109</v>
      </c>
      <c r="Q6238" t="s">
        <v>321</v>
      </c>
      <c r="AK6238" t="s">
        <v>363</v>
      </c>
    </row>
    <row r="6239" spans="1:37">
      <c r="A6239" t="s">
        <v>48</v>
      </c>
      <c r="B6239" t="s">
        <v>71</v>
      </c>
      <c r="C6239" t="s">
        <v>93</v>
      </c>
      <c r="D6239" t="s">
        <v>111</v>
      </c>
      <c r="E6239" t="s">
        <v>128</v>
      </c>
      <c r="F6239" t="s">
        <v>163</v>
      </c>
      <c r="G6239" t="s">
        <v>189</v>
      </c>
      <c r="H6239" t="s">
        <v>220</v>
      </c>
      <c r="I6239" t="s">
        <v>241</v>
      </c>
      <c r="J6239" t="s">
        <v>258</v>
      </c>
      <c r="K6239" t="s">
        <v>270</v>
      </c>
      <c r="AK6239" t="s">
        <v>363</v>
      </c>
    </row>
    <row r="6240" spans="1:37">
      <c r="B6240" t="s">
        <v>72</v>
      </c>
      <c r="C6240" t="s">
        <v>72</v>
      </c>
      <c r="D6240" t="s">
        <v>72</v>
      </c>
      <c r="E6240" t="s">
        <v>72</v>
      </c>
      <c r="F6240" t="s">
        <v>72</v>
      </c>
      <c r="G6240" t="s">
        <v>72</v>
      </c>
      <c r="H6240" t="s">
        <v>72</v>
      </c>
      <c r="I6240" t="s">
        <v>72</v>
      </c>
      <c r="J6240" t="s">
        <v>72</v>
      </c>
      <c r="K6240" t="s">
        <v>272</v>
      </c>
      <c r="AK6240" t="s">
        <v>363</v>
      </c>
    </row>
    <row r="6241" spans="1:37">
      <c r="A6241" t="s">
        <v>37</v>
      </c>
      <c r="B6241" t="s">
        <v>49</v>
      </c>
      <c r="C6241" t="s">
        <v>73</v>
      </c>
      <c r="D6241" t="s">
        <v>94</v>
      </c>
      <c r="E6241" t="s">
        <v>112</v>
      </c>
      <c r="F6241" t="s">
        <v>146</v>
      </c>
      <c r="G6241" t="s">
        <v>172</v>
      </c>
      <c r="H6241" t="s">
        <v>207</v>
      </c>
      <c r="I6241" t="s">
        <v>226</v>
      </c>
      <c r="J6241" t="s">
        <v>246</v>
      </c>
      <c r="K6241" t="s">
        <v>259</v>
      </c>
      <c r="AK6241" t="s">
        <v>363</v>
      </c>
    </row>
    <row r="6242" spans="1:37">
      <c r="A6242" t="s">
        <v>38</v>
      </c>
      <c r="B6242" t="s">
        <v>50</v>
      </c>
      <c r="C6242" t="s">
        <v>74</v>
      </c>
      <c r="D6242" t="s">
        <v>95</v>
      </c>
      <c r="E6242" t="s">
        <v>113</v>
      </c>
      <c r="F6242" t="s">
        <v>147</v>
      </c>
      <c r="G6242" t="s">
        <v>173</v>
      </c>
      <c r="H6242" t="s">
        <v>208</v>
      </c>
      <c r="I6242" t="s">
        <v>227</v>
      </c>
      <c r="J6242" t="s">
        <v>115</v>
      </c>
      <c r="K6242" t="s">
        <v>260</v>
      </c>
      <c r="L6242" t="s">
        <v>273</v>
      </c>
      <c r="M6242" t="s">
        <v>282</v>
      </c>
      <c r="N6242" t="s">
        <v>291</v>
      </c>
      <c r="AK6242" t="s">
        <v>363</v>
      </c>
    </row>
    <row r="6243" spans="1:37">
      <c r="B6243" t="s">
        <v>51</v>
      </c>
      <c r="C6243" t="s">
        <v>75</v>
      </c>
      <c r="D6243" t="s">
        <v>52</v>
      </c>
      <c r="E6243" t="s">
        <v>114</v>
      </c>
      <c r="F6243" t="s">
        <v>148</v>
      </c>
      <c r="G6243" t="s">
        <v>148</v>
      </c>
      <c r="H6243" t="s">
        <v>209</v>
      </c>
      <c r="I6243" t="s">
        <v>228</v>
      </c>
      <c r="J6243" t="s">
        <v>247</v>
      </c>
      <c r="K6243" t="s">
        <v>261</v>
      </c>
      <c r="L6243" t="s">
        <v>274</v>
      </c>
      <c r="M6243" t="s">
        <v>283</v>
      </c>
      <c r="N6243" t="s">
        <v>292</v>
      </c>
      <c r="O6243" t="s">
        <v>300</v>
      </c>
      <c r="AK6243" t="s">
        <v>363</v>
      </c>
    </row>
    <row r="6244" spans="1:37">
      <c r="B6244" t="s">
        <v>52</v>
      </c>
      <c r="C6244" t="s">
        <v>76</v>
      </c>
      <c r="D6244" t="s">
        <v>96</v>
      </c>
      <c r="E6244" t="s">
        <v>115</v>
      </c>
      <c r="F6244" t="s">
        <v>149</v>
      </c>
      <c r="G6244" t="s">
        <v>174</v>
      </c>
      <c r="H6244" t="s">
        <v>96</v>
      </c>
      <c r="I6244" t="s">
        <v>229</v>
      </c>
      <c r="J6244" t="s">
        <v>248</v>
      </c>
      <c r="K6244" t="s">
        <v>262</v>
      </c>
      <c r="L6244" t="s">
        <v>52</v>
      </c>
      <c r="M6244" t="s">
        <v>76</v>
      </c>
      <c r="N6244" t="s">
        <v>293</v>
      </c>
      <c r="O6244" t="s">
        <v>301</v>
      </c>
      <c r="P6244" t="s">
        <v>309</v>
      </c>
      <c r="Q6244" t="s">
        <v>315</v>
      </c>
      <c r="R6244" t="s">
        <v>228</v>
      </c>
      <c r="S6244" t="s">
        <v>328</v>
      </c>
      <c r="T6244" t="s">
        <v>149</v>
      </c>
      <c r="U6244" t="s">
        <v>337</v>
      </c>
      <c r="V6244" t="s">
        <v>341</v>
      </c>
      <c r="W6244" t="s">
        <v>345</v>
      </c>
      <c r="X6244" t="s">
        <v>350</v>
      </c>
      <c r="AK6244" t="s">
        <v>363</v>
      </c>
    </row>
    <row r="6245" spans="1:37">
      <c r="B6245" t="s">
        <v>53</v>
      </c>
      <c r="C6245" t="s">
        <v>77</v>
      </c>
      <c r="D6245" t="s">
        <v>97</v>
      </c>
      <c r="E6245" t="s">
        <v>116</v>
      </c>
      <c r="F6245" t="s">
        <v>150</v>
      </c>
      <c r="G6245" t="s">
        <v>175</v>
      </c>
      <c r="H6245" t="s">
        <v>210</v>
      </c>
      <c r="I6245" t="s">
        <v>230</v>
      </c>
      <c r="J6245" t="s">
        <v>249</v>
      </c>
      <c r="K6245" t="s">
        <v>263</v>
      </c>
      <c r="L6245" t="s">
        <v>275</v>
      </c>
      <c r="M6245" t="s">
        <v>284</v>
      </c>
      <c r="N6245" t="s">
        <v>294</v>
      </c>
      <c r="O6245" t="s">
        <v>302</v>
      </c>
      <c r="P6245" t="s">
        <v>310</v>
      </c>
      <c r="Q6245" t="s">
        <v>316</v>
      </c>
      <c r="R6245" t="s">
        <v>322</v>
      </c>
      <c r="S6245" t="s">
        <v>329</v>
      </c>
      <c r="AK6245" t="s">
        <v>363</v>
      </c>
    </row>
    <row r="6246" spans="1:37">
      <c r="A6246" t="s">
        <v>39</v>
      </c>
      <c r="B6246" t="s">
        <v>54</v>
      </c>
      <c r="C6246" t="s">
        <v>54</v>
      </c>
      <c r="D6246" t="s">
        <v>54</v>
      </c>
      <c r="E6246" t="s">
        <v>54</v>
      </c>
      <c r="F6246" t="s">
        <v>54</v>
      </c>
      <c r="G6246" t="s">
        <v>54</v>
      </c>
      <c r="H6246" t="s">
        <v>54</v>
      </c>
      <c r="I6246" t="s">
        <v>54</v>
      </c>
      <c r="J6246" t="s">
        <v>54</v>
      </c>
      <c r="K6246" t="s">
        <v>54</v>
      </c>
      <c r="L6246" t="s">
        <v>54</v>
      </c>
      <c r="M6246" t="s">
        <v>54</v>
      </c>
      <c r="N6246" t="s">
        <v>54</v>
      </c>
      <c r="O6246" t="s">
        <v>54</v>
      </c>
      <c r="P6246" t="s">
        <v>54</v>
      </c>
      <c r="Q6246" t="s">
        <v>54</v>
      </c>
      <c r="R6246" t="s">
        <v>323</v>
      </c>
      <c r="S6246" t="s">
        <v>330</v>
      </c>
      <c r="AK6246" t="s">
        <v>363</v>
      </c>
    </row>
    <row r="6247" spans="1:37">
      <c r="B6247" t="s">
        <v>55</v>
      </c>
      <c r="C6247" t="s">
        <v>78</v>
      </c>
      <c r="D6247" t="s">
        <v>55</v>
      </c>
      <c r="E6247" t="s">
        <v>78</v>
      </c>
      <c r="F6247" t="s">
        <v>55</v>
      </c>
      <c r="G6247" t="s">
        <v>78</v>
      </c>
      <c r="H6247" t="s">
        <v>55</v>
      </c>
      <c r="I6247" t="s">
        <v>78</v>
      </c>
      <c r="J6247" t="s">
        <v>55</v>
      </c>
      <c r="K6247" t="s">
        <v>78</v>
      </c>
      <c r="L6247" t="s">
        <v>55</v>
      </c>
      <c r="M6247" t="s">
        <v>78</v>
      </c>
      <c r="N6247" t="s">
        <v>55</v>
      </c>
      <c r="O6247" t="s">
        <v>78</v>
      </c>
      <c r="P6247" t="s">
        <v>55</v>
      </c>
      <c r="Q6247" t="s">
        <v>78</v>
      </c>
      <c r="R6247" t="s">
        <v>55</v>
      </c>
      <c r="S6247" t="s">
        <v>78</v>
      </c>
      <c r="T6247" t="s">
        <v>55</v>
      </c>
      <c r="U6247" t="s">
        <v>78</v>
      </c>
      <c r="V6247" t="s">
        <v>55</v>
      </c>
      <c r="W6247" t="s">
        <v>78</v>
      </c>
      <c r="X6247" t="s">
        <v>55</v>
      </c>
      <c r="Y6247" t="s">
        <v>78</v>
      </c>
      <c r="Z6247" t="s">
        <v>55</v>
      </c>
      <c r="AA6247" t="s">
        <v>78</v>
      </c>
      <c r="AB6247" t="s">
        <v>55</v>
      </c>
      <c r="AC6247" t="s">
        <v>78</v>
      </c>
      <c r="AD6247" t="s">
        <v>55</v>
      </c>
      <c r="AE6247" t="s">
        <v>78</v>
      </c>
      <c r="AF6247" t="s">
        <v>55</v>
      </c>
      <c r="AG6247" t="s">
        <v>78</v>
      </c>
      <c r="AH6247" t="s">
        <v>55</v>
      </c>
      <c r="AI6247" t="s">
        <v>78</v>
      </c>
      <c r="AK6247" t="s">
        <v>363</v>
      </c>
    </row>
    <row r="6248" spans="1:37">
      <c r="B6248" t="s">
        <v>56</v>
      </c>
      <c r="C6248" t="s">
        <v>56</v>
      </c>
      <c r="D6248" t="s">
        <v>56</v>
      </c>
      <c r="E6248" t="s">
        <v>56</v>
      </c>
      <c r="F6248" t="s">
        <v>56</v>
      </c>
      <c r="G6248" t="s">
        <v>176</v>
      </c>
      <c r="H6248" t="s">
        <v>211</v>
      </c>
      <c r="I6248" t="s">
        <v>231</v>
      </c>
      <c r="J6248" t="s">
        <v>250</v>
      </c>
      <c r="K6248" t="s">
        <v>264</v>
      </c>
      <c r="L6248" t="s">
        <v>276</v>
      </c>
      <c r="M6248" t="s">
        <v>285</v>
      </c>
      <c r="N6248" t="s">
        <v>295</v>
      </c>
      <c r="O6248" t="s">
        <v>303</v>
      </c>
      <c r="P6248" t="s">
        <v>56</v>
      </c>
      <c r="Q6248" t="s">
        <v>317</v>
      </c>
      <c r="R6248" t="s">
        <v>324</v>
      </c>
      <c r="S6248" t="s">
        <v>331</v>
      </c>
      <c r="T6248" t="s">
        <v>334</v>
      </c>
      <c r="U6248" t="s">
        <v>338</v>
      </c>
      <c r="V6248" t="s">
        <v>342</v>
      </c>
      <c r="W6248" t="s">
        <v>346</v>
      </c>
      <c r="X6248" t="s">
        <v>351</v>
      </c>
      <c r="AK6248" t="s">
        <v>363</v>
      </c>
    </row>
    <row r="6249" spans="1:37">
      <c r="B6249" t="s">
        <v>57</v>
      </c>
      <c r="C6249" t="s">
        <v>79</v>
      </c>
      <c r="D6249" t="s">
        <v>98</v>
      </c>
      <c r="E6249" t="s">
        <v>117</v>
      </c>
      <c r="F6249" t="s">
        <v>151</v>
      </c>
      <c r="G6249" t="s">
        <v>177</v>
      </c>
      <c r="H6249" t="s">
        <v>212</v>
      </c>
      <c r="I6249" t="s">
        <v>232</v>
      </c>
      <c r="J6249" t="s">
        <v>251</v>
      </c>
      <c r="K6249" t="s">
        <v>265</v>
      </c>
      <c r="L6249" t="s">
        <v>277</v>
      </c>
      <c r="M6249" t="s">
        <v>286</v>
      </c>
      <c r="N6249" t="s">
        <v>296</v>
      </c>
      <c r="O6249" t="s">
        <v>304</v>
      </c>
      <c r="P6249" t="s">
        <v>311</v>
      </c>
      <c r="Q6249" t="s">
        <v>318</v>
      </c>
      <c r="R6249" t="s">
        <v>185</v>
      </c>
      <c r="S6249" t="s">
        <v>159</v>
      </c>
      <c r="T6249" t="s">
        <v>185</v>
      </c>
      <c r="U6249" t="s">
        <v>339</v>
      </c>
      <c r="V6249" t="s">
        <v>72</v>
      </c>
      <c r="W6249" t="s">
        <v>347</v>
      </c>
      <c r="X6249" t="s">
        <v>72</v>
      </c>
      <c r="Y6249" t="s">
        <v>96</v>
      </c>
      <c r="AK6249" t="s">
        <v>363</v>
      </c>
    </row>
    <row r="6250" spans="1:37">
      <c r="B6250" t="s">
        <v>58</v>
      </c>
      <c r="C6250" t="s">
        <v>80</v>
      </c>
      <c r="D6250" t="s">
        <v>99</v>
      </c>
      <c r="E6250" t="s">
        <v>118</v>
      </c>
      <c r="F6250" t="s">
        <v>152</v>
      </c>
      <c r="G6250" t="s">
        <v>178</v>
      </c>
      <c r="H6250" t="s">
        <v>213</v>
      </c>
      <c r="I6250" t="s">
        <v>233</v>
      </c>
      <c r="J6250" t="s">
        <v>252</v>
      </c>
      <c r="K6250" t="s">
        <v>266</v>
      </c>
      <c r="L6250" t="s">
        <v>278</v>
      </c>
      <c r="M6250" t="s">
        <v>287</v>
      </c>
      <c r="N6250" t="s">
        <v>297</v>
      </c>
      <c r="O6250" t="s">
        <v>305</v>
      </c>
      <c r="P6250" t="s">
        <v>312</v>
      </c>
      <c r="Q6250" t="s">
        <v>319</v>
      </c>
      <c r="R6250">
        <f>&gt;10       ветра      3.3     16   3</f>
        <v>0</v>
      </c>
      <c r="AK6250" t="s">
        <v>363</v>
      </c>
    </row>
    <row r="6251" spans="1:37">
      <c r="A6251" t="s">
        <v>40</v>
      </c>
      <c r="B6251" t="s">
        <v>59</v>
      </c>
      <c r="C6251" t="s">
        <v>81</v>
      </c>
      <c r="D6251" t="s">
        <v>100</v>
      </c>
      <c r="E6251" t="s">
        <v>119</v>
      </c>
      <c r="F6251" t="s">
        <v>153</v>
      </c>
      <c r="G6251" t="s">
        <v>179</v>
      </c>
      <c r="H6251" t="s">
        <v>214</v>
      </c>
      <c r="I6251" t="s">
        <v>234</v>
      </c>
      <c r="AK6251" t="s">
        <v>363</v>
      </c>
    </row>
    <row r="6252" spans="1:37">
      <c r="A6252" t="s">
        <v>40</v>
      </c>
      <c r="B6252" t="s">
        <v>60</v>
      </c>
      <c r="C6252" t="s">
        <v>82</v>
      </c>
      <c r="D6252" t="s">
        <v>101</v>
      </c>
      <c r="E6252" t="s">
        <v>120</v>
      </c>
      <c r="F6252" t="s">
        <v>154</v>
      </c>
      <c r="G6252" t="s">
        <v>180</v>
      </c>
      <c r="H6252" t="s">
        <v>215</v>
      </c>
      <c r="I6252" t="s">
        <v>235</v>
      </c>
      <c r="J6252" t="s">
        <v>253</v>
      </c>
      <c r="K6252" t="s">
        <v>267</v>
      </c>
      <c r="L6252" t="s">
        <v>279</v>
      </c>
      <c r="M6252" t="s">
        <v>288</v>
      </c>
      <c r="N6252" t="s">
        <v>100</v>
      </c>
      <c r="O6252" t="s">
        <v>306</v>
      </c>
      <c r="P6252" t="s">
        <v>313</v>
      </c>
      <c r="Q6252" t="s">
        <v>320</v>
      </c>
      <c r="R6252" t="s">
        <v>325</v>
      </c>
      <c r="S6252" t="s">
        <v>332</v>
      </c>
      <c r="T6252" t="s">
        <v>119</v>
      </c>
      <c r="U6252" t="s">
        <v>234</v>
      </c>
      <c r="V6252" t="s">
        <v>343</v>
      </c>
      <c r="W6252" t="s">
        <v>348</v>
      </c>
      <c r="X6252" t="s">
        <v>352</v>
      </c>
      <c r="Y6252" t="s">
        <v>354</v>
      </c>
      <c r="AK6252" t="s">
        <v>363</v>
      </c>
    </row>
    <row r="6253" spans="1:37">
      <c r="A6253" t="s">
        <v>41</v>
      </c>
      <c r="B6253" t="s">
        <v>61</v>
      </c>
      <c r="C6253" t="s">
        <v>83</v>
      </c>
      <c r="D6253" t="s">
        <v>102</v>
      </c>
      <c r="E6253" t="s">
        <v>121</v>
      </c>
      <c r="F6253" t="s">
        <v>155</v>
      </c>
      <c r="G6253" t="s">
        <v>181</v>
      </c>
      <c r="H6253" t="s">
        <v>216</v>
      </c>
      <c r="I6253" t="s">
        <v>236</v>
      </c>
      <c r="AK6253" t="s">
        <v>363</v>
      </c>
    </row>
    <row r="6254" spans="1:37">
      <c r="A6254" t="s">
        <v>42</v>
      </c>
      <c r="B6254" t="s">
        <v>62</v>
      </c>
      <c r="C6254" t="s">
        <v>84</v>
      </c>
      <c r="D6254" t="s">
        <v>103</v>
      </c>
      <c r="E6254" t="s">
        <v>122</v>
      </c>
      <c r="F6254" t="s">
        <v>156</v>
      </c>
      <c r="G6254" t="s">
        <v>182</v>
      </c>
      <c r="H6254" t="s">
        <v>83</v>
      </c>
      <c r="I6254" t="s">
        <v>237</v>
      </c>
      <c r="J6254" t="s">
        <v>254</v>
      </c>
      <c r="K6254" t="s">
        <v>268</v>
      </c>
      <c r="L6254" t="s">
        <v>280</v>
      </c>
      <c r="M6254" t="s">
        <v>289</v>
      </c>
      <c r="N6254" t="s">
        <v>298</v>
      </c>
      <c r="O6254" t="s">
        <v>307</v>
      </c>
      <c r="P6254" t="s">
        <v>314</v>
      </c>
      <c r="Q6254" t="s">
        <v>216</v>
      </c>
      <c r="R6254" t="s">
        <v>326</v>
      </c>
      <c r="S6254" t="s">
        <v>333</v>
      </c>
      <c r="T6254" t="s">
        <v>335</v>
      </c>
      <c r="U6254" t="s">
        <v>340</v>
      </c>
      <c r="V6254" t="s">
        <v>344</v>
      </c>
      <c r="W6254" t="s">
        <v>349</v>
      </c>
      <c r="AK6254" t="s">
        <v>363</v>
      </c>
    </row>
    <row r="6255" spans="1:37">
      <c r="A6255" t="s">
        <v>43</v>
      </c>
      <c r="B6255" t="s">
        <v>63</v>
      </c>
      <c r="C6255" t="s">
        <v>85</v>
      </c>
      <c r="D6255" t="s">
        <v>104</v>
      </c>
      <c r="E6255" t="s">
        <v>123</v>
      </c>
      <c r="F6255" t="s">
        <v>157</v>
      </c>
      <c r="G6255" t="s">
        <v>183</v>
      </c>
      <c r="AK6255" t="s">
        <v>363</v>
      </c>
    </row>
    <row r="6256" spans="1:37">
      <c r="A6256" t="s">
        <v>44</v>
      </c>
      <c r="B6256" t="s">
        <v>64</v>
      </c>
      <c r="C6256" t="s">
        <v>86</v>
      </c>
      <c r="D6256" t="s">
        <v>105</v>
      </c>
      <c r="E6256" t="s">
        <v>124</v>
      </c>
      <c r="F6256" t="s">
        <v>158</v>
      </c>
      <c r="G6256" t="s">
        <v>184</v>
      </c>
      <c r="AK6256" t="s">
        <v>363</v>
      </c>
    </row>
    <row r="6257" spans="1:37">
      <c r="A6257" t="s">
        <v>45</v>
      </c>
      <c r="B6257" t="s">
        <v>65</v>
      </c>
      <c r="C6257" t="s">
        <v>87</v>
      </c>
      <c r="D6257" t="s">
        <v>106</v>
      </c>
      <c r="E6257" t="s">
        <v>125</v>
      </c>
      <c r="F6257" t="s">
        <v>159</v>
      </c>
      <c r="G6257" t="s">
        <v>185</v>
      </c>
      <c r="H6257" t="s">
        <v>159</v>
      </c>
      <c r="I6257" t="s">
        <v>185</v>
      </c>
      <c r="J6257" t="s">
        <v>255</v>
      </c>
      <c r="AK6257" t="s">
        <v>363</v>
      </c>
    </row>
    <row r="6258" spans="1:37">
      <c r="A6258" t="s">
        <v>46</v>
      </c>
      <c r="B6258" t="s">
        <v>66</v>
      </c>
      <c r="C6258" t="s">
        <v>88</v>
      </c>
      <c r="D6258" t="s">
        <v>76</v>
      </c>
      <c r="E6258" t="s">
        <v>126</v>
      </c>
      <c r="F6258" t="s">
        <v>160</v>
      </c>
      <c r="G6258" t="s">
        <v>186</v>
      </c>
      <c r="H6258" t="s">
        <v>217</v>
      </c>
      <c r="I6258" t="s">
        <v>238</v>
      </c>
      <c r="J6258" t="s">
        <v>256</v>
      </c>
      <c r="K6258" t="s">
        <v>265</v>
      </c>
      <c r="L6258" t="s">
        <v>281</v>
      </c>
      <c r="M6258" t="s">
        <v>290</v>
      </c>
      <c r="N6258" t="s">
        <v>299</v>
      </c>
      <c r="O6258" t="s">
        <v>308</v>
      </c>
      <c r="P6258" t="s">
        <v>228</v>
      </c>
      <c r="Q6258" t="s">
        <v>72</v>
      </c>
      <c r="R6258" t="s">
        <v>327</v>
      </c>
      <c r="S6258" t="s">
        <v>327</v>
      </c>
      <c r="T6258" t="s">
        <v>336</v>
      </c>
      <c r="U6258" t="s">
        <v>336</v>
      </c>
      <c r="V6258" t="s">
        <v>336</v>
      </c>
      <c r="W6258" t="s">
        <v>336</v>
      </c>
      <c r="X6258" t="s">
        <v>353</v>
      </c>
      <c r="AK6258" t="s">
        <v>363</v>
      </c>
    </row>
    <row r="6259" spans="1:37">
      <c r="B6259" t="s">
        <v>67</v>
      </c>
      <c r="C6259" t="s">
        <v>89</v>
      </c>
      <c r="D6259" t="s">
        <v>107</v>
      </c>
      <c r="AK6259" t="s">
        <v>363</v>
      </c>
    </row>
    <row r="6260" spans="1:37">
      <c r="B6260" t="s">
        <v>68</v>
      </c>
      <c r="C6260" t="s">
        <v>90</v>
      </c>
      <c r="D6260" t="s">
        <v>108</v>
      </c>
      <c r="AK6260" t="s">
        <v>363</v>
      </c>
    </row>
    <row r="6261" spans="1:37">
      <c r="A6261" t="s">
        <v>47</v>
      </c>
      <c r="B6261" t="s">
        <v>69</v>
      </c>
      <c r="C6261" t="s">
        <v>91</v>
      </c>
      <c r="D6261" t="s">
        <v>109</v>
      </c>
      <c r="E6261" t="s">
        <v>109</v>
      </c>
      <c r="F6261" t="s">
        <v>109</v>
      </c>
      <c r="G6261" t="s">
        <v>109</v>
      </c>
      <c r="H6261" t="s">
        <v>109</v>
      </c>
      <c r="I6261" t="s">
        <v>239</v>
      </c>
      <c r="AK6261" t="s">
        <v>363</v>
      </c>
    </row>
    <row r="6262" spans="1:37">
      <c r="B6262" t="s">
        <v>70</v>
      </c>
      <c r="C6262" t="s">
        <v>92</v>
      </c>
      <c r="D6262" t="s">
        <v>110</v>
      </c>
      <c r="E6262" t="s">
        <v>127</v>
      </c>
      <c r="F6262" t="s">
        <v>161</v>
      </c>
      <c r="G6262" t="s">
        <v>187</v>
      </c>
      <c r="H6262" t="s">
        <v>218</v>
      </c>
      <c r="AK6262" t="s">
        <v>363</v>
      </c>
    </row>
    <row r="6263" spans="1:37">
      <c r="B6263" t="s">
        <v>71</v>
      </c>
      <c r="C6263" t="s">
        <v>93</v>
      </c>
      <c r="D6263" t="s">
        <v>111</v>
      </c>
      <c r="E6263" t="s">
        <v>128</v>
      </c>
      <c r="F6263" t="s">
        <v>162</v>
      </c>
      <c r="G6263" t="s">
        <v>188</v>
      </c>
      <c r="H6263" t="s">
        <v>219</v>
      </c>
      <c r="I6263" t="s">
        <v>240</v>
      </c>
      <c r="J6263" t="s">
        <v>257</v>
      </c>
      <c r="K6263" t="s">
        <v>269</v>
      </c>
      <c r="L6263" t="s">
        <v>109</v>
      </c>
      <c r="M6263" t="s">
        <v>109</v>
      </c>
      <c r="N6263" t="s">
        <v>109</v>
      </c>
      <c r="O6263" t="s">
        <v>109</v>
      </c>
      <c r="P6263" t="s">
        <v>109</v>
      </c>
      <c r="Q6263" t="s">
        <v>321</v>
      </c>
      <c r="AK6263" t="s">
        <v>363</v>
      </c>
    </row>
    <row r="6264" spans="1:37">
      <c r="A6264" t="s">
        <v>48</v>
      </c>
      <c r="B6264" t="s">
        <v>71</v>
      </c>
      <c r="C6264" t="s">
        <v>93</v>
      </c>
      <c r="D6264" t="s">
        <v>111</v>
      </c>
      <c r="E6264" t="s">
        <v>128</v>
      </c>
      <c r="F6264" t="s">
        <v>163</v>
      </c>
      <c r="G6264" t="s">
        <v>189</v>
      </c>
      <c r="H6264" t="s">
        <v>220</v>
      </c>
      <c r="I6264" t="s">
        <v>241</v>
      </c>
      <c r="J6264" t="s">
        <v>258</v>
      </c>
      <c r="K6264" t="s">
        <v>270</v>
      </c>
      <c r="AK6264" t="s">
        <v>363</v>
      </c>
    </row>
    <row r="6265" spans="1:37">
      <c r="B6265" t="s">
        <v>72</v>
      </c>
      <c r="C6265" t="s">
        <v>72</v>
      </c>
      <c r="D6265" t="s">
        <v>72</v>
      </c>
      <c r="E6265" t="s">
        <v>72</v>
      </c>
      <c r="F6265" t="s">
        <v>72</v>
      </c>
      <c r="G6265" t="s">
        <v>72</v>
      </c>
      <c r="H6265" t="s">
        <v>72</v>
      </c>
      <c r="I6265" t="s">
        <v>72</v>
      </c>
      <c r="J6265" t="s">
        <v>72</v>
      </c>
      <c r="K6265" t="s">
        <v>272</v>
      </c>
      <c r="AK6265" t="s">
        <v>363</v>
      </c>
    </row>
    <row r="6266" spans="1:37">
      <c r="A6266" t="s">
        <v>37</v>
      </c>
      <c r="B6266" t="s">
        <v>49</v>
      </c>
      <c r="C6266" t="s">
        <v>73</v>
      </c>
      <c r="D6266" t="s">
        <v>94</v>
      </c>
      <c r="E6266" t="s">
        <v>112</v>
      </c>
      <c r="F6266" t="s">
        <v>146</v>
      </c>
      <c r="G6266" t="s">
        <v>172</v>
      </c>
      <c r="H6266" t="s">
        <v>207</v>
      </c>
      <c r="I6266" t="s">
        <v>226</v>
      </c>
      <c r="J6266" t="s">
        <v>246</v>
      </c>
      <c r="K6266" t="s">
        <v>259</v>
      </c>
      <c r="AK6266" t="s">
        <v>363</v>
      </c>
    </row>
    <row r="6267" spans="1:37">
      <c r="A6267" t="s">
        <v>38</v>
      </c>
      <c r="B6267" t="s">
        <v>50</v>
      </c>
      <c r="C6267" t="s">
        <v>74</v>
      </c>
      <c r="D6267" t="s">
        <v>95</v>
      </c>
      <c r="E6267" t="s">
        <v>113</v>
      </c>
      <c r="F6267" t="s">
        <v>147</v>
      </c>
      <c r="G6267" t="s">
        <v>173</v>
      </c>
      <c r="H6267" t="s">
        <v>208</v>
      </c>
      <c r="I6267" t="s">
        <v>227</v>
      </c>
      <c r="J6267" t="s">
        <v>115</v>
      </c>
      <c r="K6267" t="s">
        <v>260</v>
      </c>
      <c r="L6267" t="s">
        <v>273</v>
      </c>
      <c r="M6267" t="s">
        <v>282</v>
      </c>
      <c r="N6267" t="s">
        <v>291</v>
      </c>
      <c r="AK6267" t="s">
        <v>363</v>
      </c>
    </row>
    <row r="6268" spans="1:37">
      <c r="B6268" t="s">
        <v>51</v>
      </c>
      <c r="C6268" t="s">
        <v>75</v>
      </c>
      <c r="D6268" t="s">
        <v>52</v>
      </c>
      <c r="E6268" t="s">
        <v>114</v>
      </c>
      <c r="F6268" t="s">
        <v>148</v>
      </c>
      <c r="G6268" t="s">
        <v>148</v>
      </c>
      <c r="H6268" t="s">
        <v>209</v>
      </c>
      <c r="I6268" t="s">
        <v>228</v>
      </c>
      <c r="J6268" t="s">
        <v>247</v>
      </c>
      <c r="K6268" t="s">
        <v>261</v>
      </c>
      <c r="L6268" t="s">
        <v>274</v>
      </c>
      <c r="M6268" t="s">
        <v>283</v>
      </c>
      <c r="N6268" t="s">
        <v>292</v>
      </c>
      <c r="O6268" t="s">
        <v>300</v>
      </c>
      <c r="AK6268" t="s">
        <v>363</v>
      </c>
    </row>
    <row r="6269" spans="1:37">
      <c r="B6269" t="s">
        <v>52</v>
      </c>
      <c r="C6269" t="s">
        <v>76</v>
      </c>
      <c r="D6269" t="s">
        <v>96</v>
      </c>
      <c r="E6269" t="s">
        <v>115</v>
      </c>
      <c r="F6269" t="s">
        <v>149</v>
      </c>
      <c r="G6269" t="s">
        <v>174</v>
      </c>
      <c r="H6269" t="s">
        <v>96</v>
      </c>
      <c r="I6269" t="s">
        <v>229</v>
      </c>
      <c r="J6269" t="s">
        <v>248</v>
      </c>
      <c r="K6269" t="s">
        <v>262</v>
      </c>
      <c r="L6269" t="s">
        <v>52</v>
      </c>
      <c r="M6269" t="s">
        <v>76</v>
      </c>
      <c r="N6269" t="s">
        <v>293</v>
      </c>
      <c r="O6269" t="s">
        <v>301</v>
      </c>
      <c r="P6269" t="s">
        <v>309</v>
      </c>
      <c r="Q6269" t="s">
        <v>315</v>
      </c>
      <c r="R6269" t="s">
        <v>228</v>
      </c>
      <c r="S6269" t="s">
        <v>328</v>
      </c>
      <c r="T6269" t="s">
        <v>149</v>
      </c>
      <c r="U6269" t="s">
        <v>337</v>
      </c>
      <c r="V6269" t="s">
        <v>341</v>
      </c>
      <c r="W6269" t="s">
        <v>345</v>
      </c>
      <c r="X6269" t="s">
        <v>350</v>
      </c>
      <c r="AK6269" t="s">
        <v>363</v>
      </c>
    </row>
    <row r="6270" spans="1:37">
      <c r="B6270" t="s">
        <v>53</v>
      </c>
      <c r="C6270" t="s">
        <v>77</v>
      </c>
      <c r="D6270" t="s">
        <v>97</v>
      </c>
      <c r="E6270" t="s">
        <v>116</v>
      </c>
      <c r="F6270" t="s">
        <v>150</v>
      </c>
      <c r="G6270" t="s">
        <v>175</v>
      </c>
      <c r="H6270" t="s">
        <v>210</v>
      </c>
      <c r="I6270" t="s">
        <v>230</v>
      </c>
      <c r="J6270" t="s">
        <v>249</v>
      </c>
      <c r="K6270" t="s">
        <v>263</v>
      </c>
      <c r="L6270" t="s">
        <v>275</v>
      </c>
      <c r="M6270" t="s">
        <v>284</v>
      </c>
      <c r="N6270" t="s">
        <v>294</v>
      </c>
      <c r="O6270" t="s">
        <v>302</v>
      </c>
      <c r="P6270" t="s">
        <v>310</v>
      </c>
      <c r="Q6270" t="s">
        <v>316</v>
      </c>
      <c r="R6270" t="s">
        <v>322</v>
      </c>
      <c r="S6270" t="s">
        <v>329</v>
      </c>
      <c r="AK6270" t="s">
        <v>363</v>
      </c>
    </row>
    <row r="6271" spans="1:37">
      <c r="A6271" t="s">
        <v>39</v>
      </c>
      <c r="B6271" t="s">
        <v>54</v>
      </c>
      <c r="C6271" t="s">
        <v>54</v>
      </c>
      <c r="D6271" t="s">
        <v>54</v>
      </c>
      <c r="E6271" t="s">
        <v>54</v>
      </c>
      <c r="F6271" t="s">
        <v>54</v>
      </c>
      <c r="G6271" t="s">
        <v>54</v>
      </c>
      <c r="H6271" t="s">
        <v>54</v>
      </c>
      <c r="I6271" t="s">
        <v>54</v>
      </c>
      <c r="J6271" t="s">
        <v>54</v>
      </c>
      <c r="K6271" t="s">
        <v>54</v>
      </c>
      <c r="L6271" t="s">
        <v>54</v>
      </c>
      <c r="M6271" t="s">
        <v>54</v>
      </c>
      <c r="N6271" t="s">
        <v>54</v>
      </c>
      <c r="O6271" t="s">
        <v>54</v>
      </c>
      <c r="P6271" t="s">
        <v>54</v>
      </c>
      <c r="Q6271" t="s">
        <v>54</v>
      </c>
      <c r="R6271" t="s">
        <v>323</v>
      </c>
      <c r="S6271" t="s">
        <v>330</v>
      </c>
      <c r="AK6271" t="s">
        <v>363</v>
      </c>
    </row>
    <row r="6272" spans="1:37">
      <c r="B6272" t="s">
        <v>55</v>
      </c>
      <c r="C6272" t="s">
        <v>78</v>
      </c>
      <c r="D6272" t="s">
        <v>55</v>
      </c>
      <c r="E6272" t="s">
        <v>78</v>
      </c>
      <c r="F6272" t="s">
        <v>55</v>
      </c>
      <c r="G6272" t="s">
        <v>78</v>
      </c>
      <c r="H6272" t="s">
        <v>55</v>
      </c>
      <c r="I6272" t="s">
        <v>78</v>
      </c>
      <c r="J6272" t="s">
        <v>55</v>
      </c>
      <c r="K6272" t="s">
        <v>78</v>
      </c>
      <c r="L6272" t="s">
        <v>55</v>
      </c>
      <c r="M6272" t="s">
        <v>78</v>
      </c>
      <c r="N6272" t="s">
        <v>55</v>
      </c>
      <c r="O6272" t="s">
        <v>78</v>
      </c>
      <c r="P6272" t="s">
        <v>55</v>
      </c>
      <c r="Q6272" t="s">
        <v>78</v>
      </c>
      <c r="R6272" t="s">
        <v>55</v>
      </c>
      <c r="S6272" t="s">
        <v>78</v>
      </c>
      <c r="T6272" t="s">
        <v>55</v>
      </c>
      <c r="U6272" t="s">
        <v>78</v>
      </c>
      <c r="V6272" t="s">
        <v>55</v>
      </c>
      <c r="W6272" t="s">
        <v>78</v>
      </c>
      <c r="X6272" t="s">
        <v>55</v>
      </c>
      <c r="Y6272" t="s">
        <v>78</v>
      </c>
      <c r="Z6272" t="s">
        <v>55</v>
      </c>
      <c r="AA6272" t="s">
        <v>78</v>
      </c>
      <c r="AB6272" t="s">
        <v>55</v>
      </c>
      <c r="AC6272" t="s">
        <v>78</v>
      </c>
      <c r="AD6272" t="s">
        <v>55</v>
      </c>
      <c r="AE6272" t="s">
        <v>78</v>
      </c>
      <c r="AF6272" t="s">
        <v>55</v>
      </c>
      <c r="AG6272" t="s">
        <v>78</v>
      </c>
      <c r="AH6272" t="s">
        <v>55</v>
      </c>
      <c r="AI6272" t="s">
        <v>78</v>
      </c>
      <c r="AK6272" t="s">
        <v>363</v>
      </c>
    </row>
    <row r="6273" spans="1:37">
      <c r="B6273" t="s">
        <v>56</v>
      </c>
      <c r="C6273" t="s">
        <v>56</v>
      </c>
      <c r="D6273" t="s">
        <v>56</v>
      </c>
      <c r="E6273" t="s">
        <v>56</v>
      </c>
      <c r="F6273" t="s">
        <v>56</v>
      </c>
      <c r="G6273" t="s">
        <v>176</v>
      </c>
      <c r="H6273" t="s">
        <v>211</v>
      </c>
      <c r="I6273" t="s">
        <v>231</v>
      </c>
      <c r="J6273" t="s">
        <v>250</v>
      </c>
      <c r="K6273" t="s">
        <v>264</v>
      </c>
      <c r="L6273" t="s">
        <v>276</v>
      </c>
      <c r="M6273" t="s">
        <v>285</v>
      </c>
      <c r="N6273" t="s">
        <v>295</v>
      </c>
      <c r="O6273" t="s">
        <v>303</v>
      </c>
      <c r="P6273" t="s">
        <v>56</v>
      </c>
      <c r="Q6273" t="s">
        <v>317</v>
      </c>
      <c r="R6273" t="s">
        <v>324</v>
      </c>
      <c r="S6273" t="s">
        <v>331</v>
      </c>
      <c r="T6273" t="s">
        <v>334</v>
      </c>
      <c r="U6273" t="s">
        <v>338</v>
      </c>
      <c r="V6273" t="s">
        <v>342</v>
      </c>
      <c r="W6273" t="s">
        <v>346</v>
      </c>
      <c r="X6273" t="s">
        <v>351</v>
      </c>
      <c r="AK6273" t="s">
        <v>363</v>
      </c>
    </row>
    <row r="6274" spans="1:37">
      <c r="B6274" t="s">
        <v>57</v>
      </c>
      <c r="C6274" t="s">
        <v>79</v>
      </c>
      <c r="D6274" t="s">
        <v>98</v>
      </c>
      <c r="E6274" t="s">
        <v>117</v>
      </c>
      <c r="F6274" t="s">
        <v>151</v>
      </c>
      <c r="G6274" t="s">
        <v>177</v>
      </c>
      <c r="H6274" t="s">
        <v>212</v>
      </c>
      <c r="I6274" t="s">
        <v>232</v>
      </c>
      <c r="J6274" t="s">
        <v>251</v>
      </c>
      <c r="K6274" t="s">
        <v>265</v>
      </c>
      <c r="L6274" t="s">
        <v>277</v>
      </c>
      <c r="M6274" t="s">
        <v>286</v>
      </c>
      <c r="N6274" t="s">
        <v>296</v>
      </c>
      <c r="O6274" t="s">
        <v>304</v>
      </c>
      <c r="P6274" t="s">
        <v>311</v>
      </c>
      <c r="Q6274" t="s">
        <v>318</v>
      </c>
      <c r="R6274" t="s">
        <v>185</v>
      </c>
      <c r="S6274" t="s">
        <v>159</v>
      </c>
      <c r="T6274" t="s">
        <v>185</v>
      </c>
      <c r="U6274" t="s">
        <v>339</v>
      </c>
      <c r="V6274" t="s">
        <v>72</v>
      </c>
      <c r="W6274" t="s">
        <v>347</v>
      </c>
      <c r="X6274" t="s">
        <v>72</v>
      </c>
      <c r="Y6274" t="s">
        <v>96</v>
      </c>
      <c r="AK6274" t="s">
        <v>363</v>
      </c>
    </row>
    <row r="6275" spans="1:37">
      <c r="B6275" t="s">
        <v>58</v>
      </c>
      <c r="C6275" t="s">
        <v>80</v>
      </c>
      <c r="D6275" t="s">
        <v>99</v>
      </c>
      <c r="E6275" t="s">
        <v>118</v>
      </c>
      <c r="F6275" t="s">
        <v>152</v>
      </c>
      <c r="G6275" t="s">
        <v>178</v>
      </c>
      <c r="H6275" t="s">
        <v>213</v>
      </c>
      <c r="I6275" t="s">
        <v>233</v>
      </c>
      <c r="J6275" t="s">
        <v>252</v>
      </c>
      <c r="K6275" t="s">
        <v>266</v>
      </c>
      <c r="L6275" t="s">
        <v>278</v>
      </c>
      <c r="M6275" t="s">
        <v>287</v>
      </c>
      <c r="N6275" t="s">
        <v>297</v>
      </c>
      <c r="O6275" t="s">
        <v>305</v>
      </c>
      <c r="P6275" t="s">
        <v>312</v>
      </c>
      <c r="Q6275" t="s">
        <v>319</v>
      </c>
      <c r="R6275">
        <f>&gt;10       ветра      2.1     14   8  9</f>
        <v>0</v>
      </c>
      <c r="AK6275" t="s">
        <v>363</v>
      </c>
    </row>
    <row r="6276" spans="1:37">
      <c r="A6276" t="s">
        <v>40</v>
      </c>
      <c r="B6276" t="s">
        <v>59</v>
      </c>
      <c r="C6276" t="s">
        <v>81</v>
      </c>
      <c r="D6276" t="s">
        <v>100</v>
      </c>
      <c r="E6276" t="s">
        <v>119</v>
      </c>
      <c r="F6276" t="s">
        <v>153</v>
      </c>
      <c r="G6276" t="s">
        <v>179</v>
      </c>
      <c r="H6276" t="s">
        <v>214</v>
      </c>
      <c r="I6276" t="s">
        <v>234</v>
      </c>
      <c r="AK6276" t="s">
        <v>363</v>
      </c>
    </row>
    <row r="6277" spans="1:37">
      <c r="A6277" t="s">
        <v>40</v>
      </c>
      <c r="B6277" t="s">
        <v>60</v>
      </c>
      <c r="C6277" t="s">
        <v>82</v>
      </c>
      <c r="D6277" t="s">
        <v>101</v>
      </c>
      <c r="E6277" t="s">
        <v>120</v>
      </c>
      <c r="F6277" t="s">
        <v>154</v>
      </c>
      <c r="G6277" t="s">
        <v>180</v>
      </c>
      <c r="H6277" t="s">
        <v>215</v>
      </c>
      <c r="I6277" t="s">
        <v>235</v>
      </c>
      <c r="J6277" t="s">
        <v>253</v>
      </c>
      <c r="K6277" t="s">
        <v>267</v>
      </c>
      <c r="L6277" t="s">
        <v>279</v>
      </c>
      <c r="M6277" t="s">
        <v>288</v>
      </c>
      <c r="N6277" t="s">
        <v>100</v>
      </c>
      <c r="O6277" t="s">
        <v>306</v>
      </c>
      <c r="P6277" t="s">
        <v>313</v>
      </c>
      <c r="Q6277" t="s">
        <v>320</v>
      </c>
      <c r="R6277" t="s">
        <v>325</v>
      </c>
      <c r="S6277" t="s">
        <v>332</v>
      </c>
      <c r="T6277" t="s">
        <v>119</v>
      </c>
      <c r="U6277" t="s">
        <v>234</v>
      </c>
      <c r="V6277" t="s">
        <v>343</v>
      </c>
      <c r="W6277" t="s">
        <v>348</v>
      </c>
      <c r="X6277" t="s">
        <v>352</v>
      </c>
      <c r="Y6277" t="s">
        <v>354</v>
      </c>
      <c r="AK6277" t="s">
        <v>363</v>
      </c>
    </row>
    <row r="6278" spans="1:37">
      <c r="A6278" t="s">
        <v>41</v>
      </c>
      <c r="B6278" t="s">
        <v>61</v>
      </c>
      <c r="C6278" t="s">
        <v>83</v>
      </c>
      <c r="D6278" t="s">
        <v>102</v>
      </c>
      <c r="E6278" t="s">
        <v>121</v>
      </c>
      <c r="F6278" t="s">
        <v>155</v>
      </c>
      <c r="G6278" t="s">
        <v>181</v>
      </c>
      <c r="H6278" t="s">
        <v>216</v>
      </c>
      <c r="I6278" t="s">
        <v>236</v>
      </c>
      <c r="AK6278" t="s">
        <v>363</v>
      </c>
    </row>
    <row r="6279" spans="1:37">
      <c r="A6279" t="s">
        <v>42</v>
      </c>
      <c r="B6279" t="s">
        <v>62</v>
      </c>
      <c r="C6279" t="s">
        <v>84</v>
      </c>
      <c r="D6279" t="s">
        <v>103</v>
      </c>
      <c r="E6279" t="s">
        <v>122</v>
      </c>
      <c r="F6279" t="s">
        <v>156</v>
      </c>
      <c r="G6279" t="s">
        <v>182</v>
      </c>
      <c r="H6279" t="s">
        <v>83</v>
      </c>
      <c r="I6279" t="s">
        <v>237</v>
      </c>
      <c r="J6279" t="s">
        <v>254</v>
      </c>
      <c r="K6279" t="s">
        <v>268</v>
      </c>
      <c r="L6279" t="s">
        <v>280</v>
      </c>
      <c r="M6279" t="s">
        <v>289</v>
      </c>
      <c r="N6279" t="s">
        <v>298</v>
      </c>
      <c r="O6279" t="s">
        <v>307</v>
      </c>
      <c r="P6279" t="s">
        <v>314</v>
      </c>
      <c r="Q6279" t="s">
        <v>216</v>
      </c>
      <c r="R6279" t="s">
        <v>326</v>
      </c>
      <c r="S6279" t="s">
        <v>333</v>
      </c>
      <c r="T6279" t="s">
        <v>335</v>
      </c>
      <c r="U6279" t="s">
        <v>340</v>
      </c>
      <c r="V6279" t="s">
        <v>344</v>
      </c>
      <c r="W6279" t="s">
        <v>349</v>
      </c>
      <c r="AK6279" t="s">
        <v>363</v>
      </c>
    </row>
    <row r="6280" spans="1:37">
      <c r="A6280" t="s">
        <v>43</v>
      </c>
      <c r="B6280" t="s">
        <v>63</v>
      </c>
      <c r="C6280" t="s">
        <v>85</v>
      </c>
      <c r="D6280" t="s">
        <v>104</v>
      </c>
      <c r="E6280" t="s">
        <v>123</v>
      </c>
      <c r="F6280" t="s">
        <v>157</v>
      </c>
      <c r="G6280" t="s">
        <v>183</v>
      </c>
      <c r="AK6280" t="s">
        <v>363</v>
      </c>
    </row>
    <row r="6281" spans="1:37">
      <c r="A6281" t="s">
        <v>44</v>
      </c>
      <c r="B6281" t="s">
        <v>64</v>
      </c>
      <c r="C6281" t="s">
        <v>86</v>
      </c>
      <c r="D6281" t="s">
        <v>105</v>
      </c>
      <c r="E6281" t="s">
        <v>124</v>
      </c>
      <c r="F6281" t="s">
        <v>158</v>
      </c>
      <c r="G6281" t="s">
        <v>184</v>
      </c>
      <c r="AK6281" t="s">
        <v>363</v>
      </c>
    </row>
    <row r="6282" spans="1:37">
      <c r="A6282" t="s">
        <v>45</v>
      </c>
      <c r="B6282" t="s">
        <v>65</v>
      </c>
      <c r="C6282" t="s">
        <v>87</v>
      </c>
      <c r="D6282" t="s">
        <v>106</v>
      </c>
      <c r="E6282" t="s">
        <v>125</v>
      </c>
      <c r="F6282" t="s">
        <v>159</v>
      </c>
      <c r="G6282" t="s">
        <v>185</v>
      </c>
      <c r="H6282" t="s">
        <v>159</v>
      </c>
      <c r="I6282" t="s">
        <v>185</v>
      </c>
      <c r="J6282" t="s">
        <v>255</v>
      </c>
      <c r="AK6282" t="s">
        <v>363</v>
      </c>
    </row>
    <row r="6283" spans="1:37">
      <c r="A6283" t="s">
        <v>46</v>
      </c>
      <c r="B6283" t="s">
        <v>66</v>
      </c>
      <c r="C6283" t="s">
        <v>88</v>
      </c>
      <c r="D6283" t="s">
        <v>76</v>
      </c>
      <c r="E6283" t="s">
        <v>126</v>
      </c>
      <c r="F6283" t="s">
        <v>160</v>
      </c>
      <c r="G6283" t="s">
        <v>186</v>
      </c>
      <c r="H6283" t="s">
        <v>217</v>
      </c>
      <c r="I6283" t="s">
        <v>238</v>
      </c>
      <c r="J6283" t="s">
        <v>256</v>
      </c>
      <c r="K6283" t="s">
        <v>265</v>
      </c>
      <c r="L6283" t="s">
        <v>281</v>
      </c>
      <c r="M6283" t="s">
        <v>290</v>
      </c>
      <c r="N6283" t="s">
        <v>299</v>
      </c>
      <c r="O6283" t="s">
        <v>308</v>
      </c>
      <c r="P6283" t="s">
        <v>228</v>
      </c>
      <c r="Q6283" t="s">
        <v>72</v>
      </c>
      <c r="R6283" t="s">
        <v>327</v>
      </c>
      <c r="S6283" t="s">
        <v>327</v>
      </c>
      <c r="T6283" t="s">
        <v>336</v>
      </c>
      <c r="U6283" t="s">
        <v>336</v>
      </c>
      <c r="V6283" t="s">
        <v>336</v>
      </c>
      <c r="W6283" t="s">
        <v>336</v>
      </c>
      <c r="X6283" t="s">
        <v>353</v>
      </c>
      <c r="AK6283" t="s">
        <v>363</v>
      </c>
    </row>
    <row r="6284" spans="1:37">
      <c r="B6284" t="s">
        <v>67</v>
      </c>
      <c r="C6284" t="s">
        <v>89</v>
      </c>
      <c r="D6284" t="s">
        <v>107</v>
      </c>
      <c r="AK6284" t="s">
        <v>363</v>
      </c>
    </row>
    <row r="6285" spans="1:37">
      <c r="B6285" t="s">
        <v>68</v>
      </c>
      <c r="C6285" t="s">
        <v>90</v>
      </c>
      <c r="D6285" t="s">
        <v>108</v>
      </c>
      <c r="AK6285" t="s">
        <v>363</v>
      </c>
    </row>
    <row r="6286" spans="1:37">
      <c r="A6286" t="s">
        <v>47</v>
      </c>
      <c r="B6286" t="s">
        <v>69</v>
      </c>
      <c r="C6286" t="s">
        <v>91</v>
      </c>
      <c r="D6286" t="s">
        <v>109</v>
      </c>
      <c r="E6286" t="s">
        <v>109</v>
      </c>
      <c r="F6286" t="s">
        <v>109</v>
      </c>
      <c r="G6286" t="s">
        <v>109</v>
      </c>
      <c r="H6286" t="s">
        <v>109</v>
      </c>
      <c r="I6286" t="s">
        <v>239</v>
      </c>
      <c r="AK6286" t="s">
        <v>363</v>
      </c>
    </row>
    <row r="6287" spans="1:37">
      <c r="B6287" t="s">
        <v>70</v>
      </c>
      <c r="C6287" t="s">
        <v>92</v>
      </c>
      <c r="D6287" t="s">
        <v>110</v>
      </c>
      <c r="E6287" t="s">
        <v>127</v>
      </c>
      <c r="F6287" t="s">
        <v>161</v>
      </c>
      <c r="G6287" t="s">
        <v>187</v>
      </c>
      <c r="H6287" t="s">
        <v>218</v>
      </c>
      <c r="AK6287" t="s">
        <v>363</v>
      </c>
    </row>
    <row r="6288" spans="1:37">
      <c r="B6288" t="s">
        <v>71</v>
      </c>
      <c r="C6288" t="s">
        <v>93</v>
      </c>
      <c r="D6288" t="s">
        <v>111</v>
      </c>
      <c r="E6288" t="s">
        <v>128</v>
      </c>
      <c r="F6288" t="s">
        <v>162</v>
      </c>
      <c r="G6288" t="s">
        <v>188</v>
      </c>
      <c r="H6288" t="s">
        <v>219</v>
      </c>
      <c r="I6288" t="s">
        <v>240</v>
      </c>
      <c r="J6288" t="s">
        <v>257</v>
      </c>
      <c r="K6288" t="s">
        <v>269</v>
      </c>
      <c r="L6288" t="s">
        <v>109</v>
      </c>
      <c r="M6288" t="s">
        <v>109</v>
      </c>
      <c r="N6288" t="s">
        <v>109</v>
      </c>
      <c r="O6288" t="s">
        <v>109</v>
      </c>
      <c r="P6288" t="s">
        <v>109</v>
      </c>
      <c r="Q6288" t="s">
        <v>321</v>
      </c>
      <c r="AK6288" t="s">
        <v>363</v>
      </c>
    </row>
    <row r="6289" spans="1:37">
      <c r="A6289" t="s">
        <v>48</v>
      </c>
      <c r="B6289" t="s">
        <v>71</v>
      </c>
      <c r="C6289" t="s">
        <v>93</v>
      </c>
      <c r="D6289" t="s">
        <v>111</v>
      </c>
      <c r="E6289" t="s">
        <v>128</v>
      </c>
      <c r="F6289" t="s">
        <v>163</v>
      </c>
      <c r="G6289" t="s">
        <v>189</v>
      </c>
      <c r="H6289" t="s">
        <v>220</v>
      </c>
      <c r="I6289" t="s">
        <v>241</v>
      </c>
      <c r="J6289" t="s">
        <v>258</v>
      </c>
      <c r="K6289" t="s">
        <v>270</v>
      </c>
      <c r="AK6289" t="s">
        <v>363</v>
      </c>
    </row>
    <row r="6290" spans="1:37">
      <c r="B6290" t="s">
        <v>72</v>
      </c>
      <c r="C6290" t="s">
        <v>72</v>
      </c>
      <c r="D6290" t="s">
        <v>72</v>
      </c>
      <c r="E6290" t="s">
        <v>72</v>
      </c>
      <c r="F6290" t="s">
        <v>72</v>
      </c>
      <c r="G6290" t="s">
        <v>72</v>
      </c>
      <c r="H6290" t="s">
        <v>72</v>
      </c>
      <c r="I6290" t="s">
        <v>72</v>
      </c>
      <c r="J6290" t="s">
        <v>72</v>
      </c>
      <c r="K6290" t="s">
        <v>272</v>
      </c>
      <c r="AK6290" t="s">
        <v>363</v>
      </c>
    </row>
    <row r="6291" spans="1:37">
      <c r="A6291" t="s">
        <v>37</v>
      </c>
      <c r="B6291" t="s">
        <v>49</v>
      </c>
      <c r="C6291" t="s">
        <v>73</v>
      </c>
      <c r="D6291" t="s">
        <v>94</v>
      </c>
      <c r="E6291" t="s">
        <v>112</v>
      </c>
      <c r="F6291" t="s">
        <v>146</v>
      </c>
      <c r="G6291" t="s">
        <v>172</v>
      </c>
      <c r="H6291" t="s">
        <v>207</v>
      </c>
      <c r="I6291" t="s">
        <v>226</v>
      </c>
      <c r="J6291" t="s">
        <v>246</v>
      </c>
      <c r="K6291" t="s">
        <v>259</v>
      </c>
      <c r="AK6291" t="s">
        <v>363</v>
      </c>
    </row>
    <row r="6292" spans="1:37">
      <c r="A6292" t="s">
        <v>38</v>
      </c>
      <c r="B6292" t="s">
        <v>50</v>
      </c>
      <c r="C6292" t="s">
        <v>74</v>
      </c>
      <c r="D6292" t="s">
        <v>95</v>
      </c>
      <c r="E6292" t="s">
        <v>113</v>
      </c>
      <c r="F6292" t="s">
        <v>147</v>
      </c>
      <c r="G6292" t="s">
        <v>173</v>
      </c>
      <c r="H6292" t="s">
        <v>208</v>
      </c>
      <c r="I6292" t="s">
        <v>227</v>
      </c>
      <c r="J6292" t="s">
        <v>115</v>
      </c>
      <c r="K6292" t="s">
        <v>260</v>
      </c>
      <c r="L6292" t="s">
        <v>273</v>
      </c>
      <c r="M6292" t="s">
        <v>282</v>
      </c>
      <c r="N6292" t="s">
        <v>291</v>
      </c>
      <c r="AK6292" t="s">
        <v>363</v>
      </c>
    </row>
    <row r="6293" spans="1:37">
      <c r="B6293" t="s">
        <v>51</v>
      </c>
      <c r="C6293" t="s">
        <v>75</v>
      </c>
      <c r="D6293" t="s">
        <v>52</v>
      </c>
      <c r="E6293" t="s">
        <v>114</v>
      </c>
      <c r="F6293" t="s">
        <v>148</v>
      </c>
      <c r="G6293" t="s">
        <v>148</v>
      </c>
      <c r="H6293" t="s">
        <v>209</v>
      </c>
      <c r="I6293" t="s">
        <v>228</v>
      </c>
      <c r="J6293" t="s">
        <v>247</v>
      </c>
      <c r="K6293" t="s">
        <v>261</v>
      </c>
      <c r="L6293" t="s">
        <v>274</v>
      </c>
      <c r="M6293" t="s">
        <v>283</v>
      </c>
      <c r="N6293" t="s">
        <v>292</v>
      </c>
      <c r="O6293" t="s">
        <v>300</v>
      </c>
      <c r="AK6293" t="s">
        <v>363</v>
      </c>
    </row>
    <row r="6294" spans="1:37">
      <c r="B6294" t="s">
        <v>52</v>
      </c>
      <c r="C6294" t="s">
        <v>76</v>
      </c>
      <c r="D6294" t="s">
        <v>96</v>
      </c>
      <c r="E6294" t="s">
        <v>115</v>
      </c>
      <c r="F6294" t="s">
        <v>149</v>
      </c>
      <c r="G6294" t="s">
        <v>174</v>
      </c>
      <c r="H6294" t="s">
        <v>96</v>
      </c>
      <c r="I6294" t="s">
        <v>229</v>
      </c>
      <c r="J6294" t="s">
        <v>248</v>
      </c>
      <c r="K6294" t="s">
        <v>262</v>
      </c>
      <c r="L6294" t="s">
        <v>52</v>
      </c>
      <c r="M6294" t="s">
        <v>76</v>
      </c>
      <c r="N6294" t="s">
        <v>293</v>
      </c>
      <c r="O6294" t="s">
        <v>301</v>
      </c>
      <c r="P6294" t="s">
        <v>309</v>
      </c>
      <c r="Q6294" t="s">
        <v>315</v>
      </c>
      <c r="R6294" t="s">
        <v>228</v>
      </c>
      <c r="S6294" t="s">
        <v>328</v>
      </c>
      <c r="T6294" t="s">
        <v>149</v>
      </c>
      <c r="U6294" t="s">
        <v>337</v>
      </c>
      <c r="V6294" t="s">
        <v>341</v>
      </c>
      <c r="W6294" t="s">
        <v>345</v>
      </c>
      <c r="X6294" t="s">
        <v>350</v>
      </c>
      <c r="AK6294" t="s">
        <v>363</v>
      </c>
    </row>
    <row r="6295" spans="1:37">
      <c r="B6295" t="s">
        <v>53</v>
      </c>
      <c r="C6295" t="s">
        <v>77</v>
      </c>
      <c r="D6295" t="s">
        <v>97</v>
      </c>
      <c r="E6295" t="s">
        <v>116</v>
      </c>
      <c r="F6295" t="s">
        <v>150</v>
      </c>
      <c r="G6295" t="s">
        <v>175</v>
      </c>
      <c r="H6295" t="s">
        <v>210</v>
      </c>
      <c r="I6295" t="s">
        <v>230</v>
      </c>
      <c r="J6295" t="s">
        <v>249</v>
      </c>
      <c r="K6295" t="s">
        <v>263</v>
      </c>
      <c r="L6295" t="s">
        <v>275</v>
      </c>
      <c r="M6295" t="s">
        <v>284</v>
      </c>
      <c r="N6295" t="s">
        <v>294</v>
      </c>
      <c r="O6295" t="s">
        <v>302</v>
      </c>
      <c r="P6295" t="s">
        <v>310</v>
      </c>
      <c r="Q6295" t="s">
        <v>316</v>
      </c>
      <c r="R6295" t="s">
        <v>322</v>
      </c>
      <c r="S6295" t="s">
        <v>329</v>
      </c>
      <c r="AK6295" t="s">
        <v>363</v>
      </c>
    </row>
    <row r="6296" spans="1:37">
      <c r="A6296" t="s">
        <v>39</v>
      </c>
      <c r="B6296" t="s">
        <v>54</v>
      </c>
      <c r="C6296" t="s">
        <v>54</v>
      </c>
      <c r="D6296" t="s">
        <v>54</v>
      </c>
      <c r="E6296" t="s">
        <v>54</v>
      </c>
      <c r="F6296" t="s">
        <v>54</v>
      </c>
      <c r="G6296" t="s">
        <v>54</v>
      </c>
      <c r="H6296" t="s">
        <v>54</v>
      </c>
      <c r="I6296" t="s">
        <v>54</v>
      </c>
      <c r="J6296" t="s">
        <v>54</v>
      </c>
      <c r="K6296" t="s">
        <v>54</v>
      </c>
      <c r="L6296" t="s">
        <v>54</v>
      </c>
      <c r="M6296" t="s">
        <v>54</v>
      </c>
      <c r="N6296" t="s">
        <v>54</v>
      </c>
      <c r="O6296" t="s">
        <v>54</v>
      </c>
      <c r="P6296" t="s">
        <v>54</v>
      </c>
      <c r="Q6296" t="s">
        <v>54</v>
      </c>
      <c r="R6296" t="s">
        <v>323</v>
      </c>
      <c r="S6296" t="s">
        <v>330</v>
      </c>
      <c r="AK6296" t="s">
        <v>363</v>
      </c>
    </row>
    <row r="6297" spans="1:37">
      <c r="B6297" t="s">
        <v>55</v>
      </c>
      <c r="C6297" t="s">
        <v>78</v>
      </c>
      <c r="D6297" t="s">
        <v>55</v>
      </c>
      <c r="E6297" t="s">
        <v>78</v>
      </c>
      <c r="F6297" t="s">
        <v>55</v>
      </c>
      <c r="G6297" t="s">
        <v>78</v>
      </c>
      <c r="H6297" t="s">
        <v>55</v>
      </c>
      <c r="I6297" t="s">
        <v>78</v>
      </c>
      <c r="J6297" t="s">
        <v>55</v>
      </c>
      <c r="K6297" t="s">
        <v>78</v>
      </c>
      <c r="L6297" t="s">
        <v>55</v>
      </c>
      <c r="M6297" t="s">
        <v>78</v>
      </c>
      <c r="N6297" t="s">
        <v>55</v>
      </c>
      <c r="O6297" t="s">
        <v>78</v>
      </c>
      <c r="P6297" t="s">
        <v>55</v>
      </c>
      <c r="Q6297" t="s">
        <v>78</v>
      </c>
      <c r="R6297" t="s">
        <v>55</v>
      </c>
      <c r="S6297" t="s">
        <v>78</v>
      </c>
      <c r="T6297" t="s">
        <v>55</v>
      </c>
      <c r="U6297" t="s">
        <v>78</v>
      </c>
      <c r="V6297" t="s">
        <v>55</v>
      </c>
      <c r="W6297" t="s">
        <v>78</v>
      </c>
      <c r="X6297" t="s">
        <v>55</v>
      </c>
      <c r="Y6297" t="s">
        <v>78</v>
      </c>
      <c r="Z6297" t="s">
        <v>55</v>
      </c>
      <c r="AA6297" t="s">
        <v>78</v>
      </c>
      <c r="AB6297" t="s">
        <v>55</v>
      </c>
      <c r="AC6297" t="s">
        <v>78</v>
      </c>
      <c r="AD6297" t="s">
        <v>55</v>
      </c>
      <c r="AE6297" t="s">
        <v>78</v>
      </c>
      <c r="AF6297" t="s">
        <v>55</v>
      </c>
      <c r="AG6297" t="s">
        <v>78</v>
      </c>
      <c r="AH6297" t="s">
        <v>55</v>
      </c>
      <c r="AI6297" t="s">
        <v>78</v>
      </c>
      <c r="AK6297" t="s">
        <v>363</v>
      </c>
    </row>
    <row r="6298" spans="1:37">
      <c r="B6298" t="s">
        <v>56</v>
      </c>
      <c r="C6298" t="s">
        <v>56</v>
      </c>
      <c r="D6298" t="s">
        <v>56</v>
      </c>
      <c r="E6298" t="s">
        <v>56</v>
      </c>
      <c r="F6298" t="s">
        <v>56</v>
      </c>
      <c r="G6298" t="s">
        <v>176</v>
      </c>
      <c r="H6298" t="s">
        <v>211</v>
      </c>
      <c r="I6298" t="s">
        <v>231</v>
      </c>
      <c r="J6298" t="s">
        <v>250</v>
      </c>
      <c r="K6298" t="s">
        <v>264</v>
      </c>
      <c r="L6298" t="s">
        <v>276</v>
      </c>
      <c r="M6298" t="s">
        <v>285</v>
      </c>
      <c r="N6298" t="s">
        <v>295</v>
      </c>
      <c r="O6298" t="s">
        <v>303</v>
      </c>
      <c r="P6298" t="s">
        <v>56</v>
      </c>
      <c r="Q6298" t="s">
        <v>317</v>
      </c>
      <c r="R6298" t="s">
        <v>324</v>
      </c>
      <c r="S6298" t="s">
        <v>331</v>
      </c>
      <c r="T6298" t="s">
        <v>334</v>
      </c>
      <c r="U6298" t="s">
        <v>338</v>
      </c>
      <c r="V6298" t="s">
        <v>342</v>
      </c>
      <c r="W6298" t="s">
        <v>346</v>
      </c>
      <c r="X6298" t="s">
        <v>351</v>
      </c>
      <c r="AK6298" t="s">
        <v>363</v>
      </c>
    </row>
    <row r="6299" spans="1:37">
      <c r="B6299" t="s">
        <v>57</v>
      </c>
      <c r="C6299" t="s">
        <v>79</v>
      </c>
      <c r="D6299" t="s">
        <v>98</v>
      </c>
      <c r="E6299" t="s">
        <v>117</v>
      </c>
      <c r="F6299" t="s">
        <v>151</v>
      </c>
      <c r="G6299" t="s">
        <v>177</v>
      </c>
      <c r="H6299" t="s">
        <v>212</v>
      </c>
      <c r="I6299" t="s">
        <v>232</v>
      </c>
      <c r="J6299" t="s">
        <v>251</v>
      </c>
      <c r="K6299" t="s">
        <v>265</v>
      </c>
      <c r="L6299" t="s">
        <v>277</v>
      </c>
      <c r="M6299" t="s">
        <v>286</v>
      </c>
      <c r="N6299" t="s">
        <v>296</v>
      </c>
      <c r="O6299" t="s">
        <v>304</v>
      </c>
      <c r="P6299" t="s">
        <v>311</v>
      </c>
      <c r="Q6299" t="s">
        <v>318</v>
      </c>
      <c r="R6299" t="s">
        <v>185</v>
      </c>
      <c r="S6299" t="s">
        <v>159</v>
      </c>
      <c r="T6299" t="s">
        <v>185</v>
      </c>
      <c r="U6299" t="s">
        <v>339</v>
      </c>
      <c r="V6299" t="s">
        <v>72</v>
      </c>
      <c r="W6299" t="s">
        <v>347</v>
      </c>
      <c r="X6299" t="s">
        <v>72</v>
      </c>
      <c r="Y6299" t="s">
        <v>96</v>
      </c>
      <c r="AK6299" t="s">
        <v>363</v>
      </c>
    </row>
    <row r="6300" spans="1:37">
      <c r="B6300" t="s">
        <v>58</v>
      </c>
      <c r="C6300" t="s">
        <v>80</v>
      </c>
      <c r="D6300" t="s">
        <v>99</v>
      </c>
      <c r="E6300" t="s">
        <v>118</v>
      </c>
      <c r="F6300" t="s">
        <v>152</v>
      </c>
      <c r="G6300" t="s">
        <v>178</v>
      </c>
      <c r="H6300" t="s">
        <v>213</v>
      </c>
      <c r="I6300" t="s">
        <v>233</v>
      </c>
      <c r="J6300" t="s">
        <v>252</v>
      </c>
      <c r="K6300" t="s">
        <v>266</v>
      </c>
      <c r="L6300" t="s">
        <v>278</v>
      </c>
      <c r="M6300" t="s">
        <v>287</v>
      </c>
      <c r="N6300" t="s">
        <v>297</v>
      </c>
      <c r="O6300" t="s">
        <v>305</v>
      </c>
      <c r="P6300" t="s">
        <v>312</v>
      </c>
      <c r="Q6300" t="s">
        <v>319</v>
      </c>
      <c r="R6300">
        <f>&gt;10       ветра      0.8     18  28</f>
        <v>0</v>
      </c>
      <c r="AK6300" t="s">
        <v>363</v>
      </c>
    </row>
    <row r="6301" spans="1:37">
      <c r="A6301" t="s">
        <v>40</v>
      </c>
      <c r="B6301" t="s">
        <v>59</v>
      </c>
      <c r="C6301" t="s">
        <v>81</v>
      </c>
      <c r="D6301" t="s">
        <v>100</v>
      </c>
      <c r="E6301" t="s">
        <v>119</v>
      </c>
      <c r="F6301" t="s">
        <v>153</v>
      </c>
      <c r="G6301" t="s">
        <v>179</v>
      </c>
      <c r="H6301" t="s">
        <v>214</v>
      </c>
      <c r="I6301" t="s">
        <v>234</v>
      </c>
      <c r="AK6301" t="s">
        <v>363</v>
      </c>
    </row>
    <row r="6302" spans="1:37">
      <c r="A6302" t="s">
        <v>40</v>
      </c>
      <c r="B6302" t="s">
        <v>60</v>
      </c>
      <c r="C6302" t="s">
        <v>82</v>
      </c>
      <c r="D6302" t="s">
        <v>101</v>
      </c>
      <c r="E6302" t="s">
        <v>120</v>
      </c>
      <c r="F6302" t="s">
        <v>154</v>
      </c>
      <c r="G6302" t="s">
        <v>180</v>
      </c>
      <c r="H6302" t="s">
        <v>215</v>
      </c>
      <c r="I6302" t="s">
        <v>235</v>
      </c>
      <c r="J6302" t="s">
        <v>253</v>
      </c>
      <c r="K6302" t="s">
        <v>267</v>
      </c>
      <c r="L6302" t="s">
        <v>279</v>
      </c>
      <c r="M6302" t="s">
        <v>288</v>
      </c>
      <c r="N6302" t="s">
        <v>100</v>
      </c>
      <c r="O6302" t="s">
        <v>306</v>
      </c>
      <c r="P6302" t="s">
        <v>313</v>
      </c>
      <c r="Q6302" t="s">
        <v>320</v>
      </c>
      <c r="R6302" t="s">
        <v>325</v>
      </c>
      <c r="S6302" t="s">
        <v>332</v>
      </c>
      <c r="T6302" t="s">
        <v>119</v>
      </c>
      <c r="U6302" t="s">
        <v>234</v>
      </c>
      <c r="V6302" t="s">
        <v>343</v>
      </c>
      <c r="W6302" t="s">
        <v>348</v>
      </c>
      <c r="X6302" t="s">
        <v>352</v>
      </c>
      <c r="Y6302" t="s">
        <v>354</v>
      </c>
      <c r="AK6302" t="s">
        <v>363</v>
      </c>
    </row>
    <row r="6303" spans="1:37">
      <c r="A6303" t="s">
        <v>41</v>
      </c>
      <c r="B6303" t="s">
        <v>61</v>
      </c>
      <c r="C6303" t="s">
        <v>83</v>
      </c>
      <c r="D6303" t="s">
        <v>102</v>
      </c>
      <c r="E6303" t="s">
        <v>121</v>
      </c>
      <c r="F6303" t="s">
        <v>155</v>
      </c>
      <c r="G6303" t="s">
        <v>181</v>
      </c>
      <c r="H6303" t="s">
        <v>216</v>
      </c>
      <c r="I6303" t="s">
        <v>236</v>
      </c>
      <c r="AK6303" t="s">
        <v>363</v>
      </c>
    </row>
    <row r="6304" spans="1:37">
      <c r="A6304" t="s">
        <v>42</v>
      </c>
      <c r="B6304" t="s">
        <v>62</v>
      </c>
      <c r="C6304" t="s">
        <v>84</v>
      </c>
      <c r="D6304" t="s">
        <v>103</v>
      </c>
      <c r="E6304" t="s">
        <v>122</v>
      </c>
      <c r="F6304" t="s">
        <v>156</v>
      </c>
      <c r="G6304" t="s">
        <v>182</v>
      </c>
      <c r="H6304" t="s">
        <v>83</v>
      </c>
      <c r="I6304" t="s">
        <v>237</v>
      </c>
      <c r="J6304" t="s">
        <v>254</v>
      </c>
      <c r="K6304" t="s">
        <v>268</v>
      </c>
      <c r="L6304" t="s">
        <v>280</v>
      </c>
      <c r="M6304" t="s">
        <v>289</v>
      </c>
      <c r="N6304" t="s">
        <v>298</v>
      </c>
      <c r="O6304" t="s">
        <v>307</v>
      </c>
      <c r="P6304" t="s">
        <v>314</v>
      </c>
      <c r="Q6304" t="s">
        <v>216</v>
      </c>
      <c r="R6304" t="s">
        <v>326</v>
      </c>
      <c r="S6304" t="s">
        <v>333</v>
      </c>
      <c r="T6304" t="s">
        <v>335</v>
      </c>
      <c r="U6304" t="s">
        <v>340</v>
      </c>
      <c r="V6304" t="s">
        <v>344</v>
      </c>
      <c r="W6304" t="s">
        <v>349</v>
      </c>
      <c r="AK6304" t="s">
        <v>363</v>
      </c>
    </row>
    <row r="6305" spans="1:37">
      <c r="A6305" t="s">
        <v>43</v>
      </c>
      <c r="B6305" t="s">
        <v>63</v>
      </c>
      <c r="C6305" t="s">
        <v>85</v>
      </c>
      <c r="D6305" t="s">
        <v>104</v>
      </c>
      <c r="E6305" t="s">
        <v>123</v>
      </c>
      <c r="F6305" t="s">
        <v>157</v>
      </c>
      <c r="G6305" t="s">
        <v>183</v>
      </c>
      <c r="AK6305" t="s">
        <v>363</v>
      </c>
    </row>
    <row r="6306" spans="1:37">
      <c r="A6306" t="s">
        <v>44</v>
      </c>
      <c r="B6306" t="s">
        <v>64</v>
      </c>
      <c r="C6306" t="s">
        <v>86</v>
      </c>
      <c r="D6306" t="s">
        <v>105</v>
      </c>
      <c r="E6306" t="s">
        <v>124</v>
      </c>
      <c r="F6306" t="s">
        <v>158</v>
      </c>
      <c r="G6306" t="s">
        <v>184</v>
      </c>
      <c r="AK6306" t="s">
        <v>363</v>
      </c>
    </row>
    <row r="6307" spans="1:37">
      <c r="A6307" t="s">
        <v>45</v>
      </c>
      <c r="B6307" t="s">
        <v>65</v>
      </c>
      <c r="C6307" t="s">
        <v>87</v>
      </c>
      <c r="D6307" t="s">
        <v>106</v>
      </c>
      <c r="E6307" t="s">
        <v>125</v>
      </c>
      <c r="F6307" t="s">
        <v>159</v>
      </c>
      <c r="G6307" t="s">
        <v>185</v>
      </c>
      <c r="H6307" t="s">
        <v>159</v>
      </c>
      <c r="I6307" t="s">
        <v>185</v>
      </c>
      <c r="J6307" t="s">
        <v>255</v>
      </c>
      <c r="AK6307" t="s">
        <v>363</v>
      </c>
    </row>
    <row r="6308" spans="1:37">
      <c r="A6308" t="s">
        <v>46</v>
      </c>
      <c r="B6308" t="s">
        <v>66</v>
      </c>
      <c r="C6308" t="s">
        <v>88</v>
      </c>
      <c r="D6308" t="s">
        <v>76</v>
      </c>
      <c r="E6308" t="s">
        <v>126</v>
      </c>
      <c r="F6308" t="s">
        <v>160</v>
      </c>
      <c r="G6308" t="s">
        <v>186</v>
      </c>
      <c r="H6308" t="s">
        <v>217</v>
      </c>
      <c r="I6308" t="s">
        <v>238</v>
      </c>
      <c r="J6308" t="s">
        <v>256</v>
      </c>
      <c r="K6308" t="s">
        <v>265</v>
      </c>
      <c r="L6308" t="s">
        <v>281</v>
      </c>
      <c r="M6308" t="s">
        <v>290</v>
      </c>
      <c r="N6308" t="s">
        <v>299</v>
      </c>
      <c r="O6308" t="s">
        <v>308</v>
      </c>
      <c r="P6308" t="s">
        <v>228</v>
      </c>
      <c r="Q6308" t="s">
        <v>72</v>
      </c>
      <c r="R6308" t="s">
        <v>327</v>
      </c>
      <c r="S6308" t="s">
        <v>327</v>
      </c>
      <c r="T6308" t="s">
        <v>336</v>
      </c>
      <c r="U6308" t="s">
        <v>336</v>
      </c>
      <c r="V6308" t="s">
        <v>336</v>
      </c>
      <c r="W6308" t="s">
        <v>336</v>
      </c>
      <c r="X6308" t="s">
        <v>353</v>
      </c>
      <c r="AK6308" t="s">
        <v>363</v>
      </c>
    </row>
    <row r="6309" spans="1:37">
      <c r="B6309" t="s">
        <v>67</v>
      </c>
      <c r="C6309" t="s">
        <v>89</v>
      </c>
      <c r="D6309" t="s">
        <v>107</v>
      </c>
      <c r="AK6309" t="s">
        <v>363</v>
      </c>
    </row>
    <row r="6310" spans="1:37">
      <c r="B6310" t="s">
        <v>68</v>
      </c>
      <c r="C6310" t="s">
        <v>90</v>
      </c>
      <c r="D6310" t="s">
        <v>108</v>
      </c>
      <c r="AK6310" t="s">
        <v>363</v>
      </c>
    </row>
    <row r="6311" spans="1:37">
      <c r="A6311" t="s">
        <v>47</v>
      </c>
      <c r="B6311" t="s">
        <v>69</v>
      </c>
      <c r="C6311" t="s">
        <v>91</v>
      </c>
      <c r="D6311" t="s">
        <v>109</v>
      </c>
      <c r="E6311" t="s">
        <v>109</v>
      </c>
      <c r="F6311" t="s">
        <v>109</v>
      </c>
      <c r="G6311" t="s">
        <v>109</v>
      </c>
      <c r="H6311" t="s">
        <v>109</v>
      </c>
      <c r="I6311" t="s">
        <v>239</v>
      </c>
      <c r="AK6311" t="s">
        <v>363</v>
      </c>
    </row>
    <row r="6312" spans="1:37">
      <c r="B6312" t="s">
        <v>70</v>
      </c>
      <c r="C6312" t="s">
        <v>92</v>
      </c>
      <c r="D6312" t="s">
        <v>110</v>
      </c>
      <c r="E6312" t="s">
        <v>127</v>
      </c>
      <c r="F6312" t="s">
        <v>161</v>
      </c>
      <c r="G6312" t="s">
        <v>187</v>
      </c>
      <c r="H6312" t="s">
        <v>218</v>
      </c>
      <c r="AK6312" t="s">
        <v>363</v>
      </c>
    </row>
    <row r="6313" spans="1:37">
      <c r="B6313" t="s">
        <v>71</v>
      </c>
      <c r="C6313" t="s">
        <v>93</v>
      </c>
      <c r="D6313" t="s">
        <v>111</v>
      </c>
      <c r="E6313" t="s">
        <v>128</v>
      </c>
      <c r="F6313" t="s">
        <v>162</v>
      </c>
      <c r="G6313" t="s">
        <v>188</v>
      </c>
      <c r="H6313" t="s">
        <v>219</v>
      </c>
      <c r="I6313" t="s">
        <v>240</v>
      </c>
      <c r="J6313" t="s">
        <v>257</v>
      </c>
      <c r="K6313" t="s">
        <v>269</v>
      </c>
      <c r="L6313" t="s">
        <v>109</v>
      </c>
      <c r="M6313" t="s">
        <v>109</v>
      </c>
      <c r="N6313" t="s">
        <v>109</v>
      </c>
      <c r="O6313" t="s">
        <v>109</v>
      </c>
      <c r="P6313" t="s">
        <v>109</v>
      </c>
      <c r="Q6313" t="s">
        <v>321</v>
      </c>
      <c r="AK6313" t="s">
        <v>363</v>
      </c>
    </row>
    <row r="6314" spans="1:37">
      <c r="A6314" t="s">
        <v>48</v>
      </c>
      <c r="B6314" t="s">
        <v>71</v>
      </c>
      <c r="C6314" t="s">
        <v>93</v>
      </c>
      <c r="D6314" t="s">
        <v>111</v>
      </c>
      <c r="E6314" t="s">
        <v>128</v>
      </c>
      <c r="F6314" t="s">
        <v>163</v>
      </c>
      <c r="G6314" t="s">
        <v>189</v>
      </c>
      <c r="H6314" t="s">
        <v>220</v>
      </c>
      <c r="I6314" t="s">
        <v>241</v>
      </c>
      <c r="J6314" t="s">
        <v>258</v>
      </c>
      <c r="K6314" t="s">
        <v>270</v>
      </c>
      <c r="AK6314" t="s">
        <v>363</v>
      </c>
    </row>
    <row r="6315" spans="1:37">
      <c r="B6315" t="s">
        <v>72</v>
      </c>
      <c r="C6315" t="s">
        <v>72</v>
      </c>
      <c r="D6315" t="s">
        <v>72</v>
      </c>
      <c r="E6315" t="s">
        <v>72</v>
      </c>
      <c r="F6315" t="s">
        <v>72</v>
      </c>
      <c r="G6315" t="s">
        <v>72</v>
      </c>
      <c r="H6315" t="s">
        <v>72</v>
      </c>
      <c r="I6315" t="s">
        <v>72</v>
      </c>
      <c r="J6315" t="s">
        <v>72</v>
      </c>
      <c r="K6315" t="s">
        <v>272</v>
      </c>
      <c r="AK6315" t="s">
        <v>363</v>
      </c>
    </row>
    <row r="6316" spans="1:37">
      <c r="A6316" t="s">
        <v>37</v>
      </c>
      <c r="B6316" t="s">
        <v>49</v>
      </c>
      <c r="C6316" t="s">
        <v>73</v>
      </c>
      <c r="D6316" t="s">
        <v>94</v>
      </c>
      <c r="E6316" t="s">
        <v>112</v>
      </c>
      <c r="F6316" t="s">
        <v>146</v>
      </c>
      <c r="G6316" t="s">
        <v>172</v>
      </c>
      <c r="H6316" t="s">
        <v>207</v>
      </c>
      <c r="I6316" t="s">
        <v>226</v>
      </c>
      <c r="J6316" t="s">
        <v>246</v>
      </c>
      <c r="K6316" t="s">
        <v>259</v>
      </c>
      <c r="AK6316" t="s">
        <v>363</v>
      </c>
    </row>
    <row r="6317" spans="1:37">
      <c r="A6317" t="s">
        <v>38</v>
      </c>
      <c r="B6317" t="s">
        <v>50</v>
      </c>
      <c r="C6317" t="s">
        <v>74</v>
      </c>
      <c r="D6317" t="s">
        <v>95</v>
      </c>
      <c r="E6317" t="s">
        <v>113</v>
      </c>
      <c r="F6317" t="s">
        <v>147</v>
      </c>
      <c r="G6317" t="s">
        <v>173</v>
      </c>
      <c r="H6317" t="s">
        <v>208</v>
      </c>
      <c r="I6317" t="s">
        <v>227</v>
      </c>
      <c r="J6317" t="s">
        <v>115</v>
      </c>
      <c r="K6317" t="s">
        <v>260</v>
      </c>
      <c r="L6317" t="s">
        <v>273</v>
      </c>
      <c r="M6317" t="s">
        <v>282</v>
      </c>
      <c r="N6317" t="s">
        <v>291</v>
      </c>
      <c r="AK6317" t="s">
        <v>363</v>
      </c>
    </row>
    <row r="6318" spans="1:37">
      <c r="B6318" t="s">
        <v>51</v>
      </c>
      <c r="C6318" t="s">
        <v>75</v>
      </c>
      <c r="D6318" t="s">
        <v>52</v>
      </c>
      <c r="E6318" t="s">
        <v>114</v>
      </c>
      <c r="F6318" t="s">
        <v>148</v>
      </c>
      <c r="G6318" t="s">
        <v>148</v>
      </c>
      <c r="H6318" t="s">
        <v>209</v>
      </c>
      <c r="I6318" t="s">
        <v>228</v>
      </c>
      <c r="J6318" t="s">
        <v>247</v>
      </c>
      <c r="K6318" t="s">
        <v>261</v>
      </c>
      <c r="L6318" t="s">
        <v>274</v>
      </c>
      <c r="M6318" t="s">
        <v>283</v>
      </c>
      <c r="N6318" t="s">
        <v>292</v>
      </c>
      <c r="O6318" t="s">
        <v>300</v>
      </c>
      <c r="AK6318" t="s">
        <v>363</v>
      </c>
    </row>
    <row r="6319" spans="1:37">
      <c r="B6319" t="s">
        <v>52</v>
      </c>
      <c r="C6319" t="s">
        <v>76</v>
      </c>
      <c r="D6319" t="s">
        <v>96</v>
      </c>
      <c r="E6319" t="s">
        <v>115</v>
      </c>
      <c r="F6319" t="s">
        <v>149</v>
      </c>
      <c r="G6319" t="s">
        <v>174</v>
      </c>
      <c r="H6319" t="s">
        <v>96</v>
      </c>
      <c r="I6319" t="s">
        <v>229</v>
      </c>
      <c r="J6319" t="s">
        <v>248</v>
      </c>
      <c r="K6319" t="s">
        <v>262</v>
      </c>
      <c r="L6319" t="s">
        <v>52</v>
      </c>
      <c r="M6319" t="s">
        <v>76</v>
      </c>
      <c r="N6319" t="s">
        <v>293</v>
      </c>
      <c r="O6319" t="s">
        <v>301</v>
      </c>
      <c r="P6319" t="s">
        <v>309</v>
      </c>
      <c r="Q6319" t="s">
        <v>315</v>
      </c>
      <c r="R6319" t="s">
        <v>228</v>
      </c>
      <c r="S6319" t="s">
        <v>328</v>
      </c>
      <c r="T6319" t="s">
        <v>149</v>
      </c>
      <c r="U6319" t="s">
        <v>337</v>
      </c>
      <c r="V6319" t="s">
        <v>341</v>
      </c>
      <c r="W6319" t="s">
        <v>345</v>
      </c>
      <c r="X6319" t="s">
        <v>350</v>
      </c>
      <c r="AK6319" t="s">
        <v>363</v>
      </c>
    </row>
    <row r="6320" spans="1:37">
      <c r="B6320" t="s">
        <v>53</v>
      </c>
      <c r="C6320" t="s">
        <v>77</v>
      </c>
      <c r="D6320" t="s">
        <v>97</v>
      </c>
      <c r="E6320" t="s">
        <v>116</v>
      </c>
      <c r="F6320" t="s">
        <v>150</v>
      </c>
      <c r="G6320" t="s">
        <v>175</v>
      </c>
      <c r="H6320" t="s">
        <v>210</v>
      </c>
      <c r="I6320" t="s">
        <v>230</v>
      </c>
      <c r="J6320" t="s">
        <v>249</v>
      </c>
      <c r="K6320" t="s">
        <v>263</v>
      </c>
      <c r="L6320" t="s">
        <v>275</v>
      </c>
      <c r="M6320" t="s">
        <v>284</v>
      </c>
      <c r="N6320" t="s">
        <v>294</v>
      </c>
      <c r="O6320" t="s">
        <v>302</v>
      </c>
      <c r="P6320" t="s">
        <v>310</v>
      </c>
      <c r="Q6320" t="s">
        <v>316</v>
      </c>
      <c r="R6320" t="s">
        <v>322</v>
      </c>
      <c r="S6320" t="s">
        <v>329</v>
      </c>
      <c r="AK6320" t="s">
        <v>363</v>
      </c>
    </row>
    <row r="6321" spans="1:37">
      <c r="A6321" t="s">
        <v>39</v>
      </c>
      <c r="B6321" t="s">
        <v>54</v>
      </c>
      <c r="C6321" t="s">
        <v>54</v>
      </c>
      <c r="D6321" t="s">
        <v>54</v>
      </c>
      <c r="E6321" t="s">
        <v>54</v>
      </c>
      <c r="F6321" t="s">
        <v>54</v>
      </c>
      <c r="G6321" t="s">
        <v>54</v>
      </c>
      <c r="H6321" t="s">
        <v>54</v>
      </c>
      <c r="I6321" t="s">
        <v>54</v>
      </c>
      <c r="J6321" t="s">
        <v>54</v>
      </c>
      <c r="K6321" t="s">
        <v>54</v>
      </c>
      <c r="L6321" t="s">
        <v>54</v>
      </c>
      <c r="M6321" t="s">
        <v>54</v>
      </c>
      <c r="N6321" t="s">
        <v>54</v>
      </c>
      <c r="O6321" t="s">
        <v>54</v>
      </c>
      <c r="P6321" t="s">
        <v>54</v>
      </c>
      <c r="Q6321" t="s">
        <v>54</v>
      </c>
      <c r="R6321" t="s">
        <v>323</v>
      </c>
      <c r="S6321" t="s">
        <v>330</v>
      </c>
      <c r="AK6321" t="s">
        <v>363</v>
      </c>
    </row>
    <row r="6322" spans="1:37">
      <c r="B6322" t="s">
        <v>55</v>
      </c>
      <c r="C6322" t="s">
        <v>78</v>
      </c>
      <c r="D6322" t="s">
        <v>55</v>
      </c>
      <c r="E6322" t="s">
        <v>78</v>
      </c>
      <c r="F6322" t="s">
        <v>55</v>
      </c>
      <c r="G6322" t="s">
        <v>78</v>
      </c>
      <c r="H6322" t="s">
        <v>55</v>
      </c>
      <c r="I6322" t="s">
        <v>78</v>
      </c>
      <c r="J6322" t="s">
        <v>55</v>
      </c>
      <c r="K6322" t="s">
        <v>78</v>
      </c>
      <c r="L6322" t="s">
        <v>55</v>
      </c>
      <c r="M6322" t="s">
        <v>78</v>
      </c>
      <c r="N6322" t="s">
        <v>55</v>
      </c>
      <c r="O6322" t="s">
        <v>78</v>
      </c>
      <c r="P6322" t="s">
        <v>55</v>
      </c>
      <c r="Q6322" t="s">
        <v>78</v>
      </c>
      <c r="R6322" t="s">
        <v>55</v>
      </c>
      <c r="S6322" t="s">
        <v>78</v>
      </c>
      <c r="T6322" t="s">
        <v>55</v>
      </c>
      <c r="U6322" t="s">
        <v>78</v>
      </c>
      <c r="V6322" t="s">
        <v>55</v>
      </c>
      <c r="W6322" t="s">
        <v>78</v>
      </c>
      <c r="X6322" t="s">
        <v>55</v>
      </c>
      <c r="Y6322" t="s">
        <v>78</v>
      </c>
      <c r="Z6322" t="s">
        <v>55</v>
      </c>
      <c r="AA6322" t="s">
        <v>78</v>
      </c>
      <c r="AB6322" t="s">
        <v>55</v>
      </c>
      <c r="AC6322" t="s">
        <v>78</v>
      </c>
      <c r="AD6322" t="s">
        <v>55</v>
      </c>
      <c r="AE6322" t="s">
        <v>78</v>
      </c>
      <c r="AF6322" t="s">
        <v>55</v>
      </c>
      <c r="AG6322" t="s">
        <v>78</v>
      </c>
      <c r="AH6322" t="s">
        <v>55</v>
      </c>
      <c r="AI6322" t="s">
        <v>78</v>
      </c>
      <c r="AK6322" t="s">
        <v>363</v>
      </c>
    </row>
    <row r="6323" spans="1:37">
      <c r="B6323" t="s">
        <v>56</v>
      </c>
      <c r="C6323" t="s">
        <v>56</v>
      </c>
      <c r="D6323" t="s">
        <v>56</v>
      </c>
      <c r="E6323" t="s">
        <v>56</v>
      </c>
      <c r="F6323" t="s">
        <v>56</v>
      </c>
      <c r="G6323" t="s">
        <v>176</v>
      </c>
      <c r="H6323" t="s">
        <v>211</v>
      </c>
      <c r="I6323" t="s">
        <v>231</v>
      </c>
      <c r="J6323" t="s">
        <v>250</v>
      </c>
      <c r="K6323" t="s">
        <v>264</v>
      </c>
      <c r="L6323" t="s">
        <v>276</v>
      </c>
      <c r="M6323" t="s">
        <v>285</v>
      </c>
      <c r="N6323" t="s">
        <v>295</v>
      </c>
      <c r="O6323" t="s">
        <v>303</v>
      </c>
      <c r="P6323" t="s">
        <v>56</v>
      </c>
      <c r="Q6323" t="s">
        <v>317</v>
      </c>
      <c r="R6323" t="s">
        <v>324</v>
      </c>
      <c r="S6323" t="s">
        <v>331</v>
      </c>
      <c r="T6323" t="s">
        <v>334</v>
      </c>
      <c r="U6323" t="s">
        <v>338</v>
      </c>
      <c r="V6323" t="s">
        <v>342</v>
      </c>
      <c r="W6323" t="s">
        <v>346</v>
      </c>
      <c r="X6323" t="s">
        <v>351</v>
      </c>
      <c r="AK6323" t="s">
        <v>363</v>
      </c>
    </row>
    <row r="6324" spans="1:37">
      <c r="B6324" t="s">
        <v>57</v>
      </c>
      <c r="C6324" t="s">
        <v>79</v>
      </c>
      <c r="D6324" t="s">
        <v>98</v>
      </c>
      <c r="E6324" t="s">
        <v>117</v>
      </c>
      <c r="F6324" t="s">
        <v>151</v>
      </c>
      <c r="G6324" t="s">
        <v>177</v>
      </c>
      <c r="H6324" t="s">
        <v>212</v>
      </c>
      <c r="I6324" t="s">
        <v>232</v>
      </c>
      <c r="J6324" t="s">
        <v>251</v>
      </c>
      <c r="K6324" t="s">
        <v>265</v>
      </c>
      <c r="L6324" t="s">
        <v>277</v>
      </c>
      <c r="M6324" t="s">
        <v>286</v>
      </c>
      <c r="N6324" t="s">
        <v>296</v>
      </c>
      <c r="O6324" t="s">
        <v>304</v>
      </c>
      <c r="P6324" t="s">
        <v>311</v>
      </c>
      <c r="Q6324" t="s">
        <v>318</v>
      </c>
      <c r="R6324" t="s">
        <v>185</v>
      </c>
      <c r="S6324" t="s">
        <v>159</v>
      </c>
      <c r="T6324" t="s">
        <v>185</v>
      </c>
      <c r="U6324" t="s">
        <v>339</v>
      </c>
      <c r="V6324" t="s">
        <v>72</v>
      </c>
      <c r="W6324" t="s">
        <v>347</v>
      </c>
      <c r="X6324" t="s">
        <v>72</v>
      </c>
      <c r="Y6324" t="s">
        <v>96</v>
      </c>
      <c r="AK6324" t="s">
        <v>363</v>
      </c>
    </row>
    <row r="6325" spans="1:37">
      <c r="B6325" t="s">
        <v>58</v>
      </c>
      <c r="C6325" t="s">
        <v>80</v>
      </c>
      <c r="D6325" t="s">
        <v>99</v>
      </c>
      <c r="E6325" t="s">
        <v>118</v>
      </c>
      <c r="F6325" t="s">
        <v>152</v>
      </c>
      <c r="G6325" t="s">
        <v>178</v>
      </c>
      <c r="H6325" t="s">
        <v>213</v>
      </c>
      <c r="I6325" t="s">
        <v>233</v>
      </c>
      <c r="J6325" t="s">
        <v>252</v>
      </c>
      <c r="K6325" t="s">
        <v>266</v>
      </c>
      <c r="L6325" t="s">
        <v>278</v>
      </c>
      <c r="M6325" t="s">
        <v>287</v>
      </c>
      <c r="N6325" t="s">
        <v>297</v>
      </c>
      <c r="O6325" t="s">
        <v>305</v>
      </c>
      <c r="P6325" t="s">
        <v>312</v>
      </c>
      <c r="Q6325" t="s">
        <v>319</v>
      </c>
      <c r="R6325">
        <f>&gt;10       ветра      1.8     18   9</f>
        <v>0</v>
      </c>
      <c r="AK6325" t="s">
        <v>363</v>
      </c>
    </row>
    <row r="6326" spans="1:37">
      <c r="A6326" t="s">
        <v>40</v>
      </c>
      <c r="B6326" t="s">
        <v>59</v>
      </c>
      <c r="C6326" t="s">
        <v>81</v>
      </c>
      <c r="D6326" t="s">
        <v>100</v>
      </c>
      <c r="E6326" t="s">
        <v>119</v>
      </c>
      <c r="F6326" t="s">
        <v>153</v>
      </c>
      <c r="G6326" t="s">
        <v>179</v>
      </c>
      <c r="H6326" t="s">
        <v>214</v>
      </c>
      <c r="I6326" t="s">
        <v>234</v>
      </c>
      <c r="AK6326" t="s">
        <v>363</v>
      </c>
    </row>
    <row r="6327" spans="1:37">
      <c r="A6327" t="s">
        <v>40</v>
      </c>
      <c r="B6327" t="s">
        <v>60</v>
      </c>
      <c r="C6327" t="s">
        <v>82</v>
      </c>
      <c r="D6327" t="s">
        <v>101</v>
      </c>
      <c r="E6327" t="s">
        <v>120</v>
      </c>
      <c r="F6327" t="s">
        <v>154</v>
      </c>
      <c r="G6327" t="s">
        <v>180</v>
      </c>
      <c r="H6327" t="s">
        <v>215</v>
      </c>
      <c r="I6327" t="s">
        <v>235</v>
      </c>
      <c r="J6327" t="s">
        <v>253</v>
      </c>
      <c r="K6327" t="s">
        <v>267</v>
      </c>
      <c r="L6327" t="s">
        <v>279</v>
      </c>
      <c r="M6327" t="s">
        <v>288</v>
      </c>
      <c r="N6327" t="s">
        <v>100</v>
      </c>
      <c r="O6327" t="s">
        <v>306</v>
      </c>
      <c r="P6327" t="s">
        <v>313</v>
      </c>
      <c r="Q6327" t="s">
        <v>320</v>
      </c>
      <c r="R6327" t="s">
        <v>325</v>
      </c>
      <c r="S6327" t="s">
        <v>332</v>
      </c>
      <c r="T6327" t="s">
        <v>119</v>
      </c>
      <c r="U6327" t="s">
        <v>234</v>
      </c>
      <c r="V6327" t="s">
        <v>343</v>
      </c>
      <c r="W6327" t="s">
        <v>348</v>
      </c>
      <c r="X6327" t="s">
        <v>352</v>
      </c>
      <c r="Y6327" t="s">
        <v>354</v>
      </c>
      <c r="AK6327" t="s">
        <v>363</v>
      </c>
    </row>
    <row r="6328" spans="1:37">
      <c r="A6328" t="s">
        <v>41</v>
      </c>
      <c r="B6328" t="s">
        <v>61</v>
      </c>
      <c r="C6328" t="s">
        <v>83</v>
      </c>
      <c r="D6328" t="s">
        <v>102</v>
      </c>
      <c r="E6328" t="s">
        <v>121</v>
      </c>
      <c r="F6328" t="s">
        <v>155</v>
      </c>
      <c r="G6328" t="s">
        <v>181</v>
      </c>
      <c r="H6328" t="s">
        <v>216</v>
      </c>
      <c r="I6328" t="s">
        <v>236</v>
      </c>
      <c r="AK6328" t="s">
        <v>363</v>
      </c>
    </row>
    <row r="6329" spans="1:37">
      <c r="A6329" t="s">
        <v>42</v>
      </c>
      <c r="B6329" t="s">
        <v>62</v>
      </c>
      <c r="C6329" t="s">
        <v>84</v>
      </c>
      <c r="D6329" t="s">
        <v>103</v>
      </c>
      <c r="E6329" t="s">
        <v>122</v>
      </c>
      <c r="F6329" t="s">
        <v>156</v>
      </c>
      <c r="G6329" t="s">
        <v>182</v>
      </c>
      <c r="H6329" t="s">
        <v>83</v>
      </c>
      <c r="I6329" t="s">
        <v>237</v>
      </c>
      <c r="J6329" t="s">
        <v>254</v>
      </c>
      <c r="K6329" t="s">
        <v>268</v>
      </c>
      <c r="L6329" t="s">
        <v>280</v>
      </c>
      <c r="M6329" t="s">
        <v>289</v>
      </c>
      <c r="N6329" t="s">
        <v>298</v>
      </c>
      <c r="O6329" t="s">
        <v>307</v>
      </c>
      <c r="P6329" t="s">
        <v>314</v>
      </c>
      <c r="Q6329" t="s">
        <v>216</v>
      </c>
      <c r="R6329" t="s">
        <v>326</v>
      </c>
      <c r="S6329" t="s">
        <v>333</v>
      </c>
      <c r="T6329" t="s">
        <v>335</v>
      </c>
      <c r="U6329" t="s">
        <v>340</v>
      </c>
      <c r="V6329" t="s">
        <v>344</v>
      </c>
      <c r="W6329" t="s">
        <v>349</v>
      </c>
      <c r="AK6329" t="s">
        <v>363</v>
      </c>
    </row>
    <row r="6330" spans="1:37">
      <c r="A6330" t="s">
        <v>43</v>
      </c>
      <c r="B6330" t="s">
        <v>63</v>
      </c>
      <c r="C6330" t="s">
        <v>85</v>
      </c>
      <c r="D6330" t="s">
        <v>104</v>
      </c>
      <c r="E6330" t="s">
        <v>123</v>
      </c>
      <c r="F6330" t="s">
        <v>157</v>
      </c>
      <c r="G6330" t="s">
        <v>183</v>
      </c>
      <c r="AK6330" t="s">
        <v>363</v>
      </c>
    </row>
    <row r="6331" spans="1:37">
      <c r="A6331" t="s">
        <v>44</v>
      </c>
      <c r="B6331" t="s">
        <v>64</v>
      </c>
      <c r="C6331" t="s">
        <v>86</v>
      </c>
      <c r="D6331" t="s">
        <v>105</v>
      </c>
      <c r="E6331" t="s">
        <v>124</v>
      </c>
      <c r="F6331" t="s">
        <v>158</v>
      </c>
      <c r="G6331" t="s">
        <v>184</v>
      </c>
      <c r="AK6331" t="s">
        <v>363</v>
      </c>
    </row>
    <row r="6332" spans="1:37">
      <c r="A6332" t="s">
        <v>45</v>
      </c>
      <c r="B6332" t="s">
        <v>65</v>
      </c>
      <c r="C6332" t="s">
        <v>87</v>
      </c>
      <c r="D6332" t="s">
        <v>106</v>
      </c>
      <c r="E6332" t="s">
        <v>125</v>
      </c>
      <c r="F6332" t="s">
        <v>159</v>
      </c>
      <c r="G6332" t="s">
        <v>185</v>
      </c>
      <c r="H6332" t="s">
        <v>159</v>
      </c>
      <c r="I6332" t="s">
        <v>185</v>
      </c>
      <c r="J6332" t="s">
        <v>255</v>
      </c>
      <c r="AK6332" t="s">
        <v>363</v>
      </c>
    </row>
    <row r="6333" spans="1:37">
      <c r="A6333" t="s">
        <v>46</v>
      </c>
      <c r="B6333" t="s">
        <v>66</v>
      </c>
      <c r="C6333" t="s">
        <v>88</v>
      </c>
      <c r="D6333" t="s">
        <v>76</v>
      </c>
      <c r="E6333" t="s">
        <v>126</v>
      </c>
      <c r="F6333" t="s">
        <v>160</v>
      </c>
      <c r="G6333" t="s">
        <v>186</v>
      </c>
      <c r="H6333" t="s">
        <v>217</v>
      </c>
      <c r="I6333" t="s">
        <v>238</v>
      </c>
      <c r="J6333" t="s">
        <v>256</v>
      </c>
      <c r="K6333" t="s">
        <v>265</v>
      </c>
      <c r="L6333" t="s">
        <v>281</v>
      </c>
      <c r="M6333" t="s">
        <v>290</v>
      </c>
      <c r="N6333" t="s">
        <v>299</v>
      </c>
      <c r="O6333" t="s">
        <v>308</v>
      </c>
      <c r="P6333" t="s">
        <v>228</v>
      </c>
      <c r="Q6333" t="s">
        <v>72</v>
      </c>
      <c r="R6333" t="s">
        <v>327</v>
      </c>
      <c r="S6333" t="s">
        <v>327</v>
      </c>
      <c r="T6333" t="s">
        <v>336</v>
      </c>
      <c r="U6333" t="s">
        <v>336</v>
      </c>
      <c r="V6333" t="s">
        <v>336</v>
      </c>
      <c r="W6333" t="s">
        <v>336</v>
      </c>
      <c r="X6333" t="s">
        <v>353</v>
      </c>
      <c r="AK6333" t="s">
        <v>363</v>
      </c>
    </row>
    <row r="6334" spans="1:37">
      <c r="B6334" t="s">
        <v>67</v>
      </c>
      <c r="C6334" t="s">
        <v>89</v>
      </c>
      <c r="D6334" t="s">
        <v>107</v>
      </c>
      <c r="AK6334" t="s">
        <v>363</v>
      </c>
    </row>
    <row r="6335" spans="1:37">
      <c r="B6335" t="s">
        <v>68</v>
      </c>
      <c r="C6335" t="s">
        <v>90</v>
      </c>
      <c r="D6335" t="s">
        <v>108</v>
      </c>
      <c r="AK6335" t="s">
        <v>363</v>
      </c>
    </row>
    <row r="6336" spans="1:37">
      <c r="A6336" t="s">
        <v>47</v>
      </c>
      <c r="B6336" t="s">
        <v>69</v>
      </c>
      <c r="C6336" t="s">
        <v>91</v>
      </c>
      <c r="D6336" t="s">
        <v>109</v>
      </c>
      <c r="E6336" t="s">
        <v>109</v>
      </c>
      <c r="F6336" t="s">
        <v>109</v>
      </c>
      <c r="G6336" t="s">
        <v>109</v>
      </c>
      <c r="H6336" t="s">
        <v>109</v>
      </c>
      <c r="I6336" t="s">
        <v>239</v>
      </c>
      <c r="AK6336" t="s">
        <v>363</v>
      </c>
    </row>
    <row r="6337" spans="1:37">
      <c r="B6337" t="s">
        <v>70</v>
      </c>
      <c r="C6337" t="s">
        <v>92</v>
      </c>
      <c r="D6337" t="s">
        <v>110</v>
      </c>
      <c r="E6337" t="s">
        <v>127</v>
      </c>
      <c r="F6337" t="s">
        <v>161</v>
      </c>
      <c r="G6337" t="s">
        <v>187</v>
      </c>
      <c r="H6337" t="s">
        <v>218</v>
      </c>
      <c r="AK6337" t="s">
        <v>363</v>
      </c>
    </row>
    <row r="6338" spans="1:37">
      <c r="B6338" t="s">
        <v>71</v>
      </c>
      <c r="C6338" t="s">
        <v>93</v>
      </c>
      <c r="D6338" t="s">
        <v>111</v>
      </c>
      <c r="E6338" t="s">
        <v>128</v>
      </c>
      <c r="F6338" t="s">
        <v>162</v>
      </c>
      <c r="G6338" t="s">
        <v>188</v>
      </c>
      <c r="H6338" t="s">
        <v>219</v>
      </c>
      <c r="I6338" t="s">
        <v>240</v>
      </c>
      <c r="J6338" t="s">
        <v>257</v>
      </c>
      <c r="K6338" t="s">
        <v>269</v>
      </c>
      <c r="L6338" t="s">
        <v>109</v>
      </c>
      <c r="M6338" t="s">
        <v>109</v>
      </c>
      <c r="N6338" t="s">
        <v>109</v>
      </c>
      <c r="O6338" t="s">
        <v>109</v>
      </c>
      <c r="P6338" t="s">
        <v>109</v>
      </c>
      <c r="Q6338" t="s">
        <v>321</v>
      </c>
      <c r="AK6338" t="s">
        <v>363</v>
      </c>
    </row>
    <row r="6339" spans="1:37">
      <c r="A6339" t="s">
        <v>48</v>
      </c>
      <c r="B6339" t="s">
        <v>71</v>
      </c>
      <c r="C6339" t="s">
        <v>93</v>
      </c>
      <c r="D6339" t="s">
        <v>111</v>
      </c>
      <c r="E6339" t="s">
        <v>128</v>
      </c>
      <c r="F6339" t="s">
        <v>163</v>
      </c>
      <c r="G6339" t="s">
        <v>189</v>
      </c>
      <c r="H6339" t="s">
        <v>220</v>
      </c>
      <c r="I6339" t="s">
        <v>241</v>
      </c>
      <c r="J6339" t="s">
        <v>258</v>
      </c>
      <c r="K6339" t="s">
        <v>270</v>
      </c>
      <c r="AK6339" t="s">
        <v>363</v>
      </c>
    </row>
    <row r="6340" spans="1:37">
      <c r="B6340" t="s">
        <v>72</v>
      </c>
      <c r="C6340" t="s">
        <v>72</v>
      </c>
      <c r="D6340" t="s">
        <v>72</v>
      </c>
      <c r="E6340" t="s">
        <v>139</v>
      </c>
      <c r="F6340" t="s">
        <v>139</v>
      </c>
      <c r="G6340" t="s">
        <v>192</v>
      </c>
      <c r="H6340" t="s">
        <v>192</v>
      </c>
      <c r="I6340" t="s">
        <v>192</v>
      </c>
      <c r="J6340" t="s">
        <v>192</v>
      </c>
      <c r="K6340" t="s">
        <v>271</v>
      </c>
      <c r="AK6340" t="s">
        <v>363</v>
      </c>
    </row>
    <row r="6341" spans="1:37">
      <c r="A6341" t="s">
        <v>37</v>
      </c>
      <c r="B6341" t="s">
        <v>49</v>
      </c>
      <c r="C6341" t="s">
        <v>73</v>
      </c>
      <c r="D6341" t="s">
        <v>94</v>
      </c>
      <c r="E6341" t="s">
        <v>112</v>
      </c>
      <c r="F6341" t="s">
        <v>146</v>
      </c>
      <c r="G6341" t="s">
        <v>172</v>
      </c>
      <c r="H6341" t="s">
        <v>207</v>
      </c>
      <c r="I6341" t="s">
        <v>226</v>
      </c>
      <c r="J6341" t="s">
        <v>246</v>
      </c>
      <c r="K6341" t="s">
        <v>259</v>
      </c>
      <c r="AK6341" t="s">
        <v>363</v>
      </c>
    </row>
    <row r="6342" spans="1:37">
      <c r="A6342" t="s">
        <v>38</v>
      </c>
      <c r="B6342" t="s">
        <v>50</v>
      </c>
      <c r="C6342" t="s">
        <v>74</v>
      </c>
      <c r="D6342" t="s">
        <v>95</v>
      </c>
      <c r="E6342" t="s">
        <v>113</v>
      </c>
      <c r="F6342" t="s">
        <v>147</v>
      </c>
      <c r="G6342" t="s">
        <v>173</v>
      </c>
      <c r="H6342" t="s">
        <v>208</v>
      </c>
      <c r="I6342" t="s">
        <v>227</v>
      </c>
      <c r="J6342" t="s">
        <v>115</v>
      </c>
      <c r="K6342" t="s">
        <v>260</v>
      </c>
      <c r="L6342" t="s">
        <v>273</v>
      </c>
      <c r="M6342" t="s">
        <v>282</v>
      </c>
      <c r="N6342" t="s">
        <v>291</v>
      </c>
      <c r="AK6342" t="s">
        <v>363</v>
      </c>
    </row>
    <row r="6343" spans="1:37">
      <c r="B6343" t="s">
        <v>51</v>
      </c>
      <c r="C6343" t="s">
        <v>75</v>
      </c>
      <c r="D6343" t="s">
        <v>52</v>
      </c>
      <c r="E6343" t="s">
        <v>114</v>
      </c>
      <c r="F6343" t="s">
        <v>148</v>
      </c>
      <c r="G6343" t="s">
        <v>148</v>
      </c>
      <c r="H6343" t="s">
        <v>209</v>
      </c>
      <c r="I6343" t="s">
        <v>228</v>
      </c>
      <c r="J6343" t="s">
        <v>247</v>
      </c>
      <c r="K6343" t="s">
        <v>261</v>
      </c>
      <c r="L6343" t="s">
        <v>274</v>
      </c>
      <c r="M6343" t="s">
        <v>283</v>
      </c>
      <c r="N6343" t="s">
        <v>292</v>
      </c>
      <c r="O6343" t="s">
        <v>300</v>
      </c>
      <c r="AK6343" t="s">
        <v>363</v>
      </c>
    </row>
    <row r="6344" spans="1:37">
      <c r="B6344" t="s">
        <v>52</v>
      </c>
      <c r="C6344" t="s">
        <v>76</v>
      </c>
      <c r="D6344" t="s">
        <v>96</v>
      </c>
      <c r="E6344" t="s">
        <v>115</v>
      </c>
      <c r="F6344" t="s">
        <v>149</v>
      </c>
      <c r="G6344" t="s">
        <v>174</v>
      </c>
      <c r="H6344" t="s">
        <v>96</v>
      </c>
      <c r="I6344" t="s">
        <v>229</v>
      </c>
      <c r="J6344" t="s">
        <v>248</v>
      </c>
      <c r="K6344" t="s">
        <v>262</v>
      </c>
      <c r="L6344" t="s">
        <v>52</v>
      </c>
      <c r="M6344" t="s">
        <v>76</v>
      </c>
      <c r="N6344" t="s">
        <v>293</v>
      </c>
      <c r="O6344" t="s">
        <v>301</v>
      </c>
      <c r="P6344" t="s">
        <v>309</v>
      </c>
      <c r="Q6344" t="s">
        <v>315</v>
      </c>
      <c r="R6344" t="s">
        <v>228</v>
      </c>
      <c r="S6344" t="s">
        <v>328</v>
      </c>
      <c r="T6344" t="s">
        <v>149</v>
      </c>
      <c r="U6344" t="s">
        <v>337</v>
      </c>
      <c r="V6344" t="s">
        <v>341</v>
      </c>
      <c r="W6344" t="s">
        <v>345</v>
      </c>
      <c r="X6344" t="s">
        <v>350</v>
      </c>
      <c r="AK6344" t="s">
        <v>363</v>
      </c>
    </row>
    <row r="6345" spans="1:37">
      <c r="B6345" t="s">
        <v>53</v>
      </c>
      <c r="C6345" t="s">
        <v>77</v>
      </c>
      <c r="D6345" t="s">
        <v>97</v>
      </c>
      <c r="E6345" t="s">
        <v>116</v>
      </c>
      <c r="F6345" t="s">
        <v>150</v>
      </c>
      <c r="G6345" t="s">
        <v>175</v>
      </c>
      <c r="H6345" t="s">
        <v>210</v>
      </c>
      <c r="I6345" t="s">
        <v>230</v>
      </c>
      <c r="J6345" t="s">
        <v>249</v>
      </c>
      <c r="K6345" t="s">
        <v>263</v>
      </c>
      <c r="L6345" t="s">
        <v>275</v>
      </c>
      <c r="M6345" t="s">
        <v>284</v>
      </c>
      <c r="N6345" t="s">
        <v>294</v>
      </c>
      <c r="O6345" t="s">
        <v>302</v>
      </c>
      <c r="P6345" t="s">
        <v>310</v>
      </c>
      <c r="Q6345" t="s">
        <v>316</v>
      </c>
      <c r="R6345" t="s">
        <v>322</v>
      </c>
      <c r="S6345" t="s">
        <v>329</v>
      </c>
      <c r="AK6345" t="s">
        <v>363</v>
      </c>
    </row>
    <row r="6346" spans="1:37">
      <c r="A6346" t="s">
        <v>39</v>
      </c>
      <c r="B6346" t="s">
        <v>54</v>
      </c>
      <c r="C6346" t="s">
        <v>54</v>
      </c>
      <c r="D6346" t="s">
        <v>54</v>
      </c>
      <c r="E6346" t="s">
        <v>54</v>
      </c>
      <c r="F6346" t="s">
        <v>54</v>
      </c>
      <c r="G6346" t="s">
        <v>54</v>
      </c>
      <c r="H6346" t="s">
        <v>54</v>
      </c>
      <c r="I6346" t="s">
        <v>54</v>
      </c>
      <c r="J6346" t="s">
        <v>54</v>
      </c>
      <c r="K6346" t="s">
        <v>54</v>
      </c>
      <c r="L6346" t="s">
        <v>54</v>
      </c>
      <c r="M6346" t="s">
        <v>54</v>
      </c>
      <c r="N6346" t="s">
        <v>54</v>
      </c>
      <c r="O6346" t="s">
        <v>54</v>
      </c>
      <c r="P6346" t="s">
        <v>54</v>
      </c>
      <c r="Q6346" t="s">
        <v>54</v>
      </c>
      <c r="R6346" t="s">
        <v>323</v>
      </c>
      <c r="S6346" t="s">
        <v>330</v>
      </c>
      <c r="AK6346" t="s">
        <v>363</v>
      </c>
    </row>
    <row r="6347" spans="1:37">
      <c r="B6347" t="s">
        <v>55</v>
      </c>
      <c r="C6347" t="s">
        <v>78</v>
      </c>
      <c r="D6347" t="s">
        <v>55</v>
      </c>
      <c r="E6347" t="s">
        <v>78</v>
      </c>
      <c r="F6347" t="s">
        <v>55</v>
      </c>
      <c r="G6347" t="s">
        <v>78</v>
      </c>
      <c r="H6347" t="s">
        <v>55</v>
      </c>
      <c r="I6347" t="s">
        <v>78</v>
      </c>
      <c r="J6347" t="s">
        <v>55</v>
      </c>
      <c r="K6347" t="s">
        <v>78</v>
      </c>
      <c r="L6347" t="s">
        <v>55</v>
      </c>
      <c r="M6347" t="s">
        <v>78</v>
      </c>
      <c r="N6347" t="s">
        <v>55</v>
      </c>
      <c r="O6347" t="s">
        <v>78</v>
      </c>
      <c r="P6347" t="s">
        <v>55</v>
      </c>
      <c r="Q6347" t="s">
        <v>78</v>
      </c>
      <c r="R6347" t="s">
        <v>55</v>
      </c>
      <c r="S6347" t="s">
        <v>78</v>
      </c>
      <c r="T6347" t="s">
        <v>55</v>
      </c>
      <c r="U6347" t="s">
        <v>78</v>
      </c>
      <c r="V6347" t="s">
        <v>55</v>
      </c>
      <c r="W6347" t="s">
        <v>78</v>
      </c>
      <c r="X6347" t="s">
        <v>55</v>
      </c>
      <c r="Y6347" t="s">
        <v>78</v>
      </c>
      <c r="Z6347" t="s">
        <v>55</v>
      </c>
      <c r="AA6347" t="s">
        <v>78</v>
      </c>
      <c r="AB6347" t="s">
        <v>55</v>
      </c>
      <c r="AC6347" t="s">
        <v>78</v>
      </c>
      <c r="AD6347" t="s">
        <v>55</v>
      </c>
      <c r="AE6347" t="s">
        <v>78</v>
      </c>
      <c r="AF6347" t="s">
        <v>55</v>
      </c>
      <c r="AG6347" t="s">
        <v>78</v>
      </c>
      <c r="AH6347" t="s">
        <v>55</v>
      </c>
      <c r="AI6347" t="s">
        <v>78</v>
      </c>
      <c r="AK6347" t="s">
        <v>363</v>
      </c>
    </row>
    <row r="6348" spans="1:37">
      <c r="B6348" t="s">
        <v>56</v>
      </c>
      <c r="C6348" t="s">
        <v>56</v>
      </c>
      <c r="D6348" t="s">
        <v>56</v>
      </c>
      <c r="E6348" t="s">
        <v>56</v>
      </c>
      <c r="F6348" t="s">
        <v>56</v>
      </c>
      <c r="G6348" t="s">
        <v>176</v>
      </c>
      <c r="H6348" t="s">
        <v>211</v>
      </c>
      <c r="I6348" t="s">
        <v>231</v>
      </c>
      <c r="J6348" t="s">
        <v>250</v>
      </c>
      <c r="K6348" t="s">
        <v>264</v>
      </c>
      <c r="L6348" t="s">
        <v>276</v>
      </c>
      <c r="M6348" t="s">
        <v>285</v>
      </c>
      <c r="N6348" t="s">
        <v>295</v>
      </c>
      <c r="O6348" t="s">
        <v>303</v>
      </c>
      <c r="P6348" t="s">
        <v>56</v>
      </c>
      <c r="Q6348" t="s">
        <v>317</v>
      </c>
      <c r="R6348" t="s">
        <v>324</v>
      </c>
      <c r="S6348" t="s">
        <v>331</v>
      </c>
      <c r="T6348" t="s">
        <v>334</v>
      </c>
      <c r="U6348" t="s">
        <v>338</v>
      </c>
      <c r="V6348" t="s">
        <v>342</v>
      </c>
      <c r="W6348" t="s">
        <v>346</v>
      </c>
      <c r="X6348" t="s">
        <v>351</v>
      </c>
      <c r="AK6348" t="s">
        <v>363</v>
      </c>
    </row>
    <row r="6349" spans="1:37">
      <c r="B6349" t="s">
        <v>57</v>
      </c>
      <c r="C6349" t="s">
        <v>79</v>
      </c>
      <c r="D6349" t="s">
        <v>98</v>
      </c>
      <c r="E6349" t="s">
        <v>117</v>
      </c>
      <c r="F6349" t="s">
        <v>151</v>
      </c>
      <c r="G6349" t="s">
        <v>177</v>
      </c>
      <c r="H6349" t="s">
        <v>212</v>
      </c>
      <c r="I6349" t="s">
        <v>232</v>
      </c>
      <c r="J6349" t="s">
        <v>251</v>
      </c>
      <c r="K6349" t="s">
        <v>265</v>
      </c>
      <c r="L6349" t="s">
        <v>277</v>
      </c>
      <c r="M6349" t="s">
        <v>286</v>
      </c>
      <c r="N6349" t="s">
        <v>296</v>
      </c>
      <c r="O6349" t="s">
        <v>304</v>
      </c>
      <c r="P6349" t="s">
        <v>311</v>
      </c>
      <c r="Q6349" t="s">
        <v>318</v>
      </c>
      <c r="R6349" t="s">
        <v>185</v>
      </c>
      <c r="S6349" t="s">
        <v>159</v>
      </c>
      <c r="T6349" t="s">
        <v>185</v>
      </c>
      <c r="U6349" t="s">
        <v>339</v>
      </c>
      <c r="V6349" t="s">
        <v>72</v>
      </c>
      <c r="W6349" t="s">
        <v>347</v>
      </c>
      <c r="X6349" t="s">
        <v>72</v>
      </c>
      <c r="Y6349" t="s">
        <v>96</v>
      </c>
      <c r="AK6349" t="s">
        <v>363</v>
      </c>
    </row>
    <row r="6350" spans="1:37">
      <c r="B6350" t="s">
        <v>58</v>
      </c>
      <c r="C6350" t="s">
        <v>80</v>
      </c>
      <c r="D6350" t="s">
        <v>99</v>
      </c>
      <c r="E6350" t="s">
        <v>118</v>
      </c>
      <c r="F6350" t="s">
        <v>152</v>
      </c>
      <c r="G6350" t="s">
        <v>178</v>
      </c>
      <c r="H6350" t="s">
        <v>213</v>
      </c>
      <c r="I6350" t="s">
        <v>233</v>
      </c>
      <c r="J6350" t="s">
        <v>252</v>
      </c>
      <c r="K6350" t="s">
        <v>266</v>
      </c>
      <c r="L6350" t="s">
        <v>278</v>
      </c>
      <c r="M6350" t="s">
        <v>287</v>
      </c>
      <c r="N6350" t="s">
        <v>297</v>
      </c>
      <c r="O6350" t="s">
        <v>305</v>
      </c>
      <c r="P6350" t="s">
        <v>312</v>
      </c>
      <c r="Q6350" t="s">
        <v>319</v>
      </c>
      <c r="R6350">
        <f>&gt;10       ветра      3.1     16  10</f>
        <v>0</v>
      </c>
      <c r="AK6350" t="s">
        <v>363</v>
      </c>
    </row>
    <row r="6351" spans="1:37">
      <c r="A6351" t="s">
        <v>40</v>
      </c>
      <c r="B6351" t="s">
        <v>59</v>
      </c>
      <c r="C6351" t="s">
        <v>81</v>
      </c>
      <c r="D6351" t="s">
        <v>100</v>
      </c>
      <c r="E6351" t="s">
        <v>119</v>
      </c>
      <c r="F6351" t="s">
        <v>153</v>
      </c>
      <c r="G6351" t="s">
        <v>179</v>
      </c>
      <c r="H6351" t="s">
        <v>214</v>
      </c>
      <c r="I6351" t="s">
        <v>234</v>
      </c>
      <c r="AK6351" t="s">
        <v>363</v>
      </c>
    </row>
    <row r="6352" spans="1:37">
      <c r="A6352" t="s">
        <v>40</v>
      </c>
      <c r="B6352" t="s">
        <v>60</v>
      </c>
      <c r="C6352" t="s">
        <v>82</v>
      </c>
      <c r="D6352" t="s">
        <v>101</v>
      </c>
      <c r="E6352" t="s">
        <v>120</v>
      </c>
      <c r="F6352" t="s">
        <v>154</v>
      </c>
      <c r="G6352" t="s">
        <v>180</v>
      </c>
      <c r="H6352" t="s">
        <v>215</v>
      </c>
      <c r="I6352" t="s">
        <v>235</v>
      </c>
      <c r="J6352" t="s">
        <v>253</v>
      </c>
      <c r="K6352" t="s">
        <v>267</v>
      </c>
      <c r="L6352" t="s">
        <v>279</v>
      </c>
      <c r="M6352" t="s">
        <v>288</v>
      </c>
      <c r="N6352" t="s">
        <v>100</v>
      </c>
      <c r="O6352" t="s">
        <v>306</v>
      </c>
      <c r="P6352" t="s">
        <v>313</v>
      </c>
      <c r="Q6352" t="s">
        <v>320</v>
      </c>
      <c r="R6352" t="s">
        <v>325</v>
      </c>
      <c r="S6352" t="s">
        <v>332</v>
      </c>
      <c r="T6352" t="s">
        <v>119</v>
      </c>
      <c r="U6352" t="s">
        <v>234</v>
      </c>
      <c r="V6352" t="s">
        <v>343</v>
      </c>
      <c r="W6352" t="s">
        <v>348</v>
      </c>
      <c r="X6352" t="s">
        <v>352</v>
      </c>
      <c r="Y6352" t="s">
        <v>354</v>
      </c>
      <c r="AK6352" t="s">
        <v>363</v>
      </c>
    </row>
    <row r="6353" spans="1:37">
      <c r="A6353" t="s">
        <v>41</v>
      </c>
      <c r="B6353" t="s">
        <v>61</v>
      </c>
      <c r="C6353" t="s">
        <v>83</v>
      </c>
      <c r="D6353" t="s">
        <v>102</v>
      </c>
      <c r="E6353" t="s">
        <v>121</v>
      </c>
      <c r="F6353" t="s">
        <v>155</v>
      </c>
      <c r="G6353" t="s">
        <v>181</v>
      </c>
      <c r="H6353" t="s">
        <v>216</v>
      </c>
      <c r="I6353" t="s">
        <v>236</v>
      </c>
      <c r="AK6353" t="s">
        <v>363</v>
      </c>
    </row>
    <row r="6354" spans="1:37">
      <c r="A6354" t="s">
        <v>42</v>
      </c>
      <c r="B6354" t="s">
        <v>62</v>
      </c>
      <c r="C6354" t="s">
        <v>84</v>
      </c>
      <c r="D6354" t="s">
        <v>103</v>
      </c>
      <c r="E6354" t="s">
        <v>122</v>
      </c>
      <c r="F6354" t="s">
        <v>156</v>
      </c>
      <c r="G6354" t="s">
        <v>182</v>
      </c>
      <c r="H6354" t="s">
        <v>83</v>
      </c>
      <c r="I6354" t="s">
        <v>237</v>
      </c>
      <c r="J6354" t="s">
        <v>254</v>
      </c>
      <c r="K6354" t="s">
        <v>268</v>
      </c>
      <c r="L6354" t="s">
        <v>280</v>
      </c>
      <c r="M6354" t="s">
        <v>289</v>
      </c>
      <c r="N6354" t="s">
        <v>298</v>
      </c>
      <c r="O6354" t="s">
        <v>307</v>
      </c>
      <c r="P6354" t="s">
        <v>314</v>
      </c>
      <c r="Q6354" t="s">
        <v>216</v>
      </c>
      <c r="R6354" t="s">
        <v>326</v>
      </c>
      <c r="S6354" t="s">
        <v>333</v>
      </c>
      <c r="T6354" t="s">
        <v>335</v>
      </c>
      <c r="U6354" t="s">
        <v>340</v>
      </c>
      <c r="V6354" t="s">
        <v>344</v>
      </c>
      <c r="W6354" t="s">
        <v>349</v>
      </c>
      <c r="AK6354" t="s">
        <v>363</v>
      </c>
    </row>
    <row r="6355" spans="1:37">
      <c r="A6355" t="s">
        <v>43</v>
      </c>
      <c r="B6355" t="s">
        <v>63</v>
      </c>
      <c r="C6355" t="s">
        <v>85</v>
      </c>
      <c r="D6355" t="s">
        <v>104</v>
      </c>
      <c r="E6355" t="s">
        <v>123</v>
      </c>
      <c r="F6355" t="s">
        <v>157</v>
      </c>
      <c r="G6355" t="s">
        <v>183</v>
      </c>
      <c r="AK6355" t="s">
        <v>363</v>
      </c>
    </row>
    <row r="6356" spans="1:37">
      <c r="A6356" t="s">
        <v>44</v>
      </c>
      <c r="B6356" t="s">
        <v>64</v>
      </c>
      <c r="C6356" t="s">
        <v>86</v>
      </c>
      <c r="D6356" t="s">
        <v>105</v>
      </c>
      <c r="E6356" t="s">
        <v>124</v>
      </c>
      <c r="F6356" t="s">
        <v>158</v>
      </c>
      <c r="G6356" t="s">
        <v>184</v>
      </c>
      <c r="AK6356" t="s">
        <v>363</v>
      </c>
    </row>
    <row r="6357" spans="1:37">
      <c r="A6357" t="s">
        <v>45</v>
      </c>
      <c r="B6357" t="s">
        <v>65</v>
      </c>
      <c r="C6357" t="s">
        <v>87</v>
      </c>
      <c r="D6357" t="s">
        <v>106</v>
      </c>
      <c r="E6357" t="s">
        <v>125</v>
      </c>
      <c r="F6357" t="s">
        <v>159</v>
      </c>
      <c r="G6357" t="s">
        <v>185</v>
      </c>
      <c r="H6357" t="s">
        <v>159</v>
      </c>
      <c r="I6357" t="s">
        <v>185</v>
      </c>
      <c r="J6357" t="s">
        <v>255</v>
      </c>
      <c r="AK6357" t="s">
        <v>363</v>
      </c>
    </row>
    <row r="6358" spans="1:37">
      <c r="A6358" t="s">
        <v>46</v>
      </c>
      <c r="B6358" t="s">
        <v>66</v>
      </c>
      <c r="C6358" t="s">
        <v>88</v>
      </c>
      <c r="D6358" t="s">
        <v>76</v>
      </c>
      <c r="E6358" t="s">
        <v>126</v>
      </c>
      <c r="F6358" t="s">
        <v>160</v>
      </c>
      <c r="G6358" t="s">
        <v>186</v>
      </c>
      <c r="H6358" t="s">
        <v>217</v>
      </c>
      <c r="I6358" t="s">
        <v>238</v>
      </c>
      <c r="J6358" t="s">
        <v>256</v>
      </c>
      <c r="K6358" t="s">
        <v>265</v>
      </c>
      <c r="L6358" t="s">
        <v>281</v>
      </c>
      <c r="M6358" t="s">
        <v>290</v>
      </c>
      <c r="N6358" t="s">
        <v>299</v>
      </c>
      <c r="O6358" t="s">
        <v>308</v>
      </c>
      <c r="P6358" t="s">
        <v>228</v>
      </c>
      <c r="Q6358" t="s">
        <v>72</v>
      </c>
      <c r="R6358" t="s">
        <v>327</v>
      </c>
      <c r="S6358" t="s">
        <v>327</v>
      </c>
      <c r="T6358" t="s">
        <v>336</v>
      </c>
      <c r="U6358" t="s">
        <v>336</v>
      </c>
      <c r="V6358" t="s">
        <v>336</v>
      </c>
      <c r="W6358" t="s">
        <v>336</v>
      </c>
      <c r="X6358" t="s">
        <v>353</v>
      </c>
      <c r="AK6358" t="s">
        <v>363</v>
      </c>
    </row>
    <row r="6359" spans="1:37">
      <c r="B6359" t="s">
        <v>67</v>
      </c>
      <c r="C6359" t="s">
        <v>89</v>
      </c>
      <c r="D6359" t="s">
        <v>107</v>
      </c>
      <c r="AK6359" t="s">
        <v>363</v>
      </c>
    </row>
    <row r="6360" spans="1:37">
      <c r="B6360" t="s">
        <v>68</v>
      </c>
      <c r="C6360" t="s">
        <v>90</v>
      </c>
      <c r="D6360" t="s">
        <v>108</v>
      </c>
      <c r="AK6360" t="s">
        <v>363</v>
      </c>
    </row>
    <row r="6361" spans="1:37">
      <c r="A6361" t="s">
        <v>47</v>
      </c>
      <c r="B6361" t="s">
        <v>69</v>
      </c>
      <c r="C6361" t="s">
        <v>91</v>
      </c>
      <c r="D6361" t="s">
        <v>109</v>
      </c>
      <c r="E6361" t="s">
        <v>109</v>
      </c>
      <c r="F6361" t="s">
        <v>109</v>
      </c>
      <c r="G6361" t="s">
        <v>109</v>
      </c>
      <c r="H6361" t="s">
        <v>109</v>
      </c>
      <c r="I6361" t="s">
        <v>239</v>
      </c>
      <c r="AK6361" t="s">
        <v>363</v>
      </c>
    </row>
    <row r="6362" spans="1:37">
      <c r="B6362" t="s">
        <v>70</v>
      </c>
      <c r="C6362" t="s">
        <v>92</v>
      </c>
      <c r="D6362" t="s">
        <v>110</v>
      </c>
      <c r="E6362" t="s">
        <v>127</v>
      </c>
      <c r="F6362" t="s">
        <v>161</v>
      </c>
      <c r="G6362" t="s">
        <v>187</v>
      </c>
      <c r="H6362" t="s">
        <v>218</v>
      </c>
      <c r="AK6362" t="s">
        <v>363</v>
      </c>
    </row>
    <row r="6363" spans="1:37">
      <c r="B6363" t="s">
        <v>71</v>
      </c>
      <c r="C6363" t="s">
        <v>93</v>
      </c>
      <c r="D6363" t="s">
        <v>111</v>
      </c>
      <c r="E6363" t="s">
        <v>128</v>
      </c>
      <c r="F6363" t="s">
        <v>162</v>
      </c>
      <c r="G6363" t="s">
        <v>188</v>
      </c>
      <c r="H6363" t="s">
        <v>219</v>
      </c>
      <c r="I6363" t="s">
        <v>240</v>
      </c>
      <c r="J6363" t="s">
        <v>257</v>
      </c>
      <c r="K6363" t="s">
        <v>269</v>
      </c>
      <c r="L6363" t="s">
        <v>109</v>
      </c>
      <c r="M6363" t="s">
        <v>109</v>
      </c>
      <c r="N6363" t="s">
        <v>109</v>
      </c>
      <c r="O6363" t="s">
        <v>109</v>
      </c>
      <c r="P6363" t="s">
        <v>109</v>
      </c>
      <c r="Q6363" t="s">
        <v>321</v>
      </c>
      <c r="AK6363" t="s">
        <v>363</v>
      </c>
    </row>
    <row r="6364" spans="1:37">
      <c r="A6364" t="s">
        <v>48</v>
      </c>
      <c r="B6364" t="s">
        <v>71</v>
      </c>
      <c r="C6364" t="s">
        <v>93</v>
      </c>
      <c r="D6364" t="s">
        <v>111</v>
      </c>
      <c r="E6364" t="s">
        <v>128</v>
      </c>
      <c r="F6364" t="s">
        <v>163</v>
      </c>
      <c r="G6364" t="s">
        <v>189</v>
      </c>
      <c r="H6364" t="s">
        <v>220</v>
      </c>
      <c r="I6364" t="s">
        <v>241</v>
      </c>
      <c r="J6364" t="s">
        <v>258</v>
      </c>
      <c r="K6364" t="s">
        <v>270</v>
      </c>
      <c r="AK6364" t="s">
        <v>363</v>
      </c>
    </row>
    <row r="6365" spans="1:37">
      <c r="B6365" t="s">
        <v>72</v>
      </c>
      <c r="C6365" t="s">
        <v>72</v>
      </c>
      <c r="D6365" t="s">
        <v>72</v>
      </c>
      <c r="E6365" t="s">
        <v>139</v>
      </c>
      <c r="F6365" t="s">
        <v>139</v>
      </c>
      <c r="G6365" t="s">
        <v>192</v>
      </c>
      <c r="H6365" t="s">
        <v>192</v>
      </c>
      <c r="I6365" t="s">
        <v>192</v>
      </c>
      <c r="J6365" t="s">
        <v>192</v>
      </c>
      <c r="K6365" t="s">
        <v>271</v>
      </c>
      <c r="AK6365" t="s">
        <v>363</v>
      </c>
    </row>
    <row r="6366" spans="1:37">
      <c r="A6366" t="s">
        <v>37</v>
      </c>
      <c r="B6366" t="s">
        <v>49</v>
      </c>
      <c r="C6366" t="s">
        <v>73</v>
      </c>
      <c r="D6366" t="s">
        <v>94</v>
      </c>
      <c r="E6366" t="s">
        <v>112</v>
      </c>
      <c r="F6366" t="s">
        <v>146</v>
      </c>
      <c r="G6366" t="s">
        <v>172</v>
      </c>
      <c r="H6366" t="s">
        <v>207</v>
      </c>
      <c r="I6366" t="s">
        <v>226</v>
      </c>
      <c r="J6366" t="s">
        <v>246</v>
      </c>
      <c r="K6366" t="s">
        <v>259</v>
      </c>
      <c r="AK6366" t="s">
        <v>363</v>
      </c>
    </row>
    <row r="6367" spans="1:37">
      <c r="A6367" t="s">
        <v>38</v>
      </c>
      <c r="B6367" t="s">
        <v>50</v>
      </c>
      <c r="C6367" t="s">
        <v>74</v>
      </c>
      <c r="D6367" t="s">
        <v>95</v>
      </c>
      <c r="E6367" t="s">
        <v>113</v>
      </c>
      <c r="F6367" t="s">
        <v>147</v>
      </c>
      <c r="G6367" t="s">
        <v>173</v>
      </c>
      <c r="H6367" t="s">
        <v>208</v>
      </c>
      <c r="I6367" t="s">
        <v>227</v>
      </c>
      <c r="J6367" t="s">
        <v>115</v>
      </c>
      <c r="K6367" t="s">
        <v>260</v>
      </c>
      <c r="L6367" t="s">
        <v>273</v>
      </c>
      <c r="M6367" t="s">
        <v>282</v>
      </c>
      <c r="N6367" t="s">
        <v>291</v>
      </c>
      <c r="AK6367" t="s">
        <v>363</v>
      </c>
    </row>
    <row r="6368" spans="1:37">
      <c r="B6368" t="s">
        <v>51</v>
      </c>
      <c r="C6368" t="s">
        <v>75</v>
      </c>
      <c r="D6368" t="s">
        <v>52</v>
      </c>
      <c r="E6368" t="s">
        <v>114</v>
      </c>
      <c r="F6368" t="s">
        <v>148</v>
      </c>
      <c r="G6368" t="s">
        <v>148</v>
      </c>
      <c r="H6368" t="s">
        <v>209</v>
      </c>
      <c r="I6368" t="s">
        <v>228</v>
      </c>
      <c r="J6368" t="s">
        <v>247</v>
      </c>
      <c r="K6368" t="s">
        <v>261</v>
      </c>
      <c r="L6368" t="s">
        <v>274</v>
      </c>
      <c r="M6368" t="s">
        <v>283</v>
      </c>
      <c r="N6368" t="s">
        <v>292</v>
      </c>
      <c r="O6368" t="s">
        <v>300</v>
      </c>
      <c r="AK6368" t="s">
        <v>363</v>
      </c>
    </row>
    <row r="6369" spans="1:37">
      <c r="B6369" t="s">
        <v>52</v>
      </c>
      <c r="C6369" t="s">
        <v>76</v>
      </c>
      <c r="D6369" t="s">
        <v>96</v>
      </c>
      <c r="E6369" t="s">
        <v>115</v>
      </c>
      <c r="F6369" t="s">
        <v>149</v>
      </c>
      <c r="G6369" t="s">
        <v>174</v>
      </c>
      <c r="H6369" t="s">
        <v>96</v>
      </c>
      <c r="I6369" t="s">
        <v>229</v>
      </c>
      <c r="J6369" t="s">
        <v>248</v>
      </c>
      <c r="K6369" t="s">
        <v>262</v>
      </c>
      <c r="L6369" t="s">
        <v>52</v>
      </c>
      <c r="M6369" t="s">
        <v>76</v>
      </c>
      <c r="N6369" t="s">
        <v>293</v>
      </c>
      <c r="O6369" t="s">
        <v>301</v>
      </c>
      <c r="P6369" t="s">
        <v>309</v>
      </c>
      <c r="Q6369" t="s">
        <v>315</v>
      </c>
      <c r="R6369" t="s">
        <v>228</v>
      </c>
      <c r="S6369" t="s">
        <v>328</v>
      </c>
      <c r="T6369" t="s">
        <v>149</v>
      </c>
      <c r="U6369" t="s">
        <v>337</v>
      </c>
      <c r="V6369" t="s">
        <v>341</v>
      </c>
      <c r="W6369" t="s">
        <v>345</v>
      </c>
      <c r="X6369" t="s">
        <v>350</v>
      </c>
      <c r="AK6369" t="s">
        <v>363</v>
      </c>
    </row>
    <row r="6370" spans="1:37">
      <c r="B6370" t="s">
        <v>53</v>
      </c>
      <c r="C6370" t="s">
        <v>77</v>
      </c>
      <c r="D6370" t="s">
        <v>97</v>
      </c>
      <c r="E6370" t="s">
        <v>116</v>
      </c>
      <c r="F6370" t="s">
        <v>150</v>
      </c>
      <c r="G6370" t="s">
        <v>175</v>
      </c>
      <c r="H6370" t="s">
        <v>210</v>
      </c>
      <c r="I6370" t="s">
        <v>230</v>
      </c>
      <c r="J6370" t="s">
        <v>249</v>
      </c>
      <c r="K6370" t="s">
        <v>263</v>
      </c>
      <c r="L6370" t="s">
        <v>275</v>
      </c>
      <c r="M6370" t="s">
        <v>284</v>
      </c>
      <c r="N6370" t="s">
        <v>294</v>
      </c>
      <c r="O6370" t="s">
        <v>302</v>
      </c>
      <c r="P6370" t="s">
        <v>310</v>
      </c>
      <c r="Q6370" t="s">
        <v>316</v>
      </c>
      <c r="R6370" t="s">
        <v>322</v>
      </c>
      <c r="S6370" t="s">
        <v>329</v>
      </c>
      <c r="AK6370" t="s">
        <v>363</v>
      </c>
    </row>
    <row r="6371" spans="1:37">
      <c r="A6371" t="s">
        <v>39</v>
      </c>
      <c r="B6371" t="s">
        <v>54</v>
      </c>
      <c r="C6371" t="s">
        <v>54</v>
      </c>
      <c r="D6371" t="s">
        <v>54</v>
      </c>
      <c r="E6371" t="s">
        <v>54</v>
      </c>
      <c r="F6371" t="s">
        <v>54</v>
      </c>
      <c r="G6371" t="s">
        <v>54</v>
      </c>
      <c r="H6371" t="s">
        <v>54</v>
      </c>
      <c r="I6371" t="s">
        <v>54</v>
      </c>
      <c r="J6371" t="s">
        <v>54</v>
      </c>
      <c r="K6371" t="s">
        <v>54</v>
      </c>
      <c r="L6371" t="s">
        <v>54</v>
      </c>
      <c r="M6371" t="s">
        <v>54</v>
      </c>
      <c r="N6371" t="s">
        <v>54</v>
      </c>
      <c r="O6371" t="s">
        <v>54</v>
      </c>
      <c r="P6371" t="s">
        <v>54</v>
      </c>
      <c r="Q6371" t="s">
        <v>54</v>
      </c>
      <c r="R6371" t="s">
        <v>323</v>
      </c>
      <c r="S6371" t="s">
        <v>330</v>
      </c>
      <c r="AK6371" t="s">
        <v>363</v>
      </c>
    </row>
    <row r="6372" spans="1:37">
      <c r="B6372" t="s">
        <v>55</v>
      </c>
      <c r="C6372" t="s">
        <v>78</v>
      </c>
      <c r="D6372" t="s">
        <v>55</v>
      </c>
      <c r="E6372" t="s">
        <v>78</v>
      </c>
      <c r="F6372" t="s">
        <v>55</v>
      </c>
      <c r="G6372" t="s">
        <v>78</v>
      </c>
      <c r="H6372" t="s">
        <v>55</v>
      </c>
      <c r="I6372" t="s">
        <v>78</v>
      </c>
      <c r="J6372" t="s">
        <v>55</v>
      </c>
      <c r="K6372" t="s">
        <v>78</v>
      </c>
      <c r="L6372" t="s">
        <v>55</v>
      </c>
      <c r="M6372" t="s">
        <v>78</v>
      </c>
      <c r="N6372" t="s">
        <v>55</v>
      </c>
      <c r="O6372" t="s">
        <v>78</v>
      </c>
      <c r="P6372" t="s">
        <v>55</v>
      </c>
      <c r="Q6372" t="s">
        <v>78</v>
      </c>
      <c r="R6372" t="s">
        <v>55</v>
      </c>
      <c r="S6372" t="s">
        <v>78</v>
      </c>
      <c r="T6372" t="s">
        <v>55</v>
      </c>
      <c r="U6372" t="s">
        <v>78</v>
      </c>
      <c r="V6372" t="s">
        <v>55</v>
      </c>
      <c r="W6372" t="s">
        <v>78</v>
      </c>
      <c r="X6372" t="s">
        <v>55</v>
      </c>
      <c r="Y6372" t="s">
        <v>78</v>
      </c>
      <c r="Z6372" t="s">
        <v>55</v>
      </c>
      <c r="AA6372" t="s">
        <v>78</v>
      </c>
      <c r="AB6372" t="s">
        <v>55</v>
      </c>
      <c r="AC6372" t="s">
        <v>78</v>
      </c>
      <c r="AD6372" t="s">
        <v>55</v>
      </c>
      <c r="AE6372" t="s">
        <v>78</v>
      </c>
      <c r="AF6372" t="s">
        <v>55</v>
      </c>
      <c r="AG6372" t="s">
        <v>78</v>
      </c>
      <c r="AH6372" t="s">
        <v>55</v>
      </c>
      <c r="AI6372" t="s">
        <v>78</v>
      </c>
      <c r="AK6372" t="s">
        <v>363</v>
      </c>
    </row>
    <row r="6373" spans="1:37">
      <c r="B6373" t="s">
        <v>56</v>
      </c>
      <c r="C6373" t="s">
        <v>56</v>
      </c>
      <c r="D6373" t="s">
        <v>56</v>
      </c>
      <c r="E6373" t="s">
        <v>56</v>
      </c>
      <c r="F6373" t="s">
        <v>56</v>
      </c>
      <c r="G6373" t="s">
        <v>176</v>
      </c>
      <c r="H6373" t="s">
        <v>211</v>
      </c>
      <c r="I6373" t="s">
        <v>231</v>
      </c>
      <c r="J6373" t="s">
        <v>250</v>
      </c>
      <c r="K6373" t="s">
        <v>264</v>
      </c>
      <c r="L6373" t="s">
        <v>276</v>
      </c>
      <c r="M6373" t="s">
        <v>285</v>
      </c>
      <c r="N6373" t="s">
        <v>295</v>
      </c>
      <c r="O6373" t="s">
        <v>303</v>
      </c>
      <c r="P6373" t="s">
        <v>56</v>
      </c>
      <c r="Q6373" t="s">
        <v>317</v>
      </c>
      <c r="R6373" t="s">
        <v>324</v>
      </c>
      <c r="S6373" t="s">
        <v>331</v>
      </c>
      <c r="T6373" t="s">
        <v>334</v>
      </c>
      <c r="U6373" t="s">
        <v>338</v>
      </c>
      <c r="V6373" t="s">
        <v>342</v>
      </c>
      <c r="W6373" t="s">
        <v>346</v>
      </c>
      <c r="X6373" t="s">
        <v>351</v>
      </c>
      <c r="AK6373" t="s">
        <v>363</v>
      </c>
    </row>
    <row r="6374" spans="1:37">
      <c r="B6374" t="s">
        <v>57</v>
      </c>
      <c r="C6374" t="s">
        <v>79</v>
      </c>
      <c r="D6374" t="s">
        <v>98</v>
      </c>
      <c r="E6374" t="s">
        <v>117</v>
      </c>
      <c r="F6374" t="s">
        <v>151</v>
      </c>
      <c r="G6374" t="s">
        <v>177</v>
      </c>
      <c r="H6374" t="s">
        <v>212</v>
      </c>
      <c r="I6374" t="s">
        <v>232</v>
      </c>
      <c r="J6374" t="s">
        <v>251</v>
      </c>
      <c r="K6374" t="s">
        <v>265</v>
      </c>
      <c r="L6374" t="s">
        <v>277</v>
      </c>
      <c r="M6374" t="s">
        <v>286</v>
      </c>
      <c r="N6374" t="s">
        <v>296</v>
      </c>
      <c r="O6374" t="s">
        <v>304</v>
      </c>
      <c r="P6374" t="s">
        <v>311</v>
      </c>
      <c r="Q6374" t="s">
        <v>318</v>
      </c>
      <c r="R6374" t="s">
        <v>185</v>
      </c>
      <c r="S6374" t="s">
        <v>159</v>
      </c>
      <c r="T6374" t="s">
        <v>185</v>
      </c>
      <c r="U6374" t="s">
        <v>339</v>
      </c>
      <c r="V6374" t="s">
        <v>72</v>
      </c>
      <c r="W6374" t="s">
        <v>347</v>
      </c>
      <c r="X6374" t="s">
        <v>72</v>
      </c>
      <c r="Y6374" t="s">
        <v>96</v>
      </c>
      <c r="AK6374" t="s">
        <v>363</v>
      </c>
    </row>
    <row r="6375" spans="1:37">
      <c r="B6375" t="s">
        <v>58</v>
      </c>
      <c r="C6375" t="s">
        <v>80</v>
      </c>
      <c r="D6375" t="s">
        <v>99</v>
      </c>
      <c r="E6375" t="s">
        <v>118</v>
      </c>
      <c r="F6375" t="s">
        <v>152</v>
      </c>
      <c r="G6375" t="s">
        <v>178</v>
      </c>
      <c r="H6375" t="s">
        <v>213</v>
      </c>
      <c r="I6375" t="s">
        <v>233</v>
      </c>
      <c r="J6375" t="s">
        <v>252</v>
      </c>
      <c r="K6375" t="s">
        <v>266</v>
      </c>
      <c r="L6375" t="s">
        <v>278</v>
      </c>
      <c r="M6375" t="s">
        <v>287</v>
      </c>
      <c r="N6375" t="s">
        <v>297</v>
      </c>
      <c r="O6375" t="s">
        <v>305</v>
      </c>
      <c r="P6375" t="s">
        <v>312</v>
      </c>
      <c r="Q6375" t="s">
        <v>319</v>
      </c>
      <c r="R6375">
        <f>&gt;10       ветра      2.6     19  15</f>
        <v>0</v>
      </c>
      <c r="AK6375" t="s">
        <v>363</v>
      </c>
    </row>
    <row r="6376" spans="1:37">
      <c r="A6376" t="s">
        <v>40</v>
      </c>
      <c r="B6376" t="s">
        <v>59</v>
      </c>
      <c r="C6376" t="s">
        <v>81</v>
      </c>
      <c r="D6376" t="s">
        <v>100</v>
      </c>
      <c r="E6376" t="s">
        <v>119</v>
      </c>
      <c r="F6376" t="s">
        <v>153</v>
      </c>
      <c r="G6376" t="s">
        <v>179</v>
      </c>
      <c r="H6376" t="s">
        <v>214</v>
      </c>
      <c r="I6376" t="s">
        <v>234</v>
      </c>
      <c r="AK6376" t="s">
        <v>363</v>
      </c>
    </row>
    <row r="6377" spans="1:37">
      <c r="A6377" t="s">
        <v>40</v>
      </c>
      <c r="B6377" t="s">
        <v>60</v>
      </c>
      <c r="C6377" t="s">
        <v>82</v>
      </c>
      <c r="D6377" t="s">
        <v>101</v>
      </c>
      <c r="E6377" t="s">
        <v>120</v>
      </c>
      <c r="F6377" t="s">
        <v>154</v>
      </c>
      <c r="G6377" t="s">
        <v>180</v>
      </c>
      <c r="H6377" t="s">
        <v>215</v>
      </c>
      <c r="I6377" t="s">
        <v>235</v>
      </c>
      <c r="J6377" t="s">
        <v>253</v>
      </c>
      <c r="K6377" t="s">
        <v>267</v>
      </c>
      <c r="L6377" t="s">
        <v>279</v>
      </c>
      <c r="M6377" t="s">
        <v>288</v>
      </c>
      <c r="N6377" t="s">
        <v>100</v>
      </c>
      <c r="O6377" t="s">
        <v>306</v>
      </c>
      <c r="P6377" t="s">
        <v>313</v>
      </c>
      <c r="Q6377" t="s">
        <v>320</v>
      </c>
      <c r="R6377" t="s">
        <v>325</v>
      </c>
      <c r="S6377" t="s">
        <v>332</v>
      </c>
      <c r="T6377" t="s">
        <v>119</v>
      </c>
      <c r="U6377" t="s">
        <v>234</v>
      </c>
      <c r="V6377" t="s">
        <v>343</v>
      </c>
      <c r="W6377" t="s">
        <v>348</v>
      </c>
      <c r="X6377" t="s">
        <v>352</v>
      </c>
      <c r="Y6377" t="s">
        <v>354</v>
      </c>
      <c r="AK6377" t="s">
        <v>363</v>
      </c>
    </row>
    <row r="6378" spans="1:37">
      <c r="A6378" t="s">
        <v>41</v>
      </c>
      <c r="B6378" t="s">
        <v>61</v>
      </c>
      <c r="C6378" t="s">
        <v>83</v>
      </c>
      <c r="D6378" t="s">
        <v>102</v>
      </c>
      <c r="E6378" t="s">
        <v>121</v>
      </c>
      <c r="F6378" t="s">
        <v>155</v>
      </c>
      <c r="G6378" t="s">
        <v>181</v>
      </c>
      <c r="H6378" t="s">
        <v>216</v>
      </c>
      <c r="I6378" t="s">
        <v>236</v>
      </c>
      <c r="AK6378" t="s">
        <v>363</v>
      </c>
    </row>
    <row r="6379" spans="1:37">
      <c r="A6379" t="s">
        <v>42</v>
      </c>
      <c r="B6379" t="s">
        <v>62</v>
      </c>
      <c r="C6379" t="s">
        <v>84</v>
      </c>
      <c r="D6379" t="s">
        <v>103</v>
      </c>
      <c r="E6379" t="s">
        <v>122</v>
      </c>
      <c r="F6379" t="s">
        <v>156</v>
      </c>
      <c r="G6379" t="s">
        <v>182</v>
      </c>
      <c r="H6379" t="s">
        <v>83</v>
      </c>
      <c r="I6379" t="s">
        <v>237</v>
      </c>
      <c r="J6379" t="s">
        <v>254</v>
      </c>
      <c r="K6379" t="s">
        <v>268</v>
      </c>
      <c r="L6379" t="s">
        <v>280</v>
      </c>
      <c r="M6379" t="s">
        <v>289</v>
      </c>
      <c r="N6379" t="s">
        <v>298</v>
      </c>
      <c r="O6379" t="s">
        <v>307</v>
      </c>
      <c r="P6379" t="s">
        <v>314</v>
      </c>
      <c r="Q6379" t="s">
        <v>216</v>
      </c>
      <c r="R6379" t="s">
        <v>326</v>
      </c>
      <c r="S6379" t="s">
        <v>333</v>
      </c>
      <c r="T6379" t="s">
        <v>335</v>
      </c>
      <c r="U6379" t="s">
        <v>340</v>
      </c>
      <c r="V6379" t="s">
        <v>344</v>
      </c>
      <c r="W6379" t="s">
        <v>349</v>
      </c>
      <c r="AK6379" t="s">
        <v>363</v>
      </c>
    </row>
    <row r="6380" spans="1:37">
      <c r="A6380" t="s">
        <v>43</v>
      </c>
      <c r="B6380" t="s">
        <v>63</v>
      </c>
      <c r="C6380" t="s">
        <v>85</v>
      </c>
      <c r="D6380" t="s">
        <v>104</v>
      </c>
      <c r="E6380" t="s">
        <v>123</v>
      </c>
      <c r="F6380" t="s">
        <v>157</v>
      </c>
      <c r="G6380" t="s">
        <v>183</v>
      </c>
      <c r="AK6380" t="s">
        <v>363</v>
      </c>
    </row>
    <row r="6381" spans="1:37">
      <c r="A6381" t="s">
        <v>44</v>
      </c>
      <c r="B6381" t="s">
        <v>64</v>
      </c>
      <c r="C6381" t="s">
        <v>86</v>
      </c>
      <c r="D6381" t="s">
        <v>105</v>
      </c>
      <c r="E6381" t="s">
        <v>124</v>
      </c>
      <c r="F6381" t="s">
        <v>158</v>
      </c>
      <c r="G6381" t="s">
        <v>184</v>
      </c>
      <c r="AK6381" t="s">
        <v>363</v>
      </c>
    </row>
    <row r="6382" spans="1:37">
      <c r="A6382" t="s">
        <v>45</v>
      </c>
      <c r="B6382" t="s">
        <v>65</v>
      </c>
      <c r="C6382" t="s">
        <v>87</v>
      </c>
      <c r="D6382" t="s">
        <v>106</v>
      </c>
      <c r="E6382" t="s">
        <v>125</v>
      </c>
      <c r="F6382" t="s">
        <v>159</v>
      </c>
      <c r="G6382" t="s">
        <v>185</v>
      </c>
      <c r="H6382" t="s">
        <v>159</v>
      </c>
      <c r="I6382" t="s">
        <v>185</v>
      </c>
      <c r="J6382" t="s">
        <v>255</v>
      </c>
      <c r="AK6382" t="s">
        <v>363</v>
      </c>
    </row>
    <row r="6383" spans="1:37">
      <c r="A6383" t="s">
        <v>46</v>
      </c>
      <c r="B6383" t="s">
        <v>66</v>
      </c>
      <c r="C6383" t="s">
        <v>88</v>
      </c>
      <c r="D6383" t="s">
        <v>76</v>
      </c>
      <c r="E6383" t="s">
        <v>126</v>
      </c>
      <c r="F6383" t="s">
        <v>160</v>
      </c>
      <c r="G6383" t="s">
        <v>186</v>
      </c>
      <c r="H6383" t="s">
        <v>217</v>
      </c>
      <c r="I6383" t="s">
        <v>238</v>
      </c>
      <c r="J6383" t="s">
        <v>256</v>
      </c>
      <c r="K6383" t="s">
        <v>265</v>
      </c>
      <c r="L6383" t="s">
        <v>281</v>
      </c>
      <c r="M6383" t="s">
        <v>290</v>
      </c>
      <c r="N6383" t="s">
        <v>299</v>
      </c>
      <c r="O6383" t="s">
        <v>308</v>
      </c>
      <c r="P6383" t="s">
        <v>228</v>
      </c>
      <c r="Q6383" t="s">
        <v>72</v>
      </c>
      <c r="R6383" t="s">
        <v>327</v>
      </c>
      <c r="S6383" t="s">
        <v>327</v>
      </c>
      <c r="T6383" t="s">
        <v>336</v>
      </c>
      <c r="U6383" t="s">
        <v>336</v>
      </c>
      <c r="V6383" t="s">
        <v>336</v>
      </c>
      <c r="W6383" t="s">
        <v>336</v>
      </c>
      <c r="X6383" t="s">
        <v>353</v>
      </c>
      <c r="AK6383" t="s">
        <v>363</v>
      </c>
    </row>
    <row r="6384" spans="1:37">
      <c r="B6384" t="s">
        <v>67</v>
      </c>
      <c r="C6384" t="s">
        <v>89</v>
      </c>
      <c r="D6384" t="s">
        <v>107</v>
      </c>
      <c r="AK6384" t="s">
        <v>363</v>
      </c>
    </row>
    <row r="6385" spans="1:37">
      <c r="B6385" t="s">
        <v>68</v>
      </c>
      <c r="C6385" t="s">
        <v>90</v>
      </c>
      <c r="D6385" t="s">
        <v>108</v>
      </c>
      <c r="AK6385" t="s">
        <v>363</v>
      </c>
    </row>
    <row r="6386" spans="1:37">
      <c r="A6386" t="s">
        <v>47</v>
      </c>
      <c r="B6386" t="s">
        <v>69</v>
      </c>
      <c r="C6386" t="s">
        <v>91</v>
      </c>
      <c r="D6386" t="s">
        <v>109</v>
      </c>
      <c r="E6386" t="s">
        <v>109</v>
      </c>
      <c r="F6386" t="s">
        <v>109</v>
      </c>
      <c r="G6386" t="s">
        <v>109</v>
      </c>
      <c r="H6386" t="s">
        <v>109</v>
      </c>
      <c r="I6386" t="s">
        <v>239</v>
      </c>
      <c r="AK6386" t="s">
        <v>363</v>
      </c>
    </row>
    <row r="6387" spans="1:37">
      <c r="B6387" t="s">
        <v>70</v>
      </c>
      <c r="C6387" t="s">
        <v>92</v>
      </c>
      <c r="D6387" t="s">
        <v>110</v>
      </c>
      <c r="E6387" t="s">
        <v>127</v>
      </c>
      <c r="F6387" t="s">
        <v>161</v>
      </c>
      <c r="G6387" t="s">
        <v>187</v>
      </c>
      <c r="H6387" t="s">
        <v>218</v>
      </c>
      <c r="AK6387" t="s">
        <v>363</v>
      </c>
    </row>
    <row r="6388" spans="1:37">
      <c r="B6388" t="s">
        <v>71</v>
      </c>
      <c r="C6388" t="s">
        <v>93</v>
      </c>
      <c r="D6388" t="s">
        <v>111</v>
      </c>
      <c r="E6388" t="s">
        <v>128</v>
      </c>
      <c r="F6388" t="s">
        <v>162</v>
      </c>
      <c r="G6388" t="s">
        <v>188</v>
      </c>
      <c r="H6388" t="s">
        <v>219</v>
      </c>
      <c r="I6388" t="s">
        <v>240</v>
      </c>
      <c r="J6388" t="s">
        <v>257</v>
      </c>
      <c r="K6388" t="s">
        <v>269</v>
      </c>
      <c r="L6388" t="s">
        <v>109</v>
      </c>
      <c r="M6388" t="s">
        <v>109</v>
      </c>
      <c r="N6388" t="s">
        <v>109</v>
      </c>
      <c r="O6388" t="s">
        <v>109</v>
      </c>
      <c r="P6388" t="s">
        <v>109</v>
      </c>
      <c r="Q6388" t="s">
        <v>321</v>
      </c>
      <c r="AK6388" t="s">
        <v>363</v>
      </c>
    </row>
    <row r="6389" spans="1:37">
      <c r="A6389" t="s">
        <v>48</v>
      </c>
      <c r="B6389" t="s">
        <v>71</v>
      </c>
      <c r="C6389" t="s">
        <v>93</v>
      </c>
      <c r="D6389" t="s">
        <v>111</v>
      </c>
      <c r="E6389" t="s">
        <v>128</v>
      </c>
      <c r="F6389" t="s">
        <v>163</v>
      </c>
      <c r="G6389" t="s">
        <v>189</v>
      </c>
      <c r="H6389" t="s">
        <v>220</v>
      </c>
      <c r="I6389" t="s">
        <v>241</v>
      </c>
      <c r="J6389" t="s">
        <v>258</v>
      </c>
      <c r="K6389" t="s">
        <v>270</v>
      </c>
      <c r="AK6389" t="s">
        <v>363</v>
      </c>
    </row>
    <row r="6390" spans="1:37">
      <c r="B6390" t="s">
        <v>72</v>
      </c>
      <c r="C6390" t="s">
        <v>72</v>
      </c>
      <c r="D6390" t="s">
        <v>72</v>
      </c>
      <c r="E6390" t="s">
        <v>72</v>
      </c>
      <c r="F6390" t="s">
        <v>72</v>
      </c>
      <c r="G6390" t="s">
        <v>72</v>
      </c>
      <c r="H6390" t="s">
        <v>72</v>
      </c>
      <c r="I6390" t="s">
        <v>72</v>
      </c>
      <c r="J6390" t="s">
        <v>72</v>
      </c>
      <c r="K6390" t="s">
        <v>272</v>
      </c>
      <c r="AK6390" t="s">
        <v>363</v>
      </c>
    </row>
    <row r="6391" spans="1:37">
      <c r="A6391" t="s">
        <v>37</v>
      </c>
      <c r="B6391" t="s">
        <v>49</v>
      </c>
      <c r="C6391" t="s">
        <v>73</v>
      </c>
      <c r="D6391" t="s">
        <v>94</v>
      </c>
      <c r="E6391" t="s">
        <v>112</v>
      </c>
      <c r="F6391" t="s">
        <v>146</v>
      </c>
      <c r="G6391" t="s">
        <v>172</v>
      </c>
      <c r="H6391" t="s">
        <v>207</v>
      </c>
      <c r="I6391" t="s">
        <v>226</v>
      </c>
      <c r="J6391" t="s">
        <v>246</v>
      </c>
      <c r="K6391" t="s">
        <v>259</v>
      </c>
      <c r="AK6391" t="s">
        <v>363</v>
      </c>
    </row>
    <row r="6392" spans="1:37">
      <c r="A6392" t="s">
        <v>38</v>
      </c>
      <c r="B6392" t="s">
        <v>50</v>
      </c>
      <c r="C6392" t="s">
        <v>74</v>
      </c>
      <c r="D6392" t="s">
        <v>95</v>
      </c>
      <c r="E6392" t="s">
        <v>113</v>
      </c>
      <c r="F6392" t="s">
        <v>147</v>
      </c>
      <c r="G6392" t="s">
        <v>173</v>
      </c>
      <c r="H6392" t="s">
        <v>208</v>
      </c>
      <c r="I6392" t="s">
        <v>227</v>
      </c>
      <c r="J6392" t="s">
        <v>115</v>
      </c>
      <c r="K6392" t="s">
        <v>260</v>
      </c>
      <c r="L6392" t="s">
        <v>273</v>
      </c>
      <c r="M6392" t="s">
        <v>282</v>
      </c>
      <c r="N6392" t="s">
        <v>291</v>
      </c>
      <c r="AK6392" t="s">
        <v>363</v>
      </c>
    </row>
    <row r="6393" spans="1:37">
      <c r="B6393" t="s">
        <v>51</v>
      </c>
      <c r="C6393" t="s">
        <v>75</v>
      </c>
      <c r="D6393" t="s">
        <v>52</v>
      </c>
      <c r="E6393" t="s">
        <v>114</v>
      </c>
      <c r="F6393" t="s">
        <v>148</v>
      </c>
      <c r="G6393" t="s">
        <v>148</v>
      </c>
      <c r="H6393" t="s">
        <v>209</v>
      </c>
      <c r="I6393" t="s">
        <v>228</v>
      </c>
      <c r="J6393" t="s">
        <v>247</v>
      </c>
      <c r="K6393" t="s">
        <v>261</v>
      </c>
      <c r="L6393" t="s">
        <v>274</v>
      </c>
      <c r="M6393" t="s">
        <v>283</v>
      </c>
      <c r="N6393" t="s">
        <v>292</v>
      </c>
      <c r="O6393" t="s">
        <v>300</v>
      </c>
      <c r="AK6393" t="s">
        <v>363</v>
      </c>
    </row>
    <row r="6394" spans="1:37">
      <c r="B6394" t="s">
        <v>52</v>
      </c>
      <c r="C6394" t="s">
        <v>76</v>
      </c>
      <c r="D6394" t="s">
        <v>96</v>
      </c>
      <c r="E6394" t="s">
        <v>115</v>
      </c>
      <c r="F6394" t="s">
        <v>149</v>
      </c>
      <c r="G6394" t="s">
        <v>174</v>
      </c>
      <c r="H6394" t="s">
        <v>96</v>
      </c>
      <c r="I6394" t="s">
        <v>229</v>
      </c>
      <c r="J6394" t="s">
        <v>248</v>
      </c>
      <c r="K6394" t="s">
        <v>262</v>
      </c>
      <c r="L6394" t="s">
        <v>52</v>
      </c>
      <c r="M6394" t="s">
        <v>76</v>
      </c>
      <c r="N6394" t="s">
        <v>293</v>
      </c>
      <c r="O6394" t="s">
        <v>301</v>
      </c>
      <c r="P6394" t="s">
        <v>309</v>
      </c>
      <c r="Q6394" t="s">
        <v>315</v>
      </c>
      <c r="R6394" t="s">
        <v>228</v>
      </c>
      <c r="S6394" t="s">
        <v>328</v>
      </c>
      <c r="T6394" t="s">
        <v>149</v>
      </c>
      <c r="U6394" t="s">
        <v>337</v>
      </c>
      <c r="V6394" t="s">
        <v>341</v>
      </c>
      <c r="W6394" t="s">
        <v>345</v>
      </c>
      <c r="X6394" t="s">
        <v>350</v>
      </c>
      <c r="AK6394" t="s">
        <v>363</v>
      </c>
    </row>
    <row r="6395" spans="1:37">
      <c r="B6395" t="s">
        <v>53</v>
      </c>
      <c r="C6395" t="s">
        <v>77</v>
      </c>
      <c r="D6395" t="s">
        <v>97</v>
      </c>
      <c r="E6395" t="s">
        <v>116</v>
      </c>
      <c r="F6395" t="s">
        <v>150</v>
      </c>
      <c r="G6395" t="s">
        <v>175</v>
      </c>
      <c r="H6395" t="s">
        <v>210</v>
      </c>
      <c r="I6395" t="s">
        <v>230</v>
      </c>
      <c r="J6395" t="s">
        <v>249</v>
      </c>
      <c r="K6395" t="s">
        <v>263</v>
      </c>
      <c r="L6395" t="s">
        <v>275</v>
      </c>
      <c r="M6395" t="s">
        <v>284</v>
      </c>
      <c r="N6395" t="s">
        <v>294</v>
      </c>
      <c r="O6395" t="s">
        <v>302</v>
      </c>
      <c r="P6395" t="s">
        <v>310</v>
      </c>
      <c r="Q6395" t="s">
        <v>316</v>
      </c>
      <c r="R6395" t="s">
        <v>322</v>
      </c>
      <c r="S6395" t="s">
        <v>329</v>
      </c>
      <c r="AK6395" t="s">
        <v>363</v>
      </c>
    </row>
    <row r="6396" spans="1:37">
      <c r="A6396" t="s">
        <v>39</v>
      </c>
      <c r="B6396" t="s">
        <v>54</v>
      </c>
      <c r="C6396" t="s">
        <v>54</v>
      </c>
      <c r="D6396" t="s">
        <v>54</v>
      </c>
      <c r="E6396" t="s">
        <v>54</v>
      </c>
      <c r="F6396" t="s">
        <v>54</v>
      </c>
      <c r="G6396" t="s">
        <v>54</v>
      </c>
      <c r="H6396" t="s">
        <v>54</v>
      </c>
      <c r="I6396" t="s">
        <v>54</v>
      </c>
      <c r="J6396" t="s">
        <v>54</v>
      </c>
      <c r="K6396" t="s">
        <v>54</v>
      </c>
      <c r="L6396" t="s">
        <v>54</v>
      </c>
      <c r="M6396" t="s">
        <v>54</v>
      </c>
      <c r="N6396" t="s">
        <v>54</v>
      </c>
      <c r="O6396" t="s">
        <v>54</v>
      </c>
      <c r="P6396" t="s">
        <v>54</v>
      </c>
      <c r="Q6396" t="s">
        <v>54</v>
      </c>
      <c r="R6396" t="s">
        <v>323</v>
      </c>
      <c r="S6396" t="s">
        <v>330</v>
      </c>
      <c r="AK6396" t="s">
        <v>363</v>
      </c>
    </row>
    <row r="6397" spans="1:37">
      <c r="B6397" t="s">
        <v>55</v>
      </c>
      <c r="C6397" t="s">
        <v>78</v>
      </c>
      <c r="D6397" t="s">
        <v>55</v>
      </c>
      <c r="E6397" t="s">
        <v>78</v>
      </c>
      <c r="F6397" t="s">
        <v>55</v>
      </c>
      <c r="G6397" t="s">
        <v>78</v>
      </c>
      <c r="H6397" t="s">
        <v>55</v>
      </c>
      <c r="I6397" t="s">
        <v>78</v>
      </c>
      <c r="J6397" t="s">
        <v>55</v>
      </c>
      <c r="K6397" t="s">
        <v>78</v>
      </c>
      <c r="L6397" t="s">
        <v>55</v>
      </c>
      <c r="M6397" t="s">
        <v>78</v>
      </c>
      <c r="N6397" t="s">
        <v>55</v>
      </c>
      <c r="O6397" t="s">
        <v>78</v>
      </c>
      <c r="P6397" t="s">
        <v>55</v>
      </c>
      <c r="Q6397" t="s">
        <v>78</v>
      </c>
      <c r="R6397" t="s">
        <v>55</v>
      </c>
      <c r="S6397" t="s">
        <v>78</v>
      </c>
      <c r="T6397" t="s">
        <v>55</v>
      </c>
      <c r="U6397" t="s">
        <v>78</v>
      </c>
      <c r="V6397" t="s">
        <v>55</v>
      </c>
      <c r="W6397" t="s">
        <v>78</v>
      </c>
      <c r="X6397" t="s">
        <v>55</v>
      </c>
      <c r="Y6397" t="s">
        <v>78</v>
      </c>
      <c r="Z6397" t="s">
        <v>55</v>
      </c>
      <c r="AA6397" t="s">
        <v>78</v>
      </c>
      <c r="AB6397" t="s">
        <v>55</v>
      </c>
      <c r="AC6397" t="s">
        <v>78</v>
      </c>
      <c r="AD6397" t="s">
        <v>55</v>
      </c>
      <c r="AE6397" t="s">
        <v>78</v>
      </c>
      <c r="AF6397" t="s">
        <v>55</v>
      </c>
      <c r="AG6397" t="s">
        <v>78</v>
      </c>
      <c r="AH6397" t="s">
        <v>55</v>
      </c>
      <c r="AI6397" t="s">
        <v>78</v>
      </c>
      <c r="AK6397" t="s">
        <v>363</v>
      </c>
    </row>
    <row r="6398" spans="1:37">
      <c r="B6398" t="s">
        <v>56</v>
      </c>
      <c r="C6398" t="s">
        <v>56</v>
      </c>
      <c r="D6398" t="s">
        <v>56</v>
      </c>
      <c r="E6398" t="s">
        <v>56</v>
      </c>
      <c r="F6398" t="s">
        <v>56</v>
      </c>
      <c r="G6398" t="s">
        <v>176</v>
      </c>
      <c r="H6398" t="s">
        <v>211</v>
      </c>
      <c r="I6398" t="s">
        <v>231</v>
      </c>
      <c r="J6398" t="s">
        <v>250</v>
      </c>
      <c r="K6398" t="s">
        <v>264</v>
      </c>
      <c r="L6398" t="s">
        <v>276</v>
      </c>
      <c r="M6398" t="s">
        <v>285</v>
      </c>
      <c r="N6398" t="s">
        <v>295</v>
      </c>
      <c r="O6398" t="s">
        <v>303</v>
      </c>
      <c r="P6398" t="s">
        <v>56</v>
      </c>
      <c r="Q6398" t="s">
        <v>317</v>
      </c>
      <c r="R6398" t="s">
        <v>324</v>
      </c>
      <c r="S6398" t="s">
        <v>331</v>
      </c>
      <c r="T6398" t="s">
        <v>334</v>
      </c>
      <c r="U6398" t="s">
        <v>338</v>
      </c>
      <c r="V6398" t="s">
        <v>342</v>
      </c>
      <c r="W6398" t="s">
        <v>346</v>
      </c>
      <c r="X6398" t="s">
        <v>351</v>
      </c>
      <c r="AK6398" t="s">
        <v>363</v>
      </c>
    </row>
    <row r="6399" spans="1:37">
      <c r="B6399" t="s">
        <v>57</v>
      </c>
      <c r="C6399" t="s">
        <v>79</v>
      </c>
      <c r="D6399" t="s">
        <v>98</v>
      </c>
      <c r="E6399" t="s">
        <v>117</v>
      </c>
      <c r="F6399" t="s">
        <v>151</v>
      </c>
      <c r="G6399" t="s">
        <v>177</v>
      </c>
      <c r="H6399" t="s">
        <v>212</v>
      </c>
      <c r="I6399" t="s">
        <v>232</v>
      </c>
      <c r="J6399" t="s">
        <v>251</v>
      </c>
      <c r="K6399" t="s">
        <v>265</v>
      </c>
      <c r="L6399" t="s">
        <v>277</v>
      </c>
      <c r="M6399" t="s">
        <v>286</v>
      </c>
      <c r="N6399" t="s">
        <v>296</v>
      </c>
      <c r="O6399" t="s">
        <v>304</v>
      </c>
      <c r="P6399" t="s">
        <v>311</v>
      </c>
      <c r="Q6399" t="s">
        <v>318</v>
      </c>
      <c r="R6399" t="s">
        <v>185</v>
      </c>
      <c r="S6399" t="s">
        <v>159</v>
      </c>
      <c r="T6399" t="s">
        <v>185</v>
      </c>
      <c r="U6399" t="s">
        <v>339</v>
      </c>
      <c r="V6399" t="s">
        <v>72</v>
      </c>
      <c r="W6399" t="s">
        <v>347</v>
      </c>
      <c r="X6399" t="s">
        <v>72</v>
      </c>
      <c r="Y6399" t="s">
        <v>96</v>
      </c>
      <c r="AK6399" t="s">
        <v>363</v>
      </c>
    </row>
    <row r="6400" spans="1:37">
      <c r="B6400" t="s">
        <v>58</v>
      </c>
      <c r="C6400" t="s">
        <v>80</v>
      </c>
      <c r="D6400" t="s">
        <v>99</v>
      </c>
      <c r="E6400" t="s">
        <v>118</v>
      </c>
      <c r="F6400" t="s">
        <v>152</v>
      </c>
      <c r="G6400" t="s">
        <v>178</v>
      </c>
      <c r="H6400" t="s">
        <v>213</v>
      </c>
      <c r="I6400" t="s">
        <v>233</v>
      </c>
      <c r="J6400" t="s">
        <v>252</v>
      </c>
      <c r="K6400" t="s">
        <v>266</v>
      </c>
      <c r="L6400" t="s">
        <v>278</v>
      </c>
      <c r="M6400" t="s">
        <v>287</v>
      </c>
      <c r="N6400" t="s">
        <v>297</v>
      </c>
      <c r="O6400" t="s">
        <v>305</v>
      </c>
      <c r="P6400" t="s">
        <v>312</v>
      </c>
      <c r="Q6400" t="s">
        <v>319</v>
      </c>
      <c r="R6400">
        <f>&gt;10       ветра      1.0     17   9 28</f>
        <v>0</v>
      </c>
      <c r="AK6400" t="s">
        <v>363</v>
      </c>
    </row>
    <row r="6401" spans="1:37">
      <c r="A6401" t="s">
        <v>40</v>
      </c>
      <c r="B6401" t="s">
        <v>59</v>
      </c>
      <c r="C6401" t="s">
        <v>81</v>
      </c>
      <c r="D6401" t="s">
        <v>100</v>
      </c>
      <c r="E6401" t="s">
        <v>119</v>
      </c>
      <c r="F6401" t="s">
        <v>153</v>
      </c>
      <c r="G6401" t="s">
        <v>179</v>
      </c>
      <c r="H6401" t="s">
        <v>214</v>
      </c>
      <c r="I6401" t="s">
        <v>234</v>
      </c>
      <c r="AK6401" t="s">
        <v>363</v>
      </c>
    </row>
    <row r="6402" spans="1:37">
      <c r="A6402" t="s">
        <v>40</v>
      </c>
      <c r="B6402" t="s">
        <v>60</v>
      </c>
      <c r="C6402" t="s">
        <v>82</v>
      </c>
      <c r="D6402" t="s">
        <v>101</v>
      </c>
      <c r="E6402" t="s">
        <v>120</v>
      </c>
      <c r="F6402" t="s">
        <v>154</v>
      </c>
      <c r="G6402" t="s">
        <v>180</v>
      </c>
      <c r="H6402" t="s">
        <v>215</v>
      </c>
      <c r="I6402" t="s">
        <v>235</v>
      </c>
      <c r="J6402" t="s">
        <v>253</v>
      </c>
      <c r="K6402" t="s">
        <v>267</v>
      </c>
      <c r="L6402" t="s">
        <v>279</v>
      </c>
      <c r="M6402" t="s">
        <v>288</v>
      </c>
      <c r="N6402" t="s">
        <v>100</v>
      </c>
      <c r="O6402" t="s">
        <v>306</v>
      </c>
      <c r="P6402" t="s">
        <v>313</v>
      </c>
      <c r="Q6402" t="s">
        <v>320</v>
      </c>
      <c r="R6402" t="s">
        <v>325</v>
      </c>
      <c r="S6402" t="s">
        <v>332</v>
      </c>
      <c r="T6402" t="s">
        <v>119</v>
      </c>
      <c r="U6402" t="s">
        <v>234</v>
      </c>
      <c r="V6402" t="s">
        <v>343</v>
      </c>
      <c r="W6402" t="s">
        <v>348</v>
      </c>
      <c r="X6402" t="s">
        <v>352</v>
      </c>
      <c r="Y6402" t="s">
        <v>354</v>
      </c>
      <c r="AK6402" t="s">
        <v>363</v>
      </c>
    </row>
    <row r="6403" spans="1:37">
      <c r="A6403" t="s">
        <v>41</v>
      </c>
      <c r="B6403" t="s">
        <v>61</v>
      </c>
      <c r="C6403" t="s">
        <v>83</v>
      </c>
      <c r="D6403" t="s">
        <v>102</v>
      </c>
      <c r="E6403" t="s">
        <v>121</v>
      </c>
      <c r="F6403" t="s">
        <v>155</v>
      </c>
      <c r="G6403" t="s">
        <v>181</v>
      </c>
      <c r="H6403" t="s">
        <v>216</v>
      </c>
      <c r="I6403" t="s">
        <v>236</v>
      </c>
      <c r="AK6403" t="s">
        <v>363</v>
      </c>
    </row>
    <row r="6404" spans="1:37">
      <c r="A6404" t="s">
        <v>42</v>
      </c>
      <c r="B6404" t="s">
        <v>62</v>
      </c>
      <c r="C6404" t="s">
        <v>84</v>
      </c>
      <c r="D6404" t="s">
        <v>103</v>
      </c>
      <c r="E6404" t="s">
        <v>122</v>
      </c>
      <c r="F6404" t="s">
        <v>156</v>
      </c>
      <c r="G6404" t="s">
        <v>182</v>
      </c>
      <c r="H6404" t="s">
        <v>83</v>
      </c>
      <c r="I6404" t="s">
        <v>237</v>
      </c>
      <c r="J6404" t="s">
        <v>254</v>
      </c>
      <c r="K6404" t="s">
        <v>268</v>
      </c>
      <c r="L6404" t="s">
        <v>280</v>
      </c>
      <c r="M6404" t="s">
        <v>289</v>
      </c>
      <c r="N6404" t="s">
        <v>298</v>
      </c>
      <c r="O6404" t="s">
        <v>307</v>
      </c>
      <c r="P6404" t="s">
        <v>314</v>
      </c>
      <c r="Q6404" t="s">
        <v>216</v>
      </c>
      <c r="R6404" t="s">
        <v>326</v>
      </c>
      <c r="S6404" t="s">
        <v>333</v>
      </c>
      <c r="T6404" t="s">
        <v>335</v>
      </c>
      <c r="U6404" t="s">
        <v>340</v>
      </c>
      <c r="V6404" t="s">
        <v>344</v>
      </c>
      <c r="W6404" t="s">
        <v>349</v>
      </c>
      <c r="AK6404" t="s">
        <v>363</v>
      </c>
    </row>
    <row r="6405" spans="1:37">
      <c r="A6405" t="s">
        <v>43</v>
      </c>
      <c r="B6405" t="s">
        <v>63</v>
      </c>
      <c r="C6405" t="s">
        <v>85</v>
      </c>
      <c r="D6405" t="s">
        <v>104</v>
      </c>
      <c r="E6405" t="s">
        <v>123</v>
      </c>
      <c r="F6405" t="s">
        <v>157</v>
      </c>
      <c r="G6405" t="s">
        <v>183</v>
      </c>
      <c r="AK6405" t="s">
        <v>363</v>
      </c>
    </row>
    <row r="6406" spans="1:37">
      <c r="A6406" t="s">
        <v>44</v>
      </c>
      <c r="B6406" t="s">
        <v>64</v>
      </c>
      <c r="C6406" t="s">
        <v>86</v>
      </c>
      <c r="D6406" t="s">
        <v>105</v>
      </c>
      <c r="E6406" t="s">
        <v>124</v>
      </c>
      <c r="F6406" t="s">
        <v>158</v>
      </c>
      <c r="G6406" t="s">
        <v>184</v>
      </c>
      <c r="AK6406" t="s">
        <v>363</v>
      </c>
    </row>
    <row r="6407" spans="1:37">
      <c r="A6407" t="s">
        <v>45</v>
      </c>
      <c r="B6407" t="s">
        <v>65</v>
      </c>
      <c r="C6407" t="s">
        <v>87</v>
      </c>
      <c r="D6407" t="s">
        <v>106</v>
      </c>
      <c r="E6407" t="s">
        <v>125</v>
      </c>
      <c r="F6407" t="s">
        <v>159</v>
      </c>
      <c r="G6407" t="s">
        <v>185</v>
      </c>
      <c r="H6407" t="s">
        <v>159</v>
      </c>
      <c r="I6407" t="s">
        <v>185</v>
      </c>
      <c r="J6407" t="s">
        <v>255</v>
      </c>
      <c r="AK6407" t="s">
        <v>363</v>
      </c>
    </row>
    <row r="6408" spans="1:37">
      <c r="A6408" t="s">
        <v>46</v>
      </c>
      <c r="B6408" t="s">
        <v>66</v>
      </c>
      <c r="C6408" t="s">
        <v>88</v>
      </c>
      <c r="D6408" t="s">
        <v>76</v>
      </c>
      <c r="E6408" t="s">
        <v>126</v>
      </c>
      <c r="F6408" t="s">
        <v>160</v>
      </c>
      <c r="G6408" t="s">
        <v>186</v>
      </c>
      <c r="H6408" t="s">
        <v>217</v>
      </c>
      <c r="I6408" t="s">
        <v>238</v>
      </c>
      <c r="J6408" t="s">
        <v>256</v>
      </c>
      <c r="K6408" t="s">
        <v>265</v>
      </c>
      <c r="L6408" t="s">
        <v>281</v>
      </c>
      <c r="M6408" t="s">
        <v>290</v>
      </c>
      <c r="N6408" t="s">
        <v>299</v>
      </c>
      <c r="O6408" t="s">
        <v>308</v>
      </c>
      <c r="P6408" t="s">
        <v>228</v>
      </c>
      <c r="Q6408" t="s">
        <v>72</v>
      </c>
      <c r="R6408" t="s">
        <v>327</v>
      </c>
      <c r="S6408" t="s">
        <v>327</v>
      </c>
      <c r="T6408" t="s">
        <v>336</v>
      </c>
      <c r="U6408" t="s">
        <v>336</v>
      </c>
      <c r="V6408" t="s">
        <v>336</v>
      </c>
      <c r="W6408" t="s">
        <v>336</v>
      </c>
      <c r="X6408" t="s">
        <v>353</v>
      </c>
      <c r="AK6408" t="s">
        <v>363</v>
      </c>
    </row>
    <row r="6409" spans="1:37">
      <c r="B6409" t="s">
        <v>67</v>
      </c>
      <c r="C6409" t="s">
        <v>89</v>
      </c>
      <c r="D6409" t="s">
        <v>107</v>
      </c>
      <c r="AK6409" t="s">
        <v>363</v>
      </c>
    </row>
    <row r="6410" spans="1:37">
      <c r="B6410" t="s">
        <v>68</v>
      </c>
      <c r="C6410" t="s">
        <v>90</v>
      </c>
      <c r="D6410" t="s">
        <v>108</v>
      </c>
      <c r="AK6410" t="s">
        <v>363</v>
      </c>
    </row>
    <row r="6411" spans="1:37">
      <c r="A6411" t="s">
        <v>47</v>
      </c>
      <c r="B6411" t="s">
        <v>69</v>
      </c>
      <c r="C6411" t="s">
        <v>91</v>
      </c>
      <c r="D6411" t="s">
        <v>109</v>
      </c>
      <c r="E6411" t="s">
        <v>109</v>
      </c>
      <c r="F6411" t="s">
        <v>109</v>
      </c>
      <c r="G6411" t="s">
        <v>109</v>
      </c>
      <c r="H6411" t="s">
        <v>109</v>
      </c>
      <c r="I6411" t="s">
        <v>239</v>
      </c>
      <c r="AK6411" t="s">
        <v>363</v>
      </c>
    </row>
    <row r="6412" spans="1:37">
      <c r="B6412" t="s">
        <v>70</v>
      </c>
      <c r="C6412" t="s">
        <v>92</v>
      </c>
      <c r="D6412" t="s">
        <v>110</v>
      </c>
      <c r="E6412" t="s">
        <v>127</v>
      </c>
      <c r="F6412" t="s">
        <v>161</v>
      </c>
      <c r="G6412" t="s">
        <v>187</v>
      </c>
      <c r="H6412" t="s">
        <v>218</v>
      </c>
      <c r="AK6412" t="s">
        <v>363</v>
      </c>
    </row>
    <row r="6413" spans="1:37">
      <c r="B6413" t="s">
        <v>71</v>
      </c>
      <c r="C6413" t="s">
        <v>93</v>
      </c>
      <c r="D6413" t="s">
        <v>111</v>
      </c>
      <c r="E6413" t="s">
        <v>128</v>
      </c>
      <c r="F6413" t="s">
        <v>162</v>
      </c>
      <c r="G6413" t="s">
        <v>188</v>
      </c>
      <c r="H6413" t="s">
        <v>219</v>
      </c>
      <c r="I6413" t="s">
        <v>240</v>
      </c>
      <c r="J6413" t="s">
        <v>257</v>
      </c>
      <c r="K6413" t="s">
        <v>269</v>
      </c>
      <c r="L6413" t="s">
        <v>109</v>
      </c>
      <c r="M6413" t="s">
        <v>109</v>
      </c>
      <c r="N6413" t="s">
        <v>109</v>
      </c>
      <c r="O6413" t="s">
        <v>109</v>
      </c>
      <c r="P6413" t="s">
        <v>109</v>
      </c>
      <c r="Q6413" t="s">
        <v>321</v>
      </c>
      <c r="AK6413" t="s">
        <v>363</v>
      </c>
    </row>
    <row r="6414" spans="1:37">
      <c r="A6414" t="s">
        <v>48</v>
      </c>
      <c r="B6414" t="s">
        <v>71</v>
      </c>
      <c r="C6414" t="s">
        <v>93</v>
      </c>
      <c r="D6414" t="s">
        <v>111</v>
      </c>
      <c r="E6414" t="s">
        <v>128</v>
      </c>
      <c r="F6414" t="s">
        <v>163</v>
      </c>
      <c r="G6414" t="s">
        <v>189</v>
      </c>
      <c r="H6414" t="s">
        <v>220</v>
      </c>
      <c r="I6414" t="s">
        <v>241</v>
      </c>
      <c r="J6414" t="s">
        <v>258</v>
      </c>
      <c r="K6414" t="s">
        <v>270</v>
      </c>
      <c r="AK6414" t="s">
        <v>363</v>
      </c>
    </row>
    <row r="6415" spans="1:37">
      <c r="B6415" t="s">
        <v>72</v>
      </c>
      <c r="C6415" t="s">
        <v>72</v>
      </c>
      <c r="D6415" t="s">
        <v>72</v>
      </c>
      <c r="E6415" t="s">
        <v>72</v>
      </c>
      <c r="F6415" t="s">
        <v>72</v>
      </c>
      <c r="G6415" t="s">
        <v>72</v>
      </c>
      <c r="H6415" t="s">
        <v>72</v>
      </c>
      <c r="I6415" t="s">
        <v>72</v>
      </c>
      <c r="J6415" t="s">
        <v>72</v>
      </c>
      <c r="K6415" t="s">
        <v>272</v>
      </c>
      <c r="AK6415" t="s">
        <v>363</v>
      </c>
    </row>
    <row r="6416" spans="1:37">
      <c r="A6416" t="s">
        <v>37</v>
      </c>
      <c r="B6416" t="s">
        <v>49</v>
      </c>
      <c r="C6416" t="s">
        <v>73</v>
      </c>
      <c r="D6416" t="s">
        <v>94</v>
      </c>
      <c r="E6416" t="s">
        <v>112</v>
      </c>
      <c r="F6416" t="s">
        <v>146</v>
      </c>
      <c r="G6416" t="s">
        <v>172</v>
      </c>
      <c r="H6416" t="s">
        <v>207</v>
      </c>
      <c r="I6416" t="s">
        <v>226</v>
      </c>
      <c r="J6416" t="s">
        <v>246</v>
      </c>
      <c r="K6416" t="s">
        <v>259</v>
      </c>
      <c r="AK6416" t="s">
        <v>363</v>
      </c>
    </row>
    <row r="6417" spans="1:37">
      <c r="A6417" t="s">
        <v>38</v>
      </c>
      <c r="B6417" t="s">
        <v>50</v>
      </c>
      <c r="C6417" t="s">
        <v>74</v>
      </c>
      <c r="D6417" t="s">
        <v>95</v>
      </c>
      <c r="E6417" t="s">
        <v>113</v>
      </c>
      <c r="F6417" t="s">
        <v>147</v>
      </c>
      <c r="G6417" t="s">
        <v>173</v>
      </c>
      <c r="H6417" t="s">
        <v>208</v>
      </c>
      <c r="I6417" t="s">
        <v>227</v>
      </c>
      <c r="J6417" t="s">
        <v>115</v>
      </c>
      <c r="K6417" t="s">
        <v>260</v>
      </c>
      <c r="L6417" t="s">
        <v>273</v>
      </c>
      <c r="M6417" t="s">
        <v>282</v>
      </c>
      <c r="N6417" t="s">
        <v>291</v>
      </c>
      <c r="AK6417" t="s">
        <v>363</v>
      </c>
    </row>
    <row r="6418" spans="1:37">
      <c r="B6418" t="s">
        <v>51</v>
      </c>
      <c r="C6418" t="s">
        <v>75</v>
      </c>
      <c r="D6418" t="s">
        <v>52</v>
      </c>
      <c r="E6418" t="s">
        <v>114</v>
      </c>
      <c r="F6418" t="s">
        <v>148</v>
      </c>
      <c r="G6418" t="s">
        <v>148</v>
      </c>
      <c r="H6418" t="s">
        <v>209</v>
      </c>
      <c r="I6418" t="s">
        <v>228</v>
      </c>
      <c r="J6418" t="s">
        <v>247</v>
      </c>
      <c r="K6418" t="s">
        <v>261</v>
      </c>
      <c r="L6418" t="s">
        <v>274</v>
      </c>
      <c r="M6418" t="s">
        <v>283</v>
      </c>
      <c r="N6418" t="s">
        <v>292</v>
      </c>
      <c r="O6418" t="s">
        <v>300</v>
      </c>
      <c r="AK6418" t="s">
        <v>363</v>
      </c>
    </row>
    <row r="6419" spans="1:37">
      <c r="B6419" t="s">
        <v>52</v>
      </c>
      <c r="C6419" t="s">
        <v>76</v>
      </c>
      <c r="D6419" t="s">
        <v>96</v>
      </c>
      <c r="E6419" t="s">
        <v>115</v>
      </c>
      <c r="F6419" t="s">
        <v>149</v>
      </c>
      <c r="G6419" t="s">
        <v>174</v>
      </c>
      <c r="H6419" t="s">
        <v>96</v>
      </c>
      <c r="I6419" t="s">
        <v>229</v>
      </c>
      <c r="J6419" t="s">
        <v>248</v>
      </c>
      <c r="K6419" t="s">
        <v>262</v>
      </c>
      <c r="L6419" t="s">
        <v>52</v>
      </c>
      <c r="M6419" t="s">
        <v>76</v>
      </c>
      <c r="N6419" t="s">
        <v>293</v>
      </c>
      <c r="O6419" t="s">
        <v>301</v>
      </c>
      <c r="P6419" t="s">
        <v>309</v>
      </c>
      <c r="Q6419" t="s">
        <v>315</v>
      </c>
      <c r="R6419" t="s">
        <v>228</v>
      </c>
      <c r="S6419" t="s">
        <v>328</v>
      </c>
      <c r="T6419" t="s">
        <v>149</v>
      </c>
      <c r="U6419" t="s">
        <v>337</v>
      </c>
      <c r="V6419" t="s">
        <v>341</v>
      </c>
      <c r="W6419" t="s">
        <v>345</v>
      </c>
      <c r="X6419" t="s">
        <v>350</v>
      </c>
      <c r="AK6419" t="s">
        <v>363</v>
      </c>
    </row>
    <row r="6420" spans="1:37">
      <c r="B6420" t="s">
        <v>53</v>
      </c>
      <c r="C6420" t="s">
        <v>77</v>
      </c>
      <c r="D6420" t="s">
        <v>97</v>
      </c>
      <c r="E6420" t="s">
        <v>116</v>
      </c>
      <c r="F6420" t="s">
        <v>150</v>
      </c>
      <c r="G6420" t="s">
        <v>175</v>
      </c>
      <c r="H6420" t="s">
        <v>210</v>
      </c>
      <c r="I6420" t="s">
        <v>230</v>
      </c>
      <c r="J6420" t="s">
        <v>249</v>
      </c>
      <c r="K6420" t="s">
        <v>263</v>
      </c>
      <c r="L6420" t="s">
        <v>275</v>
      </c>
      <c r="M6420" t="s">
        <v>284</v>
      </c>
      <c r="N6420" t="s">
        <v>294</v>
      </c>
      <c r="O6420" t="s">
        <v>302</v>
      </c>
      <c r="P6420" t="s">
        <v>310</v>
      </c>
      <c r="Q6420" t="s">
        <v>316</v>
      </c>
      <c r="R6420" t="s">
        <v>322</v>
      </c>
      <c r="S6420" t="s">
        <v>329</v>
      </c>
      <c r="AK6420" t="s">
        <v>363</v>
      </c>
    </row>
    <row r="6421" spans="1:37">
      <c r="A6421" t="s">
        <v>39</v>
      </c>
      <c r="B6421" t="s">
        <v>54</v>
      </c>
      <c r="C6421" t="s">
        <v>54</v>
      </c>
      <c r="D6421" t="s">
        <v>54</v>
      </c>
      <c r="E6421" t="s">
        <v>54</v>
      </c>
      <c r="F6421" t="s">
        <v>54</v>
      </c>
      <c r="G6421" t="s">
        <v>54</v>
      </c>
      <c r="H6421" t="s">
        <v>54</v>
      </c>
      <c r="I6421" t="s">
        <v>54</v>
      </c>
      <c r="J6421" t="s">
        <v>54</v>
      </c>
      <c r="K6421" t="s">
        <v>54</v>
      </c>
      <c r="L6421" t="s">
        <v>54</v>
      </c>
      <c r="M6421" t="s">
        <v>54</v>
      </c>
      <c r="N6421" t="s">
        <v>54</v>
      </c>
      <c r="O6421" t="s">
        <v>54</v>
      </c>
      <c r="P6421" t="s">
        <v>54</v>
      </c>
      <c r="Q6421" t="s">
        <v>54</v>
      </c>
      <c r="R6421" t="s">
        <v>323</v>
      </c>
      <c r="S6421" t="s">
        <v>330</v>
      </c>
      <c r="AK6421" t="s">
        <v>363</v>
      </c>
    </row>
    <row r="6422" spans="1:37">
      <c r="B6422" t="s">
        <v>55</v>
      </c>
      <c r="C6422" t="s">
        <v>78</v>
      </c>
      <c r="D6422" t="s">
        <v>55</v>
      </c>
      <c r="E6422" t="s">
        <v>78</v>
      </c>
      <c r="F6422" t="s">
        <v>55</v>
      </c>
      <c r="G6422" t="s">
        <v>78</v>
      </c>
      <c r="H6422" t="s">
        <v>55</v>
      </c>
      <c r="I6422" t="s">
        <v>78</v>
      </c>
      <c r="J6422" t="s">
        <v>55</v>
      </c>
      <c r="K6422" t="s">
        <v>78</v>
      </c>
      <c r="L6422" t="s">
        <v>55</v>
      </c>
      <c r="M6422" t="s">
        <v>78</v>
      </c>
      <c r="N6422" t="s">
        <v>55</v>
      </c>
      <c r="O6422" t="s">
        <v>78</v>
      </c>
      <c r="P6422" t="s">
        <v>55</v>
      </c>
      <c r="Q6422" t="s">
        <v>78</v>
      </c>
      <c r="R6422" t="s">
        <v>55</v>
      </c>
      <c r="S6422" t="s">
        <v>78</v>
      </c>
      <c r="T6422" t="s">
        <v>55</v>
      </c>
      <c r="U6422" t="s">
        <v>78</v>
      </c>
      <c r="V6422" t="s">
        <v>55</v>
      </c>
      <c r="W6422" t="s">
        <v>78</v>
      </c>
      <c r="X6422" t="s">
        <v>55</v>
      </c>
      <c r="Y6422" t="s">
        <v>78</v>
      </c>
      <c r="Z6422" t="s">
        <v>55</v>
      </c>
      <c r="AA6422" t="s">
        <v>78</v>
      </c>
      <c r="AB6422" t="s">
        <v>55</v>
      </c>
      <c r="AC6422" t="s">
        <v>78</v>
      </c>
      <c r="AD6422" t="s">
        <v>55</v>
      </c>
      <c r="AE6422" t="s">
        <v>78</v>
      </c>
      <c r="AF6422" t="s">
        <v>55</v>
      </c>
      <c r="AG6422" t="s">
        <v>78</v>
      </c>
      <c r="AH6422" t="s">
        <v>55</v>
      </c>
      <c r="AI6422" t="s">
        <v>78</v>
      </c>
      <c r="AK6422" t="s">
        <v>363</v>
      </c>
    </row>
    <row r="6423" spans="1:37">
      <c r="B6423" t="s">
        <v>56</v>
      </c>
      <c r="C6423" t="s">
        <v>56</v>
      </c>
      <c r="D6423" t="s">
        <v>56</v>
      </c>
      <c r="E6423" t="s">
        <v>56</v>
      </c>
      <c r="F6423" t="s">
        <v>56</v>
      </c>
      <c r="G6423" t="s">
        <v>176</v>
      </c>
      <c r="H6423" t="s">
        <v>211</v>
      </c>
      <c r="I6423" t="s">
        <v>231</v>
      </c>
      <c r="J6423" t="s">
        <v>250</v>
      </c>
      <c r="K6423" t="s">
        <v>264</v>
      </c>
      <c r="L6423" t="s">
        <v>276</v>
      </c>
      <c r="M6423" t="s">
        <v>285</v>
      </c>
      <c r="N6423" t="s">
        <v>295</v>
      </c>
      <c r="O6423" t="s">
        <v>303</v>
      </c>
      <c r="P6423" t="s">
        <v>56</v>
      </c>
      <c r="Q6423" t="s">
        <v>317</v>
      </c>
      <c r="R6423" t="s">
        <v>324</v>
      </c>
      <c r="S6423" t="s">
        <v>331</v>
      </c>
      <c r="T6423" t="s">
        <v>334</v>
      </c>
      <c r="U6423" t="s">
        <v>338</v>
      </c>
      <c r="V6423" t="s">
        <v>342</v>
      </c>
      <c r="W6423" t="s">
        <v>346</v>
      </c>
      <c r="X6423" t="s">
        <v>351</v>
      </c>
      <c r="AK6423" t="s">
        <v>363</v>
      </c>
    </row>
    <row r="6424" spans="1:37">
      <c r="B6424" t="s">
        <v>57</v>
      </c>
      <c r="C6424" t="s">
        <v>79</v>
      </c>
      <c r="D6424" t="s">
        <v>98</v>
      </c>
      <c r="E6424" t="s">
        <v>117</v>
      </c>
      <c r="F6424" t="s">
        <v>151</v>
      </c>
      <c r="G6424" t="s">
        <v>177</v>
      </c>
      <c r="H6424" t="s">
        <v>212</v>
      </c>
      <c r="I6424" t="s">
        <v>232</v>
      </c>
      <c r="J6424" t="s">
        <v>251</v>
      </c>
      <c r="K6424" t="s">
        <v>265</v>
      </c>
      <c r="L6424" t="s">
        <v>277</v>
      </c>
      <c r="M6424" t="s">
        <v>286</v>
      </c>
      <c r="N6424" t="s">
        <v>296</v>
      </c>
      <c r="O6424" t="s">
        <v>304</v>
      </c>
      <c r="P6424" t="s">
        <v>311</v>
      </c>
      <c r="Q6424" t="s">
        <v>318</v>
      </c>
      <c r="R6424" t="s">
        <v>185</v>
      </c>
      <c r="S6424" t="s">
        <v>159</v>
      </c>
      <c r="T6424" t="s">
        <v>185</v>
      </c>
      <c r="U6424" t="s">
        <v>339</v>
      </c>
      <c r="V6424" t="s">
        <v>72</v>
      </c>
      <c r="W6424" t="s">
        <v>347</v>
      </c>
      <c r="X6424" t="s">
        <v>72</v>
      </c>
      <c r="Y6424" t="s">
        <v>96</v>
      </c>
      <c r="AK6424" t="s">
        <v>363</v>
      </c>
    </row>
    <row r="6425" spans="1:37">
      <c r="B6425" t="s">
        <v>58</v>
      </c>
      <c r="C6425" t="s">
        <v>80</v>
      </c>
      <c r="D6425" t="s">
        <v>99</v>
      </c>
      <c r="E6425" t="s">
        <v>118</v>
      </c>
      <c r="F6425" t="s">
        <v>152</v>
      </c>
      <c r="G6425" t="s">
        <v>178</v>
      </c>
      <c r="H6425" t="s">
        <v>213</v>
      </c>
      <c r="I6425" t="s">
        <v>233</v>
      </c>
      <c r="J6425" t="s">
        <v>252</v>
      </c>
      <c r="K6425" t="s">
        <v>266</v>
      </c>
      <c r="L6425" t="s">
        <v>278</v>
      </c>
      <c r="M6425" t="s">
        <v>287</v>
      </c>
      <c r="N6425" t="s">
        <v>297</v>
      </c>
      <c r="O6425" t="s">
        <v>305</v>
      </c>
      <c r="P6425" t="s">
        <v>312</v>
      </c>
      <c r="Q6425" t="s">
        <v>319</v>
      </c>
      <c r="R6425">
        <f>&gt;10       ветра      1.5     14   8</f>
        <v>0</v>
      </c>
      <c r="AK6425" t="s">
        <v>363</v>
      </c>
    </row>
    <row r="6426" spans="1:37">
      <c r="A6426" t="s">
        <v>40</v>
      </c>
      <c r="B6426" t="s">
        <v>59</v>
      </c>
      <c r="C6426" t="s">
        <v>81</v>
      </c>
      <c r="D6426" t="s">
        <v>100</v>
      </c>
      <c r="E6426" t="s">
        <v>119</v>
      </c>
      <c r="F6426" t="s">
        <v>153</v>
      </c>
      <c r="G6426" t="s">
        <v>179</v>
      </c>
      <c r="H6426" t="s">
        <v>214</v>
      </c>
      <c r="I6426" t="s">
        <v>234</v>
      </c>
      <c r="AK6426" t="s">
        <v>363</v>
      </c>
    </row>
    <row r="6427" spans="1:37">
      <c r="A6427" t="s">
        <v>40</v>
      </c>
      <c r="B6427" t="s">
        <v>60</v>
      </c>
      <c r="C6427" t="s">
        <v>82</v>
      </c>
      <c r="D6427" t="s">
        <v>101</v>
      </c>
      <c r="E6427" t="s">
        <v>120</v>
      </c>
      <c r="F6427" t="s">
        <v>154</v>
      </c>
      <c r="G6427" t="s">
        <v>180</v>
      </c>
      <c r="H6427" t="s">
        <v>215</v>
      </c>
      <c r="I6427" t="s">
        <v>235</v>
      </c>
      <c r="J6427" t="s">
        <v>253</v>
      </c>
      <c r="K6427" t="s">
        <v>267</v>
      </c>
      <c r="L6427" t="s">
        <v>279</v>
      </c>
      <c r="M6427" t="s">
        <v>288</v>
      </c>
      <c r="N6427" t="s">
        <v>100</v>
      </c>
      <c r="O6427" t="s">
        <v>306</v>
      </c>
      <c r="P6427" t="s">
        <v>313</v>
      </c>
      <c r="Q6427" t="s">
        <v>320</v>
      </c>
      <c r="R6427" t="s">
        <v>325</v>
      </c>
      <c r="S6427" t="s">
        <v>332</v>
      </c>
      <c r="T6427" t="s">
        <v>119</v>
      </c>
      <c r="U6427" t="s">
        <v>234</v>
      </c>
      <c r="V6427" t="s">
        <v>343</v>
      </c>
      <c r="W6427" t="s">
        <v>348</v>
      </c>
      <c r="X6427" t="s">
        <v>352</v>
      </c>
      <c r="Y6427" t="s">
        <v>354</v>
      </c>
      <c r="AK6427" t="s">
        <v>363</v>
      </c>
    </row>
    <row r="6428" spans="1:37">
      <c r="A6428" t="s">
        <v>41</v>
      </c>
      <c r="B6428" t="s">
        <v>61</v>
      </c>
      <c r="C6428" t="s">
        <v>83</v>
      </c>
      <c r="D6428" t="s">
        <v>102</v>
      </c>
      <c r="E6428" t="s">
        <v>121</v>
      </c>
      <c r="F6428" t="s">
        <v>155</v>
      </c>
      <c r="G6428" t="s">
        <v>181</v>
      </c>
      <c r="H6428" t="s">
        <v>216</v>
      </c>
      <c r="I6428" t="s">
        <v>236</v>
      </c>
      <c r="AK6428" t="s">
        <v>363</v>
      </c>
    </row>
    <row r="6429" spans="1:37">
      <c r="A6429" t="s">
        <v>42</v>
      </c>
      <c r="B6429" t="s">
        <v>62</v>
      </c>
      <c r="C6429" t="s">
        <v>84</v>
      </c>
      <c r="D6429" t="s">
        <v>103</v>
      </c>
      <c r="E6429" t="s">
        <v>122</v>
      </c>
      <c r="F6429" t="s">
        <v>156</v>
      </c>
      <c r="G6429" t="s">
        <v>182</v>
      </c>
      <c r="H6429" t="s">
        <v>83</v>
      </c>
      <c r="I6429" t="s">
        <v>237</v>
      </c>
      <c r="J6429" t="s">
        <v>254</v>
      </c>
      <c r="K6429" t="s">
        <v>268</v>
      </c>
      <c r="L6429" t="s">
        <v>280</v>
      </c>
      <c r="M6429" t="s">
        <v>289</v>
      </c>
      <c r="N6429" t="s">
        <v>298</v>
      </c>
      <c r="O6429" t="s">
        <v>307</v>
      </c>
      <c r="P6429" t="s">
        <v>314</v>
      </c>
      <c r="Q6429" t="s">
        <v>216</v>
      </c>
      <c r="R6429" t="s">
        <v>326</v>
      </c>
      <c r="S6429" t="s">
        <v>333</v>
      </c>
      <c r="T6429" t="s">
        <v>335</v>
      </c>
      <c r="U6429" t="s">
        <v>340</v>
      </c>
      <c r="V6429" t="s">
        <v>344</v>
      </c>
      <c r="W6429" t="s">
        <v>349</v>
      </c>
      <c r="AK6429" t="s">
        <v>363</v>
      </c>
    </row>
    <row r="6430" spans="1:37">
      <c r="A6430" t="s">
        <v>43</v>
      </c>
      <c r="B6430" t="s">
        <v>63</v>
      </c>
      <c r="C6430" t="s">
        <v>85</v>
      </c>
      <c r="D6430" t="s">
        <v>104</v>
      </c>
      <c r="E6430" t="s">
        <v>123</v>
      </c>
      <c r="F6430" t="s">
        <v>157</v>
      </c>
      <c r="G6430" t="s">
        <v>183</v>
      </c>
      <c r="AK6430" t="s">
        <v>363</v>
      </c>
    </row>
    <row r="6431" spans="1:37">
      <c r="A6431" t="s">
        <v>44</v>
      </c>
      <c r="B6431" t="s">
        <v>64</v>
      </c>
      <c r="C6431" t="s">
        <v>86</v>
      </c>
      <c r="D6431" t="s">
        <v>105</v>
      </c>
      <c r="E6431" t="s">
        <v>124</v>
      </c>
      <c r="F6431" t="s">
        <v>158</v>
      </c>
      <c r="G6431" t="s">
        <v>184</v>
      </c>
      <c r="AK6431" t="s">
        <v>363</v>
      </c>
    </row>
    <row r="6432" spans="1:37">
      <c r="A6432" t="s">
        <v>45</v>
      </c>
      <c r="B6432" t="s">
        <v>65</v>
      </c>
      <c r="C6432" t="s">
        <v>87</v>
      </c>
      <c r="D6432" t="s">
        <v>106</v>
      </c>
      <c r="E6432" t="s">
        <v>125</v>
      </c>
      <c r="F6432" t="s">
        <v>159</v>
      </c>
      <c r="G6432" t="s">
        <v>185</v>
      </c>
      <c r="H6432" t="s">
        <v>159</v>
      </c>
      <c r="I6432" t="s">
        <v>185</v>
      </c>
      <c r="J6432" t="s">
        <v>255</v>
      </c>
      <c r="AK6432" t="s">
        <v>363</v>
      </c>
    </row>
    <row r="6433" spans="1:37">
      <c r="A6433" t="s">
        <v>46</v>
      </c>
      <c r="B6433" t="s">
        <v>66</v>
      </c>
      <c r="C6433" t="s">
        <v>88</v>
      </c>
      <c r="D6433" t="s">
        <v>76</v>
      </c>
      <c r="E6433" t="s">
        <v>126</v>
      </c>
      <c r="F6433" t="s">
        <v>160</v>
      </c>
      <c r="G6433" t="s">
        <v>186</v>
      </c>
      <c r="H6433" t="s">
        <v>217</v>
      </c>
      <c r="I6433" t="s">
        <v>238</v>
      </c>
      <c r="J6433" t="s">
        <v>256</v>
      </c>
      <c r="K6433" t="s">
        <v>265</v>
      </c>
      <c r="L6433" t="s">
        <v>281</v>
      </c>
      <c r="M6433" t="s">
        <v>290</v>
      </c>
      <c r="N6433" t="s">
        <v>299</v>
      </c>
      <c r="O6433" t="s">
        <v>308</v>
      </c>
      <c r="P6433" t="s">
        <v>228</v>
      </c>
      <c r="Q6433" t="s">
        <v>72</v>
      </c>
      <c r="R6433" t="s">
        <v>327</v>
      </c>
      <c r="S6433" t="s">
        <v>327</v>
      </c>
      <c r="T6433" t="s">
        <v>336</v>
      </c>
      <c r="U6433" t="s">
        <v>336</v>
      </c>
      <c r="V6433" t="s">
        <v>336</v>
      </c>
      <c r="W6433" t="s">
        <v>336</v>
      </c>
      <c r="X6433" t="s">
        <v>353</v>
      </c>
      <c r="AK6433" t="s">
        <v>363</v>
      </c>
    </row>
    <row r="6434" spans="1:37">
      <c r="B6434" t="s">
        <v>67</v>
      </c>
      <c r="C6434" t="s">
        <v>89</v>
      </c>
      <c r="D6434" t="s">
        <v>107</v>
      </c>
      <c r="AK6434" t="s">
        <v>363</v>
      </c>
    </row>
    <row r="6435" spans="1:37">
      <c r="B6435" t="s">
        <v>68</v>
      </c>
      <c r="C6435" t="s">
        <v>90</v>
      </c>
      <c r="D6435" t="s">
        <v>108</v>
      </c>
      <c r="AK6435" t="s">
        <v>363</v>
      </c>
    </row>
    <row r="6436" spans="1:37">
      <c r="A6436" t="s">
        <v>47</v>
      </c>
      <c r="B6436" t="s">
        <v>69</v>
      </c>
      <c r="C6436" t="s">
        <v>91</v>
      </c>
      <c r="D6436" t="s">
        <v>109</v>
      </c>
      <c r="E6436" t="s">
        <v>109</v>
      </c>
      <c r="F6436" t="s">
        <v>109</v>
      </c>
      <c r="G6436" t="s">
        <v>109</v>
      </c>
      <c r="H6436" t="s">
        <v>109</v>
      </c>
      <c r="I6436" t="s">
        <v>239</v>
      </c>
      <c r="AK6436" t="s">
        <v>363</v>
      </c>
    </row>
    <row r="6437" spans="1:37">
      <c r="B6437" t="s">
        <v>70</v>
      </c>
      <c r="C6437" t="s">
        <v>92</v>
      </c>
      <c r="D6437" t="s">
        <v>110</v>
      </c>
      <c r="E6437" t="s">
        <v>127</v>
      </c>
      <c r="F6437" t="s">
        <v>161</v>
      </c>
      <c r="G6437" t="s">
        <v>187</v>
      </c>
      <c r="H6437" t="s">
        <v>218</v>
      </c>
      <c r="AK6437" t="s">
        <v>363</v>
      </c>
    </row>
    <row r="6438" spans="1:37">
      <c r="B6438" t="s">
        <v>71</v>
      </c>
      <c r="C6438" t="s">
        <v>93</v>
      </c>
      <c r="D6438" t="s">
        <v>111</v>
      </c>
      <c r="E6438" t="s">
        <v>128</v>
      </c>
      <c r="F6438" t="s">
        <v>162</v>
      </c>
      <c r="G6438" t="s">
        <v>188</v>
      </c>
      <c r="H6438" t="s">
        <v>219</v>
      </c>
      <c r="I6438" t="s">
        <v>240</v>
      </c>
      <c r="J6438" t="s">
        <v>257</v>
      </c>
      <c r="K6438" t="s">
        <v>269</v>
      </c>
      <c r="L6438" t="s">
        <v>109</v>
      </c>
      <c r="M6438" t="s">
        <v>109</v>
      </c>
      <c r="N6438" t="s">
        <v>109</v>
      </c>
      <c r="O6438" t="s">
        <v>109</v>
      </c>
      <c r="P6438" t="s">
        <v>109</v>
      </c>
      <c r="Q6438" t="s">
        <v>321</v>
      </c>
      <c r="AK6438" t="s">
        <v>363</v>
      </c>
    </row>
    <row r="6439" spans="1:37">
      <c r="A6439" t="s">
        <v>48</v>
      </c>
      <c r="B6439" t="s">
        <v>71</v>
      </c>
      <c r="C6439" t="s">
        <v>93</v>
      </c>
      <c r="D6439" t="s">
        <v>111</v>
      </c>
      <c r="E6439" t="s">
        <v>128</v>
      </c>
      <c r="F6439" t="s">
        <v>163</v>
      </c>
      <c r="G6439" t="s">
        <v>189</v>
      </c>
      <c r="H6439" t="s">
        <v>220</v>
      </c>
      <c r="I6439" t="s">
        <v>241</v>
      </c>
      <c r="J6439" t="s">
        <v>258</v>
      </c>
      <c r="K6439" t="s">
        <v>270</v>
      </c>
      <c r="AK6439" t="s">
        <v>363</v>
      </c>
    </row>
    <row r="6440" spans="1:37">
      <c r="B6440" t="s">
        <v>72</v>
      </c>
      <c r="C6440" t="s">
        <v>72</v>
      </c>
      <c r="D6440" t="s">
        <v>72</v>
      </c>
      <c r="E6440" t="s">
        <v>139</v>
      </c>
      <c r="F6440" t="s">
        <v>139</v>
      </c>
      <c r="G6440" t="s">
        <v>192</v>
      </c>
      <c r="H6440" t="s">
        <v>192</v>
      </c>
      <c r="I6440" t="s">
        <v>192</v>
      </c>
      <c r="J6440" t="s">
        <v>192</v>
      </c>
      <c r="K6440" t="s">
        <v>271</v>
      </c>
      <c r="AK6440" t="s">
        <v>363</v>
      </c>
    </row>
    <row r="6441" spans="1:37">
      <c r="A6441" t="s">
        <v>37</v>
      </c>
      <c r="B6441" t="s">
        <v>49</v>
      </c>
      <c r="C6441" t="s">
        <v>73</v>
      </c>
      <c r="D6441" t="s">
        <v>94</v>
      </c>
      <c r="E6441" t="s">
        <v>112</v>
      </c>
      <c r="F6441" t="s">
        <v>146</v>
      </c>
      <c r="G6441" t="s">
        <v>172</v>
      </c>
      <c r="H6441" t="s">
        <v>207</v>
      </c>
      <c r="I6441" t="s">
        <v>226</v>
      </c>
      <c r="J6441" t="s">
        <v>246</v>
      </c>
      <c r="K6441" t="s">
        <v>259</v>
      </c>
      <c r="AK6441" t="s">
        <v>363</v>
      </c>
    </row>
    <row r="6442" spans="1:37">
      <c r="A6442" t="s">
        <v>38</v>
      </c>
      <c r="B6442" t="s">
        <v>50</v>
      </c>
      <c r="C6442" t="s">
        <v>74</v>
      </c>
      <c r="D6442" t="s">
        <v>95</v>
      </c>
      <c r="E6442" t="s">
        <v>113</v>
      </c>
      <c r="F6442" t="s">
        <v>147</v>
      </c>
      <c r="G6442" t="s">
        <v>173</v>
      </c>
      <c r="H6442" t="s">
        <v>208</v>
      </c>
      <c r="I6442" t="s">
        <v>227</v>
      </c>
      <c r="J6442" t="s">
        <v>115</v>
      </c>
      <c r="K6442" t="s">
        <v>260</v>
      </c>
      <c r="L6442" t="s">
        <v>273</v>
      </c>
      <c r="M6442" t="s">
        <v>282</v>
      </c>
      <c r="N6442" t="s">
        <v>291</v>
      </c>
      <c r="AK6442" t="s">
        <v>363</v>
      </c>
    </row>
    <row r="6443" spans="1:37">
      <c r="B6443" t="s">
        <v>51</v>
      </c>
      <c r="C6443" t="s">
        <v>75</v>
      </c>
      <c r="D6443" t="s">
        <v>52</v>
      </c>
      <c r="E6443" t="s">
        <v>114</v>
      </c>
      <c r="F6443" t="s">
        <v>148</v>
      </c>
      <c r="G6443" t="s">
        <v>148</v>
      </c>
      <c r="H6443" t="s">
        <v>209</v>
      </c>
      <c r="I6443" t="s">
        <v>228</v>
      </c>
      <c r="J6443" t="s">
        <v>247</v>
      </c>
      <c r="K6443" t="s">
        <v>261</v>
      </c>
      <c r="L6443" t="s">
        <v>274</v>
      </c>
      <c r="M6443" t="s">
        <v>283</v>
      </c>
      <c r="N6443" t="s">
        <v>292</v>
      </c>
      <c r="O6443" t="s">
        <v>300</v>
      </c>
      <c r="AK6443" t="s">
        <v>363</v>
      </c>
    </row>
    <row r="6444" spans="1:37">
      <c r="B6444" t="s">
        <v>52</v>
      </c>
      <c r="C6444" t="s">
        <v>76</v>
      </c>
      <c r="D6444" t="s">
        <v>96</v>
      </c>
      <c r="E6444" t="s">
        <v>115</v>
      </c>
      <c r="F6444" t="s">
        <v>149</v>
      </c>
      <c r="G6444" t="s">
        <v>174</v>
      </c>
      <c r="H6444" t="s">
        <v>96</v>
      </c>
      <c r="I6444" t="s">
        <v>229</v>
      </c>
      <c r="J6444" t="s">
        <v>248</v>
      </c>
      <c r="K6444" t="s">
        <v>262</v>
      </c>
      <c r="L6444" t="s">
        <v>52</v>
      </c>
      <c r="M6444" t="s">
        <v>76</v>
      </c>
      <c r="N6444" t="s">
        <v>293</v>
      </c>
      <c r="O6444" t="s">
        <v>301</v>
      </c>
      <c r="P6444" t="s">
        <v>309</v>
      </c>
      <c r="Q6444" t="s">
        <v>315</v>
      </c>
      <c r="R6444" t="s">
        <v>228</v>
      </c>
      <c r="S6444" t="s">
        <v>328</v>
      </c>
      <c r="T6444" t="s">
        <v>149</v>
      </c>
      <c r="U6444" t="s">
        <v>337</v>
      </c>
      <c r="V6444" t="s">
        <v>341</v>
      </c>
      <c r="W6444" t="s">
        <v>345</v>
      </c>
      <c r="X6444" t="s">
        <v>350</v>
      </c>
      <c r="AK6444" t="s">
        <v>363</v>
      </c>
    </row>
    <row r="6445" spans="1:37">
      <c r="B6445" t="s">
        <v>53</v>
      </c>
      <c r="C6445" t="s">
        <v>77</v>
      </c>
      <c r="D6445" t="s">
        <v>97</v>
      </c>
      <c r="E6445" t="s">
        <v>116</v>
      </c>
      <c r="F6445" t="s">
        <v>150</v>
      </c>
      <c r="G6445" t="s">
        <v>175</v>
      </c>
      <c r="H6445" t="s">
        <v>210</v>
      </c>
      <c r="I6445" t="s">
        <v>230</v>
      </c>
      <c r="J6445" t="s">
        <v>249</v>
      </c>
      <c r="K6445" t="s">
        <v>263</v>
      </c>
      <c r="L6445" t="s">
        <v>275</v>
      </c>
      <c r="M6445" t="s">
        <v>284</v>
      </c>
      <c r="N6445" t="s">
        <v>294</v>
      </c>
      <c r="O6445" t="s">
        <v>302</v>
      </c>
      <c r="P6445" t="s">
        <v>310</v>
      </c>
      <c r="Q6445" t="s">
        <v>316</v>
      </c>
      <c r="R6445" t="s">
        <v>322</v>
      </c>
      <c r="S6445" t="s">
        <v>329</v>
      </c>
      <c r="AK6445" t="s">
        <v>363</v>
      </c>
    </row>
    <row r="6446" spans="1:37">
      <c r="A6446" t="s">
        <v>39</v>
      </c>
      <c r="B6446" t="s">
        <v>54</v>
      </c>
      <c r="C6446" t="s">
        <v>54</v>
      </c>
      <c r="D6446" t="s">
        <v>54</v>
      </c>
      <c r="E6446" t="s">
        <v>54</v>
      </c>
      <c r="F6446" t="s">
        <v>54</v>
      </c>
      <c r="G6446" t="s">
        <v>54</v>
      </c>
      <c r="H6446" t="s">
        <v>54</v>
      </c>
      <c r="I6446" t="s">
        <v>54</v>
      </c>
      <c r="J6446" t="s">
        <v>54</v>
      </c>
      <c r="K6446" t="s">
        <v>54</v>
      </c>
      <c r="L6446" t="s">
        <v>54</v>
      </c>
      <c r="M6446" t="s">
        <v>54</v>
      </c>
      <c r="N6446" t="s">
        <v>54</v>
      </c>
      <c r="O6446" t="s">
        <v>54</v>
      </c>
      <c r="P6446" t="s">
        <v>54</v>
      </c>
      <c r="Q6446" t="s">
        <v>54</v>
      </c>
      <c r="R6446" t="s">
        <v>323</v>
      </c>
      <c r="S6446" t="s">
        <v>330</v>
      </c>
      <c r="AK6446" t="s">
        <v>363</v>
      </c>
    </row>
    <row r="6447" spans="1:37">
      <c r="B6447" t="s">
        <v>55</v>
      </c>
      <c r="C6447" t="s">
        <v>78</v>
      </c>
      <c r="D6447" t="s">
        <v>55</v>
      </c>
      <c r="E6447" t="s">
        <v>78</v>
      </c>
      <c r="F6447" t="s">
        <v>55</v>
      </c>
      <c r="G6447" t="s">
        <v>78</v>
      </c>
      <c r="H6447" t="s">
        <v>55</v>
      </c>
      <c r="I6447" t="s">
        <v>78</v>
      </c>
      <c r="J6447" t="s">
        <v>55</v>
      </c>
      <c r="K6447" t="s">
        <v>78</v>
      </c>
      <c r="L6447" t="s">
        <v>55</v>
      </c>
      <c r="M6447" t="s">
        <v>78</v>
      </c>
      <c r="N6447" t="s">
        <v>55</v>
      </c>
      <c r="O6447" t="s">
        <v>78</v>
      </c>
      <c r="P6447" t="s">
        <v>55</v>
      </c>
      <c r="Q6447" t="s">
        <v>78</v>
      </c>
      <c r="R6447" t="s">
        <v>55</v>
      </c>
      <c r="S6447" t="s">
        <v>78</v>
      </c>
      <c r="T6447" t="s">
        <v>55</v>
      </c>
      <c r="U6447" t="s">
        <v>78</v>
      </c>
      <c r="V6447" t="s">
        <v>55</v>
      </c>
      <c r="W6447" t="s">
        <v>78</v>
      </c>
      <c r="X6447" t="s">
        <v>55</v>
      </c>
      <c r="Y6447" t="s">
        <v>78</v>
      </c>
      <c r="Z6447" t="s">
        <v>55</v>
      </c>
      <c r="AA6447" t="s">
        <v>78</v>
      </c>
      <c r="AB6447" t="s">
        <v>55</v>
      </c>
      <c r="AC6447" t="s">
        <v>78</v>
      </c>
      <c r="AD6447" t="s">
        <v>55</v>
      </c>
      <c r="AE6447" t="s">
        <v>78</v>
      </c>
      <c r="AF6447" t="s">
        <v>55</v>
      </c>
      <c r="AG6447" t="s">
        <v>78</v>
      </c>
      <c r="AH6447" t="s">
        <v>55</v>
      </c>
      <c r="AI6447" t="s">
        <v>78</v>
      </c>
      <c r="AK6447" t="s">
        <v>363</v>
      </c>
    </row>
    <row r="6448" spans="1:37">
      <c r="B6448" t="s">
        <v>56</v>
      </c>
      <c r="C6448" t="s">
        <v>56</v>
      </c>
      <c r="D6448" t="s">
        <v>56</v>
      </c>
      <c r="E6448" t="s">
        <v>56</v>
      </c>
      <c r="F6448" t="s">
        <v>56</v>
      </c>
      <c r="G6448" t="s">
        <v>176</v>
      </c>
      <c r="H6448" t="s">
        <v>211</v>
      </c>
      <c r="I6448" t="s">
        <v>231</v>
      </c>
      <c r="J6448" t="s">
        <v>250</v>
      </c>
      <c r="K6448" t="s">
        <v>264</v>
      </c>
      <c r="L6448" t="s">
        <v>276</v>
      </c>
      <c r="M6448" t="s">
        <v>285</v>
      </c>
      <c r="N6448" t="s">
        <v>295</v>
      </c>
      <c r="O6448" t="s">
        <v>303</v>
      </c>
      <c r="P6448" t="s">
        <v>56</v>
      </c>
      <c r="Q6448" t="s">
        <v>317</v>
      </c>
      <c r="R6448" t="s">
        <v>324</v>
      </c>
      <c r="S6448" t="s">
        <v>331</v>
      </c>
      <c r="T6448" t="s">
        <v>334</v>
      </c>
      <c r="U6448" t="s">
        <v>338</v>
      </c>
      <c r="V6448" t="s">
        <v>342</v>
      </c>
      <c r="W6448" t="s">
        <v>346</v>
      </c>
      <c r="X6448" t="s">
        <v>351</v>
      </c>
      <c r="AK6448" t="s">
        <v>363</v>
      </c>
    </row>
    <row r="6449" spans="1:37">
      <c r="B6449" t="s">
        <v>57</v>
      </c>
      <c r="C6449" t="s">
        <v>79</v>
      </c>
      <c r="D6449" t="s">
        <v>98</v>
      </c>
      <c r="E6449" t="s">
        <v>117</v>
      </c>
      <c r="F6449" t="s">
        <v>151</v>
      </c>
      <c r="G6449" t="s">
        <v>177</v>
      </c>
      <c r="H6449" t="s">
        <v>212</v>
      </c>
      <c r="I6449" t="s">
        <v>232</v>
      </c>
      <c r="J6449" t="s">
        <v>251</v>
      </c>
      <c r="K6449" t="s">
        <v>265</v>
      </c>
      <c r="L6449" t="s">
        <v>277</v>
      </c>
      <c r="M6449" t="s">
        <v>286</v>
      </c>
      <c r="N6449" t="s">
        <v>296</v>
      </c>
      <c r="O6449" t="s">
        <v>304</v>
      </c>
      <c r="P6449" t="s">
        <v>311</v>
      </c>
      <c r="Q6449" t="s">
        <v>318</v>
      </c>
      <c r="R6449" t="s">
        <v>185</v>
      </c>
      <c r="S6449" t="s">
        <v>159</v>
      </c>
      <c r="T6449" t="s">
        <v>185</v>
      </c>
      <c r="U6449" t="s">
        <v>339</v>
      </c>
      <c r="V6449" t="s">
        <v>72</v>
      </c>
      <c r="W6449" t="s">
        <v>347</v>
      </c>
      <c r="X6449" t="s">
        <v>72</v>
      </c>
      <c r="Y6449" t="s">
        <v>96</v>
      </c>
      <c r="AK6449" t="s">
        <v>363</v>
      </c>
    </row>
    <row r="6450" spans="1:37">
      <c r="B6450" t="s">
        <v>58</v>
      </c>
      <c r="C6450" t="s">
        <v>80</v>
      </c>
      <c r="D6450" t="s">
        <v>99</v>
      </c>
      <c r="E6450" t="s">
        <v>118</v>
      </c>
      <c r="F6450" t="s">
        <v>152</v>
      </c>
      <c r="G6450" t="s">
        <v>178</v>
      </c>
      <c r="H6450" t="s">
        <v>213</v>
      </c>
      <c r="I6450" t="s">
        <v>233</v>
      </c>
      <c r="J6450" t="s">
        <v>252</v>
      </c>
      <c r="K6450" t="s">
        <v>266</v>
      </c>
      <c r="L6450" t="s">
        <v>278</v>
      </c>
      <c r="M6450" t="s">
        <v>287</v>
      </c>
      <c r="N6450" t="s">
        <v>297</v>
      </c>
      <c r="O6450" t="s">
        <v>305</v>
      </c>
      <c r="P6450" t="s">
        <v>312</v>
      </c>
      <c r="Q6450" t="s">
        <v>319</v>
      </c>
      <c r="R6450">
        <f>&gt;10       ветра      2.6     15   9</f>
        <v>0</v>
      </c>
      <c r="AK6450" t="s">
        <v>363</v>
      </c>
    </row>
    <row r="6451" spans="1:37">
      <c r="A6451" t="s">
        <v>40</v>
      </c>
      <c r="B6451" t="s">
        <v>59</v>
      </c>
      <c r="C6451" t="s">
        <v>81</v>
      </c>
      <c r="D6451" t="s">
        <v>100</v>
      </c>
      <c r="E6451" t="s">
        <v>119</v>
      </c>
      <c r="F6451" t="s">
        <v>153</v>
      </c>
      <c r="G6451" t="s">
        <v>179</v>
      </c>
      <c r="H6451" t="s">
        <v>214</v>
      </c>
      <c r="I6451" t="s">
        <v>234</v>
      </c>
      <c r="AK6451" t="s">
        <v>363</v>
      </c>
    </row>
    <row r="6452" spans="1:37">
      <c r="A6452" t="s">
        <v>40</v>
      </c>
      <c r="B6452" t="s">
        <v>60</v>
      </c>
      <c r="C6452" t="s">
        <v>82</v>
      </c>
      <c r="D6452" t="s">
        <v>101</v>
      </c>
      <c r="E6452" t="s">
        <v>120</v>
      </c>
      <c r="F6452" t="s">
        <v>154</v>
      </c>
      <c r="G6452" t="s">
        <v>180</v>
      </c>
      <c r="H6452" t="s">
        <v>215</v>
      </c>
      <c r="I6452" t="s">
        <v>235</v>
      </c>
      <c r="J6452" t="s">
        <v>253</v>
      </c>
      <c r="K6452" t="s">
        <v>267</v>
      </c>
      <c r="L6452" t="s">
        <v>279</v>
      </c>
      <c r="M6452" t="s">
        <v>288</v>
      </c>
      <c r="N6452" t="s">
        <v>100</v>
      </c>
      <c r="O6452" t="s">
        <v>306</v>
      </c>
      <c r="P6452" t="s">
        <v>313</v>
      </c>
      <c r="Q6452" t="s">
        <v>320</v>
      </c>
      <c r="R6452" t="s">
        <v>325</v>
      </c>
      <c r="S6452" t="s">
        <v>332</v>
      </c>
      <c r="T6452" t="s">
        <v>119</v>
      </c>
      <c r="U6452" t="s">
        <v>234</v>
      </c>
      <c r="V6452" t="s">
        <v>343</v>
      </c>
      <c r="W6452" t="s">
        <v>348</v>
      </c>
      <c r="X6452" t="s">
        <v>352</v>
      </c>
      <c r="Y6452" t="s">
        <v>354</v>
      </c>
      <c r="AK6452" t="s">
        <v>363</v>
      </c>
    </row>
    <row r="6453" spans="1:37">
      <c r="A6453" t="s">
        <v>41</v>
      </c>
      <c r="B6453" t="s">
        <v>61</v>
      </c>
      <c r="C6453" t="s">
        <v>83</v>
      </c>
      <c r="D6453" t="s">
        <v>102</v>
      </c>
      <c r="E6453" t="s">
        <v>121</v>
      </c>
      <c r="F6453" t="s">
        <v>155</v>
      </c>
      <c r="G6453" t="s">
        <v>181</v>
      </c>
      <c r="H6453" t="s">
        <v>216</v>
      </c>
      <c r="I6453" t="s">
        <v>236</v>
      </c>
      <c r="AK6453" t="s">
        <v>363</v>
      </c>
    </row>
    <row r="6454" spans="1:37">
      <c r="A6454" t="s">
        <v>42</v>
      </c>
      <c r="B6454" t="s">
        <v>62</v>
      </c>
      <c r="C6454" t="s">
        <v>84</v>
      </c>
      <c r="D6454" t="s">
        <v>103</v>
      </c>
      <c r="E6454" t="s">
        <v>122</v>
      </c>
      <c r="F6454" t="s">
        <v>156</v>
      </c>
      <c r="G6454" t="s">
        <v>182</v>
      </c>
      <c r="H6454" t="s">
        <v>83</v>
      </c>
      <c r="I6454" t="s">
        <v>237</v>
      </c>
      <c r="J6454" t="s">
        <v>254</v>
      </c>
      <c r="K6454" t="s">
        <v>268</v>
      </c>
      <c r="L6454" t="s">
        <v>280</v>
      </c>
      <c r="M6454" t="s">
        <v>289</v>
      </c>
      <c r="N6454" t="s">
        <v>298</v>
      </c>
      <c r="O6454" t="s">
        <v>307</v>
      </c>
      <c r="P6454" t="s">
        <v>314</v>
      </c>
      <c r="Q6454" t="s">
        <v>216</v>
      </c>
      <c r="R6454" t="s">
        <v>326</v>
      </c>
      <c r="S6454" t="s">
        <v>333</v>
      </c>
      <c r="T6454" t="s">
        <v>335</v>
      </c>
      <c r="U6454" t="s">
        <v>340</v>
      </c>
      <c r="V6454" t="s">
        <v>344</v>
      </c>
      <c r="W6454" t="s">
        <v>349</v>
      </c>
      <c r="AK6454" t="s">
        <v>363</v>
      </c>
    </row>
    <row r="6455" spans="1:37">
      <c r="A6455" t="s">
        <v>43</v>
      </c>
      <c r="B6455" t="s">
        <v>63</v>
      </c>
      <c r="C6455" t="s">
        <v>85</v>
      </c>
      <c r="D6455" t="s">
        <v>104</v>
      </c>
      <c r="E6455" t="s">
        <v>123</v>
      </c>
      <c r="F6455" t="s">
        <v>157</v>
      </c>
      <c r="G6455" t="s">
        <v>183</v>
      </c>
      <c r="AK6455" t="s">
        <v>363</v>
      </c>
    </row>
    <row r="6456" spans="1:37">
      <c r="A6456" t="s">
        <v>44</v>
      </c>
      <c r="B6456" t="s">
        <v>64</v>
      </c>
      <c r="C6456" t="s">
        <v>86</v>
      </c>
      <c r="D6456" t="s">
        <v>105</v>
      </c>
      <c r="E6456" t="s">
        <v>124</v>
      </c>
      <c r="F6456" t="s">
        <v>158</v>
      </c>
      <c r="G6456" t="s">
        <v>184</v>
      </c>
      <c r="AK6456" t="s">
        <v>363</v>
      </c>
    </row>
    <row r="6457" spans="1:37">
      <c r="A6457" t="s">
        <v>45</v>
      </c>
      <c r="B6457" t="s">
        <v>65</v>
      </c>
      <c r="C6457" t="s">
        <v>87</v>
      </c>
      <c r="D6457" t="s">
        <v>106</v>
      </c>
      <c r="E6457" t="s">
        <v>125</v>
      </c>
      <c r="F6457" t="s">
        <v>159</v>
      </c>
      <c r="G6457" t="s">
        <v>185</v>
      </c>
      <c r="H6457" t="s">
        <v>159</v>
      </c>
      <c r="I6457" t="s">
        <v>185</v>
      </c>
      <c r="J6457" t="s">
        <v>255</v>
      </c>
      <c r="AK6457" t="s">
        <v>363</v>
      </c>
    </row>
    <row r="6458" spans="1:37">
      <c r="A6458" t="s">
        <v>46</v>
      </c>
      <c r="B6458" t="s">
        <v>66</v>
      </c>
      <c r="C6458" t="s">
        <v>88</v>
      </c>
      <c r="D6458" t="s">
        <v>76</v>
      </c>
      <c r="E6458" t="s">
        <v>126</v>
      </c>
      <c r="F6458" t="s">
        <v>160</v>
      </c>
      <c r="G6458" t="s">
        <v>186</v>
      </c>
      <c r="H6458" t="s">
        <v>217</v>
      </c>
      <c r="I6458" t="s">
        <v>238</v>
      </c>
      <c r="J6458" t="s">
        <v>256</v>
      </c>
      <c r="K6458" t="s">
        <v>265</v>
      </c>
      <c r="L6458" t="s">
        <v>281</v>
      </c>
      <c r="M6458" t="s">
        <v>290</v>
      </c>
      <c r="N6458" t="s">
        <v>299</v>
      </c>
      <c r="O6458" t="s">
        <v>308</v>
      </c>
      <c r="P6458" t="s">
        <v>228</v>
      </c>
      <c r="Q6458" t="s">
        <v>72</v>
      </c>
      <c r="R6458" t="s">
        <v>327</v>
      </c>
      <c r="S6458" t="s">
        <v>327</v>
      </c>
      <c r="T6458" t="s">
        <v>336</v>
      </c>
      <c r="U6458" t="s">
        <v>336</v>
      </c>
      <c r="V6458" t="s">
        <v>336</v>
      </c>
      <c r="W6458" t="s">
        <v>336</v>
      </c>
      <c r="X6458" t="s">
        <v>353</v>
      </c>
      <c r="AK6458" t="s">
        <v>363</v>
      </c>
    </row>
    <row r="6459" spans="1:37">
      <c r="B6459" t="s">
        <v>67</v>
      </c>
      <c r="C6459" t="s">
        <v>89</v>
      </c>
      <c r="D6459" t="s">
        <v>107</v>
      </c>
      <c r="AK6459" t="s">
        <v>363</v>
      </c>
    </row>
    <row r="6460" spans="1:37">
      <c r="B6460" t="s">
        <v>68</v>
      </c>
      <c r="C6460" t="s">
        <v>90</v>
      </c>
      <c r="D6460" t="s">
        <v>108</v>
      </c>
      <c r="AK6460" t="s">
        <v>363</v>
      </c>
    </row>
    <row r="6461" spans="1:37">
      <c r="A6461" t="s">
        <v>47</v>
      </c>
      <c r="B6461" t="s">
        <v>69</v>
      </c>
      <c r="C6461" t="s">
        <v>91</v>
      </c>
      <c r="D6461" t="s">
        <v>109</v>
      </c>
      <c r="E6461" t="s">
        <v>109</v>
      </c>
      <c r="F6461" t="s">
        <v>109</v>
      </c>
      <c r="G6461" t="s">
        <v>109</v>
      </c>
      <c r="H6461" t="s">
        <v>109</v>
      </c>
      <c r="I6461" t="s">
        <v>239</v>
      </c>
      <c r="AK6461" t="s">
        <v>363</v>
      </c>
    </row>
    <row r="6462" spans="1:37">
      <c r="B6462" t="s">
        <v>70</v>
      </c>
      <c r="C6462" t="s">
        <v>92</v>
      </c>
      <c r="D6462" t="s">
        <v>110</v>
      </c>
      <c r="E6462" t="s">
        <v>127</v>
      </c>
      <c r="F6462" t="s">
        <v>161</v>
      </c>
      <c r="G6462" t="s">
        <v>187</v>
      </c>
      <c r="H6462" t="s">
        <v>218</v>
      </c>
      <c r="AK6462" t="s">
        <v>363</v>
      </c>
    </row>
    <row r="6463" spans="1:37">
      <c r="B6463" t="s">
        <v>71</v>
      </c>
      <c r="C6463" t="s">
        <v>93</v>
      </c>
      <c r="D6463" t="s">
        <v>111</v>
      </c>
      <c r="E6463" t="s">
        <v>128</v>
      </c>
      <c r="F6463" t="s">
        <v>162</v>
      </c>
      <c r="G6463" t="s">
        <v>188</v>
      </c>
      <c r="H6463" t="s">
        <v>219</v>
      </c>
      <c r="I6463" t="s">
        <v>240</v>
      </c>
      <c r="J6463" t="s">
        <v>257</v>
      </c>
      <c r="K6463" t="s">
        <v>269</v>
      </c>
      <c r="L6463" t="s">
        <v>109</v>
      </c>
      <c r="M6463" t="s">
        <v>109</v>
      </c>
      <c r="N6463" t="s">
        <v>109</v>
      </c>
      <c r="O6463" t="s">
        <v>109</v>
      </c>
      <c r="P6463" t="s">
        <v>109</v>
      </c>
      <c r="Q6463" t="s">
        <v>321</v>
      </c>
      <c r="AK6463" t="s">
        <v>363</v>
      </c>
    </row>
    <row r="6464" spans="1:37">
      <c r="A6464" t="s">
        <v>48</v>
      </c>
      <c r="B6464" t="s">
        <v>71</v>
      </c>
      <c r="C6464" t="s">
        <v>93</v>
      </c>
      <c r="D6464" t="s">
        <v>111</v>
      </c>
      <c r="E6464" t="s">
        <v>128</v>
      </c>
      <c r="F6464" t="s">
        <v>163</v>
      </c>
      <c r="G6464" t="s">
        <v>189</v>
      </c>
      <c r="H6464" t="s">
        <v>220</v>
      </c>
      <c r="I6464" t="s">
        <v>241</v>
      </c>
      <c r="J6464" t="s">
        <v>258</v>
      </c>
      <c r="K6464" t="s">
        <v>270</v>
      </c>
      <c r="AK6464" t="s">
        <v>363</v>
      </c>
    </row>
    <row r="6465" spans="1:37">
      <c r="B6465" t="s">
        <v>72</v>
      </c>
      <c r="C6465" t="s">
        <v>72</v>
      </c>
      <c r="D6465" t="s">
        <v>72</v>
      </c>
      <c r="E6465" t="s">
        <v>72</v>
      </c>
      <c r="F6465" t="s">
        <v>72</v>
      </c>
      <c r="G6465" t="s">
        <v>72</v>
      </c>
      <c r="H6465" t="s">
        <v>72</v>
      </c>
      <c r="I6465" t="s">
        <v>72</v>
      </c>
      <c r="J6465" t="s">
        <v>72</v>
      </c>
      <c r="K6465" t="s">
        <v>272</v>
      </c>
      <c r="AK6465" t="s">
        <v>363</v>
      </c>
    </row>
    <row r="6466" spans="1:37">
      <c r="A6466" t="s">
        <v>37</v>
      </c>
      <c r="B6466" t="s">
        <v>49</v>
      </c>
      <c r="C6466" t="s">
        <v>73</v>
      </c>
      <c r="D6466" t="s">
        <v>94</v>
      </c>
      <c r="E6466" t="s">
        <v>112</v>
      </c>
      <c r="F6466" t="s">
        <v>146</v>
      </c>
      <c r="G6466" t="s">
        <v>172</v>
      </c>
      <c r="H6466" t="s">
        <v>207</v>
      </c>
      <c r="I6466" t="s">
        <v>226</v>
      </c>
      <c r="J6466" t="s">
        <v>246</v>
      </c>
      <c r="K6466" t="s">
        <v>259</v>
      </c>
      <c r="AK6466" t="s">
        <v>364</v>
      </c>
    </row>
    <row r="6467" spans="1:37">
      <c r="A6467" t="s">
        <v>38</v>
      </c>
      <c r="B6467" t="s">
        <v>50</v>
      </c>
      <c r="C6467" t="s">
        <v>74</v>
      </c>
      <c r="D6467" t="s">
        <v>95</v>
      </c>
      <c r="E6467" t="s">
        <v>113</v>
      </c>
      <c r="F6467" t="s">
        <v>147</v>
      </c>
      <c r="G6467" t="s">
        <v>173</v>
      </c>
      <c r="H6467" t="s">
        <v>208</v>
      </c>
      <c r="I6467" t="s">
        <v>227</v>
      </c>
      <c r="J6467" t="s">
        <v>115</v>
      </c>
      <c r="K6467" t="s">
        <v>260</v>
      </c>
      <c r="L6467" t="s">
        <v>273</v>
      </c>
      <c r="M6467" t="s">
        <v>282</v>
      </c>
      <c r="N6467" t="s">
        <v>291</v>
      </c>
      <c r="AK6467" t="s">
        <v>364</v>
      </c>
    </row>
    <row r="6468" spans="1:37">
      <c r="B6468" t="s">
        <v>51</v>
      </c>
      <c r="C6468" t="s">
        <v>75</v>
      </c>
      <c r="D6468" t="s">
        <v>52</v>
      </c>
      <c r="E6468" t="s">
        <v>114</v>
      </c>
      <c r="F6468" t="s">
        <v>148</v>
      </c>
      <c r="G6468" t="s">
        <v>148</v>
      </c>
      <c r="H6468" t="s">
        <v>209</v>
      </c>
      <c r="I6468" t="s">
        <v>228</v>
      </c>
      <c r="J6468" t="s">
        <v>247</v>
      </c>
      <c r="K6468" t="s">
        <v>261</v>
      </c>
      <c r="L6468" t="s">
        <v>274</v>
      </c>
      <c r="M6468" t="s">
        <v>283</v>
      </c>
      <c r="N6468" t="s">
        <v>292</v>
      </c>
      <c r="O6468" t="s">
        <v>300</v>
      </c>
      <c r="AK6468" t="s">
        <v>364</v>
      </c>
    </row>
    <row r="6469" spans="1:37">
      <c r="B6469" t="s">
        <v>52</v>
      </c>
      <c r="C6469" t="s">
        <v>76</v>
      </c>
      <c r="D6469" t="s">
        <v>96</v>
      </c>
      <c r="E6469" t="s">
        <v>115</v>
      </c>
      <c r="F6469" t="s">
        <v>149</v>
      </c>
      <c r="G6469" t="s">
        <v>174</v>
      </c>
      <c r="H6469" t="s">
        <v>96</v>
      </c>
      <c r="I6469" t="s">
        <v>229</v>
      </c>
      <c r="J6469" t="s">
        <v>248</v>
      </c>
      <c r="K6469" t="s">
        <v>262</v>
      </c>
      <c r="L6469" t="s">
        <v>52</v>
      </c>
      <c r="M6469" t="s">
        <v>76</v>
      </c>
      <c r="N6469" t="s">
        <v>293</v>
      </c>
      <c r="O6469" t="s">
        <v>301</v>
      </c>
      <c r="P6469" t="s">
        <v>309</v>
      </c>
      <c r="Q6469" t="s">
        <v>315</v>
      </c>
      <c r="R6469" t="s">
        <v>228</v>
      </c>
      <c r="S6469" t="s">
        <v>328</v>
      </c>
      <c r="T6469" t="s">
        <v>149</v>
      </c>
      <c r="U6469" t="s">
        <v>337</v>
      </c>
      <c r="V6469" t="s">
        <v>341</v>
      </c>
      <c r="W6469" t="s">
        <v>345</v>
      </c>
      <c r="X6469" t="s">
        <v>350</v>
      </c>
      <c r="AK6469" t="s">
        <v>364</v>
      </c>
    </row>
    <row r="6470" spans="1:37">
      <c r="B6470" t="s">
        <v>53</v>
      </c>
      <c r="C6470" t="s">
        <v>77</v>
      </c>
      <c r="D6470" t="s">
        <v>97</v>
      </c>
      <c r="E6470" t="s">
        <v>116</v>
      </c>
      <c r="F6470" t="s">
        <v>150</v>
      </c>
      <c r="G6470" t="s">
        <v>175</v>
      </c>
      <c r="H6470" t="s">
        <v>210</v>
      </c>
      <c r="I6470" t="s">
        <v>230</v>
      </c>
      <c r="J6470" t="s">
        <v>249</v>
      </c>
      <c r="K6470" t="s">
        <v>263</v>
      </c>
      <c r="L6470" t="s">
        <v>275</v>
      </c>
      <c r="M6470" t="s">
        <v>284</v>
      </c>
      <c r="N6470" t="s">
        <v>294</v>
      </c>
      <c r="O6470" t="s">
        <v>302</v>
      </c>
      <c r="P6470" t="s">
        <v>310</v>
      </c>
      <c r="Q6470" t="s">
        <v>316</v>
      </c>
      <c r="R6470" t="s">
        <v>322</v>
      </c>
      <c r="S6470" t="s">
        <v>329</v>
      </c>
      <c r="AK6470" t="s">
        <v>364</v>
      </c>
    </row>
    <row r="6471" spans="1:37">
      <c r="A6471" t="s">
        <v>39</v>
      </c>
      <c r="B6471" t="s">
        <v>54</v>
      </c>
      <c r="C6471" t="s">
        <v>54</v>
      </c>
      <c r="D6471" t="s">
        <v>54</v>
      </c>
      <c r="E6471" t="s">
        <v>54</v>
      </c>
      <c r="F6471" t="s">
        <v>54</v>
      </c>
      <c r="G6471" t="s">
        <v>54</v>
      </c>
      <c r="H6471" t="s">
        <v>54</v>
      </c>
      <c r="I6471" t="s">
        <v>54</v>
      </c>
      <c r="J6471" t="s">
        <v>54</v>
      </c>
      <c r="K6471" t="s">
        <v>54</v>
      </c>
      <c r="L6471" t="s">
        <v>54</v>
      </c>
      <c r="M6471" t="s">
        <v>54</v>
      </c>
      <c r="N6471" t="s">
        <v>54</v>
      </c>
      <c r="O6471" t="s">
        <v>54</v>
      </c>
      <c r="P6471" t="s">
        <v>54</v>
      </c>
      <c r="Q6471" t="s">
        <v>54</v>
      </c>
      <c r="R6471" t="s">
        <v>323</v>
      </c>
      <c r="S6471" t="s">
        <v>330</v>
      </c>
      <c r="AK6471" t="s">
        <v>364</v>
      </c>
    </row>
    <row r="6472" spans="1:37">
      <c r="B6472" t="s">
        <v>55</v>
      </c>
      <c r="C6472" t="s">
        <v>78</v>
      </c>
      <c r="D6472" t="s">
        <v>55</v>
      </c>
      <c r="E6472" t="s">
        <v>78</v>
      </c>
      <c r="F6472" t="s">
        <v>55</v>
      </c>
      <c r="G6472" t="s">
        <v>78</v>
      </c>
      <c r="H6472" t="s">
        <v>55</v>
      </c>
      <c r="I6472" t="s">
        <v>78</v>
      </c>
      <c r="J6472" t="s">
        <v>55</v>
      </c>
      <c r="K6472" t="s">
        <v>78</v>
      </c>
      <c r="L6472" t="s">
        <v>55</v>
      </c>
      <c r="M6472" t="s">
        <v>78</v>
      </c>
      <c r="N6472" t="s">
        <v>55</v>
      </c>
      <c r="O6472" t="s">
        <v>78</v>
      </c>
      <c r="P6472" t="s">
        <v>55</v>
      </c>
      <c r="Q6472" t="s">
        <v>78</v>
      </c>
      <c r="R6472" t="s">
        <v>55</v>
      </c>
      <c r="S6472" t="s">
        <v>78</v>
      </c>
      <c r="T6472" t="s">
        <v>55</v>
      </c>
      <c r="U6472" t="s">
        <v>78</v>
      </c>
      <c r="V6472" t="s">
        <v>55</v>
      </c>
      <c r="W6472" t="s">
        <v>78</v>
      </c>
      <c r="X6472" t="s">
        <v>55</v>
      </c>
      <c r="Y6472" t="s">
        <v>78</v>
      </c>
      <c r="Z6472" t="s">
        <v>55</v>
      </c>
      <c r="AA6472" t="s">
        <v>78</v>
      </c>
      <c r="AB6472" t="s">
        <v>55</v>
      </c>
      <c r="AC6472" t="s">
        <v>78</v>
      </c>
      <c r="AD6472" t="s">
        <v>55</v>
      </c>
      <c r="AE6472" t="s">
        <v>78</v>
      </c>
      <c r="AF6472" t="s">
        <v>55</v>
      </c>
      <c r="AG6472" t="s">
        <v>78</v>
      </c>
      <c r="AH6472" t="s">
        <v>55</v>
      </c>
      <c r="AI6472" t="s">
        <v>78</v>
      </c>
      <c r="AK6472" t="s">
        <v>364</v>
      </c>
    </row>
    <row r="6473" spans="1:37">
      <c r="B6473" t="s">
        <v>56</v>
      </c>
      <c r="C6473" t="s">
        <v>56</v>
      </c>
      <c r="D6473" t="s">
        <v>56</v>
      </c>
      <c r="E6473" t="s">
        <v>56</v>
      </c>
      <c r="F6473" t="s">
        <v>56</v>
      </c>
      <c r="G6473" t="s">
        <v>176</v>
      </c>
      <c r="H6473" t="s">
        <v>211</v>
      </c>
      <c r="I6473" t="s">
        <v>231</v>
      </c>
      <c r="J6473" t="s">
        <v>250</v>
      </c>
      <c r="K6473" t="s">
        <v>264</v>
      </c>
      <c r="L6473" t="s">
        <v>276</v>
      </c>
      <c r="M6473" t="s">
        <v>285</v>
      </c>
      <c r="N6473" t="s">
        <v>295</v>
      </c>
      <c r="O6473" t="s">
        <v>303</v>
      </c>
      <c r="P6473" t="s">
        <v>56</v>
      </c>
      <c r="Q6473" t="s">
        <v>317</v>
      </c>
      <c r="R6473" t="s">
        <v>324</v>
      </c>
      <c r="S6473" t="s">
        <v>331</v>
      </c>
      <c r="T6473" t="s">
        <v>334</v>
      </c>
      <c r="U6473" t="s">
        <v>338</v>
      </c>
      <c r="V6473" t="s">
        <v>342</v>
      </c>
      <c r="W6473" t="s">
        <v>346</v>
      </c>
      <c r="X6473" t="s">
        <v>351</v>
      </c>
      <c r="AK6473" t="s">
        <v>364</v>
      </c>
    </row>
    <row r="6474" spans="1:37">
      <c r="B6474" t="s">
        <v>57</v>
      </c>
      <c r="C6474" t="s">
        <v>79</v>
      </c>
      <c r="D6474" t="s">
        <v>98</v>
      </c>
      <c r="E6474" t="s">
        <v>117</v>
      </c>
      <c r="F6474" t="s">
        <v>151</v>
      </c>
      <c r="G6474" t="s">
        <v>177</v>
      </c>
      <c r="H6474" t="s">
        <v>212</v>
      </c>
      <c r="I6474" t="s">
        <v>232</v>
      </c>
      <c r="J6474" t="s">
        <v>251</v>
      </c>
      <c r="K6474" t="s">
        <v>265</v>
      </c>
      <c r="L6474" t="s">
        <v>277</v>
      </c>
      <c r="M6474" t="s">
        <v>286</v>
      </c>
      <c r="N6474" t="s">
        <v>296</v>
      </c>
      <c r="O6474" t="s">
        <v>304</v>
      </c>
      <c r="P6474" t="s">
        <v>311</v>
      </c>
      <c r="Q6474" t="s">
        <v>318</v>
      </c>
      <c r="R6474" t="s">
        <v>185</v>
      </c>
      <c r="S6474" t="s">
        <v>159</v>
      </c>
      <c r="T6474" t="s">
        <v>185</v>
      </c>
      <c r="U6474" t="s">
        <v>339</v>
      </c>
      <c r="V6474" t="s">
        <v>72</v>
      </c>
      <c r="W6474" t="s">
        <v>347</v>
      </c>
      <c r="X6474" t="s">
        <v>72</v>
      </c>
      <c r="Y6474" t="s">
        <v>96</v>
      </c>
      <c r="AK6474" t="s">
        <v>364</v>
      </c>
    </row>
    <row r="6475" spans="1:37">
      <c r="B6475" t="s">
        <v>58</v>
      </c>
      <c r="C6475" t="s">
        <v>80</v>
      </c>
      <c r="D6475" t="s">
        <v>99</v>
      </c>
      <c r="E6475" t="s">
        <v>118</v>
      </c>
      <c r="F6475" t="s">
        <v>152</v>
      </c>
      <c r="G6475" t="s">
        <v>178</v>
      </c>
      <c r="H6475" t="s">
        <v>213</v>
      </c>
      <c r="I6475" t="s">
        <v>233</v>
      </c>
      <c r="J6475" t="s">
        <v>252</v>
      </c>
      <c r="K6475" t="s">
        <v>266</v>
      </c>
      <c r="L6475" t="s">
        <v>278</v>
      </c>
      <c r="M6475" t="s">
        <v>287</v>
      </c>
      <c r="N6475" t="s">
        <v>297</v>
      </c>
      <c r="O6475" t="s">
        <v>305</v>
      </c>
      <c r="P6475" t="s">
        <v>312</v>
      </c>
      <c r="Q6475" t="s">
        <v>319</v>
      </c>
      <c r="R6475">
        <f>&gt;10       ветра      1.2     17  12</f>
        <v>0</v>
      </c>
      <c r="AK6475" t="s">
        <v>364</v>
      </c>
    </row>
    <row r="6476" spans="1:37">
      <c r="A6476" t="s">
        <v>40</v>
      </c>
      <c r="B6476" t="s">
        <v>59</v>
      </c>
      <c r="C6476" t="s">
        <v>81</v>
      </c>
      <c r="D6476" t="s">
        <v>100</v>
      </c>
      <c r="E6476" t="s">
        <v>119</v>
      </c>
      <c r="F6476" t="s">
        <v>153</v>
      </c>
      <c r="G6476" t="s">
        <v>179</v>
      </c>
      <c r="H6476" t="s">
        <v>214</v>
      </c>
      <c r="I6476" t="s">
        <v>234</v>
      </c>
      <c r="AK6476" t="s">
        <v>364</v>
      </c>
    </row>
    <row r="6477" spans="1:37">
      <c r="A6477" t="s">
        <v>40</v>
      </c>
      <c r="B6477" t="s">
        <v>60</v>
      </c>
      <c r="C6477" t="s">
        <v>82</v>
      </c>
      <c r="D6477" t="s">
        <v>101</v>
      </c>
      <c r="E6477" t="s">
        <v>120</v>
      </c>
      <c r="F6477" t="s">
        <v>154</v>
      </c>
      <c r="G6477" t="s">
        <v>180</v>
      </c>
      <c r="H6477" t="s">
        <v>215</v>
      </c>
      <c r="I6477" t="s">
        <v>235</v>
      </c>
      <c r="J6477" t="s">
        <v>253</v>
      </c>
      <c r="K6477" t="s">
        <v>267</v>
      </c>
      <c r="L6477" t="s">
        <v>279</v>
      </c>
      <c r="M6477" t="s">
        <v>288</v>
      </c>
      <c r="N6477" t="s">
        <v>100</v>
      </c>
      <c r="O6477" t="s">
        <v>306</v>
      </c>
      <c r="P6477" t="s">
        <v>313</v>
      </c>
      <c r="Q6477" t="s">
        <v>320</v>
      </c>
      <c r="R6477" t="s">
        <v>325</v>
      </c>
      <c r="S6477" t="s">
        <v>332</v>
      </c>
      <c r="T6477" t="s">
        <v>119</v>
      </c>
      <c r="U6477" t="s">
        <v>234</v>
      </c>
      <c r="V6477" t="s">
        <v>343</v>
      </c>
      <c r="W6477" t="s">
        <v>348</v>
      </c>
      <c r="X6477" t="s">
        <v>352</v>
      </c>
      <c r="Y6477" t="s">
        <v>354</v>
      </c>
      <c r="AK6477" t="s">
        <v>364</v>
      </c>
    </row>
    <row r="6478" spans="1:37">
      <c r="A6478" t="s">
        <v>41</v>
      </c>
      <c r="B6478" t="s">
        <v>61</v>
      </c>
      <c r="C6478" t="s">
        <v>83</v>
      </c>
      <c r="D6478" t="s">
        <v>102</v>
      </c>
      <c r="E6478" t="s">
        <v>121</v>
      </c>
      <c r="F6478" t="s">
        <v>155</v>
      </c>
      <c r="G6478" t="s">
        <v>181</v>
      </c>
      <c r="H6478" t="s">
        <v>216</v>
      </c>
      <c r="I6478" t="s">
        <v>236</v>
      </c>
      <c r="AK6478" t="s">
        <v>364</v>
      </c>
    </row>
    <row r="6479" spans="1:37">
      <c r="A6479" t="s">
        <v>42</v>
      </c>
      <c r="B6479" t="s">
        <v>62</v>
      </c>
      <c r="C6479" t="s">
        <v>84</v>
      </c>
      <c r="D6479" t="s">
        <v>103</v>
      </c>
      <c r="E6479" t="s">
        <v>122</v>
      </c>
      <c r="F6479" t="s">
        <v>156</v>
      </c>
      <c r="G6479" t="s">
        <v>182</v>
      </c>
      <c r="H6479" t="s">
        <v>83</v>
      </c>
      <c r="I6479" t="s">
        <v>237</v>
      </c>
      <c r="J6479" t="s">
        <v>254</v>
      </c>
      <c r="K6479" t="s">
        <v>268</v>
      </c>
      <c r="L6479" t="s">
        <v>280</v>
      </c>
      <c r="M6479" t="s">
        <v>289</v>
      </c>
      <c r="N6479" t="s">
        <v>298</v>
      </c>
      <c r="O6479" t="s">
        <v>307</v>
      </c>
      <c r="P6479" t="s">
        <v>314</v>
      </c>
      <c r="Q6479" t="s">
        <v>216</v>
      </c>
      <c r="R6479" t="s">
        <v>326</v>
      </c>
      <c r="S6479" t="s">
        <v>333</v>
      </c>
      <c r="T6479" t="s">
        <v>335</v>
      </c>
      <c r="U6479" t="s">
        <v>340</v>
      </c>
      <c r="V6479" t="s">
        <v>344</v>
      </c>
      <c r="W6479" t="s">
        <v>349</v>
      </c>
      <c r="AK6479" t="s">
        <v>364</v>
      </c>
    </row>
    <row r="6480" spans="1:37">
      <c r="A6480" t="s">
        <v>43</v>
      </c>
      <c r="B6480" t="s">
        <v>63</v>
      </c>
      <c r="C6480" t="s">
        <v>85</v>
      </c>
      <c r="D6480" t="s">
        <v>104</v>
      </c>
      <c r="E6480" t="s">
        <v>123</v>
      </c>
      <c r="F6480" t="s">
        <v>157</v>
      </c>
      <c r="G6480" t="s">
        <v>183</v>
      </c>
      <c r="AK6480" t="s">
        <v>364</v>
      </c>
    </row>
    <row r="6481" spans="1:37">
      <c r="A6481" t="s">
        <v>44</v>
      </c>
      <c r="B6481" t="s">
        <v>64</v>
      </c>
      <c r="C6481" t="s">
        <v>86</v>
      </c>
      <c r="D6481" t="s">
        <v>105</v>
      </c>
      <c r="E6481" t="s">
        <v>124</v>
      </c>
      <c r="F6481" t="s">
        <v>158</v>
      </c>
      <c r="G6481" t="s">
        <v>184</v>
      </c>
      <c r="AK6481" t="s">
        <v>364</v>
      </c>
    </row>
    <row r="6482" spans="1:37">
      <c r="A6482" t="s">
        <v>45</v>
      </c>
      <c r="B6482" t="s">
        <v>65</v>
      </c>
      <c r="C6482" t="s">
        <v>87</v>
      </c>
      <c r="D6482" t="s">
        <v>106</v>
      </c>
      <c r="E6482" t="s">
        <v>125</v>
      </c>
      <c r="F6482" t="s">
        <v>159</v>
      </c>
      <c r="G6482" t="s">
        <v>185</v>
      </c>
      <c r="H6482" t="s">
        <v>159</v>
      </c>
      <c r="I6482" t="s">
        <v>185</v>
      </c>
      <c r="J6482" t="s">
        <v>255</v>
      </c>
      <c r="AK6482" t="s">
        <v>364</v>
      </c>
    </row>
    <row r="6483" spans="1:37">
      <c r="A6483" t="s">
        <v>46</v>
      </c>
      <c r="B6483" t="s">
        <v>66</v>
      </c>
      <c r="C6483" t="s">
        <v>88</v>
      </c>
      <c r="D6483" t="s">
        <v>76</v>
      </c>
      <c r="E6483" t="s">
        <v>126</v>
      </c>
      <c r="F6483" t="s">
        <v>160</v>
      </c>
      <c r="G6483" t="s">
        <v>186</v>
      </c>
      <c r="H6483" t="s">
        <v>217</v>
      </c>
      <c r="I6483" t="s">
        <v>238</v>
      </c>
      <c r="J6483" t="s">
        <v>256</v>
      </c>
      <c r="K6483" t="s">
        <v>265</v>
      </c>
      <c r="L6483" t="s">
        <v>281</v>
      </c>
      <c r="M6483" t="s">
        <v>290</v>
      </c>
      <c r="N6483" t="s">
        <v>299</v>
      </c>
      <c r="O6483" t="s">
        <v>308</v>
      </c>
      <c r="P6483" t="s">
        <v>228</v>
      </c>
      <c r="Q6483" t="s">
        <v>72</v>
      </c>
      <c r="R6483" t="s">
        <v>327</v>
      </c>
      <c r="S6483" t="s">
        <v>327</v>
      </c>
      <c r="T6483" t="s">
        <v>336</v>
      </c>
      <c r="U6483" t="s">
        <v>336</v>
      </c>
      <c r="V6483" t="s">
        <v>336</v>
      </c>
      <c r="W6483" t="s">
        <v>336</v>
      </c>
      <c r="X6483" t="s">
        <v>353</v>
      </c>
      <c r="AK6483" t="s">
        <v>364</v>
      </c>
    </row>
    <row r="6484" spans="1:37">
      <c r="B6484" t="s">
        <v>67</v>
      </c>
      <c r="C6484" t="s">
        <v>89</v>
      </c>
      <c r="D6484" t="s">
        <v>107</v>
      </c>
      <c r="AK6484" t="s">
        <v>364</v>
      </c>
    </row>
    <row r="6485" spans="1:37">
      <c r="B6485" t="s">
        <v>68</v>
      </c>
      <c r="C6485" t="s">
        <v>90</v>
      </c>
      <c r="D6485" t="s">
        <v>108</v>
      </c>
      <c r="AK6485" t="s">
        <v>364</v>
      </c>
    </row>
    <row r="6486" spans="1:37">
      <c r="A6486" t="s">
        <v>47</v>
      </c>
      <c r="B6486" t="s">
        <v>69</v>
      </c>
      <c r="C6486" t="s">
        <v>91</v>
      </c>
      <c r="D6486" t="s">
        <v>109</v>
      </c>
      <c r="E6486" t="s">
        <v>109</v>
      </c>
      <c r="F6486" t="s">
        <v>109</v>
      </c>
      <c r="G6486" t="s">
        <v>109</v>
      </c>
      <c r="H6486" t="s">
        <v>109</v>
      </c>
      <c r="I6486" t="s">
        <v>239</v>
      </c>
      <c r="AK6486" t="s">
        <v>364</v>
      </c>
    </row>
    <row r="6487" spans="1:37">
      <c r="B6487" t="s">
        <v>70</v>
      </c>
      <c r="C6487" t="s">
        <v>92</v>
      </c>
      <c r="D6487" t="s">
        <v>110</v>
      </c>
      <c r="E6487" t="s">
        <v>127</v>
      </c>
      <c r="F6487" t="s">
        <v>161</v>
      </c>
      <c r="G6487" t="s">
        <v>187</v>
      </c>
      <c r="H6487" t="s">
        <v>218</v>
      </c>
      <c r="AK6487" t="s">
        <v>364</v>
      </c>
    </row>
    <row r="6488" spans="1:37">
      <c r="B6488" t="s">
        <v>71</v>
      </c>
      <c r="C6488" t="s">
        <v>93</v>
      </c>
      <c r="D6488" t="s">
        <v>111</v>
      </c>
      <c r="E6488" t="s">
        <v>128</v>
      </c>
      <c r="F6488" t="s">
        <v>162</v>
      </c>
      <c r="G6488" t="s">
        <v>188</v>
      </c>
      <c r="H6488" t="s">
        <v>219</v>
      </c>
      <c r="I6488" t="s">
        <v>240</v>
      </c>
      <c r="J6488" t="s">
        <v>257</v>
      </c>
      <c r="K6488" t="s">
        <v>269</v>
      </c>
      <c r="L6488" t="s">
        <v>109</v>
      </c>
      <c r="M6488" t="s">
        <v>109</v>
      </c>
      <c r="N6488" t="s">
        <v>109</v>
      </c>
      <c r="O6488" t="s">
        <v>109</v>
      </c>
      <c r="P6488" t="s">
        <v>109</v>
      </c>
      <c r="Q6488" t="s">
        <v>321</v>
      </c>
      <c r="AK6488" t="s">
        <v>364</v>
      </c>
    </row>
    <row r="6489" spans="1:37">
      <c r="A6489" t="s">
        <v>48</v>
      </c>
      <c r="B6489" t="s">
        <v>71</v>
      </c>
      <c r="C6489" t="s">
        <v>93</v>
      </c>
      <c r="D6489" t="s">
        <v>111</v>
      </c>
      <c r="E6489" t="s">
        <v>128</v>
      </c>
      <c r="F6489" t="s">
        <v>163</v>
      </c>
      <c r="G6489" t="s">
        <v>189</v>
      </c>
      <c r="H6489" t="s">
        <v>220</v>
      </c>
      <c r="I6489" t="s">
        <v>241</v>
      </c>
      <c r="J6489" t="s">
        <v>258</v>
      </c>
      <c r="K6489" t="s">
        <v>270</v>
      </c>
      <c r="AK6489" t="s">
        <v>364</v>
      </c>
    </row>
    <row r="6490" spans="1:37">
      <c r="B6490" t="s">
        <v>72</v>
      </c>
      <c r="C6490" t="s">
        <v>72</v>
      </c>
      <c r="D6490" t="s">
        <v>72</v>
      </c>
      <c r="E6490" t="s">
        <v>72</v>
      </c>
      <c r="F6490" t="s">
        <v>72</v>
      </c>
      <c r="G6490" t="s">
        <v>72</v>
      </c>
      <c r="H6490" t="s">
        <v>72</v>
      </c>
      <c r="I6490" t="s">
        <v>72</v>
      </c>
      <c r="J6490" t="s">
        <v>72</v>
      </c>
      <c r="K6490" t="s">
        <v>272</v>
      </c>
      <c r="AK6490" t="s">
        <v>364</v>
      </c>
    </row>
    <row r="6491" spans="1:37">
      <c r="A6491" t="s">
        <v>37</v>
      </c>
      <c r="B6491" t="s">
        <v>49</v>
      </c>
      <c r="C6491" t="s">
        <v>73</v>
      </c>
      <c r="D6491" t="s">
        <v>94</v>
      </c>
      <c r="E6491" t="s">
        <v>112</v>
      </c>
      <c r="F6491" t="s">
        <v>146</v>
      </c>
      <c r="G6491" t="s">
        <v>172</v>
      </c>
      <c r="H6491" t="s">
        <v>207</v>
      </c>
      <c r="I6491" t="s">
        <v>226</v>
      </c>
      <c r="J6491" t="s">
        <v>246</v>
      </c>
      <c r="K6491" t="s">
        <v>259</v>
      </c>
      <c r="AK6491" t="s">
        <v>364</v>
      </c>
    </row>
    <row r="6492" spans="1:37">
      <c r="A6492" t="s">
        <v>38</v>
      </c>
      <c r="B6492" t="s">
        <v>50</v>
      </c>
      <c r="C6492" t="s">
        <v>74</v>
      </c>
      <c r="D6492" t="s">
        <v>95</v>
      </c>
      <c r="E6492" t="s">
        <v>113</v>
      </c>
      <c r="F6492" t="s">
        <v>147</v>
      </c>
      <c r="G6492" t="s">
        <v>173</v>
      </c>
      <c r="H6492" t="s">
        <v>208</v>
      </c>
      <c r="I6492" t="s">
        <v>227</v>
      </c>
      <c r="J6492" t="s">
        <v>115</v>
      </c>
      <c r="K6492" t="s">
        <v>260</v>
      </c>
      <c r="L6492" t="s">
        <v>273</v>
      </c>
      <c r="M6492" t="s">
        <v>282</v>
      </c>
      <c r="N6492" t="s">
        <v>291</v>
      </c>
      <c r="AK6492" t="s">
        <v>364</v>
      </c>
    </row>
    <row r="6493" spans="1:37">
      <c r="B6493" t="s">
        <v>51</v>
      </c>
      <c r="C6493" t="s">
        <v>75</v>
      </c>
      <c r="D6493" t="s">
        <v>52</v>
      </c>
      <c r="E6493" t="s">
        <v>114</v>
      </c>
      <c r="F6493" t="s">
        <v>148</v>
      </c>
      <c r="G6493" t="s">
        <v>148</v>
      </c>
      <c r="H6493" t="s">
        <v>209</v>
      </c>
      <c r="I6493" t="s">
        <v>228</v>
      </c>
      <c r="J6493" t="s">
        <v>247</v>
      </c>
      <c r="K6493" t="s">
        <v>261</v>
      </c>
      <c r="L6493" t="s">
        <v>274</v>
      </c>
      <c r="M6493" t="s">
        <v>283</v>
      </c>
      <c r="N6493" t="s">
        <v>292</v>
      </c>
      <c r="O6493" t="s">
        <v>300</v>
      </c>
      <c r="AK6493" t="s">
        <v>364</v>
      </c>
    </row>
    <row r="6494" spans="1:37">
      <c r="B6494" t="s">
        <v>52</v>
      </c>
      <c r="C6494" t="s">
        <v>76</v>
      </c>
      <c r="D6494" t="s">
        <v>96</v>
      </c>
      <c r="E6494" t="s">
        <v>115</v>
      </c>
      <c r="F6494" t="s">
        <v>149</v>
      </c>
      <c r="G6494" t="s">
        <v>174</v>
      </c>
      <c r="H6494" t="s">
        <v>96</v>
      </c>
      <c r="I6494" t="s">
        <v>229</v>
      </c>
      <c r="J6494" t="s">
        <v>248</v>
      </c>
      <c r="K6494" t="s">
        <v>262</v>
      </c>
      <c r="L6494" t="s">
        <v>52</v>
      </c>
      <c r="M6494" t="s">
        <v>76</v>
      </c>
      <c r="N6494" t="s">
        <v>293</v>
      </c>
      <c r="O6494" t="s">
        <v>301</v>
      </c>
      <c r="P6494" t="s">
        <v>309</v>
      </c>
      <c r="Q6494" t="s">
        <v>315</v>
      </c>
      <c r="R6494" t="s">
        <v>228</v>
      </c>
      <c r="S6494" t="s">
        <v>328</v>
      </c>
      <c r="T6494" t="s">
        <v>149</v>
      </c>
      <c r="U6494" t="s">
        <v>337</v>
      </c>
      <c r="V6494" t="s">
        <v>341</v>
      </c>
      <c r="W6494" t="s">
        <v>345</v>
      </c>
      <c r="X6494" t="s">
        <v>350</v>
      </c>
      <c r="AK6494" t="s">
        <v>364</v>
      </c>
    </row>
    <row r="6495" spans="1:37">
      <c r="B6495" t="s">
        <v>53</v>
      </c>
      <c r="C6495" t="s">
        <v>77</v>
      </c>
      <c r="D6495" t="s">
        <v>97</v>
      </c>
      <c r="E6495" t="s">
        <v>116</v>
      </c>
      <c r="F6495" t="s">
        <v>150</v>
      </c>
      <c r="G6495" t="s">
        <v>175</v>
      </c>
      <c r="H6495" t="s">
        <v>210</v>
      </c>
      <c r="I6495" t="s">
        <v>230</v>
      </c>
      <c r="J6495" t="s">
        <v>249</v>
      </c>
      <c r="K6495" t="s">
        <v>263</v>
      </c>
      <c r="L6495" t="s">
        <v>275</v>
      </c>
      <c r="M6495" t="s">
        <v>284</v>
      </c>
      <c r="N6495" t="s">
        <v>294</v>
      </c>
      <c r="O6495" t="s">
        <v>302</v>
      </c>
      <c r="P6495" t="s">
        <v>310</v>
      </c>
      <c r="Q6495" t="s">
        <v>316</v>
      </c>
      <c r="R6495" t="s">
        <v>322</v>
      </c>
      <c r="S6495" t="s">
        <v>329</v>
      </c>
      <c r="AK6495" t="s">
        <v>364</v>
      </c>
    </row>
    <row r="6496" spans="1:37">
      <c r="A6496" t="s">
        <v>39</v>
      </c>
      <c r="B6496" t="s">
        <v>54</v>
      </c>
      <c r="C6496" t="s">
        <v>54</v>
      </c>
      <c r="D6496" t="s">
        <v>54</v>
      </c>
      <c r="E6496" t="s">
        <v>54</v>
      </c>
      <c r="F6496" t="s">
        <v>54</v>
      </c>
      <c r="G6496" t="s">
        <v>54</v>
      </c>
      <c r="H6496" t="s">
        <v>54</v>
      </c>
      <c r="I6496" t="s">
        <v>54</v>
      </c>
      <c r="J6496" t="s">
        <v>54</v>
      </c>
      <c r="K6496" t="s">
        <v>54</v>
      </c>
      <c r="L6496" t="s">
        <v>54</v>
      </c>
      <c r="M6496" t="s">
        <v>54</v>
      </c>
      <c r="N6496" t="s">
        <v>54</v>
      </c>
      <c r="O6496" t="s">
        <v>54</v>
      </c>
      <c r="P6496" t="s">
        <v>54</v>
      </c>
      <c r="Q6496" t="s">
        <v>54</v>
      </c>
      <c r="R6496" t="s">
        <v>323</v>
      </c>
      <c r="S6496" t="s">
        <v>330</v>
      </c>
      <c r="AK6496" t="s">
        <v>364</v>
      </c>
    </row>
    <row r="6497" spans="1:37">
      <c r="B6497" t="s">
        <v>55</v>
      </c>
      <c r="C6497" t="s">
        <v>78</v>
      </c>
      <c r="D6497" t="s">
        <v>55</v>
      </c>
      <c r="E6497" t="s">
        <v>78</v>
      </c>
      <c r="F6497" t="s">
        <v>55</v>
      </c>
      <c r="G6497" t="s">
        <v>78</v>
      </c>
      <c r="H6497" t="s">
        <v>55</v>
      </c>
      <c r="I6497" t="s">
        <v>78</v>
      </c>
      <c r="J6497" t="s">
        <v>55</v>
      </c>
      <c r="K6497" t="s">
        <v>78</v>
      </c>
      <c r="L6497" t="s">
        <v>55</v>
      </c>
      <c r="M6497" t="s">
        <v>78</v>
      </c>
      <c r="N6497" t="s">
        <v>55</v>
      </c>
      <c r="O6497" t="s">
        <v>78</v>
      </c>
      <c r="P6497" t="s">
        <v>55</v>
      </c>
      <c r="Q6497" t="s">
        <v>78</v>
      </c>
      <c r="R6497" t="s">
        <v>55</v>
      </c>
      <c r="S6497" t="s">
        <v>78</v>
      </c>
      <c r="T6497" t="s">
        <v>55</v>
      </c>
      <c r="U6497" t="s">
        <v>78</v>
      </c>
      <c r="V6497" t="s">
        <v>55</v>
      </c>
      <c r="W6497" t="s">
        <v>78</v>
      </c>
      <c r="X6497" t="s">
        <v>55</v>
      </c>
      <c r="Y6497" t="s">
        <v>78</v>
      </c>
      <c r="Z6497" t="s">
        <v>55</v>
      </c>
      <c r="AA6497" t="s">
        <v>78</v>
      </c>
      <c r="AB6497" t="s">
        <v>55</v>
      </c>
      <c r="AC6497" t="s">
        <v>78</v>
      </c>
      <c r="AD6497" t="s">
        <v>55</v>
      </c>
      <c r="AE6497" t="s">
        <v>78</v>
      </c>
      <c r="AF6497" t="s">
        <v>55</v>
      </c>
      <c r="AG6497" t="s">
        <v>78</v>
      </c>
      <c r="AH6497" t="s">
        <v>55</v>
      </c>
      <c r="AI6497" t="s">
        <v>78</v>
      </c>
      <c r="AK6497" t="s">
        <v>364</v>
      </c>
    </row>
    <row r="6498" spans="1:37">
      <c r="B6498" t="s">
        <v>56</v>
      </c>
      <c r="C6498" t="s">
        <v>56</v>
      </c>
      <c r="D6498" t="s">
        <v>56</v>
      </c>
      <c r="E6498" t="s">
        <v>56</v>
      </c>
      <c r="F6498" t="s">
        <v>56</v>
      </c>
      <c r="G6498" t="s">
        <v>176</v>
      </c>
      <c r="H6498" t="s">
        <v>211</v>
      </c>
      <c r="I6498" t="s">
        <v>231</v>
      </c>
      <c r="J6498" t="s">
        <v>250</v>
      </c>
      <c r="K6498" t="s">
        <v>264</v>
      </c>
      <c r="L6498" t="s">
        <v>276</v>
      </c>
      <c r="M6498" t="s">
        <v>285</v>
      </c>
      <c r="N6498" t="s">
        <v>295</v>
      </c>
      <c r="O6498" t="s">
        <v>303</v>
      </c>
      <c r="P6498" t="s">
        <v>56</v>
      </c>
      <c r="Q6498" t="s">
        <v>317</v>
      </c>
      <c r="R6498" t="s">
        <v>324</v>
      </c>
      <c r="S6498" t="s">
        <v>331</v>
      </c>
      <c r="T6498" t="s">
        <v>334</v>
      </c>
      <c r="U6498" t="s">
        <v>338</v>
      </c>
      <c r="V6498" t="s">
        <v>342</v>
      </c>
      <c r="W6498" t="s">
        <v>346</v>
      </c>
      <c r="X6498" t="s">
        <v>351</v>
      </c>
      <c r="AK6498" t="s">
        <v>364</v>
      </c>
    </row>
    <row r="6499" spans="1:37">
      <c r="B6499" t="s">
        <v>57</v>
      </c>
      <c r="C6499" t="s">
        <v>79</v>
      </c>
      <c r="D6499" t="s">
        <v>98</v>
      </c>
      <c r="E6499" t="s">
        <v>117</v>
      </c>
      <c r="F6499" t="s">
        <v>151</v>
      </c>
      <c r="G6499" t="s">
        <v>177</v>
      </c>
      <c r="H6499" t="s">
        <v>212</v>
      </c>
      <c r="I6499" t="s">
        <v>232</v>
      </c>
      <c r="J6499" t="s">
        <v>251</v>
      </c>
      <c r="K6499" t="s">
        <v>265</v>
      </c>
      <c r="L6499" t="s">
        <v>277</v>
      </c>
      <c r="M6499" t="s">
        <v>286</v>
      </c>
      <c r="N6499" t="s">
        <v>296</v>
      </c>
      <c r="O6499" t="s">
        <v>304</v>
      </c>
      <c r="P6499" t="s">
        <v>311</v>
      </c>
      <c r="Q6499" t="s">
        <v>318</v>
      </c>
      <c r="R6499" t="s">
        <v>185</v>
      </c>
      <c r="S6499" t="s">
        <v>159</v>
      </c>
      <c r="T6499" t="s">
        <v>185</v>
      </c>
      <c r="U6499" t="s">
        <v>339</v>
      </c>
      <c r="V6499" t="s">
        <v>72</v>
      </c>
      <c r="W6499" t="s">
        <v>347</v>
      </c>
      <c r="X6499" t="s">
        <v>72</v>
      </c>
      <c r="Y6499" t="s">
        <v>96</v>
      </c>
      <c r="AK6499" t="s">
        <v>364</v>
      </c>
    </row>
    <row r="6500" spans="1:37">
      <c r="B6500" t="s">
        <v>58</v>
      </c>
      <c r="C6500" t="s">
        <v>80</v>
      </c>
      <c r="D6500" t="s">
        <v>99</v>
      </c>
      <c r="E6500" t="s">
        <v>118</v>
      </c>
      <c r="F6500" t="s">
        <v>152</v>
      </c>
      <c r="G6500" t="s">
        <v>178</v>
      </c>
      <c r="H6500" t="s">
        <v>213</v>
      </c>
      <c r="I6500" t="s">
        <v>233</v>
      </c>
      <c r="J6500" t="s">
        <v>252</v>
      </c>
      <c r="K6500" t="s">
        <v>266</v>
      </c>
      <c r="L6500" t="s">
        <v>278</v>
      </c>
      <c r="M6500" t="s">
        <v>287</v>
      </c>
      <c r="N6500" t="s">
        <v>297</v>
      </c>
      <c r="O6500" t="s">
        <v>305</v>
      </c>
      <c r="P6500" t="s">
        <v>312</v>
      </c>
      <c r="Q6500" t="s">
        <v>319</v>
      </c>
      <c r="R6500">
        <f>&gt;10       ветра      2.4     15   7 12</f>
        <v>0</v>
      </c>
      <c r="AK6500" t="s">
        <v>364</v>
      </c>
    </row>
    <row r="6501" spans="1:37">
      <c r="A6501" t="s">
        <v>40</v>
      </c>
      <c r="B6501" t="s">
        <v>59</v>
      </c>
      <c r="C6501" t="s">
        <v>81</v>
      </c>
      <c r="D6501" t="s">
        <v>100</v>
      </c>
      <c r="E6501" t="s">
        <v>119</v>
      </c>
      <c r="F6501" t="s">
        <v>153</v>
      </c>
      <c r="G6501" t="s">
        <v>179</v>
      </c>
      <c r="H6501" t="s">
        <v>214</v>
      </c>
      <c r="I6501" t="s">
        <v>234</v>
      </c>
      <c r="AK6501" t="s">
        <v>364</v>
      </c>
    </row>
    <row r="6502" spans="1:37">
      <c r="A6502" t="s">
        <v>40</v>
      </c>
      <c r="B6502" t="s">
        <v>60</v>
      </c>
      <c r="C6502" t="s">
        <v>82</v>
      </c>
      <c r="D6502" t="s">
        <v>101</v>
      </c>
      <c r="E6502" t="s">
        <v>120</v>
      </c>
      <c r="F6502" t="s">
        <v>154</v>
      </c>
      <c r="G6502" t="s">
        <v>180</v>
      </c>
      <c r="H6502" t="s">
        <v>215</v>
      </c>
      <c r="I6502" t="s">
        <v>235</v>
      </c>
      <c r="J6502" t="s">
        <v>253</v>
      </c>
      <c r="K6502" t="s">
        <v>267</v>
      </c>
      <c r="L6502" t="s">
        <v>279</v>
      </c>
      <c r="M6502" t="s">
        <v>288</v>
      </c>
      <c r="N6502" t="s">
        <v>100</v>
      </c>
      <c r="O6502" t="s">
        <v>306</v>
      </c>
      <c r="P6502" t="s">
        <v>313</v>
      </c>
      <c r="Q6502" t="s">
        <v>320</v>
      </c>
      <c r="R6502" t="s">
        <v>325</v>
      </c>
      <c r="S6502" t="s">
        <v>332</v>
      </c>
      <c r="T6502" t="s">
        <v>119</v>
      </c>
      <c r="U6502" t="s">
        <v>234</v>
      </c>
      <c r="V6502" t="s">
        <v>343</v>
      </c>
      <c r="W6502" t="s">
        <v>348</v>
      </c>
      <c r="X6502" t="s">
        <v>352</v>
      </c>
      <c r="Y6502" t="s">
        <v>354</v>
      </c>
      <c r="AK6502" t="s">
        <v>364</v>
      </c>
    </row>
    <row r="6503" spans="1:37">
      <c r="A6503" t="s">
        <v>41</v>
      </c>
      <c r="B6503" t="s">
        <v>61</v>
      </c>
      <c r="C6503" t="s">
        <v>83</v>
      </c>
      <c r="D6503" t="s">
        <v>102</v>
      </c>
      <c r="E6503" t="s">
        <v>121</v>
      </c>
      <c r="F6503" t="s">
        <v>155</v>
      </c>
      <c r="G6503" t="s">
        <v>181</v>
      </c>
      <c r="H6503" t="s">
        <v>216</v>
      </c>
      <c r="I6503" t="s">
        <v>236</v>
      </c>
      <c r="AK6503" t="s">
        <v>364</v>
      </c>
    </row>
    <row r="6504" spans="1:37">
      <c r="A6504" t="s">
        <v>42</v>
      </c>
      <c r="B6504" t="s">
        <v>62</v>
      </c>
      <c r="C6504" t="s">
        <v>84</v>
      </c>
      <c r="D6504" t="s">
        <v>103</v>
      </c>
      <c r="E6504" t="s">
        <v>122</v>
      </c>
      <c r="F6504" t="s">
        <v>156</v>
      </c>
      <c r="G6504" t="s">
        <v>182</v>
      </c>
      <c r="H6504" t="s">
        <v>83</v>
      </c>
      <c r="I6504" t="s">
        <v>237</v>
      </c>
      <c r="J6504" t="s">
        <v>254</v>
      </c>
      <c r="K6504" t="s">
        <v>268</v>
      </c>
      <c r="L6504" t="s">
        <v>280</v>
      </c>
      <c r="M6504" t="s">
        <v>289</v>
      </c>
      <c r="N6504" t="s">
        <v>298</v>
      </c>
      <c r="O6504" t="s">
        <v>307</v>
      </c>
      <c r="P6504" t="s">
        <v>314</v>
      </c>
      <c r="Q6504" t="s">
        <v>216</v>
      </c>
      <c r="R6504" t="s">
        <v>326</v>
      </c>
      <c r="S6504" t="s">
        <v>333</v>
      </c>
      <c r="T6504" t="s">
        <v>335</v>
      </c>
      <c r="U6504" t="s">
        <v>340</v>
      </c>
      <c r="V6504" t="s">
        <v>344</v>
      </c>
      <c r="W6504" t="s">
        <v>349</v>
      </c>
      <c r="AK6504" t="s">
        <v>364</v>
      </c>
    </row>
    <row r="6505" spans="1:37">
      <c r="A6505" t="s">
        <v>43</v>
      </c>
      <c r="B6505" t="s">
        <v>63</v>
      </c>
      <c r="C6505" t="s">
        <v>85</v>
      </c>
      <c r="D6505" t="s">
        <v>104</v>
      </c>
      <c r="E6505" t="s">
        <v>123</v>
      </c>
      <c r="F6505" t="s">
        <v>157</v>
      </c>
      <c r="G6505" t="s">
        <v>183</v>
      </c>
      <c r="AK6505" t="s">
        <v>364</v>
      </c>
    </row>
    <row r="6506" spans="1:37">
      <c r="A6506" t="s">
        <v>44</v>
      </c>
      <c r="B6506" t="s">
        <v>64</v>
      </c>
      <c r="C6506" t="s">
        <v>86</v>
      </c>
      <c r="D6506" t="s">
        <v>105</v>
      </c>
      <c r="E6506" t="s">
        <v>124</v>
      </c>
      <c r="F6506" t="s">
        <v>158</v>
      </c>
      <c r="G6506" t="s">
        <v>184</v>
      </c>
      <c r="AK6506" t="s">
        <v>364</v>
      </c>
    </row>
    <row r="6507" spans="1:37">
      <c r="A6507" t="s">
        <v>45</v>
      </c>
      <c r="B6507" t="s">
        <v>65</v>
      </c>
      <c r="C6507" t="s">
        <v>87</v>
      </c>
      <c r="D6507" t="s">
        <v>106</v>
      </c>
      <c r="E6507" t="s">
        <v>125</v>
      </c>
      <c r="F6507" t="s">
        <v>159</v>
      </c>
      <c r="G6507" t="s">
        <v>185</v>
      </c>
      <c r="H6507" t="s">
        <v>159</v>
      </c>
      <c r="I6507" t="s">
        <v>185</v>
      </c>
      <c r="J6507" t="s">
        <v>255</v>
      </c>
      <c r="AK6507" t="s">
        <v>364</v>
      </c>
    </row>
    <row r="6508" spans="1:37">
      <c r="A6508" t="s">
        <v>46</v>
      </c>
      <c r="B6508" t="s">
        <v>66</v>
      </c>
      <c r="C6508" t="s">
        <v>88</v>
      </c>
      <c r="D6508" t="s">
        <v>76</v>
      </c>
      <c r="E6508" t="s">
        <v>126</v>
      </c>
      <c r="F6508" t="s">
        <v>160</v>
      </c>
      <c r="G6508" t="s">
        <v>186</v>
      </c>
      <c r="H6508" t="s">
        <v>217</v>
      </c>
      <c r="I6508" t="s">
        <v>238</v>
      </c>
      <c r="J6508" t="s">
        <v>256</v>
      </c>
      <c r="K6508" t="s">
        <v>265</v>
      </c>
      <c r="L6508" t="s">
        <v>281</v>
      </c>
      <c r="M6508" t="s">
        <v>290</v>
      </c>
      <c r="N6508" t="s">
        <v>299</v>
      </c>
      <c r="O6508" t="s">
        <v>308</v>
      </c>
      <c r="P6508" t="s">
        <v>228</v>
      </c>
      <c r="Q6508" t="s">
        <v>72</v>
      </c>
      <c r="R6508" t="s">
        <v>327</v>
      </c>
      <c r="S6508" t="s">
        <v>327</v>
      </c>
      <c r="T6508" t="s">
        <v>336</v>
      </c>
      <c r="U6508" t="s">
        <v>336</v>
      </c>
      <c r="V6508" t="s">
        <v>336</v>
      </c>
      <c r="W6508" t="s">
        <v>336</v>
      </c>
      <c r="X6508" t="s">
        <v>353</v>
      </c>
      <c r="AK6508" t="s">
        <v>364</v>
      </c>
    </row>
    <row r="6509" spans="1:37">
      <c r="B6509" t="s">
        <v>67</v>
      </c>
      <c r="C6509" t="s">
        <v>89</v>
      </c>
      <c r="D6509" t="s">
        <v>107</v>
      </c>
      <c r="AK6509" t="s">
        <v>364</v>
      </c>
    </row>
    <row r="6510" spans="1:37">
      <c r="B6510" t="s">
        <v>68</v>
      </c>
      <c r="C6510" t="s">
        <v>90</v>
      </c>
      <c r="D6510" t="s">
        <v>108</v>
      </c>
      <c r="AK6510" t="s">
        <v>364</v>
      </c>
    </row>
    <row r="6511" spans="1:37">
      <c r="A6511" t="s">
        <v>47</v>
      </c>
      <c r="B6511" t="s">
        <v>69</v>
      </c>
      <c r="C6511" t="s">
        <v>91</v>
      </c>
      <c r="D6511" t="s">
        <v>109</v>
      </c>
      <c r="E6511" t="s">
        <v>109</v>
      </c>
      <c r="F6511" t="s">
        <v>109</v>
      </c>
      <c r="G6511" t="s">
        <v>109</v>
      </c>
      <c r="H6511" t="s">
        <v>109</v>
      </c>
      <c r="I6511" t="s">
        <v>239</v>
      </c>
      <c r="AK6511" t="s">
        <v>364</v>
      </c>
    </row>
    <row r="6512" spans="1:37">
      <c r="B6512" t="s">
        <v>70</v>
      </c>
      <c r="C6512" t="s">
        <v>92</v>
      </c>
      <c r="D6512" t="s">
        <v>110</v>
      </c>
      <c r="E6512" t="s">
        <v>127</v>
      </c>
      <c r="F6512" t="s">
        <v>161</v>
      </c>
      <c r="G6512" t="s">
        <v>187</v>
      </c>
      <c r="H6512" t="s">
        <v>218</v>
      </c>
      <c r="AK6512" t="s">
        <v>364</v>
      </c>
    </row>
    <row r="6513" spans="1:37">
      <c r="B6513" t="s">
        <v>71</v>
      </c>
      <c r="C6513" t="s">
        <v>93</v>
      </c>
      <c r="D6513" t="s">
        <v>111</v>
      </c>
      <c r="E6513" t="s">
        <v>128</v>
      </c>
      <c r="F6513" t="s">
        <v>162</v>
      </c>
      <c r="G6513" t="s">
        <v>188</v>
      </c>
      <c r="H6513" t="s">
        <v>219</v>
      </c>
      <c r="I6513" t="s">
        <v>240</v>
      </c>
      <c r="J6513" t="s">
        <v>257</v>
      </c>
      <c r="K6513" t="s">
        <v>269</v>
      </c>
      <c r="L6513" t="s">
        <v>109</v>
      </c>
      <c r="M6513" t="s">
        <v>109</v>
      </c>
      <c r="N6513" t="s">
        <v>109</v>
      </c>
      <c r="O6513" t="s">
        <v>109</v>
      </c>
      <c r="P6513" t="s">
        <v>109</v>
      </c>
      <c r="Q6513" t="s">
        <v>321</v>
      </c>
      <c r="AK6513" t="s">
        <v>364</v>
      </c>
    </row>
    <row r="6514" spans="1:37">
      <c r="A6514" t="s">
        <v>48</v>
      </c>
      <c r="B6514" t="s">
        <v>71</v>
      </c>
      <c r="C6514" t="s">
        <v>93</v>
      </c>
      <c r="D6514" t="s">
        <v>111</v>
      </c>
      <c r="E6514" t="s">
        <v>128</v>
      </c>
      <c r="F6514" t="s">
        <v>163</v>
      </c>
      <c r="G6514" t="s">
        <v>189</v>
      </c>
      <c r="H6514" t="s">
        <v>220</v>
      </c>
      <c r="I6514" t="s">
        <v>241</v>
      </c>
      <c r="J6514" t="s">
        <v>258</v>
      </c>
      <c r="K6514" t="s">
        <v>270</v>
      </c>
      <c r="AK6514" t="s">
        <v>364</v>
      </c>
    </row>
    <row r="6515" spans="1:37">
      <c r="B6515" t="s">
        <v>72</v>
      </c>
      <c r="C6515" t="s">
        <v>72</v>
      </c>
      <c r="D6515" t="s">
        <v>72</v>
      </c>
      <c r="E6515" t="s">
        <v>139</v>
      </c>
      <c r="F6515" t="s">
        <v>139</v>
      </c>
      <c r="G6515" t="s">
        <v>192</v>
      </c>
      <c r="H6515" t="s">
        <v>192</v>
      </c>
      <c r="I6515" t="s">
        <v>192</v>
      </c>
      <c r="J6515" t="s">
        <v>192</v>
      </c>
      <c r="K6515" t="s">
        <v>271</v>
      </c>
      <c r="AK6515" t="s">
        <v>364</v>
      </c>
    </row>
    <row r="6516" spans="1:37">
      <c r="A6516" t="s">
        <v>37</v>
      </c>
      <c r="B6516" t="s">
        <v>49</v>
      </c>
      <c r="C6516" t="s">
        <v>73</v>
      </c>
      <c r="D6516" t="s">
        <v>94</v>
      </c>
      <c r="E6516" t="s">
        <v>112</v>
      </c>
      <c r="F6516" t="s">
        <v>146</v>
      </c>
      <c r="G6516" t="s">
        <v>172</v>
      </c>
      <c r="H6516" t="s">
        <v>207</v>
      </c>
      <c r="I6516" t="s">
        <v>226</v>
      </c>
      <c r="J6516" t="s">
        <v>246</v>
      </c>
      <c r="K6516" t="s">
        <v>259</v>
      </c>
      <c r="AK6516" t="s">
        <v>364</v>
      </c>
    </row>
    <row r="6517" spans="1:37">
      <c r="A6517" t="s">
        <v>38</v>
      </c>
      <c r="B6517" t="s">
        <v>50</v>
      </c>
      <c r="C6517" t="s">
        <v>74</v>
      </c>
      <c r="D6517" t="s">
        <v>95</v>
      </c>
      <c r="E6517" t="s">
        <v>113</v>
      </c>
      <c r="F6517" t="s">
        <v>147</v>
      </c>
      <c r="G6517" t="s">
        <v>173</v>
      </c>
      <c r="H6517" t="s">
        <v>208</v>
      </c>
      <c r="I6517" t="s">
        <v>227</v>
      </c>
      <c r="J6517" t="s">
        <v>115</v>
      </c>
      <c r="K6517" t="s">
        <v>260</v>
      </c>
      <c r="L6517" t="s">
        <v>273</v>
      </c>
      <c r="M6517" t="s">
        <v>282</v>
      </c>
      <c r="N6517" t="s">
        <v>291</v>
      </c>
      <c r="AK6517" t="s">
        <v>364</v>
      </c>
    </row>
    <row r="6518" spans="1:37">
      <c r="B6518" t="s">
        <v>51</v>
      </c>
      <c r="C6518" t="s">
        <v>75</v>
      </c>
      <c r="D6518" t="s">
        <v>52</v>
      </c>
      <c r="E6518" t="s">
        <v>114</v>
      </c>
      <c r="F6518" t="s">
        <v>148</v>
      </c>
      <c r="G6518" t="s">
        <v>148</v>
      </c>
      <c r="H6518" t="s">
        <v>209</v>
      </c>
      <c r="I6518" t="s">
        <v>228</v>
      </c>
      <c r="J6518" t="s">
        <v>247</v>
      </c>
      <c r="K6518" t="s">
        <v>261</v>
      </c>
      <c r="L6518" t="s">
        <v>274</v>
      </c>
      <c r="M6518" t="s">
        <v>283</v>
      </c>
      <c r="N6518" t="s">
        <v>292</v>
      </c>
      <c r="O6518" t="s">
        <v>300</v>
      </c>
      <c r="AK6518" t="s">
        <v>364</v>
      </c>
    </row>
    <row r="6519" spans="1:37">
      <c r="B6519" t="s">
        <v>52</v>
      </c>
      <c r="C6519" t="s">
        <v>76</v>
      </c>
      <c r="D6519" t="s">
        <v>96</v>
      </c>
      <c r="E6519" t="s">
        <v>115</v>
      </c>
      <c r="F6519" t="s">
        <v>149</v>
      </c>
      <c r="G6519" t="s">
        <v>174</v>
      </c>
      <c r="H6519" t="s">
        <v>96</v>
      </c>
      <c r="I6519" t="s">
        <v>229</v>
      </c>
      <c r="J6519" t="s">
        <v>248</v>
      </c>
      <c r="K6519" t="s">
        <v>262</v>
      </c>
      <c r="L6519" t="s">
        <v>52</v>
      </c>
      <c r="M6519" t="s">
        <v>76</v>
      </c>
      <c r="N6519" t="s">
        <v>293</v>
      </c>
      <c r="O6519" t="s">
        <v>301</v>
      </c>
      <c r="P6519" t="s">
        <v>309</v>
      </c>
      <c r="Q6519" t="s">
        <v>315</v>
      </c>
      <c r="R6519" t="s">
        <v>228</v>
      </c>
      <c r="S6519" t="s">
        <v>328</v>
      </c>
      <c r="T6519" t="s">
        <v>149</v>
      </c>
      <c r="U6519" t="s">
        <v>337</v>
      </c>
      <c r="V6519" t="s">
        <v>341</v>
      </c>
      <c r="W6519" t="s">
        <v>345</v>
      </c>
      <c r="X6519" t="s">
        <v>350</v>
      </c>
      <c r="AK6519" t="s">
        <v>364</v>
      </c>
    </row>
    <row r="6520" spans="1:37">
      <c r="B6520" t="s">
        <v>53</v>
      </c>
      <c r="C6520" t="s">
        <v>77</v>
      </c>
      <c r="D6520" t="s">
        <v>97</v>
      </c>
      <c r="E6520" t="s">
        <v>116</v>
      </c>
      <c r="F6520" t="s">
        <v>150</v>
      </c>
      <c r="G6520" t="s">
        <v>175</v>
      </c>
      <c r="H6520" t="s">
        <v>210</v>
      </c>
      <c r="I6520" t="s">
        <v>230</v>
      </c>
      <c r="J6520" t="s">
        <v>249</v>
      </c>
      <c r="K6520" t="s">
        <v>263</v>
      </c>
      <c r="L6520" t="s">
        <v>275</v>
      </c>
      <c r="M6520" t="s">
        <v>284</v>
      </c>
      <c r="N6520" t="s">
        <v>294</v>
      </c>
      <c r="O6520" t="s">
        <v>302</v>
      </c>
      <c r="P6520" t="s">
        <v>310</v>
      </c>
      <c r="Q6520" t="s">
        <v>316</v>
      </c>
      <c r="R6520" t="s">
        <v>322</v>
      </c>
      <c r="S6520" t="s">
        <v>329</v>
      </c>
      <c r="AK6520" t="s">
        <v>364</v>
      </c>
    </row>
    <row r="6521" spans="1:37">
      <c r="A6521" t="s">
        <v>39</v>
      </c>
      <c r="B6521" t="s">
        <v>54</v>
      </c>
      <c r="C6521" t="s">
        <v>54</v>
      </c>
      <c r="D6521" t="s">
        <v>54</v>
      </c>
      <c r="E6521" t="s">
        <v>54</v>
      </c>
      <c r="F6521" t="s">
        <v>54</v>
      </c>
      <c r="G6521" t="s">
        <v>54</v>
      </c>
      <c r="H6521" t="s">
        <v>54</v>
      </c>
      <c r="I6521" t="s">
        <v>54</v>
      </c>
      <c r="J6521" t="s">
        <v>54</v>
      </c>
      <c r="K6521" t="s">
        <v>54</v>
      </c>
      <c r="L6521" t="s">
        <v>54</v>
      </c>
      <c r="M6521" t="s">
        <v>54</v>
      </c>
      <c r="N6521" t="s">
        <v>54</v>
      </c>
      <c r="O6521" t="s">
        <v>54</v>
      </c>
      <c r="P6521" t="s">
        <v>54</v>
      </c>
      <c r="Q6521" t="s">
        <v>54</v>
      </c>
      <c r="R6521" t="s">
        <v>323</v>
      </c>
      <c r="S6521" t="s">
        <v>330</v>
      </c>
      <c r="AK6521" t="s">
        <v>364</v>
      </c>
    </row>
    <row r="6522" spans="1:37">
      <c r="B6522" t="s">
        <v>55</v>
      </c>
      <c r="C6522" t="s">
        <v>78</v>
      </c>
      <c r="D6522" t="s">
        <v>55</v>
      </c>
      <c r="E6522" t="s">
        <v>78</v>
      </c>
      <c r="F6522" t="s">
        <v>55</v>
      </c>
      <c r="G6522" t="s">
        <v>78</v>
      </c>
      <c r="H6522" t="s">
        <v>55</v>
      </c>
      <c r="I6522" t="s">
        <v>78</v>
      </c>
      <c r="J6522" t="s">
        <v>55</v>
      </c>
      <c r="K6522" t="s">
        <v>78</v>
      </c>
      <c r="L6522" t="s">
        <v>55</v>
      </c>
      <c r="M6522" t="s">
        <v>78</v>
      </c>
      <c r="N6522" t="s">
        <v>55</v>
      </c>
      <c r="O6522" t="s">
        <v>78</v>
      </c>
      <c r="P6522" t="s">
        <v>55</v>
      </c>
      <c r="Q6522" t="s">
        <v>78</v>
      </c>
      <c r="R6522" t="s">
        <v>55</v>
      </c>
      <c r="S6522" t="s">
        <v>78</v>
      </c>
      <c r="T6522" t="s">
        <v>55</v>
      </c>
      <c r="U6522" t="s">
        <v>78</v>
      </c>
      <c r="V6522" t="s">
        <v>55</v>
      </c>
      <c r="W6522" t="s">
        <v>78</v>
      </c>
      <c r="X6522" t="s">
        <v>55</v>
      </c>
      <c r="Y6522" t="s">
        <v>78</v>
      </c>
      <c r="Z6522" t="s">
        <v>55</v>
      </c>
      <c r="AA6522" t="s">
        <v>78</v>
      </c>
      <c r="AB6522" t="s">
        <v>55</v>
      </c>
      <c r="AC6522" t="s">
        <v>78</v>
      </c>
      <c r="AD6522" t="s">
        <v>55</v>
      </c>
      <c r="AE6522" t="s">
        <v>78</v>
      </c>
      <c r="AF6522" t="s">
        <v>55</v>
      </c>
      <c r="AG6522" t="s">
        <v>78</v>
      </c>
      <c r="AH6522" t="s">
        <v>55</v>
      </c>
      <c r="AI6522" t="s">
        <v>78</v>
      </c>
      <c r="AK6522" t="s">
        <v>364</v>
      </c>
    </row>
    <row r="6523" spans="1:37">
      <c r="B6523" t="s">
        <v>56</v>
      </c>
      <c r="C6523" t="s">
        <v>56</v>
      </c>
      <c r="D6523" t="s">
        <v>56</v>
      </c>
      <c r="E6523" t="s">
        <v>56</v>
      </c>
      <c r="F6523" t="s">
        <v>56</v>
      </c>
      <c r="G6523" t="s">
        <v>176</v>
      </c>
      <c r="H6523" t="s">
        <v>211</v>
      </c>
      <c r="I6523" t="s">
        <v>231</v>
      </c>
      <c r="J6523" t="s">
        <v>250</v>
      </c>
      <c r="K6523" t="s">
        <v>264</v>
      </c>
      <c r="L6523" t="s">
        <v>276</v>
      </c>
      <c r="M6523" t="s">
        <v>285</v>
      </c>
      <c r="N6523" t="s">
        <v>295</v>
      </c>
      <c r="O6523" t="s">
        <v>303</v>
      </c>
      <c r="P6523" t="s">
        <v>56</v>
      </c>
      <c r="Q6523" t="s">
        <v>317</v>
      </c>
      <c r="R6523" t="s">
        <v>324</v>
      </c>
      <c r="S6523" t="s">
        <v>331</v>
      </c>
      <c r="T6523" t="s">
        <v>334</v>
      </c>
      <c r="U6523" t="s">
        <v>338</v>
      </c>
      <c r="V6523" t="s">
        <v>342</v>
      </c>
      <c r="W6523" t="s">
        <v>346</v>
      </c>
      <c r="X6523" t="s">
        <v>351</v>
      </c>
      <c r="AK6523" t="s">
        <v>364</v>
      </c>
    </row>
    <row r="6524" spans="1:37">
      <c r="B6524" t="s">
        <v>57</v>
      </c>
      <c r="C6524" t="s">
        <v>79</v>
      </c>
      <c r="D6524" t="s">
        <v>98</v>
      </c>
      <c r="E6524" t="s">
        <v>117</v>
      </c>
      <c r="F6524" t="s">
        <v>151</v>
      </c>
      <c r="G6524" t="s">
        <v>177</v>
      </c>
      <c r="H6524" t="s">
        <v>212</v>
      </c>
      <c r="I6524" t="s">
        <v>232</v>
      </c>
      <c r="J6524" t="s">
        <v>251</v>
      </c>
      <c r="K6524" t="s">
        <v>265</v>
      </c>
      <c r="L6524" t="s">
        <v>277</v>
      </c>
      <c r="M6524" t="s">
        <v>286</v>
      </c>
      <c r="N6524" t="s">
        <v>296</v>
      </c>
      <c r="O6524" t="s">
        <v>304</v>
      </c>
      <c r="P6524" t="s">
        <v>311</v>
      </c>
      <c r="Q6524" t="s">
        <v>318</v>
      </c>
      <c r="R6524" t="s">
        <v>185</v>
      </c>
      <c r="S6524" t="s">
        <v>159</v>
      </c>
      <c r="T6524" t="s">
        <v>185</v>
      </c>
      <c r="U6524" t="s">
        <v>339</v>
      </c>
      <c r="V6524" t="s">
        <v>72</v>
      </c>
      <c r="W6524" t="s">
        <v>347</v>
      </c>
      <c r="X6524" t="s">
        <v>72</v>
      </c>
      <c r="Y6524" t="s">
        <v>96</v>
      </c>
      <c r="AK6524" t="s">
        <v>364</v>
      </c>
    </row>
    <row r="6525" spans="1:37">
      <c r="B6525" t="s">
        <v>58</v>
      </c>
      <c r="C6525" t="s">
        <v>80</v>
      </c>
      <c r="D6525" t="s">
        <v>99</v>
      </c>
      <c r="E6525" t="s">
        <v>118</v>
      </c>
      <c r="F6525" t="s">
        <v>152</v>
      </c>
      <c r="G6525" t="s">
        <v>178</v>
      </c>
      <c r="H6525" t="s">
        <v>213</v>
      </c>
      <c r="I6525" t="s">
        <v>233</v>
      </c>
      <c r="J6525" t="s">
        <v>252</v>
      </c>
      <c r="K6525" t="s">
        <v>266</v>
      </c>
      <c r="L6525" t="s">
        <v>278</v>
      </c>
      <c r="M6525" t="s">
        <v>287</v>
      </c>
      <c r="N6525" t="s">
        <v>297</v>
      </c>
      <c r="O6525" t="s">
        <v>305</v>
      </c>
      <c r="P6525" t="s">
        <v>312</v>
      </c>
      <c r="Q6525" t="s">
        <v>319</v>
      </c>
      <c r="R6525">
        <f>&gt;10       ветра      1.8     22  12</f>
        <v>0</v>
      </c>
      <c r="AK6525" t="s">
        <v>364</v>
      </c>
    </row>
    <row r="6526" spans="1:37">
      <c r="A6526" t="s">
        <v>40</v>
      </c>
      <c r="B6526" t="s">
        <v>59</v>
      </c>
      <c r="C6526" t="s">
        <v>81</v>
      </c>
      <c r="D6526" t="s">
        <v>100</v>
      </c>
      <c r="E6526" t="s">
        <v>119</v>
      </c>
      <c r="F6526" t="s">
        <v>153</v>
      </c>
      <c r="G6526" t="s">
        <v>179</v>
      </c>
      <c r="H6526" t="s">
        <v>214</v>
      </c>
      <c r="I6526" t="s">
        <v>234</v>
      </c>
      <c r="AK6526" t="s">
        <v>364</v>
      </c>
    </row>
    <row r="6527" spans="1:37">
      <c r="A6527" t="s">
        <v>40</v>
      </c>
      <c r="B6527" t="s">
        <v>60</v>
      </c>
      <c r="C6527" t="s">
        <v>82</v>
      </c>
      <c r="D6527" t="s">
        <v>101</v>
      </c>
      <c r="E6527" t="s">
        <v>120</v>
      </c>
      <c r="F6527" t="s">
        <v>154</v>
      </c>
      <c r="G6527" t="s">
        <v>180</v>
      </c>
      <c r="H6527" t="s">
        <v>215</v>
      </c>
      <c r="I6527" t="s">
        <v>235</v>
      </c>
      <c r="J6527" t="s">
        <v>253</v>
      </c>
      <c r="K6527" t="s">
        <v>267</v>
      </c>
      <c r="L6527" t="s">
        <v>279</v>
      </c>
      <c r="M6527" t="s">
        <v>288</v>
      </c>
      <c r="N6527" t="s">
        <v>100</v>
      </c>
      <c r="O6527" t="s">
        <v>306</v>
      </c>
      <c r="P6527" t="s">
        <v>313</v>
      </c>
      <c r="Q6527" t="s">
        <v>320</v>
      </c>
      <c r="R6527" t="s">
        <v>325</v>
      </c>
      <c r="S6527" t="s">
        <v>332</v>
      </c>
      <c r="T6527" t="s">
        <v>119</v>
      </c>
      <c r="U6527" t="s">
        <v>234</v>
      </c>
      <c r="V6527" t="s">
        <v>343</v>
      </c>
      <c r="W6527" t="s">
        <v>348</v>
      </c>
      <c r="X6527" t="s">
        <v>352</v>
      </c>
      <c r="Y6527" t="s">
        <v>354</v>
      </c>
      <c r="AK6527" t="s">
        <v>364</v>
      </c>
    </row>
    <row r="6528" spans="1:37">
      <c r="A6528" t="s">
        <v>41</v>
      </c>
      <c r="B6528" t="s">
        <v>61</v>
      </c>
      <c r="C6528" t="s">
        <v>83</v>
      </c>
      <c r="D6528" t="s">
        <v>102</v>
      </c>
      <c r="E6528" t="s">
        <v>121</v>
      </c>
      <c r="F6528" t="s">
        <v>155</v>
      </c>
      <c r="G6528" t="s">
        <v>181</v>
      </c>
      <c r="H6528" t="s">
        <v>216</v>
      </c>
      <c r="I6528" t="s">
        <v>236</v>
      </c>
      <c r="AK6528" t="s">
        <v>364</v>
      </c>
    </row>
    <row r="6529" spans="1:37">
      <c r="A6529" t="s">
        <v>42</v>
      </c>
      <c r="B6529" t="s">
        <v>62</v>
      </c>
      <c r="C6529" t="s">
        <v>84</v>
      </c>
      <c r="D6529" t="s">
        <v>103</v>
      </c>
      <c r="E6529" t="s">
        <v>122</v>
      </c>
      <c r="F6529" t="s">
        <v>156</v>
      </c>
      <c r="G6529" t="s">
        <v>182</v>
      </c>
      <c r="H6529" t="s">
        <v>83</v>
      </c>
      <c r="I6529" t="s">
        <v>237</v>
      </c>
      <c r="J6529" t="s">
        <v>254</v>
      </c>
      <c r="K6529" t="s">
        <v>268</v>
      </c>
      <c r="L6529" t="s">
        <v>280</v>
      </c>
      <c r="M6529" t="s">
        <v>289</v>
      </c>
      <c r="N6529" t="s">
        <v>298</v>
      </c>
      <c r="O6529" t="s">
        <v>307</v>
      </c>
      <c r="P6529" t="s">
        <v>314</v>
      </c>
      <c r="Q6529" t="s">
        <v>216</v>
      </c>
      <c r="R6529" t="s">
        <v>326</v>
      </c>
      <c r="S6529" t="s">
        <v>333</v>
      </c>
      <c r="T6529" t="s">
        <v>335</v>
      </c>
      <c r="U6529" t="s">
        <v>340</v>
      </c>
      <c r="V6529" t="s">
        <v>344</v>
      </c>
      <c r="W6529" t="s">
        <v>349</v>
      </c>
      <c r="AK6529" t="s">
        <v>364</v>
      </c>
    </row>
    <row r="6530" spans="1:37">
      <c r="A6530" t="s">
        <v>43</v>
      </c>
      <c r="B6530" t="s">
        <v>63</v>
      </c>
      <c r="C6530" t="s">
        <v>85</v>
      </c>
      <c r="D6530" t="s">
        <v>104</v>
      </c>
      <c r="E6530" t="s">
        <v>123</v>
      </c>
      <c r="F6530" t="s">
        <v>157</v>
      </c>
      <c r="G6530" t="s">
        <v>183</v>
      </c>
      <c r="AK6530" t="s">
        <v>364</v>
      </c>
    </row>
    <row r="6531" spans="1:37">
      <c r="A6531" t="s">
        <v>44</v>
      </c>
      <c r="B6531" t="s">
        <v>64</v>
      </c>
      <c r="C6531" t="s">
        <v>86</v>
      </c>
      <c r="D6531" t="s">
        <v>105</v>
      </c>
      <c r="E6531" t="s">
        <v>124</v>
      </c>
      <c r="F6531" t="s">
        <v>158</v>
      </c>
      <c r="G6531" t="s">
        <v>184</v>
      </c>
      <c r="AK6531" t="s">
        <v>364</v>
      </c>
    </row>
    <row r="6532" spans="1:37">
      <c r="A6532" t="s">
        <v>45</v>
      </c>
      <c r="B6532" t="s">
        <v>65</v>
      </c>
      <c r="C6532" t="s">
        <v>87</v>
      </c>
      <c r="D6532" t="s">
        <v>106</v>
      </c>
      <c r="E6532" t="s">
        <v>125</v>
      </c>
      <c r="F6532" t="s">
        <v>159</v>
      </c>
      <c r="G6532" t="s">
        <v>185</v>
      </c>
      <c r="H6532" t="s">
        <v>159</v>
      </c>
      <c r="I6532" t="s">
        <v>185</v>
      </c>
      <c r="J6532" t="s">
        <v>255</v>
      </c>
      <c r="AK6532" t="s">
        <v>364</v>
      </c>
    </row>
    <row r="6533" spans="1:37">
      <c r="A6533" t="s">
        <v>46</v>
      </c>
      <c r="B6533" t="s">
        <v>66</v>
      </c>
      <c r="C6533" t="s">
        <v>88</v>
      </c>
      <c r="D6533" t="s">
        <v>76</v>
      </c>
      <c r="E6533" t="s">
        <v>126</v>
      </c>
      <c r="F6533" t="s">
        <v>160</v>
      </c>
      <c r="G6533" t="s">
        <v>186</v>
      </c>
      <c r="H6533" t="s">
        <v>217</v>
      </c>
      <c r="I6533" t="s">
        <v>238</v>
      </c>
      <c r="J6533" t="s">
        <v>256</v>
      </c>
      <c r="K6533" t="s">
        <v>265</v>
      </c>
      <c r="L6533" t="s">
        <v>281</v>
      </c>
      <c r="M6533" t="s">
        <v>290</v>
      </c>
      <c r="N6533" t="s">
        <v>299</v>
      </c>
      <c r="O6533" t="s">
        <v>308</v>
      </c>
      <c r="P6533" t="s">
        <v>228</v>
      </c>
      <c r="Q6533" t="s">
        <v>72</v>
      </c>
      <c r="R6533" t="s">
        <v>327</v>
      </c>
      <c r="S6533" t="s">
        <v>327</v>
      </c>
      <c r="T6533" t="s">
        <v>336</v>
      </c>
      <c r="U6533" t="s">
        <v>336</v>
      </c>
      <c r="V6533" t="s">
        <v>336</v>
      </c>
      <c r="W6533" t="s">
        <v>336</v>
      </c>
      <c r="X6533" t="s">
        <v>353</v>
      </c>
      <c r="AK6533" t="s">
        <v>364</v>
      </c>
    </row>
    <row r="6534" spans="1:37">
      <c r="B6534" t="s">
        <v>67</v>
      </c>
      <c r="C6534" t="s">
        <v>89</v>
      </c>
      <c r="D6534" t="s">
        <v>107</v>
      </c>
      <c r="AK6534" t="s">
        <v>364</v>
      </c>
    </row>
    <row r="6535" spans="1:37">
      <c r="B6535" t="s">
        <v>68</v>
      </c>
      <c r="C6535" t="s">
        <v>90</v>
      </c>
      <c r="D6535" t="s">
        <v>108</v>
      </c>
      <c r="AK6535" t="s">
        <v>364</v>
      </c>
    </row>
    <row r="6536" spans="1:37">
      <c r="A6536" t="s">
        <v>47</v>
      </c>
      <c r="B6536" t="s">
        <v>69</v>
      </c>
      <c r="C6536" t="s">
        <v>91</v>
      </c>
      <c r="D6536" t="s">
        <v>109</v>
      </c>
      <c r="E6536" t="s">
        <v>109</v>
      </c>
      <c r="F6536" t="s">
        <v>109</v>
      </c>
      <c r="G6536" t="s">
        <v>109</v>
      </c>
      <c r="H6536" t="s">
        <v>109</v>
      </c>
      <c r="I6536" t="s">
        <v>239</v>
      </c>
      <c r="AK6536" t="s">
        <v>364</v>
      </c>
    </row>
    <row r="6537" spans="1:37">
      <c r="B6537" t="s">
        <v>70</v>
      </c>
      <c r="C6537" t="s">
        <v>92</v>
      </c>
      <c r="D6537" t="s">
        <v>110</v>
      </c>
      <c r="E6537" t="s">
        <v>127</v>
      </c>
      <c r="F6537" t="s">
        <v>161</v>
      </c>
      <c r="G6537" t="s">
        <v>187</v>
      </c>
      <c r="H6537" t="s">
        <v>218</v>
      </c>
      <c r="AK6537" t="s">
        <v>364</v>
      </c>
    </row>
    <row r="6538" spans="1:37">
      <c r="B6538" t="s">
        <v>71</v>
      </c>
      <c r="C6538" t="s">
        <v>93</v>
      </c>
      <c r="D6538" t="s">
        <v>111</v>
      </c>
      <c r="E6538" t="s">
        <v>128</v>
      </c>
      <c r="F6538" t="s">
        <v>162</v>
      </c>
      <c r="G6538" t="s">
        <v>188</v>
      </c>
      <c r="H6538" t="s">
        <v>219</v>
      </c>
      <c r="I6538" t="s">
        <v>240</v>
      </c>
      <c r="J6538" t="s">
        <v>257</v>
      </c>
      <c r="K6538" t="s">
        <v>269</v>
      </c>
      <c r="L6538" t="s">
        <v>109</v>
      </c>
      <c r="M6538" t="s">
        <v>109</v>
      </c>
      <c r="N6538" t="s">
        <v>109</v>
      </c>
      <c r="O6538" t="s">
        <v>109</v>
      </c>
      <c r="P6538" t="s">
        <v>109</v>
      </c>
      <c r="Q6538" t="s">
        <v>321</v>
      </c>
      <c r="AK6538" t="s">
        <v>364</v>
      </c>
    </row>
    <row r="6539" spans="1:37">
      <c r="A6539" t="s">
        <v>48</v>
      </c>
      <c r="B6539" t="s">
        <v>71</v>
      </c>
      <c r="C6539" t="s">
        <v>93</v>
      </c>
      <c r="D6539" t="s">
        <v>111</v>
      </c>
      <c r="E6539" t="s">
        <v>128</v>
      </c>
      <c r="F6539" t="s">
        <v>163</v>
      </c>
      <c r="G6539" t="s">
        <v>189</v>
      </c>
      <c r="H6539" t="s">
        <v>220</v>
      </c>
      <c r="I6539" t="s">
        <v>241</v>
      </c>
      <c r="J6539" t="s">
        <v>258</v>
      </c>
      <c r="K6539" t="s">
        <v>270</v>
      </c>
      <c r="AK6539" t="s">
        <v>364</v>
      </c>
    </row>
    <row r="6540" spans="1:37">
      <c r="B6540" t="s">
        <v>72</v>
      </c>
      <c r="C6540" t="s">
        <v>72</v>
      </c>
      <c r="D6540" t="s">
        <v>72</v>
      </c>
      <c r="E6540" t="s">
        <v>72</v>
      </c>
      <c r="F6540" t="s">
        <v>72</v>
      </c>
      <c r="G6540" t="s">
        <v>72</v>
      </c>
      <c r="H6540" t="s">
        <v>72</v>
      </c>
      <c r="I6540" t="s">
        <v>72</v>
      </c>
      <c r="J6540" t="s">
        <v>72</v>
      </c>
      <c r="K6540" t="s">
        <v>272</v>
      </c>
      <c r="AK6540" t="s">
        <v>364</v>
      </c>
    </row>
    <row r="6541" spans="1:37">
      <c r="A6541" t="s">
        <v>37</v>
      </c>
      <c r="B6541" t="s">
        <v>49</v>
      </c>
      <c r="C6541" t="s">
        <v>73</v>
      </c>
      <c r="D6541" t="s">
        <v>94</v>
      </c>
      <c r="E6541" t="s">
        <v>112</v>
      </c>
      <c r="F6541" t="s">
        <v>146</v>
      </c>
      <c r="G6541" t="s">
        <v>172</v>
      </c>
      <c r="H6541" t="s">
        <v>207</v>
      </c>
      <c r="I6541" t="s">
        <v>226</v>
      </c>
      <c r="J6541" t="s">
        <v>246</v>
      </c>
      <c r="K6541" t="s">
        <v>259</v>
      </c>
      <c r="AK6541" t="s">
        <v>364</v>
      </c>
    </row>
    <row r="6542" spans="1:37">
      <c r="A6542" t="s">
        <v>38</v>
      </c>
      <c r="B6542" t="s">
        <v>50</v>
      </c>
      <c r="C6542" t="s">
        <v>74</v>
      </c>
      <c r="D6542" t="s">
        <v>95</v>
      </c>
      <c r="E6542" t="s">
        <v>113</v>
      </c>
      <c r="F6542" t="s">
        <v>147</v>
      </c>
      <c r="G6542" t="s">
        <v>173</v>
      </c>
      <c r="H6542" t="s">
        <v>208</v>
      </c>
      <c r="I6542" t="s">
        <v>227</v>
      </c>
      <c r="J6542" t="s">
        <v>115</v>
      </c>
      <c r="K6542" t="s">
        <v>260</v>
      </c>
      <c r="L6542" t="s">
        <v>273</v>
      </c>
      <c r="M6542" t="s">
        <v>282</v>
      </c>
      <c r="N6542" t="s">
        <v>291</v>
      </c>
      <c r="AK6542" t="s">
        <v>364</v>
      </c>
    </row>
    <row r="6543" spans="1:37">
      <c r="B6543" t="s">
        <v>51</v>
      </c>
      <c r="C6543" t="s">
        <v>75</v>
      </c>
      <c r="D6543" t="s">
        <v>52</v>
      </c>
      <c r="E6543" t="s">
        <v>114</v>
      </c>
      <c r="F6543" t="s">
        <v>148</v>
      </c>
      <c r="G6543" t="s">
        <v>148</v>
      </c>
      <c r="H6543" t="s">
        <v>209</v>
      </c>
      <c r="I6543" t="s">
        <v>228</v>
      </c>
      <c r="J6543" t="s">
        <v>247</v>
      </c>
      <c r="K6543" t="s">
        <v>261</v>
      </c>
      <c r="L6543" t="s">
        <v>274</v>
      </c>
      <c r="M6543" t="s">
        <v>283</v>
      </c>
      <c r="N6543" t="s">
        <v>292</v>
      </c>
      <c r="O6543" t="s">
        <v>300</v>
      </c>
      <c r="AK6543" t="s">
        <v>364</v>
      </c>
    </row>
    <row r="6544" spans="1:37">
      <c r="B6544" t="s">
        <v>52</v>
      </c>
      <c r="C6544" t="s">
        <v>76</v>
      </c>
      <c r="D6544" t="s">
        <v>96</v>
      </c>
      <c r="E6544" t="s">
        <v>115</v>
      </c>
      <c r="F6544" t="s">
        <v>149</v>
      </c>
      <c r="G6544" t="s">
        <v>174</v>
      </c>
      <c r="H6544" t="s">
        <v>96</v>
      </c>
      <c r="I6544" t="s">
        <v>229</v>
      </c>
      <c r="J6544" t="s">
        <v>248</v>
      </c>
      <c r="K6544" t="s">
        <v>262</v>
      </c>
      <c r="L6544" t="s">
        <v>52</v>
      </c>
      <c r="M6544" t="s">
        <v>76</v>
      </c>
      <c r="N6544" t="s">
        <v>293</v>
      </c>
      <c r="O6544" t="s">
        <v>301</v>
      </c>
      <c r="P6544" t="s">
        <v>309</v>
      </c>
      <c r="Q6544" t="s">
        <v>315</v>
      </c>
      <c r="R6544" t="s">
        <v>228</v>
      </c>
      <c r="S6544" t="s">
        <v>328</v>
      </c>
      <c r="T6544" t="s">
        <v>149</v>
      </c>
      <c r="U6544" t="s">
        <v>337</v>
      </c>
      <c r="V6544" t="s">
        <v>341</v>
      </c>
      <c r="W6544" t="s">
        <v>345</v>
      </c>
      <c r="X6544" t="s">
        <v>350</v>
      </c>
      <c r="AK6544" t="s">
        <v>364</v>
      </c>
    </row>
    <row r="6545" spans="1:37">
      <c r="B6545" t="s">
        <v>53</v>
      </c>
      <c r="C6545" t="s">
        <v>77</v>
      </c>
      <c r="D6545" t="s">
        <v>97</v>
      </c>
      <c r="E6545" t="s">
        <v>116</v>
      </c>
      <c r="F6545" t="s">
        <v>150</v>
      </c>
      <c r="G6545" t="s">
        <v>175</v>
      </c>
      <c r="H6545" t="s">
        <v>210</v>
      </c>
      <c r="I6545" t="s">
        <v>230</v>
      </c>
      <c r="J6545" t="s">
        <v>249</v>
      </c>
      <c r="K6545" t="s">
        <v>263</v>
      </c>
      <c r="L6545" t="s">
        <v>275</v>
      </c>
      <c r="M6545" t="s">
        <v>284</v>
      </c>
      <c r="N6545" t="s">
        <v>294</v>
      </c>
      <c r="O6545" t="s">
        <v>302</v>
      </c>
      <c r="P6545" t="s">
        <v>310</v>
      </c>
      <c r="Q6545" t="s">
        <v>316</v>
      </c>
      <c r="R6545" t="s">
        <v>322</v>
      </c>
      <c r="S6545" t="s">
        <v>329</v>
      </c>
      <c r="AK6545" t="s">
        <v>364</v>
      </c>
    </row>
    <row r="6546" spans="1:37">
      <c r="A6546" t="s">
        <v>39</v>
      </c>
      <c r="B6546" t="s">
        <v>54</v>
      </c>
      <c r="C6546" t="s">
        <v>54</v>
      </c>
      <c r="D6546" t="s">
        <v>54</v>
      </c>
      <c r="E6546" t="s">
        <v>54</v>
      </c>
      <c r="F6546" t="s">
        <v>54</v>
      </c>
      <c r="G6546" t="s">
        <v>54</v>
      </c>
      <c r="H6546" t="s">
        <v>54</v>
      </c>
      <c r="I6546" t="s">
        <v>54</v>
      </c>
      <c r="J6546" t="s">
        <v>54</v>
      </c>
      <c r="K6546" t="s">
        <v>54</v>
      </c>
      <c r="L6546" t="s">
        <v>54</v>
      </c>
      <c r="M6546" t="s">
        <v>54</v>
      </c>
      <c r="N6546" t="s">
        <v>54</v>
      </c>
      <c r="O6546" t="s">
        <v>54</v>
      </c>
      <c r="P6546" t="s">
        <v>54</v>
      </c>
      <c r="Q6546" t="s">
        <v>54</v>
      </c>
      <c r="R6546" t="s">
        <v>323</v>
      </c>
      <c r="S6546" t="s">
        <v>330</v>
      </c>
      <c r="AK6546" t="s">
        <v>364</v>
      </c>
    </row>
    <row r="6547" spans="1:37">
      <c r="B6547" t="s">
        <v>55</v>
      </c>
      <c r="C6547" t="s">
        <v>78</v>
      </c>
      <c r="D6547" t="s">
        <v>55</v>
      </c>
      <c r="E6547" t="s">
        <v>78</v>
      </c>
      <c r="F6547" t="s">
        <v>55</v>
      </c>
      <c r="G6547" t="s">
        <v>78</v>
      </c>
      <c r="H6547" t="s">
        <v>55</v>
      </c>
      <c r="I6547" t="s">
        <v>78</v>
      </c>
      <c r="J6547" t="s">
        <v>55</v>
      </c>
      <c r="K6547" t="s">
        <v>78</v>
      </c>
      <c r="L6547" t="s">
        <v>55</v>
      </c>
      <c r="M6547" t="s">
        <v>78</v>
      </c>
      <c r="N6547" t="s">
        <v>55</v>
      </c>
      <c r="O6547" t="s">
        <v>78</v>
      </c>
      <c r="P6547" t="s">
        <v>55</v>
      </c>
      <c r="Q6547" t="s">
        <v>78</v>
      </c>
      <c r="R6547" t="s">
        <v>55</v>
      </c>
      <c r="S6547" t="s">
        <v>78</v>
      </c>
      <c r="T6547" t="s">
        <v>55</v>
      </c>
      <c r="U6547" t="s">
        <v>78</v>
      </c>
      <c r="V6547" t="s">
        <v>55</v>
      </c>
      <c r="W6547" t="s">
        <v>78</v>
      </c>
      <c r="X6547" t="s">
        <v>55</v>
      </c>
      <c r="Y6547" t="s">
        <v>78</v>
      </c>
      <c r="Z6547" t="s">
        <v>55</v>
      </c>
      <c r="AA6547" t="s">
        <v>78</v>
      </c>
      <c r="AB6547" t="s">
        <v>55</v>
      </c>
      <c r="AC6547" t="s">
        <v>78</v>
      </c>
      <c r="AD6547" t="s">
        <v>55</v>
      </c>
      <c r="AE6547" t="s">
        <v>78</v>
      </c>
      <c r="AF6547" t="s">
        <v>55</v>
      </c>
      <c r="AG6547" t="s">
        <v>78</v>
      </c>
      <c r="AH6547" t="s">
        <v>55</v>
      </c>
      <c r="AI6547" t="s">
        <v>78</v>
      </c>
      <c r="AK6547" t="s">
        <v>364</v>
      </c>
    </row>
    <row r="6548" spans="1:37">
      <c r="B6548" t="s">
        <v>56</v>
      </c>
      <c r="C6548" t="s">
        <v>56</v>
      </c>
      <c r="D6548" t="s">
        <v>56</v>
      </c>
      <c r="E6548" t="s">
        <v>56</v>
      </c>
      <c r="F6548" t="s">
        <v>56</v>
      </c>
      <c r="G6548" t="s">
        <v>176</v>
      </c>
      <c r="H6548" t="s">
        <v>211</v>
      </c>
      <c r="I6548" t="s">
        <v>231</v>
      </c>
      <c r="J6548" t="s">
        <v>250</v>
      </c>
      <c r="K6548" t="s">
        <v>264</v>
      </c>
      <c r="L6548" t="s">
        <v>276</v>
      </c>
      <c r="M6548" t="s">
        <v>285</v>
      </c>
      <c r="N6548" t="s">
        <v>295</v>
      </c>
      <c r="O6548" t="s">
        <v>303</v>
      </c>
      <c r="P6548" t="s">
        <v>56</v>
      </c>
      <c r="Q6548" t="s">
        <v>317</v>
      </c>
      <c r="R6548" t="s">
        <v>324</v>
      </c>
      <c r="S6548" t="s">
        <v>331</v>
      </c>
      <c r="T6548" t="s">
        <v>334</v>
      </c>
      <c r="U6548" t="s">
        <v>338</v>
      </c>
      <c r="V6548" t="s">
        <v>342</v>
      </c>
      <c r="W6548" t="s">
        <v>346</v>
      </c>
      <c r="X6548" t="s">
        <v>351</v>
      </c>
      <c r="AK6548" t="s">
        <v>364</v>
      </c>
    </row>
    <row r="6549" spans="1:37">
      <c r="B6549" t="s">
        <v>57</v>
      </c>
      <c r="C6549" t="s">
        <v>79</v>
      </c>
      <c r="D6549" t="s">
        <v>98</v>
      </c>
      <c r="E6549" t="s">
        <v>117</v>
      </c>
      <c r="F6549" t="s">
        <v>151</v>
      </c>
      <c r="G6549" t="s">
        <v>177</v>
      </c>
      <c r="H6549" t="s">
        <v>212</v>
      </c>
      <c r="I6549" t="s">
        <v>232</v>
      </c>
      <c r="J6549" t="s">
        <v>251</v>
      </c>
      <c r="K6549" t="s">
        <v>265</v>
      </c>
      <c r="L6549" t="s">
        <v>277</v>
      </c>
      <c r="M6549" t="s">
        <v>286</v>
      </c>
      <c r="N6549" t="s">
        <v>296</v>
      </c>
      <c r="O6549" t="s">
        <v>304</v>
      </c>
      <c r="P6549" t="s">
        <v>311</v>
      </c>
      <c r="Q6549" t="s">
        <v>318</v>
      </c>
      <c r="R6549" t="s">
        <v>185</v>
      </c>
      <c r="S6549" t="s">
        <v>159</v>
      </c>
      <c r="T6549" t="s">
        <v>185</v>
      </c>
      <c r="U6549" t="s">
        <v>339</v>
      </c>
      <c r="V6549" t="s">
        <v>72</v>
      </c>
      <c r="W6549" t="s">
        <v>347</v>
      </c>
      <c r="X6549" t="s">
        <v>72</v>
      </c>
      <c r="Y6549" t="s">
        <v>96</v>
      </c>
      <c r="AK6549" t="s">
        <v>364</v>
      </c>
    </row>
    <row r="6550" spans="1:37">
      <c r="B6550" t="s">
        <v>58</v>
      </c>
      <c r="C6550" t="s">
        <v>80</v>
      </c>
      <c r="D6550" t="s">
        <v>99</v>
      </c>
      <c r="E6550" t="s">
        <v>118</v>
      </c>
      <c r="F6550" t="s">
        <v>152</v>
      </c>
      <c r="G6550" t="s">
        <v>178</v>
      </c>
      <c r="H6550" t="s">
        <v>213</v>
      </c>
      <c r="I6550" t="s">
        <v>233</v>
      </c>
      <c r="J6550" t="s">
        <v>252</v>
      </c>
      <c r="K6550" t="s">
        <v>266</v>
      </c>
      <c r="L6550" t="s">
        <v>278</v>
      </c>
      <c r="M6550" t="s">
        <v>287</v>
      </c>
      <c r="N6550" t="s">
        <v>297</v>
      </c>
      <c r="O6550" t="s">
        <v>305</v>
      </c>
      <c r="P6550" t="s">
        <v>312</v>
      </c>
      <c r="Q6550" t="s">
        <v>319</v>
      </c>
      <c r="R6550">
        <f>&gt;10       ветра      2.4     15  12</f>
        <v>0</v>
      </c>
      <c r="AK6550" t="s">
        <v>364</v>
      </c>
    </row>
    <row r="6551" spans="1:37">
      <c r="A6551" t="s">
        <v>40</v>
      </c>
      <c r="B6551" t="s">
        <v>59</v>
      </c>
      <c r="C6551" t="s">
        <v>81</v>
      </c>
      <c r="D6551" t="s">
        <v>100</v>
      </c>
      <c r="E6551" t="s">
        <v>119</v>
      </c>
      <c r="F6551" t="s">
        <v>153</v>
      </c>
      <c r="G6551" t="s">
        <v>179</v>
      </c>
      <c r="H6551" t="s">
        <v>214</v>
      </c>
      <c r="I6551" t="s">
        <v>234</v>
      </c>
      <c r="AK6551" t="s">
        <v>364</v>
      </c>
    </row>
    <row r="6552" spans="1:37">
      <c r="A6552" t="s">
        <v>40</v>
      </c>
      <c r="B6552" t="s">
        <v>60</v>
      </c>
      <c r="C6552" t="s">
        <v>82</v>
      </c>
      <c r="D6552" t="s">
        <v>101</v>
      </c>
      <c r="E6552" t="s">
        <v>120</v>
      </c>
      <c r="F6552" t="s">
        <v>154</v>
      </c>
      <c r="G6552" t="s">
        <v>180</v>
      </c>
      <c r="H6552" t="s">
        <v>215</v>
      </c>
      <c r="I6552" t="s">
        <v>235</v>
      </c>
      <c r="J6552" t="s">
        <v>253</v>
      </c>
      <c r="K6552" t="s">
        <v>267</v>
      </c>
      <c r="L6552" t="s">
        <v>279</v>
      </c>
      <c r="M6552" t="s">
        <v>288</v>
      </c>
      <c r="N6552" t="s">
        <v>100</v>
      </c>
      <c r="O6552" t="s">
        <v>306</v>
      </c>
      <c r="P6552" t="s">
        <v>313</v>
      </c>
      <c r="Q6552" t="s">
        <v>320</v>
      </c>
      <c r="R6552" t="s">
        <v>325</v>
      </c>
      <c r="S6552" t="s">
        <v>332</v>
      </c>
      <c r="T6552" t="s">
        <v>119</v>
      </c>
      <c r="U6552" t="s">
        <v>234</v>
      </c>
      <c r="V6552" t="s">
        <v>343</v>
      </c>
      <c r="W6552" t="s">
        <v>348</v>
      </c>
      <c r="X6552" t="s">
        <v>352</v>
      </c>
      <c r="Y6552" t="s">
        <v>354</v>
      </c>
      <c r="AK6552" t="s">
        <v>364</v>
      </c>
    </row>
    <row r="6553" spans="1:37">
      <c r="A6553" t="s">
        <v>41</v>
      </c>
      <c r="B6553" t="s">
        <v>61</v>
      </c>
      <c r="C6553" t="s">
        <v>83</v>
      </c>
      <c r="D6553" t="s">
        <v>102</v>
      </c>
      <c r="E6553" t="s">
        <v>121</v>
      </c>
      <c r="F6553" t="s">
        <v>155</v>
      </c>
      <c r="G6553" t="s">
        <v>181</v>
      </c>
      <c r="H6553" t="s">
        <v>216</v>
      </c>
      <c r="I6553" t="s">
        <v>236</v>
      </c>
      <c r="AK6553" t="s">
        <v>364</v>
      </c>
    </row>
    <row r="6554" spans="1:37">
      <c r="A6554" t="s">
        <v>42</v>
      </c>
      <c r="B6554" t="s">
        <v>62</v>
      </c>
      <c r="C6554" t="s">
        <v>84</v>
      </c>
      <c r="D6554" t="s">
        <v>103</v>
      </c>
      <c r="E6554" t="s">
        <v>122</v>
      </c>
      <c r="F6554" t="s">
        <v>156</v>
      </c>
      <c r="G6554" t="s">
        <v>182</v>
      </c>
      <c r="H6554" t="s">
        <v>83</v>
      </c>
      <c r="I6554" t="s">
        <v>237</v>
      </c>
      <c r="J6554" t="s">
        <v>254</v>
      </c>
      <c r="K6554" t="s">
        <v>268</v>
      </c>
      <c r="L6554" t="s">
        <v>280</v>
      </c>
      <c r="M6554" t="s">
        <v>289</v>
      </c>
      <c r="N6554" t="s">
        <v>298</v>
      </c>
      <c r="O6554" t="s">
        <v>307</v>
      </c>
      <c r="P6554" t="s">
        <v>314</v>
      </c>
      <c r="Q6554" t="s">
        <v>216</v>
      </c>
      <c r="R6554" t="s">
        <v>326</v>
      </c>
      <c r="S6554" t="s">
        <v>333</v>
      </c>
      <c r="T6554" t="s">
        <v>335</v>
      </c>
      <c r="U6554" t="s">
        <v>340</v>
      </c>
      <c r="V6554" t="s">
        <v>344</v>
      </c>
      <c r="W6554" t="s">
        <v>349</v>
      </c>
      <c r="AK6554" t="s">
        <v>364</v>
      </c>
    </row>
    <row r="6555" spans="1:37">
      <c r="A6555" t="s">
        <v>43</v>
      </c>
      <c r="B6555" t="s">
        <v>63</v>
      </c>
      <c r="C6555" t="s">
        <v>85</v>
      </c>
      <c r="D6555" t="s">
        <v>104</v>
      </c>
      <c r="E6555" t="s">
        <v>123</v>
      </c>
      <c r="F6555" t="s">
        <v>157</v>
      </c>
      <c r="G6555" t="s">
        <v>183</v>
      </c>
      <c r="AK6555" t="s">
        <v>364</v>
      </c>
    </row>
    <row r="6556" spans="1:37">
      <c r="A6556" t="s">
        <v>44</v>
      </c>
      <c r="B6556" t="s">
        <v>64</v>
      </c>
      <c r="C6556" t="s">
        <v>86</v>
      </c>
      <c r="D6556" t="s">
        <v>105</v>
      </c>
      <c r="E6556" t="s">
        <v>124</v>
      </c>
      <c r="F6556" t="s">
        <v>158</v>
      </c>
      <c r="G6556" t="s">
        <v>184</v>
      </c>
      <c r="AK6556" t="s">
        <v>364</v>
      </c>
    </row>
    <row r="6557" spans="1:37">
      <c r="A6557" t="s">
        <v>45</v>
      </c>
      <c r="B6557" t="s">
        <v>65</v>
      </c>
      <c r="C6557" t="s">
        <v>87</v>
      </c>
      <c r="D6557" t="s">
        <v>106</v>
      </c>
      <c r="E6557" t="s">
        <v>125</v>
      </c>
      <c r="F6557" t="s">
        <v>159</v>
      </c>
      <c r="G6557" t="s">
        <v>185</v>
      </c>
      <c r="H6557" t="s">
        <v>159</v>
      </c>
      <c r="I6557" t="s">
        <v>185</v>
      </c>
      <c r="J6557" t="s">
        <v>255</v>
      </c>
      <c r="AK6557" t="s">
        <v>364</v>
      </c>
    </row>
    <row r="6558" spans="1:37">
      <c r="A6558" t="s">
        <v>46</v>
      </c>
      <c r="B6558" t="s">
        <v>66</v>
      </c>
      <c r="C6558" t="s">
        <v>88</v>
      </c>
      <c r="D6558" t="s">
        <v>76</v>
      </c>
      <c r="E6558" t="s">
        <v>126</v>
      </c>
      <c r="F6558" t="s">
        <v>160</v>
      </c>
      <c r="G6558" t="s">
        <v>186</v>
      </c>
      <c r="H6558" t="s">
        <v>217</v>
      </c>
      <c r="I6558" t="s">
        <v>238</v>
      </c>
      <c r="J6558" t="s">
        <v>256</v>
      </c>
      <c r="K6558" t="s">
        <v>265</v>
      </c>
      <c r="L6558" t="s">
        <v>281</v>
      </c>
      <c r="M6558" t="s">
        <v>290</v>
      </c>
      <c r="N6558" t="s">
        <v>299</v>
      </c>
      <c r="O6558" t="s">
        <v>308</v>
      </c>
      <c r="P6558" t="s">
        <v>228</v>
      </c>
      <c r="Q6558" t="s">
        <v>72</v>
      </c>
      <c r="R6558" t="s">
        <v>327</v>
      </c>
      <c r="S6558" t="s">
        <v>327</v>
      </c>
      <c r="T6558" t="s">
        <v>336</v>
      </c>
      <c r="U6558" t="s">
        <v>336</v>
      </c>
      <c r="V6558" t="s">
        <v>336</v>
      </c>
      <c r="W6558" t="s">
        <v>336</v>
      </c>
      <c r="X6558" t="s">
        <v>353</v>
      </c>
      <c r="AK6558" t="s">
        <v>364</v>
      </c>
    </row>
    <row r="6559" spans="1:37">
      <c r="B6559" t="s">
        <v>67</v>
      </c>
      <c r="C6559" t="s">
        <v>89</v>
      </c>
      <c r="D6559" t="s">
        <v>107</v>
      </c>
      <c r="AK6559" t="s">
        <v>364</v>
      </c>
    </row>
    <row r="6560" spans="1:37">
      <c r="B6560" t="s">
        <v>68</v>
      </c>
      <c r="C6560" t="s">
        <v>90</v>
      </c>
      <c r="D6560" t="s">
        <v>108</v>
      </c>
      <c r="AK6560" t="s">
        <v>364</v>
      </c>
    </row>
    <row r="6561" spans="1:37">
      <c r="A6561" t="s">
        <v>47</v>
      </c>
      <c r="B6561" t="s">
        <v>69</v>
      </c>
      <c r="C6561" t="s">
        <v>91</v>
      </c>
      <c r="D6561" t="s">
        <v>109</v>
      </c>
      <c r="E6561" t="s">
        <v>109</v>
      </c>
      <c r="F6561" t="s">
        <v>109</v>
      </c>
      <c r="G6561" t="s">
        <v>109</v>
      </c>
      <c r="H6561" t="s">
        <v>109</v>
      </c>
      <c r="I6561" t="s">
        <v>239</v>
      </c>
      <c r="AK6561" t="s">
        <v>364</v>
      </c>
    </row>
    <row r="6562" spans="1:37">
      <c r="B6562" t="s">
        <v>70</v>
      </c>
      <c r="C6562" t="s">
        <v>92</v>
      </c>
      <c r="D6562" t="s">
        <v>110</v>
      </c>
      <c r="E6562" t="s">
        <v>127</v>
      </c>
      <c r="F6562" t="s">
        <v>161</v>
      </c>
      <c r="G6562" t="s">
        <v>187</v>
      </c>
      <c r="H6562" t="s">
        <v>218</v>
      </c>
      <c r="AK6562" t="s">
        <v>364</v>
      </c>
    </row>
    <row r="6563" spans="1:37">
      <c r="B6563" t="s">
        <v>71</v>
      </c>
      <c r="C6563" t="s">
        <v>93</v>
      </c>
      <c r="D6563" t="s">
        <v>111</v>
      </c>
      <c r="E6563" t="s">
        <v>128</v>
      </c>
      <c r="F6563" t="s">
        <v>162</v>
      </c>
      <c r="G6563" t="s">
        <v>188</v>
      </c>
      <c r="H6563" t="s">
        <v>219</v>
      </c>
      <c r="I6563" t="s">
        <v>240</v>
      </c>
      <c r="J6563" t="s">
        <v>257</v>
      </c>
      <c r="K6563" t="s">
        <v>269</v>
      </c>
      <c r="L6563" t="s">
        <v>109</v>
      </c>
      <c r="M6563" t="s">
        <v>109</v>
      </c>
      <c r="N6563" t="s">
        <v>109</v>
      </c>
      <c r="O6563" t="s">
        <v>109</v>
      </c>
      <c r="P6563" t="s">
        <v>109</v>
      </c>
      <c r="Q6563" t="s">
        <v>321</v>
      </c>
      <c r="AK6563" t="s">
        <v>364</v>
      </c>
    </row>
    <row r="6564" spans="1:37">
      <c r="A6564" t="s">
        <v>48</v>
      </c>
      <c r="B6564" t="s">
        <v>71</v>
      </c>
      <c r="C6564" t="s">
        <v>93</v>
      </c>
      <c r="D6564" t="s">
        <v>111</v>
      </c>
      <c r="E6564" t="s">
        <v>128</v>
      </c>
      <c r="F6564" t="s">
        <v>163</v>
      </c>
      <c r="G6564" t="s">
        <v>189</v>
      </c>
      <c r="H6564" t="s">
        <v>220</v>
      </c>
      <c r="I6564" t="s">
        <v>241</v>
      </c>
      <c r="J6564" t="s">
        <v>258</v>
      </c>
      <c r="K6564" t="s">
        <v>270</v>
      </c>
      <c r="AK6564" t="s">
        <v>364</v>
      </c>
    </row>
    <row r="6565" spans="1:37">
      <c r="B6565" t="s">
        <v>72</v>
      </c>
      <c r="C6565" t="s">
        <v>72</v>
      </c>
      <c r="D6565" t="s">
        <v>72</v>
      </c>
      <c r="E6565" t="s">
        <v>139</v>
      </c>
      <c r="F6565" t="s">
        <v>139</v>
      </c>
      <c r="G6565" t="s">
        <v>192</v>
      </c>
      <c r="H6565" t="s">
        <v>192</v>
      </c>
      <c r="I6565" t="s">
        <v>192</v>
      </c>
      <c r="J6565" t="s">
        <v>192</v>
      </c>
      <c r="K6565" t="s">
        <v>271</v>
      </c>
      <c r="AK6565" t="s">
        <v>364</v>
      </c>
    </row>
    <row r="6566" spans="1:37">
      <c r="A6566" t="s">
        <v>37</v>
      </c>
      <c r="B6566" t="s">
        <v>49</v>
      </c>
      <c r="C6566" t="s">
        <v>73</v>
      </c>
      <c r="D6566" t="s">
        <v>94</v>
      </c>
      <c r="E6566" t="s">
        <v>112</v>
      </c>
      <c r="F6566" t="s">
        <v>146</v>
      </c>
      <c r="G6566" t="s">
        <v>172</v>
      </c>
      <c r="H6566" t="s">
        <v>207</v>
      </c>
      <c r="I6566" t="s">
        <v>226</v>
      </c>
      <c r="J6566" t="s">
        <v>246</v>
      </c>
      <c r="K6566" t="s">
        <v>259</v>
      </c>
      <c r="AK6566" t="s">
        <v>364</v>
      </c>
    </row>
    <row r="6567" spans="1:37">
      <c r="A6567" t="s">
        <v>38</v>
      </c>
      <c r="B6567" t="s">
        <v>50</v>
      </c>
      <c r="C6567" t="s">
        <v>74</v>
      </c>
      <c r="D6567" t="s">
        <v>95</v>
      </c>
      <c r="E6567" t="s">
        <v>113</v>
      </c>
      <c r="F6567" t="s">
        <v>147</v>
      </c>
      <c r="G6567" t="s">
        <v>173</v>
      </c>
      <c r="H6567" t="s">
        <v>208</v>
      </c>
      <c r="I6567" t="s">
        <v>227</v>
      </c>
      <c r="J6567" t="s">
        <v>115</v>
      </c>
      <c r="K6567" t="s">
        <v>260</v>
      </c>
      <c r="L6567" t="s">
        <v>273</v>
      </c>
      <c r="M6567" t="s">
        <v>282</v>
      </c>
      <c r="N6567" t="s">
        <v>291</v>
      </c>
      <c r="AK6567" t="s">
        <v>364</v>
      </c>
    </row>
    <row r="6568" spans="1:37">
      <c r="B6568" t="s">
        <v>51</v>
      </c>
      <c r="C6568" t="s">
        <v>75</v>
      </c>
      <c r="D6568" t="s">
        <v>52</v>
      </c>
      <c r="E6568" t="s">
        <v>114</v>
      </c>
      <c r="F6568" t="s">
        <v>148</v>
      </c>
      <c r="G6568" t="s">
        <v>148</v>
      </c>
      <c r="H6568" t="s">
        <v>209</v>
      </c>
      <c r="I6568" t="s">
        <v>228</v>
      </c>
      <c r="J6568" t="s">
        <v>247</v>
      </c>
      <c r="K6568" t="s">
        <v>261</v>
      </c>
      <c r="L6568" t="s">
        <v>274</v>
      </c>
      <c r="M6568" t="s">
        <v>283</v>
      </c>
      <c r="N6568" t="s">
        <v>292</v>
      </c>
      <c r="O6568" t="s">
        <v>300</v>
      </c>
      <c r="AK6568" t="s">
        <v>364</v>
      </c>
    </row>
    <row r="6569" spans="1:37">
      <c r="B6569" t="s">
        <v>52</v>
      </c>
      <c r="C6569" t="s">
        <v>76</v>
      </c>
      <c r="D6569" t="s">
        <v>96</v>
      </c>
      <c r="E6569" t="s">
        <v>115</v>
      </c>
      <c r="F6569" t="s">
        <v>149</v>
      </c>
      <c r="G6569" t="s">
        <v>174</v>
      </c>
      <c r="H6569" t="s">
        <v>96</v>
      </c>
      <c r="I6569" t="s">
        <v>229</v>
      </c>
      <c r="J6569" t="s">
        <v>248</v>
      </c>
      <c r="K6569" t="s">
        <v>262</v>
      </c>
      <c r="L6569" t="s">
        <v>52</v>
      </c>
      <c r="M6569" t="s">
        <v>76</v>
      </c>
      <c r="N6569" t="s">
        <v>293</v>
      </c>
      <c r="O6569" t="s">
        <v>301</v>
      </c>
      <c r="P6569" t="s">
        <v>309</v>
      </c>
      <c r="Q6569" t="s">
        <v>315</v>
      </c>
      <c r="R6569" t="s">
        <v>228</v>
      </c>
      <c r="S6569" t="s">
        <v>328</v>
      </c>
      <c r="T6569" t="s">
        <v>149</v>
      </c>
      <c r="U6569" t="s">
        <v>337</v>
      </c>
      <c r="V6569" t="s">
        <v>341</v>
      </c>
      <c r="W6569" t="s">
        <v>345</v>
      </c>
      <c r="X6569" t="s">
        <v>350</v>
      </c>
      <c r="AK6569" t="s">
        <v>364</v>
      </c>
    </row>
    <row r="6570" spans="1:37">
      <c r="B6570" t="s">
        <v>53</v>
      </c>
      <c r="C6570" t="s">
        <v>77</v>
      </c>
      <c r="D6570" t="s">
        <v>97</v>
      </c>
      <c r="E6570" t="s">
        <v>116</v>
      </c>
      <c r="F6570" t="s">
        <v>150</v>
      </c>
      <c r="G6570" t="s">
        <v>175</v>
      </c>
      <c r="H6570" t="s">
        <v>210</v>
      </c>
      <c r="I6570" t="s">
        <v>230</v>
      </c>
      <c r="J6570" t="s">
        <v>249</v>
      </c>
      <c r="K6570" t="s">
        <v>263</v>
      </c>
      <c r="L6570" t="s">
        <v>275</v>
      </c>
      <c r="M6570" t="s">
        <v>284</v>
      </c>
      <c r="N6570" t="s">
        <v>294</v>
      </c>
      <c r="O6570" t="s">
        <v>302</v>
      </c>
      <c r="P6570" t="s">
        <v>310</v>
      </c>
      <c r="Q6570" t="s">
        <v>316</v>
      </c>
      <c r="R6570" t="s">
        <v>322</v>
      </c>
      <c r="S6570" t="s">
        <v>329</v>
      </c>
      <c r="AK6570" t="s">
        <v>364</v>
      </c>
    </row>
    <row r="6571" spans="1:37">
      <c r="A6571" t="s">
        <v>39</v>
      </c>
      <c r="B6571" t="s">
        <v>54</v>
      </c>
      <c r="C6571" t="s">
        <v>54</v>
      </c>
      <c r="D6571" t="s">
        <v>54</v>
      </c>
      <c r="E6571" t="s">
        <v>54</v>
      </c>
      <c r="F6571" t="s">
        <v>54</v>
      </c>
      <c r="G6571" t="s">
        <v>54</v>
      </c>
      <c r="H6571" t="s">
        <v>54</v>
      </c>
      <c r="I6571" t="s">
        <v>54</v>
      </c>
      <c r="J6571" t="s">
        <v>54</v>
      </c>
      <c r="K6571" t="s">
        <v>54</v>
      </c>
      <c r="L6571" t="s">
        <v>54</v>
      </c>
      <c r="M6571" t="s">
        <v>54</v>
      </c>
      <c r="N6571" t="s">
        <v>54</v>
      </c>
      <c r="O6571" t="s">
        <v>54</v>
      </c>
      <c r="P6571" t="s">
        <v>54</v>
      </c>
      <c r="Q6571" t="s">
        <v>54</v>
      </c>
      <c r="R6571" t="s">
        <v>323</v>
      </c>
      <c r="S6571" t="s">
        <v>330</v>
      </c>
      <c r="AK6571" t="s">
        <v>364</v>
      </c>
    </row>
    <row r="6572" spans="1:37">
      <c r="B6572" t="s">
        <v>55</v>
      </c>
      <c r="C6572" t="s">
        <v>78</v>
      </c>
      <c r="D6572" t="s">
        <v>55</v>
      </c>
      <c r="E6572" t="s">
        <v>78</v>
      </c>
      <c r="F6572" t="s">
        <v>55</v>
      </c>
      <c r="G6572" t="s">
        <v>78</v>
      </c>
      <c r="H6572" t="s">
        <v>55</v>
      </c>
      <c r="I6572" t="s">
        <v>78</v>
      </c>
      <c r="J6572" t="s">
        <v>55</v>
      </c>
      <c r="K6572" t="s">
        <v>78</v>
      </c>
      <c r="L6572" t="s">
        <v>55</v>
      </c>
      <c r="M6572" t="s">
        <v>78</v>
      </c>
      <c r="N6572" t="s">
        <v>55</v>
      </c>
      <c r="O6572" t="s">
        <v>78</v>
      </c>
      <c r="P6572" t="s">
        <v>55</v>
      </c>
      <c r="Q6572" t="s">
        <v>78</v>
      </c>
      <c r="R6572" t="s">
        <v>55</v>
      </c>
      <c r="S6572" t="s">
        <v>78</v>
      </c>
      <c r="T6572" t="s">
        <v>55</v>
      </c>
      <c r="U6572" t="s">
        <v>78</v>
      </c>
      <c r="V6572" t="s">
        <v>55</v>
      </c>
      <c r="W6572" t="s">
        <v>78</v>
      </c>
      <c r="X6572" t="s">
        <v>55</v>
      </c>
      <c r="Y6572" t="s">
        <v>78</v>
      </c>
      <c r="Z6572" t="s">
        <v>55</v>
      </c>
      <c r="AA6572" t="s">
        <v>78</v>
      </c>
      <c r="AB6572" t="s">
        <v>55</v>
      </c>
      <c r="AC6572" t="s">
        <v>78</v>
      </c>
      <c r="AD6572" t="s">
        <v>55</v>
      </c>
      <c r="AE6572" t="s">
        <v>78</v>
      </c>
      <c r="AF6572" t="s">
        <v>55</v>
      </c>
      <c r="AG6572" t="s">
        <v>78</v>
      </c>
      <c r="AH6572" t="s">
        <v>55</v>
      </c>
      <c r="AI6572" t="s">
        <v>78</v>
      </c>
      <c r="AK6572" t="s">
        <v>364</v>
      </c>
    </row>
    <row r="6573" spans="1:37">
      <c r="B6573" t="s">
        <v>56</v>
      </c>
      <c r="C6573" t="s">
        <v>56</v>
      </c>
      <c r="D6573" t="s">
        <v>56</v>
      </c>
      <c r="E6573" t="s">
        <v>56</v>
      </c>
      <c r="F6573" t="s">
        <v>56</v>
      </c>
      <c r="G6573" t="s">
        <v>176</v>
      </c>
      <c r="H6573" t="s">
        <v>211</v>
      </c>
      <c r="I6573" t="s">
        <v>231</v>
      </c>
      <c r="J6573" t="s">
        <v>250</v>
      </c>
      <c r="K6573" t="s">
        <v>264</v>
      </c>
      <c r="L6573" t="s">
        <v>276</v>
      </c>
      <c r="M6573" t="s">
        <v>285</v>
      </c>
      <c r="N6573" t="s">
        <v>295</v>
      </c>
      <c r="O6573" t="s">
        <v>303</v>
      </c>
      <c r="P6573" t="s">
        <v>56</v>
      </c>
      <c r="Q6573" t="s">
        <v>317</v>
      </c>
      <c r="R6573" t="s">
        <v>324</v>
      </c>
      <c r="S6573" t="s">
        <v>331</v>
      </c>
      <c r="T6573" t="s">
        <v>334</v>
      </c>
      <c r="U6573" t="s">
        <v>338</v>
      </c>
      <c r="V6573" t="s">
        <v>342</v>
      </c>
      <c r="W6573" t="s">
        <v>346</v>
      </c>
      <c r="X6573" t="s">
        <v>351</v>
      </c>
      <c r="AK6573" t="s">
        <v>364</v>
      </c>
    </row>
    <row r="6574" spans="1:37">
      <c r="B6574" t="s">
        <v>57</v>
      </c>
      <c r="C6574" t="s">
        <v>79</v>
      </c>
      <c r="D6574" t="s">
        <v>98</v>
      </c>
      <c r="E6574" t="s">
        <v>117</v>
      </c>
      <c r="F6574" t="s">
        <v>151</v>
      </c>
      <c r="G6574" t="s">
        <v>177</v>
      </c>
      <c r="H6574" t="s">
        <v>212</v>
      </c>
      <c r="I6574" t="s">
        <v>232</v>
      </c>
      <c r="J6574" t="s">
        <v>251</v>
      </c>
      <c r="K6574" t="s">
        <v>265</v>
      </c>
      <c r="L6574" t="s">
        <v>277</v>
      </c>
      <c r="M6574" t="s">
        <v>286</v>
      </c>
      <c r="N6574" t="s">
        <v>296</v>
      </c>
      <c r="O6574" t="s">
        <v>304</v>
      </c>
      <c r="P6574" t="s">
        <v>311</v>
      </c>
      <c r="Q6574" t="s">
        <v>318</v>
      </c>
      <c r="R6574" t="s">
        <v>185</v>
      </c>
      <c r="S6574" t="s">
        <v>159</v>
      </c>
      <c r="T6574" t="s">
        <v>185</v>
      </c>
      <c r="U6574" t="s">
        <v>339</v>
      </c>
      <c r="V6574" t="s">
        <v>72</v>
      </c>
      <c r="W6574" t="s">
        <v>347</v>
      </c>
      <c r="X6574" t="s">
        <v>72</v>
      </c>
      <c r="Y6574" t="s">
        <v>96</v>
      </c>
      <c r="AK6574" t="s">
        <v>364</v>
      </c>
    </row>
    <row r="6575" spans="1:37">
      <c r="B6575" t="s">
        <v>58</v>
      </c>
      <c r="C6575" t="s">
        <v>80</v>
      </c>
      <c r="D6575" t="s">
        <v>99</v>
      </c>
      <c r="E6575" t="s">
        <v>118</v>
      </c>
      <c r="F6575" t="s">
        <v>152</v>
      </c>
      <c r="G6575" t="s">
        <v>178</v>
      </c>
      <c r="H6575" t="s">
        <v>213</v>
      </c>
      <c r="I6575" t="s">
        <v>233</v>
      </c>
      <c r="J6575" t="s">
        <v>252</v>
      </c>
      <c r="K6575" t="s">
        <v>266</v>
      </c>
      <c r="L6575" t="s">
        <v>278</v>
      </c>
      <c r="M6575" t="s">
        <v>287</v>
      </c>
      <c r="N6575" t="s">
        <v>297</v>
      </c>
      <c r="O6575" t="s">
        <v>305</v>
      </c>
      <c r="P6575" t="s">
        <v>312</v>
      </c>
      <c r="Q6575" t="s">
        <v>319</v>
      </c>
      <c r="R6575">
        <f>&gt;10       ветра      2.6     20  12</f>
        <v>0</v>
      </c>
      <c r="AK6575" t="s">
        <v>364</v>
      </c>
    </row>
    <row r="6576" spans="1:37">
      <c r="A6576" t="s">
        <v>40</v>
      </c>
      <c r="B6576" t="s">
        <v>59</v>
      </c>
      <c r="C6576" t="s">
        <v>81</v>
      </c>
      <c r="D6576" t="s">
        <v>100</v>
      </c>
      <c r="E6576" t="s">
        <v>119</v>
      </c>
      <c r="F6576" t="s">
        <v>153</v>
      </c>
      <c r="G6576" t="s">
        <v>179</v>
      </c>
      <c r="H6576" t="s">
        <v>214</v>
      </c>
      <c r="I6576" t="s">
        <v>234</v>
      </c>
      <c r="AK6576" t="s">
        <v>364</v>
      </c>
    </row>
    <row r="6577" spans="1:37">
      <c r="A6577" t="s">
        <v>40</v>
      </c>
      <c r="B6577" t="s">
        <v>60</v>
      </c>
      <c r="C6577" t="s">
        <v>82</v>
      </c>
      <c r="D6577" t="s">
        <v>101</v>
      </c>
      <c r="E6577" t="s">
        <v>120</v>
      </c>
      <c r="F6577" t="s">
        <v>154</v>
      </c>
      <c r="G6577" t="s">
        <v>180</v>
      </c>
      <c r="H6577" t="s">
        <v>215</v>
      </c>
      <c r="I6577" t="s">
        <v>235</v>
      </c>
      <c r="J6577" t="s">
        <v>253</v>
      </c>
      <c r="K6577" t="s">
        <v>267</v>
      </c>
      <c r="L6577" t="s">
        <v>279</v>
      </c>
      <c r="M6577" t="s">
        <v>288</v>
      </c>
      <c r="N6577" t="s">
        <v>100</v>
      </c>
      <c r="O6577" t="s">
        <v>306</v>
      </c>
      <c r="P6577" t="s">
        <v>313</v>
      </c>
      <c r="Q6577" t="s">
        <v>320</v>
      </c>
      <c r="R6577" t="s">
        <v>325</v>
      </c>
      <c r="S6577" t="s">
        <v>332</v>
      </c>
      <c r="T6577" t="s">
        <v>119</v>
      </c>
      <c r="U6577" t="s">
        <v>234</v>
      </c>
      <c r="V6577" t="s">
        <v>343</v>
      </c>
      <c r="W6577" t="s">
        <v>348</v>
      </c>
      <c r="X6577" t="s">
        <v>352</v>
      </c>
      <c r="Y6577" t="s">
        <v>354</v>
      </c>
      <c r="AK6577" t="s">
        <v>364</v>
      </c>
    </row>
    <row r="6578" spans="1:37">
      <c r="A6578" t="s">
        <v>41</v>
      </c>
      <c r="B6578" t="s">
        <v>61</v>
      </c>
      <c r="C6578" t="s">
        <v>83</v>
      </c>
      <c r="D6578" t="s">
        <v>102</v>
      </c>
      <c r="E6578" t="s">
        <v>121</v>
      </c>
      <c r="F6578" t="s">
        <v>155</v>
      </c>
      <c r="G6578" t="s">
        <v>181</v>
      </c>
      <c r="H6578" t="s">
        <v>216</v>
      </c>
      <c r="I6578" t="s">
        <v>236</v>
      </c>
      <c r="AK6578" t="s">
        <v>364</v>
      </c>
    </row>
    <row r="6579" spans="1:37">
      <c r="A6579" t="s">
        <v>42</v>
      </c>
      <c r="B6579" t="s">
        <v>62</v>
      </c>
      <c r="C6579" t="s">
        <v>84</v>
      </c>
      <c r="D6579" t="s">
        <v>103</v>
      </c>
      <c r="E6579" t="s">
        <v>122</v>
      </c>
      <c r="F6579" t="s">
        <v>156</v>
      </c>
      <c r="G6579" t="s">
        <v>182</v>
      </c>
      <c r="H6579" t="s">
        <v>83</v>
      </c>
      <c r="I6579" t="s">
        <v>237</v>
      </c>
      <c r="J6579" t="s">
        <v>254</v>
      </c>
      <c r="K6579" t="s">
        <v>268</v>
      </c>
      <c r="L6579" t="s">
        <v>280</v>
      </c>
      <c r="M6579" t="s">
        <v>289</v>
      </c>
      <c r="N6579" t="s">
        <v>298</v>
      </c>
      <c r="O6579" t="s">
        <v>307</v>
      </c>
      <c r="P6579" t="s">
        <v>314</v>
      </c>
      <c r="Q6579" t="s">
        <v>216</v>
      </c>
      <c r="R6579" t="s">
        <v>326</v>
      </c>
      <c r="S6579" t="s">
        <v>333</v>
      </c>
      <c r="T6579" t="s">
        <v>335</v>
      </c>
      <c r="U6579" t="s">
        <v>340</v>
      </c>
      <c r="V6579" t="s">
        <v>344</v>
      </c>
      <c r="W6579" t="s">
        <v>349</v>
      </c>
      <c r="AK6579" t="s">
        <v>364</v>
      </c>
    </row>
    <row r="6580" spans="1:37">
      <c r="A6580" t="s">
        <v>43</v>
      </c>
      <c r="B6580" t="s">
        <v>63</v>
      </c>
      <c r="C6580" t="s">
        <v>85</v>
      </c>
      <c r="D6580" t="s">
        <v>104</v>
      </c>
      <c r="E6580" t="s">
        <v>123</v>
      </c>
      <c r="F6580" t="s">
        <v>157</v>
      </c>
      <c r="G6580" t="s">
        <v>183</v>
      </c>
      <c r="AK6580" t="s">
        <v>364</v>
      </c>
    </row>
    <row r="6581" spans="1:37">
      <c r="A6581" t="s">
        <v>44</v>
      </c>
      <c r="B6581" t="s">
        <v>64</v>
      </c>
      <c r="C6581" t="s">
        <v>86</v>
      </c>
      <c r="D6581" t="s">
        <v>105</v>
      </c>
      <c r="E6581" t="s">
        <v>124</v>
      </c>
      <c r="F6581" t="s">
        <v>158</v>
      </c>
      <c r="G6581" t="s">
        <v>184</v>
      </c>
      <c r="AK6581" t="s">
        <v>364</v>
      </c>
    </row>
    <row r="6582" spans="1:37">
      <c r="A6582" t="s">
        <v>45</v>
      </c>
      <c r="B6582" t="s">
        <v>65</v>
      </c>
      <c r="C6582" t="s">
        <v>87</v>
      </c>
      <c r="D6582" t="s">
        <v>106</v>
      </c>
      <c r="E6582" t="s">
        <v>125</v>
      </c>
      <c r="F6582" t="s">
        <v>159</v>
      </c>
      <c r="G6582" t="s">
        <v>185</v>
      </c>
      <c r="H6582" t="s">
        <v>159</v>
      </c>
      <c r="I6582" t="s">
        <v>185</v>
      </c>
      <c r="J6582" t="s">
        <v>255</v>
      </c>
      <c r="AK6582" t="s">
        <v>364</v>
      </c>
    </row>
    <row r="6583" spans="1:37">
      <c r="A6583" t="s">
        <v>46</v>
      </c>
      <c r="B6583" t="s">
        <v>66</v>
      </c>
      <c r="C6583" t="s">
        <v>88</v>
      </c>
      <c r="D6583" t="s">
        <v>76</v>
      </c>
      <c r="E6583" t="s">
        <v>126</v>
      </c>
      <c r="F6583" t="s">
        <v>160</v>
      </c>
      <c r="G6583" t="s">
        <v>186</v>
      </c>
      <c r="H6583" t="s">
        <v>217</v>
      </c>
      <c r="I6583" t="s">
        <v>238</v>
      </c>
      <c r="J6583" t="s">
        <v>256</v>
      </c>
      <c r="K6583" t="s">
        <v>265</v>
      </c>
      <c r="L6583" t="s">
        <v>281</v>
      </c>
      <c r="M6583" t="s">
        <v>290</v>
      </c>
      <c r="N6583" t="s">
        <v>299</v>
      </c>
      <c r="O6583" t="s">
        <v>308</v>
      </c>
      <c r="P6583" t="s">
        <v>228</v>
      </c>
      <c r="Q6583" t="s">
        <v>72</v>
      </c>
      <c r="R6583" t="s">
        <v>327</v>
      </c>
      <c r="S6583" t="s">
        <v>327</v>
      </c>
      <c r="T6583" t="s">
        <v>336</v>
      </c>
      <c r="U6583" t="s">
        <v>336</v>
      </c>
      <c r="V6583" t="s">
        <v>336</v>
      </c>
      <c r="W6583" t="s">
        <v>336</v>
      </c>
      <c r="X6583" t="s">
        <v>353</v>
      </c>
      <c r="AK6583" t="s">
        <v>364</v>
      </c>
    </row>
    <row r="6584" spans="1:37">
      <c r="B6584" t="s">
        <v>67</v>
      </c>
      <c r="C6584" t="s">
        <v>89</v>
      </c>
      <c r="D6584" t="s">
        <v>107</v>
      </c>
      <c r="AK6584" t="s">
        <v>364</v>
      </c>
    </row>
    <row r="6585" spans="1:37">
      <c r="B6585" t="s">
        <v>68</v>
      </c>
      <c r="C6585" t="s">
        <v>90</v>
      </c>
      <c r="D6585" t="s">
        <v>108</v>
      </c>
      <c r="AK6585" t="s">
        <v>364</v>
      </c>
    </row>
    <row r="6586" spans="1:37">
      <c r="A6586" t="s">
        <v>47</v>
      </c>
      <c r="B6586" t="s">
        <v>69</v>
      </c>
      <c r="C6586" t="s">
        <v>91</v>
      </c>
      <c r="D6586" t="s">
        <v>109</v>
      </c>
      <c r="E6586" t="s">
        <v>109</v>
      </c>
      <c r="F6586" t="s">
        <v>109</v>
      </c>
      <c r="G6586" t="s">
        <v>109</v>
      </c>
      <c r="H6586" t="s">
        <v>109</v>
      </c>
      <c r="I6586" t="s">
        <v>239</v>
      </c>
      <c r="AK6586" t="s">
        <v>364</v>
      </c>
    </row>
    <row r="6587" spans="1:37">
      <c r="B6587" t="s">
        <v>70</v>
      </c>
      <c r="C6587" t="s">
        <v>92</v>
      </c>
      <c r="D6587" t="s">
        <v>110</v>
      </c>
      <c r="E6587" t="s">
        <v>127</v>
      </c>
      <c r="F6587" t="s">
        <v>161</v>
      </c>
      <c r="G6587" t="s">
        <v>187</v>
      </c>
      <c r="H6587" t="s">
        <v>218</v>
      </c>
      <c r="AK6587" t="s">
        <v>364</v>
      </c>
    </row>
    <row r="6588" spans="1:37">
      <c r="B6588" t="s">
        <v>71</v>
      </c>
      <c r="C6588" t="s">
        <v>93</v>
      </c>
      <c r="D6588" t="s">
        <v>111</v>
      </c>
      <c r="E6588" t="s">
        <v>128</v>
      </c>
      <c r="F6588" t="s">
        <v>162</v>
      </c>
      <c r="G6588" t="s">
        <v>188</v>
      </c>
      <c r="H6588" t="s">
        <v>219</v>
      </c>
      <c r="I6588" t="s">
        <v>240</v>
      </c>
      <c r="J6588" t="s">
        <v>257</v>
      </c>
      <c r="K6588" t="s">
        <v>269</v>
      </c>
      <c r="L6588" t="s">
        <v>109</v>
      </c>
      <c r="M6588" t="s">
        <v>109</v>
      </c>
      <c r="N6588" t="s">
        <v>109</v>
      </c>
      <c r="O6588" t="s">
        <v>109</v>
      </c>
      <c r="P6588" t="s">
        <v>109</v>
      </c>
      <c r="Q6588" t="s">
        <v>321</v>
      </c>
      <c r="AK6588" t="s">
        <v>364</v>
      </c>
    </row>
    <row r="6589" spans="1:37">
      <c r="A6589" t="s">
        <v>48</v>
      </c>
      <c r="B6589" t="s">
        <v>71</v>
      </c>
      <c r="C6589" t="s">
        <v>93</v>
      </c>
      <c r="D6589" t="s">
        <v>111</v>
      </c>
      <c r="E6589" t="s">
        <v>128</v>
      </c>
      <c r="F6589" t="s">
        <v>163</v>
      </c>
      <c r="G6589" t="s">
        <v>189</v>
      </c>
      <c r="H6589" t="s">
        <v>220</v>
      </c>
      <c r="I6589" t="s">
        <v>241</v>
      </c>
      <c r="J6589" t="s">
        <v>258</v>
      </c>
      <c r="K6589" t="s">
        <v>270</v>
      </c>
      <c r="AK6589" t="s">
        <v>364</v>
      </c>
    </row>
    <row r="6590" spans="1:37">
      <c r="B6590" t="s">
        <v>72</v>
      </c>
      <c r="C6590" t="s">
        <v>72</v>
      </c>
      <c r="D6590" t="s">
        <v>72</v>
      </c>
      <c r="E6590" t="s">
        <v>72</v>
      </c>
      <c r="F6590" t="s">
        <v>72</v>
      </c>
      <c r="G6590" t="s">
        <v>72</v>
      </c>
      <c r="H6590" t="s">
        <v>72</v>
      </c>
      <c r="I6590" t="s">
        <v>72</v>
      </c>
      <c r="J6590" t="s">
        <v>72</v>
      </c>
      <c r="K6590" t="s">
        <v>272</v>
      </c>
      <c r="AK6590" t="s">
        <v>364</v>
      </c>
    </row>
    <row r="6591" spans="1:37">
      <c r="A6591" t="s">
        <v>37</v>
      </c>
      <c r="B6591" t="s">
        <v>49</v>
      </c>
      <c r="C6591" t="s">
        <v>73</v>
      </c>
      <c r="D6591" t="s">
        <v>94</v>
      </c>
      <c r="E6591" t="s">
        <v>112</v>
      </c>
      <c r="F6591" t="s">
        <v>146</v>
      </c>
      <c r="G6591" t="s">
        <v>172</v>
      </c>
      <c r="H6591" t="s">
        <v>207</v>
      </c>
      <c r="I6591" t="s">
        <v>226</v>
      </c>
      <c r="J6591" t="s">
        <v>246</v>
      </c>
      <c r="K6591" t="s">
        <v>259</v>
      </c>
      <c r="AK6591" t="s">
        <v>364</v>
      </c>
    </row>
    <row r="6592" spans="1:37">
      <c r="A6592" t="s">
        <v>38</v>
      </c>
      <c r="B6592" t="s">
        <v>50</v>
      </c>
      <c r="C6592" t="s">
        <v>74</v>
      </c>
      <c r="D6592" t="s">
        <v>95</v>
      </c>
      <c r="E6592" t="s">
        <v>113</v>
      </c>
      <c r="F6592" t="s">
        <v>147</v>
      </c>
      <c r="G6592" t="s">
        <v>173</v>
      </c>
      <c r="H6592" t="s">
        <v>208</v>
      </c>
      <c r="I6592" t="s">
        <v>227</v>
      </c>
      <c r="J6592" t="s">
        <v>115</v>
      </c>
      <c r="K6592" t="s">
        <v>260</v>
      </c>
      <c r="L6592" t="s">
        <v>273</v>
      </c>
      <c r="M6592" t="s">
        <v>282</v>
      </c>
      <c r="N6592" t="s">
        <v>291</v>
      </c>
      <c r="AK6592" t="s">
        <v>364</v>
      </c>
    </row>
    <row r="6593" spans="1:37">
      <c r="B6593" t="s">
        <v>51</v>
      </c>
      <c r="C6593" t="s">
        <v>75</v>
      </c>
      <c r="D6593" t="s">
        <v>52</v>
      </c>
      <c r="E6593" t="s">
        <v>114</v>
      </c>
      <c r="F6593" t="s">
        <v>148</v>
      </c>
      <c r="G6593" t="s">
        <v>148</v>
      </c>
      <c r="H6593" t="s">
        <v>209</v>
      </c>
      <c r="I6593" t="s">
        <v>228</v>
      </c>
      <c r="J6593" t="s">
        <v>247</v>
      </c>
      <c r="K6593" t="s">
        <v>261</v>
      </c>
      <c r="L6593" t="s">
        <v>274</v>
      </c>
      <c r="M6593" t="s">
        <v>283</v>
      </c>
      <c r="N6593" t="s">
        <v>292</v>
      </c>
      <c r="O6593" t="s">
        <v>300</v>
      </c>
      <c r="AK6593" t="s">
        <v>364</v>
      </c>
    </row>
    <row r="6594" spans="1:37">
      <c r="B6594" t="s">
        <v>52</v>
      </c>
      <c r="C6594" t="s">
        <v>76</v>
      </c>
      <c r="D6594" t="s">
        <v>96</v>
      </c>
      <c r="E6594" t="s">
        <v>115</v>
      </c>
      <c r="F6594" t="s">
        <v>149</v>
      </c>
      <c r="G6594" t="s">
        <v>174</v>
      </c>
      <c r="H6594" t="s">
        <v>96</v>
      </c>
      <c r="I6594" t="s">
        <v>229</v>
      </c>
      <c r="J6594" t="s">
        <v>248</v>
      </c>
      <c r="K6594" t="s">
        <v>262</v>
      </c>
      <c r="L6594" t="s">
        <v>52</v>
      </c>
      <c r="M6594" t="s">
        <v>76</v>
      </c>
      <c r="N6594" t="s">
        <v>293</v>
      </c>
      <c r="O6594" t="s">
        <v>301</v>
      </c>
      <c r="P6594" t="s">
        <v>309</v>
      </c>
      <c r="Q6594" t="s">
        <v>315</v>
      </c>
      <c r="R6594" t="s">
        <v>228</v>
      </c>
      <c r="S6594" t="s">
        <v>328</v>
      </c>
      <c r="T6594" t="s">
        <v>149</v>
      </c>
      <c r="U6594" t="s">
        <v>337</v>
      </c>
      <c r="V6594" t="s">
        <v>341</v>
      </c>
      <c r="W6594" t="s">
        <v>345</v>
      </c>
      <c r="X6594" t="s">
        <v>350</v>
      </c>
      <c r="AK6594" t="s">
        <v>364</v>
      </c>
    </row>
    <row r="6595" spans="1:37">
      <c r="B6595" t="s">
        <v>53</v>
      </c>
      <c r="C6595" t="s">
        <v>77</v>
      </c>
      <c r="D6595" t="s">
        <v>97</v>
      </c>
      <c r="E6595" t="s">
        <v>116</v>
      </c>
      <c r="F6595" t="s">
        <v>150</v>
      </c>
      <c r="G6595" t="s">
        <v>175</v>
      </c>
      <c r="H6595" t="s">
        <v>210</v>
      </c>
      <c r="I6595" t="s">
        <v>230</v>
      </c>
      <c r="J6595" t="s">
        <v>249</v>
      </c>
      <c r="K6595" t="s">
        <v>263</v>
      </c>
      <c r="L6595" t="s">
        <v>275</v>
      </c>
      <c r="M6595" t="s">
        <v>284</v>
      </c>
      <c r="N6595" t="s">
        <v>294</v>
      </c>
      <c r="O6595" t="s">
        <v>302</v>
      </c>
      <c r="P6595" t="s">
        <v>310</v>
      </c>
      <c r="Q6595" t="s">
        <v>316</v>
      </c>
      <c r="R6595" t="s">
        <v>322</v>
      </c>
      <c r="S6595" t="s">
        <v>329</v>
      </c>
      <c r="AK6595" t="s">
        <v>364</v>
      </c>
    </row>
    <row r="6596" spans="1:37">
      <c r="A6596" t="s">
        <v>39</v>
      </c>
      <c r="B6596" t="s">
        <v>54</v>
      </c>
      <c r="C6596" t="s">
        <v>54</v>
      </c>
      <c r="D6596" t="s">
        <v>54</v>
      </c>
      <c r="E6596" t="s">
        <v>54</v>
      </c>
      <c r="F6596" t="s">
        <v>54</v>
      </c>
      <c r="G6596" t="s">
        <v>54</v>
      </c>
      <c r="H6596" t="s">
        <v>54</v>
      </c>
      <c r="I6596" t="s">
        <v>54</v>
      </c>
      <c r="J6596" t="s">
        <v>54</v>
      </c>
      <c r="K6596" t="s">
        <v>54</v>
      </c>
      <c r="L6596" t="s">
        <v>54</v>
      </c>
      <c r="M6596" t="s">
        <v>54</v>
      </c>
      <c r="N6596" t="s">
        <v>54</v>
      </c>
      <c r="O6596" t="s">
        <v>54</v>
      </c>
      <c r="P6596" t="s">
        <v>54</v>
      </c>
      <c r="Q6596" t="s">
        <v>54</v>
      </c>
      <c r="R6596" t="s">
        <v>323</v>
      </c>
      <c r="S6596" t="s">
        <v>330</v>
      </c>
      <c r="AK6596" t="s">
        <v>364</v>
      </c>
    </row>
    <row r="6597" spans="1:37">
      <c r="B6597" t="s">
        <v>55</v>
      </c>
      <c r="C6597" t="s">
        <v>78</v>
      </c>
      <c r="D6597" t="s">
        <v>55</v>
      </c>
      <c r="E6597" t="s">
        <v>78</v>
      </c>
      <c r="F6597" t="s">
        <v>55</v>
      </c>
      <c r="G6597" t="s">
        <v>78</v>
      </c>
      <c r="H6597" t="s">
        <v>55</v>
      </c>
      <c r="I6597" t="s">
        <v>78</v>
      </c>
      <c r="J6597" t="s">
        <v>55</v>
      </c>
      <c r="K6597" t="s">
        <v>78</v>
      </c>
      <c r="L6597" t="s">
        <v>55</v>
      </c>
      <c r="M6597" t="s">
        <v>78</v>
      </c>
      <c r="N6597" t="s">
        <v>55</v>
      </c>
      <c r="O6597" t="s">
        <v>78</v>
      </c>
      <c r="P6597" t="s">
        <v>55</v>
      </c>
      <c r="Q6597" t="s">
        <v>78</v>
      </c>
      <c r="R6597" t="s">
        <v>55</v>
      </c>
      <c r="S6597" t="s">
        <v>78</v>
      </c>
      <c r="T6597" t="s">
        <v>55</v>
      </c>
      <c r="U6597" t="s">
        <v>78</v>
      </c>
      <c r="V6597" t="s">
        <v>55</v>
      </c>
      <c r="W6597" t="s">
        <v>78</v>
      </c>
      <c r="X6597" t="s">
        <v>55</v>
      </c>
      <c r="Y6597" t="s">
        <v>78</v>
      </c>
      <c r="Z6597" t="s">
        <v>55</v>
      </c>
      <c r="AA6597" t="s">
        <v>78</v>
      </c>
      <c r="AB6597" t="s">
        <v>55</v>
      </c>
      <c r="AC6597" t="s">
        <v>78</v>
      </c>
      <c r="AD6597" t="s">
        <v>55</v>
      </c>
      <c r="AE6597" t="s">
        <v>78</v>
      </c>
      <c r="AF6597" t="s">
        <v>55</v>
      </c>
      <c r="AG6597" t="s">
        <v>78</v>
      </c>
      <c r="AH6597" t="s">
        <v>55</v>
      </c>
      <c r="AI6597" t="s">
        <v>78</v>
      </c>
      <c r="AK6597" t="s">
        <v>364</v>
      </c>
    </row>
    <row r="6598" spans="1:37">
      <c r="B6598" t="s">
        <v>56</v>
      </c>
      <c r="C6598" t="s">
        <v>56</v>
      </c>
      <c r="D6598" t="s">
        <v>56</v>
      </c>
      <c r="E6598" t="s">
        <v>56</v>
      </c>
      <c r="F6598" t="s">
        <v>56</v>
      </c>
      <c r="G6598" t="s">
        <v>176</v>
      </c>
      <c r="H6598" t="s">
        <v>211</v>
      </c>
      <c r="I6598" t="s">
        <v>231</v>
      </c>
      <c r="J6598" t="s">
        <v>250</v>
      </c>
      <c r="K6598" t="s">
        <v>264</v>
      </c>
      <c r="L6598" t="s">
        <v>276</v>
      </c>
      <c r="M6598" t="s">
        <v>285</v>
      </c>
      <c r="N6598" t="s">
        <v>295</v>
      </c>
      <c r="O6598" t="s">
        <v>303</v>
      </c>
      <c r="P6598" t="s">
        <v>56</v>
      </c>
      <c r="Q6598" t="s">
        <v>317</v>
      </c>
      <c r="R6598" t="s">
        <v>324</v>
      </c>
      <c r="S6598" t="s">
        <v>331</v>
      </c>
      <c r="T6598" t="s">
        <v>334</v>
      </c>
      <c r="U6598" t="s">
        <v>338</v>
      </c>
      <c r="V6598" t="s">
        <v>342</v>
      </c>
      <c r="W6598" t="s">
        <v>346</v>
      </c>
      <c r="X6598" t="s">
        <v>351</v>
      </c>
      <c r="AK6598" t="s">
        <v>364</v>
      </c>
    </row>
    <row r="6599" spans="1:37">
      <c r="B6599" t="s">
        <v>57</v>
      </c>
      <c r="C6599" t="s">
        <v>79</v>
      </c>
      <c r="D6599" t="s">
        <v>98</v>
      </c>
      <c r="E6599" t="s">
        <v>117</v>
      </c>
      <c r="F6599" t="s">
        <v>151</v>
      </c>
      <c r="G6599" t="s">
        <v>177</v>
      </c>
      <c r="H6599" t="s">
        <v>212</v>
      </c>
      <c r="I6599" t="s">
        <v>232</v>
      </c>
      <c r="J6599" t="s">
        <v>251</v>
      </c>
      <c r="K6599" t="s">
        <v>265</v>
      </c>
      <c r="L6599" t="s">
        <v>277</v>
      </c>
      <c r="M6599" t="s">
        <v>286</v>
      </c>
      <c r="N6599" t="s">
        <v>296</v>
      </c>
      <c r="O6599" t="s">
        <v>304</v>
      </c>
      <c r="P6599" t="s">
        <v>311</v>
      </c>
      <c r="Q6599" t="s">
        <v>318</v>
      </c>
      <c r="R6599" t="s">
        <v>185</v>
      </c>
      <c r="S6599" t="s">
        <v>159</v>
      </c>
      <c r="T6599" t="s">
        <v>185</v>
      </c>
      <c r="U6599" t="s">
        <v>339</v>
      </c>
      <c r="V6599" t="s">
        <v>72</v>
      </c>
      <c r="W6599" t="s">
        <v>347</v>
      </c>
      <c r="X6599" t="s">
        <v>72</v>
      </c>
      <c r="Y6599" t="s">
        <v>96</v>
      </c>
      <c r="AK6599" t="s">
        <v>364</v>
      </c>
    </row>
    <row r="6600" spans="1:37">
      <c r="B6600" t="s">
        <v>58</v>
      </c>
      <c r="C6600" t="s">
        <v>80</v>
      </c>
      <c r="D6600" t="s">
        <v>99</v>
      </c>
      <c r="E6600" t="s">
        <v>118</v>
      </c>
      <c r="F6600" t="s">
        <v>152</v>
      </c>
      <c r="G6600" t="s">
        <v>178</v>
      </c>
      <c r="H6600" t="s">
        <v>213</v>
      </c>
      <c r="I6600" t="s">
        <v>233</v>
      </c>
      <c r="J6600" t="s">
        <v>252</v>
      </c>
      <c r="K6600" t="s">
        <v>266</v>
      </c>
      <c r="L6600" t="s">
        <v>278</v>
      </c>
      <c r="M6600" t="s">
        <v>287</v>
      </c>
      <c r="N6600" t="s">
        <v>297</v>
      </c>
      <c r="O6600" t="s">
        <v>305</v>
      </c>
      <c r="P6600" t="s">
        <v>312</v>
      </c>
      <c r="Q6600" t="s">
        <v>319</v>
      </c>
      <c r="R6600">
        <f>&gt;10       ветра      2.2     20  12</f>
        <v>0</v>
      </c>
      <c r="AK6600" t="s">
        <v>364</v>
      </c>
    </row>
    <row r="6601" spans="1:37">
      <c r="A6601" t="s">
        <v>40</v>
      </c>
      <c r="B6601" t="s">
        <v>59</v>
      </c>
      <c r="C6601" t="s">
        <v>81</v>
      </c>
      <c r="D6601" t="s">
        <v>100</v>
      </c>
      <c r="E6601" t="s">
        <v>119</v>
      </c>
      <c r="F6601" t="s">
        <v>153</v>
      </c>
      <c r="G6601" t="s">
        <v>179</v>
      </c>
      <c r="H6601" t="s">
        <v>214</v>
      </c>
      <c r="I6601" t="s">
        <v>234</v>
      </c>
      <c r="AK6601" t="s">
        <v>364</v>
      </c>
    </row>
    <row r="6602" spans="1:37">
      <c r="A6602" t="s">
        <v>40</v>
      </c>
      <c r="B6602" t="s">
        <v>60</v>
      </c>
      <c r="C6602" t="s">
        <v>82</v>
      </c>
      <c r="D6602" t="s">
        <v>101</v>
      </c>
      <c r="E6602" t="s">
        <v>120</v>
      </c>
      <c r="F6602" t="s">
        <v>154</v>
      </c>
      <c r="G6602" t="s">
        <v>180</v>
      </c>
      <c r="H6602" t="s">
        <v>215</v>
      </c>
      <c r="I6602" t="s">
        <v>235</v>
      </c>
      <c r="J6602" t="s">
        <v>253</v>
      </c>
      <c r="K6602" t="s">
        <v>267</v>
      </c>
      <c r="L6602" t="s">
        <v>279</v>
      </c>
      <c r="M6602" t="s">
        <v>288</v>
      </c>
      <c r="N6602" t="s">
        <v>100</v>
      </c>
      <c r="O6602" t="s">
        <v>306</v>
      </c>
      <c r="P6602" t="s">
        <v>313</v>
      </c>
      <c r="Q6602" t="s">
        <v>320</v>
      </c>
      <c r="R6602" t="s">
        <v>325</v>
      </c>
      <c r="S6602" t="s">
        <v>332</v>
      </c>
      <c r="T6602" t="s">
        <v>119</v>
      </c>
      <c r="U6602" t="s">
        <v>234</v>
      </c>
      <c r="V6602" t="s">
        <v>343</v>
      </c>
      <c r="W6602" t="s">
        <v>348</v>
      </c>
      <c r="X6602" t="s">
        <v>352</v>
      </c>
      <c r="Y6602" t="s">
        <v>354</v>
      </c>
      <c r="AK6602" t="s">
        <v>364</v>
      </c>
    </row>
    <row r="6603" spans="1:37">
      <c r="A6603" t="s">
        <v>41</v>
      </c>
      <c r="B6603" t="s">
        <v>61</v>
      </c>
      <c r="C6603" t="s">
        <v>83</v>
      </c>
      <c r="D6603" t="s">
        <v>102</v>
      </c>
      <c r="E6603" t="s">
        <v>121</v>
      </c>
      <c r="F6603" t="s">
        <v>155</v>
      </c>
      <c r="G6603" t="s">
        <v>181</v>
      </c>
      <c r="H6603" t="s">
        <v>216</v>
      </c>
      <c r="I6603" t="s">
        <v>236</v>
      </c>
      <c r="AK6603" t="s">
        <v>364</v>
      </c>
    </row>
    <row r="6604" spans="1:37">
      <c r="A6604" t="s">
        <v>42</v>
      </c>
      <c r="B6604" t="s">
        <v>62</v>
      </c>
      <c r="C6604" t="s">
        <v>84</v>
      </c>
      <c r="D6604" t="s">
        <v>103</v>
      </c>
      <c r="E6604" t="s">
        <v>122</v>
      </c>
      <c r="F6604" t="s">
        <v>156</v>
      </c>
      <c r="G6604" t="s">
        <v>182</v>
      </c>
      <c r="H6604" t="s">
        <v>83</v>
      </c>
      <c r="I6604" t="s">
        <v>237</v>
      </c>
      <c r="J6604" t="s">
        <v>254</v>
      </c>
      <c r="K6604" t="s">
        <v>268</v>
      </c>
      <c r="L6604" t="s">
        <v>280</v>
      </c>
      <c r="M6604" t="s">
        <v>289</v>
      </c>
      <c r="N6604" t="s">
        <v>298</v>
      </c>
      <c r="O6604" t="s">
        <v>307</v>
      </c>
      <c r="P6604" t="s">
        <v>314</v>
      </c>
      <c r="Q6604" t="s">
        <v>216</v>
      </c>
      <c r="R6604" t="s">
        <v>326</v>
      </c>
      <c r="S6604" t="s">
        <v>333</v>
      </c>
      <c r="T6604" t="s">
        <v>335</v>
      </c>
      <c r="U6604" t="s">
        <v>340</v>
      </c>
      <c r="V6604" t="s">
        <v>344</v>
      </c>
      <c r="W6604" t="s">
        <v>349</v>
      </c>
      <c r="AK6604" t="s">
        <v>364</v>
      </c>
    </row>
    <row r="6605" spans="1:37">
      <c r="A6605" t="s">
        <v>43</v>
      </c>
      <c r="B6605" t="s">
        <v>63</v>
      </c>
      <c r="C6605" t="s">
        <v>85</v>
      </c>
      <c r="D6605" t="s">
        <v>104</v>
      </c>
      <c r="E6605" t="s">
        <v>123</v>
      </c>
      <c r="F6605" t="s">
        <v>157</v>
      </c>
      <c r="G6605" t="s">
        <v>183</v>
      </c>
      <c r="AK6605" t="s">
        <v>364</v>
      </c>
    </row>
    <row r="6606" spans="1:37">
      <c r="A6606" t="s">
        <v>44</v>
      </c>
      <c r="B6606" t="s">
        <v>64</v>
      </c>
      <c r="C6606" t="s">
        <v>86</v>
      </c>
      <c r="D6606" t="s">
        <v>105</v>
      </c>
      <c r="E6606" t="s">
        <v>124</v>
      </c>
      <c r="F6606" t="s">
        <v>158</v>
      </c>
      <c r="G6606" t="s">
        <v>184</v>
      </c>
      <c r="AK6606" t="s">
        <v>364</v>
      </c>
    </row>
    <row r="6607" spans="1:37">
      <c r="A6607" t="s">
        <v>45</v>
      </c>
      <c r="B6607" t="s">
        <v>65</v>
      </c>
      <c r="C6607" t="s">
        <v>87</v>
      </c>
      <c r="D6607" t="s">
        <v>106</v>
      </c>
      <c r="E6607" t="s">
        <v>125</v>
      </c>
      <c r="F6607" t="s">
        <v>159</v>
      </c>
      <c r="G6607" t="s">
        <v>185</v>
      </c>
      <c r="H6607" t="s">
        <v>159</v>
      </c>
      <c r="I6607" t="s">
        <v>185</v>
      </c>
      <c r="J6607" t="s">
        <v>255</v>
      </c>
      <c r="AK6607" t="s">
        <v>364</v>
      </c>
    </row>
    <row r="6608" spans="1:37">
      <c r="A6608" t="s">
        <v>46</v>
      </c>
      <c r="B6608" t="s">
        <v>66</v>
      </c>
      <c r="C6608" t="s">
        <v>88</v>
      </c>
      <c r="D6608" t="s">
        <v>76</v>
      </c>
      <c r="E6608" t="s">
        <v>126</v>
      </c>
      <c r="F6608" t="s">
        <v>160</v>
      </c>
      <c r="G6608" t="s">
        <v>186</v>
      </c>
      <c r="H6608" t="s">
        <v>217</v>
      </c>
      <c r="I6608" t="s">
        <v>238</v>
      </c>
      <c r="J6608" t="s">
        <v>256</v>
      </c>
      <c r="K6608" t="s">
        <v>265</v>
      </c>
      <c r="L6608" t="s">
        <v>281</v>
      </c>
      <c r="M6608" t="s">
        <v>290</v>
      </c>
      <c r="N6608" t="s">
        <v>299</v>
      </c>
      <c r="O6608" t="s">
        <v>308</v>
      </c>
      <c r="P6608" t="s">
        <v>228</v>
      </c>
      <c r="Q6608" t="s">
        <v>72</v>
      </c>
      <c r="R6608" t="s">
        <v>327</v>
      </c>
      <c r="S6608" t="s">
        <v>327</v>
      </c>
      <c r="T6608" t="s">
        <v>336</v>
      </c>
      <c r="U6608" t="s">
        <v>336</v>
      </c>
      <c r="V6608" t="s">
        <v>336</v>
      </c>
      <c r="W6608" t="s">
        <v>336</v>
      </c>
      <c r="X6608" t="s">
        <v>353</v>
      </c>
      <c r="AK6608" t="s">
        <v>364</v>
      </c>
    </row>
    <row r="6609" spans="1:37">
      <c r="B6609" t="s">
        <v>67</v>
      </c>
      <c r="C6609" t="s">
        <v>89</v>
      </c>
      <c r="D6609" t="s">
        <v>107</v>
      </c>
      <c r="AK6609" t="s">
        <v>364</v>
      </c>
    </row>
    <row r="6610" spans="1:37">
      <c r="B6610" t="s">
        <v>68</v>
      </c>
      <c r="C6610" t="s">
        <v>90</v>
      </c>
      <c r="D6610" t="s">
        <v>108</v>
      </c>
      <c r="AK6610" t="s">
        <v>364</v>
      </c>
    </row>
    <row r="6611" spans="1:37">
      <c r="A6611" t="s">
        <v>47</v>
      </c>
      <c r="B6611" t="s">
        <v>69</v>
      </c>
      <c r="C6611" t="s">
        <v>91</v>
      </c>
      <c r="D6611" t="s">
        <v>109</v>
      </c>
      <c r="E6611" t="s">
        <v>109</v>
      </c>
      <c r="F6611" t="s">
        <v>109</v>
      </c>
      <c r="G6611" t="s">
        <v>109</v>
      </c>
      <c r="H6611" t="s">
        <v>109</v>
      </c>
      <c r="I6611" t="s">
        <v>239</v>
      </c>
      <c r="AK6611" t="s">
        <v>364</v>
      </c>
    </row>
    <row r="6612" spans="1:37">
      <c r="B6612" t="s">
        <v>70</v>
      </c>
      <c r="C6612" t="s">
        <v>92</v>
      </c>
      <c r="D6612" t="s">
        <v>110</v>
      </c>
      <c r="E6612" t="s">
        <v>127</v>
      </c>
      <c r="F6612" t="s">
        <v>161</v>
      </c>
      <c r="G6612" t="s">
        <v>187</v>
      </c>
      <c r="H6612" t="s">
        <v>218</v>
      </c>
      <c r="AK6612" t="s">
        <v>364</v>
      </c>
    </row>
    <row r="6613" spans="1:37">
      <c r="B6613" t="s">
        <v>71</v>
      </c>
      <c r="C6613" t="s">
        <v>93</v>
      </c>
      <c r="D6613" t="s">
        <v>111</v>
      </c>
      <c r="E6613" t="s">
        <v>128</v>
      </c>
      <c r="F6613" t="s">
        <v>162</v>
      </c>
      <c r="G6613" t="s">
        <v>188</v>
      </c>
      <c r="H6613" t="s">
        <v>219</v>
      </c>
      <c r="I6613" t="s">
        <v>240</v>
      </c>
      <c r="J6613" t="s">
        <v>257</v>
      </c>
      <c r="K6613" t="s">
        <v>269</v>
      </c>
      <c r="L6613" t="s">
        <v>109</v>
      </c>
      <c r="M6613" t="s">
        <v>109</v>
      </c>
      <c r="N6613" t="s">
        <v>109</v>
      </c>
      <c r="O6613" t="s">
        <v>109</v>
      </c>
      <c r="P6613" t="s">
        <v>109</v>
      </c>
      <c r="Q6613" t="s">
        <v>321</v>
      </c>
      <c r="AK6613" t="s">
        <v>364</v>
      </c>
    </row>
    <row r="6614" spans="1:37">
      <c r="A6614" t="s">
        <v>48</v>
      </c>
      <c r="B6614" t="s">
        <v>71</v>
      </c>
      <c r="C6614" t="s">
        <v>93</v>
      </c>
      <c r="D6614" t="s">
        <v>111</v>
      </c>
      <c r="E6614" t="s">
        <v>128</v>
      </c>
      <c r="F6614" t="s">
        <v>163</v>
      </c>
      <c r="G6614" t="s">
        <v>189</v>
      </c>
      <c r="H6614" t="s">
        <v>220</v>
      </c>
      <c r="I6614" t="s">
        <v>241</v>
      </c>
      <c r="J6614" t="s">
        <v>258</v>
      </c>
      <c r="K6614" t="s">
        <v>270</v>
      </c>
      <c r="AK6614" t="s">
        <v>364</v>
      </c>
    </row>
    <row r="6615" spans="1:37">
      <c r="B6615" t="s">
        <v>72</v>
      </c>
      <c r="C6615" t="s">
        <v>72</v>
      </c>
      <c r="D6615" t="s">
        <v>72</v>
      </c>
      <c r="E6615" t="s">
        <v>72</v>
      </c>
      <c r="F6615" t="s">
        <v>72</v>
      </c>
      <c r="G6615" t="s">
        <v>72</v>
      </c>
      <c r="H6615" t="s">
        <v>72</v>
      </c>
      <c r="I6615" t="s">
        <v>72</v>
      </c>
      <c r="J6615" t="s">
        <v>72</v>
      </c>
      <c r="K6615" t="s">
        <v>272</v>
      </c>
      <c r="AK6615" t="s">
        <v>364</v>
      </c>
    </row>
    <row r="6616" spans="1:37">
      <c r="A6616" t="s">
        <v>37</v>
      </c>
      <c r="B6616" t="s">
        <v>49</v>
      </c>
      <c r="C6616" t="s">
        <v>73</v>
      </c>
      <c r="D6616" t="s">
        <v>94</v>
      </c>
      <c r="E6616" t="s">
        <v>112</v>
      </c>
      <c r="F6616" t="s">
        <v>146</v>
      </c>
      <c r="G6616" t="s">
        <v>172</v>
      </c>
      <c r="H6616" t="s">
        <v>207</v>
      </c>
      <c r="I6616" t="s">
        <v>226</v>
      </c>
      <c r="J6616" t="s">
        <v>246</v>
      </c>
      <c r="K6616" t="s">
        <v>259</v>
      </c>
      <c r="AK6616" t="s">
        <v>364</v>
      </c>
    </row>
    <row r="6617" spans="1:37">
      <c r="A6617" t="s">
        <v>38</v>
      </c>
      <c r="B6617" t="s">
        <v>50</v>
      </c>
      <c r="C6617" t="s">
        <v>74</v>
      </c>
      <c r="D6617" t="s">
        <v>95</v>
      </c>
      <c r="E6617" t="s">
        <v>113</v>
      </c>
      <c r="F6617" t="s">
        <v>147</v>
      </c>
      <c r="G6617" t="s">
        <v>173</v>
      </c>
      <c r="H6617" t="s">
        <v>208</v>
      </c>
      <c r="I6617" t="s">
        <v>227</v>
      </c>
      <c r="J6617" t="s">
        <v>115</v>
      </c>
      <c r="K6617" t="s">
        <v>260</v>
      </c>
      <c r="L6617" t="s">
        <v>273</v>
      </c>
      <c r="M6617" t="s">
        <v>282</v>
      </c>
      <c r="N6617" t="s">
        <v>291</v>
      </c>
      <c r="AK6617" t="s">
        <v>364</v>
      </c>
    </row>
    <row r="6618" spans="1:37">
      <c r="B6618" t="s">
        <v>51</v>
      </c>
      <c r="C6618" t="s">
        <v>75</v>
      </c>
      <c r="D6618" t="s">
        <v>52</v>
      </c>
      <c r="E6618" t="s">
        <v>114</v>
      </c>
      <c r="F6618" t="s">
        <v>148</v>
      </c>
      <c r="G6618" t="s">
        <v>148</v>
      </c>
      <c r="H6618" t="s">
        <v>209</v>
      </c>
      <c r="I6618" t="s">
        <v>228</v>
      </c>
      <c r="J6618" t="s">
        <v>247</v>
      </c>
      <c r="K6618" t="s">
        <v>261</v>
      </c>
      <c r="L6618" t="s">
        <v>274</v>
      </c>
      <c r="M6618" t="s">
        <v>283</v>
      </c>
      <c r="N6618" t="s">
        <v>292</v>
      </c>
      <c r="O6618" t="s">
        <v>300</v>
      </c>
      <c r="AK6618" t="s">
        <v>364</v>
      </c>
    </row>
    <row r="6619" spans="1:37">
      <c r="B6619" t="s">
        <v>52</v>
      </c>
      <c r="C6619" t="s">
        <v>76</v>
      </c>
      <c r="D6619" t="s">
        <v>96</v>
      </c>
      <c r="E6619" t="s">
        <v>115</v>
      </c>
      <c r="F6619" t="s">
        <v>149</v>
      </c>
      <c r="G6619" t="s">
        <v>174</v>
      </c>
      <c r="H6619" t="s">
        <v>96</v>
      </c>
      <c r="I6619" t="s">
        <v>229</v>
      </c>
      <c r="J6619" t="s">
        <v>248</v>
      </c>
      <c r="K6619" t="s">
        <v>262</v>
      </c>
      <c r="L6619" t="s">
        <v>52</v>
      </c>
      <c r="M6619" t="s">
        <v>76</v>
      </c>
      <c r="N6619" t="s">
        <v>293</v>
      </c>
      <c r="O6619" t="s">
        <v>301</v>
      </c>
      <c r="P6619" t="s">
        <v>309</v>
      </c>
      <c r="Q6619" t="s">
        <v>315</v>
      </c>
      <c r="R6619" t="s">
        <v>228</v>
      </c>
      <c r="S6619" t="s">
        <v>328</v>
      </c>
      <c r="T6619" t="s">
        <v>149</v>
      </c>
      <c r="U6619" t="s">
        <v>337</v>
      </c>
      <c r="V6619" t="s">
        <v>341</v>
      </c>
      <c r="W6619" t="s">
        <v>345</v>
      </c>
      <c r="X6619" t="s">
        <v>350</v>
      </c>
      <c r="AK6619" t="s">
        <v>364</v>
      </c>
    </row>
    <row r="6620" spans="1:37">
      <c r="B6620" t="s">
        <v>53</v>
      </c>
      <c r="C6620" t="s">
        <v>77</v>
      </c>
      <c r="D6620" t="s">
        <v>97</v>
      </c>
      <c r="E6620" t="s">
        <v>116</v>
      </c>
      <c r="F6620" t="s">
        <v>150</v>
      </c>
      <c r="G6620" t="s">
        <v>175</v>
      </c>
      <c r="H6620" t="s">
        <v>210</v>
      </c>
      <c r="I6620" t="s">
        <v>230</v>
      </c>
      <c r="J6620" t="s">
        <v>249</v>
      </c>
      <c r="K6620" t="s">
        <v>263</v>
      </c>
      <c r="L6620" t="s">
        <v>275</v>
      </c>
      <c r="M6620" t="s">
        <v>284</v>
      </c>
      <c r="N6620" t="s">
        <v>294</v>
      </c>
      <c r="O6620" t="s">
        <v>302</v>
      </c>
      <c r="P6620" t="s">
        <v>310</v>
      </c>
      <c r="Q6620" t="s">
        <v>316</v>
      </c>
      <c r="R6620" t="s">
        <v>322</v>
      </c>
      <c r="S6620" t="s">
        <v>329</v>
      </c>
      <c r="AK6620" t="s">
        <v>364</v>
      </c>
    </row>
    <row r="6621" spans="1:37">
      <c r="A6621" t="s">
        <v>39</v>
      </c>
      <c r="B6621" t="s">
        <v>54</v>
      </c>
      <c r="C6621" t="s">
        <v>54</v>
      </c>
      <c r="D6621" t="s">
        <v>54</v>
      </c>
      <c r="E6621" t="s">
        <v>54</v>
      </c>
      <c r="F6621" t="s">
        <v>54</v>
      </c>
      <c r="G6621" t="s">
        <v>54</v>
      </c>
      <c r="H6621" t="s">
        <v>54</v>
      </c>
      <c r="I6621" t="s">
        <v>54</v>
      </c>
      <c r="J6621" t="s">
        <v>54</v>
      </c>
      <c r="K6621" t="s">
        <v>54</v>
      </c>
      <c r="L6621" t="s">
        <v>54</v>
      </c>
      <c r="M6621" t="s">
        <v>54</v>
      </c>
      <c r="N6621" t="s">
        <v>54</v>
      </c>
      <c r="O6621" t="s">
        <v>54</v>
      </c>
      <c r="P6621" t="s">
        <v>54</v>
      </c>
      <c r="Q6621" t="s">
        <v>54</v>
      </c>
      <c r="R6621" t="s">
        <v>323</v>
      </c>
      <c r="S6621" t="s">
        <v>330</v>
      </c>
      <c r="AK6621" t="s">
        <v>364</v>
      </c>
    </row>
    <row r="6622" spans="1:37">
      <c r="B6622" t="s">
        <v>55</v>
      </c>
      <c r="C6622" t="s">
        <v>78</v>
      </c>
      <c r="D6622" t="s">
        <v>55</v>
      </c>
      <c r="E6622" t="s">
        <v>78</v>
      </c>
      <c r="F6622" t="s">
        <v>55</v>
      </c>
      <c r="G6622" t="s">
        <v>78</v>
      </c>
      <c r="H6622" t="s">
        <v>55</v>
      </c>
      <c r="I6622" t="s">
        <v>78</v>
      </c>
      <c r="J6622" t="s">
        <v>55</v>
      </c>
      <c r="K6622" t="s">
        <v>78</v>
      </c>
      <c r="L6622" t="s">
        <v>55</v>
      </c>
      <c r="M6622" t="s">
        <v>78</v>
      </c>
      <c r="N6622" t="s">
        <v>55</v>
      </c>
      <c r="O6622" t="s">
        <v>78</v>
      </c>
      <c r="P6622" t="s">
        <v>55</v>
      </c>
      <c r="Q6622" t="s">
        <v>78</v>
      </c>
      <c r="R6622" t="s">
        <v>55</v>
      </c>
      <c r="S6622" t="s">
        <v>78</v>
      </c>
      <c r="T6622" t="s">
        <v>55</v>
      </c>
      <c r="U6622" t="s">
        <v>78</v>
      </c>
      <c r="V6622" t="s">
        <v>55</v>
      </c>
      <c r="W6622" t="s">
        <v>78</v>
      </c>
      <c r="X6622" t="s">
        <v>55</v>
      </c>
      <c r="Y6622" t="s">
        <v>78</v>
      </c>
      <c r="Z6622" t="s">
        <v>55</v>
      </c>
      <c r="AA6622" t="s">
        <v>78</v>
      </c>
      <c r="AB6622" t="s">
        <v>55</v>
      </c>
      <c r="AC6622" t="s">
        <v>78</v>
      </c>
      <c r="AD6622" t="s">
        <v>55</v>
      </c>
      <c r="AE6622" t="s">
        <v>78</v>
      </c>
      <c r="AF6622" t="s">
        <v>55</v>
      </c>
      <c r="AG6622" t="s">
        <v>78</v>
      </c>
      <c r="AH6622" t="s">
        <v>55</v>
      </c>
      <c r="AI6622" t="s">
        <v>78</v>
      </c>
      <c r="AK6622" t="s">
        <v>364</v>
      </c>
    </row>
    <row r="6623" spans="1:37">
      <c r="B6623" t="s">
        <v>56</v>
      </c>
      <c r="C6623" t="s">
        <v>56</v>
      </c>
      <c r="D6623" t="s">
        <v>56</v>
      </c>
      <c r="E6623" t="s">
        <v>56</v>
      </c>
      <c r="F6623" t="s">
        <v>56</v>
      </c>
      <c r="G6623" t="s">
        <v>176</v>
      </c>
      <c r="H6623" t="s">
        <v>211</v>
      </c>
      <c r="I6623" t="s">
        <v>231</v>
      </c>
      <c r="J6623" t="s">
        <v>250</v>
      </c>
      <c r="K6623" t="s">
        <v>264</v>
      </c>
      <c r="L6623" t="s">
        <v>276</v>
      </c>
      <c r="M6623" t="s">
        <v>285</v>
      </c>
      <c r="N6623" t="s">
        <v>295</v>
      </c>
      <c r="O6623" t="s">
        <v>303</v>
      </c>
      <c r="P6623" t="s">
        <v>56</v>
      </c>
      <c r="Q6623" t="s">
        <v>317</v>
      </c>
      <c r="R6623" t="s">
        <v>324</v>
      </c>
      <c r="S6623" t="s">
        <v>331</v>
      </c>
      <c r="T6623" t="s">
        <v>334</v>
      </c>
      <c r="U6623" t="s">
        <v>338</v>
      </c>
      <c r="V6623" t="s">
        <v>342</v>
      </c>
      <c r="W6623" t="s">
        <v>346</v>
      </c>
      <c r="X6623" t="s">
        <v>351</v>
      </c>
      <c r="AK6623" t="s">
        <v>364</v>
      </c>
    </row>
    <row r="6624" spans="1:37">
      <c r="B6624" t="s">
        <v>57</v>
      </c>
      <c r="C6624" t="s">
        <v>79</v>
      </c>
      <c r="D6624" t="s">
        <v>98</v>
      </c>
      <c r="E6624" t="s">
        <v>117</v>
      </c>
      <c r="F6624" t="s">
        <v>151</v>
      </c>
      <c r="G6624" t="s">
        <v>177</v>
      </c>
      <c r="H6624" t="s">
        <v>212</v>
      </c>
      <c r="I6624" t="s">
        <v>232</v>
      </c>
      <c r="J6624" t="s">
        <v>251</v>
      </c>
      <c r="K6624" t="s">
        <v>265</v>
      </c>
      <c r="L6624" t="s">
        <v>277</v>
      </c>
      <c r="M6624" t="s">
        <v>286</v>
      </c>
      <c r="N6624" t="s">
        <v>296</v>
      </c>
      <c r="O6624" t="s">
        <v>304</v>
      </c>
      <c r="P6624" t="s">
        <v>311</v>
      </c>
      <c r="Q6624" t="s">
        <v>318</v>
      </c>
      <c r="R6624" t="s">
        <v>185</v>
      </c>
      <c r="S6624" t="s">
        <v>159</v>
      </c>
      <c r="T6624" t="s">
        <v>185</v>
      </c>
      <c r="U6624" t="s">
        <v>339</v>
      </c>
      <c r="V6624" t="s">
        <v>72</v>
      </c>
      <c r="W6624" t="s">
        <v>347</v>
      </c>
      <c r="X6624" t="s">
        <v>72</v>
      </c>
      <c r="Y6624" t="s">
        <v>96</v>
      </c>
      <c r="AK6624" t="s">
        <v>364</v>
      </c>
    </row>
    <row r="6625" spans="1:37">
      <c r="B6625" t="s">
        <v>58</v>
      </c>
      <c r="C6625" t="s">
        <v>80</v>
      </c>
      <c r="D6625" t="s">
        <v>99</v>
      </c>
      <c r="E6625" t="s">
        <v>118</v>
      </c>
      <c r="F6625" t="s">
        <v>152</v>
      </c>
      <c r="G6625" t="s">
        <v>178</v>
      </c>
      <c r="H6625" t="s">
        <v>213</v>
      </c>
      <c r="I6625" t="s">
        <v>233</v>
      </c>
      <c r="J6625" t="s">
        <v>252</v>
      </c>
      <c r="K6625" t="s">
        <v>266</v>
      </c>
      <c r="L6625" t="s">
        <v>278</v>
      </c>
      <c r="M6625" t="s">
        <v>287</v>
      </c>
      <c r="N6625" t="s">
        <v>297</v>
      </c>
      <c r="O6625" t="s">
        <v>305</v>
      </c>
      <c r="P6625" t="s">
        <v>312</v>
      </c>
      <c r="Q6625" t="s">
        <v>319</v>
      </c>
      <c r="R6625">
        <f>&gt;10       ветра      1.9     17  12</f>
        <v>0</v>
      </c>
      <c r="AK6625" t="s">
        <v>364</v>
      </c>
    </row>
    <row r="6626" spans="1:37">
      <c r="A6626" t="s">
        <v>40</v>
      </c>
      <c r="B6626" t="s">
        <v>59</v>
      </c>
      <c r="C6626" t="s">
        <v>81</v>
      </c>
      <c r="D6626" t="s">
        <v>100</v>
      </c>
      <c r="E6626" t="s">
        <v>119</v>
      </c>
      <c r="F6626" t="s">
        <v>153</v>
      </c>
      <c r="G6626" t="s">
        <v>179</v>
      </c>
      <c r="H6626" t="s">
        <v>214</v>
      </c>
      <c r="I6626" t="s">
        <v>234</v>
      </c>
      <c r="AK6626" t="s">
        <v>364</v>
      </c>
    </row>
    <row r="6627" spans="1:37">
      <c r="A6627" t="s">
        <v>40</v>
      </c>
      <c r="B6627" t="s">
        <v>60</v>
      </c>
      <c r="C6627" t="s">
        <v>82</v>
      </c>
      <c r="D6627" t="s">
        <v>101</v>
      </c>
      <c r="E6627" t="s">
        <v>120</v>
      </c>
      <c r="F6627" t="s">
        <v>154</v>
      </c>
      <c r="G6627" t="s">
        <v>180</v>
      </c>
      <c r="H6627" t="s">
        <v>215</v>
      </c>
      <c r="I6627" t="s">
        <v>235</v>
      </c>
      <c r="J6627" t="s">
        <v>253</v>
      </c>
      <c r="K6627" t="s">
        <v>267</v>
      </c>
      <c r="L6627" t="s">
        <v>279</v>
      </c>
      <c r="M6627" t="s">
        <v>288</v>
      </c>
      <c r="N6627" t="s">
        <v>100</v>
      </c>
      <c r="O6627" t="s">
        <v>306</v>
      </c>
      <c r="P6627" t="s">
        <v>313</v>
      </c>
      <c r="Q6627" t="s">
        <v>320</v>
      </c>
      <c r="R6627" t="s">
        <v>325</v>
      </c>
      <c r="S6627" t="s">
        <v>332</v>
      </c>
      <c r="T6627" t="s">
        <v>119</v>
      </c>
      <c r="U6627" t="s">
        <v>234</v>
      </c>
      <c r="V6627" t="s">
        <v>343</v>
      </c>
      <c r="W6627" t="s">
        <v>348</v>
      </c>
      <c r="X6627" t="s">
        <v>352</v>
      </c>
      <c r="Y6627" t="s">
        <v>354</v>
      </c>
      <c r="AK6627" t="s">
        <v>364</v>
      </c>
    </row>
    <row r="6628" spans="1:37">
      <c r="A6628" t="s">
        <v>41</v>
      </c>
      <c r="B6628" t="s">
        <v>61</v>
      </c>
      <c r="C6628" t="s">
        <v>83</v>
      </c>
      <c r="D6628" t="s">
        <v>102</v>
      </c>
      <c r="E6628" t="s">
        <v>121</v>
      </c>
      <c r="F6628" t="s">
        <v>155</v>
      </c>
      <c r="G6628" t="s">
        <v>181</v>
      </c>
      <c r="H6628" t="s">
        <v>216</v>
      </c>
      <c r="I6628" t="s">
        <v>236</v>
      </c>
      <c r="AK6628" t="s">
        <v>364</v>
      </c>
    </row>
    <row r="6629" spans="1:37">
      <c r="A6629" t="s">
        <v>42</v>
      </c>
      <c r="B6629" t="s">
        <v>62</v>
      </c>
      <c r="C6629" t="s">
        <v>84</v>
      </c>
      <c r="D6629" t="s">
        <v>103</v>
      </c>
      <c r="E6629" t="s">
        <v>122</v>
      </c>
      <c r="F6629" t="s">
        <v>156</v>
      </c>
      <c r="G6629" t="s">
        <v>182</v>
      </c>
      <c r="H6629" t="s">
        <v>83</v>
      </c>
      <c r="I6629" t="s">
        <v>237</v>
      </c>
      <c r="J6629" t="s">
        <v>254</v>
      </c>
      <c r="K6629" t="s">
        <v>268</v>
      </c>
      <c r="L6629" t="s">
        <v>280</v>
      </c>
      <c r="M6629" t="s">
        <v>289</v>
      </c>
      <c r="N6629" t="s">
        <v>298</v>
      </c>
      <c r="O6629" t="s">
        <v>307</v>
      </c>
      <c r="P6629" t="s">
        <v>314</v>
      </c>
      <c r="Q6629" t="s">
        <v>216</v>
      </c>
      <c r="R6629" t="s">
        <v>326</v>
      </c>
      <c r="S6629" t="s">
        <v>333</v>
      </c>
      <c r="T6629" t="s">
        <v>335</v>
      </c>
      <c r="U6629" t="s">
        <v>340</v>
      </c>
      <c r="V6629" t="s">
        <v>344</v>
      </c>
      <c r="W6629" t="s">
        <v>349</v>
      </c>
      <c r="AK6629" t="s">
        <v>364</v>
      </c>
    </row>
    <row r="6630" spans="1:37">
      <c r="A6630" t="s">
        <v>43</v>
      </c>
      <c r="B6630" t="s">
        <v>63</v>
      </c>
      <c r="C6630" t="s">
        <v>85</v>
      </c>
      <c r="D6630" t="s">
        <v>104</v>
      </c>
      <c r="E6630" t="s">
        <v>123</v>
      </c>
      <c r="F6630" t="s">
        <v>157</v>
      </c>
      <c r="G6630" t="s">
        <v>183</v>
      </c>
      <c r="AK6630" t="s">
        <v>364</v>
      </c>
    </row>
    <row r="6631" spans="1:37">
      <c r="A6631" t="s">
        <v>44</v>
      </c>
      <c r="B6631" t="s">
        <v>64</v>
      </c>
      <c r="C6631" t="s">
        <v>86</v>
      </c>
      <c r="D6631" t="s">
        <v>105</v>
      </c>
      <c r="E6631" t="s">
        <v>124</v>
      </c>
      <c r="F6631" t="s">
        <v>158</v>
      </c>
      <c r="G6631" t="s">
        <v>184</v>
      </c>
      <c r="AK6631" t="s">
        <v>364</v>
      </c>
    </row>
    <row r="6632" spans="1:37">
      <c r="A6632" t="s">
        <v>45</v>
      </c>
      <c r="B6632" t="s">
        <v>65</v>
      </c>
      <c r="C6632" t="s">
        <v>87</v>
      </c>
      <c r="D6632" t="s">
        <v>106</v>
      </c>
      <c r="E6632" t="s">
        <v>125</v>
      </c>
      <c r="F6632" t="s">
        <v>159</v>
      </c>
      <c r="G6632" t="s">
        <v>185</v>
      </c>
      <c r="H6632" t="s">
        <v>159</v>
      </c>
      <c r="I6632" t="s">
        <v>185</v>
      </c>
      <c r="J6632" t="s">
        <v>255</v>
      </c>
      <c r="AK6632" t="s">
        <v>364</v>
      </c>
    </row>
    <row r="6633" spans="1:37">
      <c r="A6633" t="s">
        <v>46</v>
      </c>
      <c r="B6633" t="s">
        <v>66</v>
      </c>
      <c r="C6633" t="s">
        <v>88</v>
      </c>
      <c r="D6633" t="s">
        <v>76</v>
      </c>
      <c r="E6633" t="s">
        <v>126</v>
      </c>
      <c r="F6633" t="s">
        <v>160</v>
      </c>
      <c r="G6633" t="s">
        <v>186</v>
      </c>
      <c r="H6633" t="s">
        <v>217</v>
      </c>
      <c r="I6633" t="s">
        <v>238</v>
      </c>
      <c r="J6633" t="s">
        <v>256</v>
      </c>
      <c r="K6633" t="s">
        <v>265</v>
      </c>
      <c r="L6633" t="s">
        <v>281</v>
      </c>
      <c r="M6633" t="s">
        <v>290</v>
      </c>
      <c r="N6633" t="s">
        <v>299</v>
      </c>
      <c r="O6633" t="s">
        <v>308</v>
      </c>
      <c r="P6633" t="s">
        <v>228</v>
      </c>
      <c r="Q6633" t="s">
        <v>72</v>
      </c>
      <c r="R6633" t="s">
        <v>327</v>
      </c>
      <c r="S6633" t="s">
        <v>327</v>
      </c>
      <c r="T6633" t="s">
        <v>336</v>
      </c>
      <c r="U6633" t="s">
        <v>336</v>
      </c>
      <c r="V6633" t="s">
        <v>336</v>
      </c>
      <c r="W6633" t="s">
        <v>336</v>
      </c>
      <c r="X6633" t="s">
        <v>353</v>
      </c>
      <c r="AK6633" t="s">
        <v>364</v>
      </c>
    </row>
    <row r="6634" spans="1:37">
      <c r="B6634" t="s">
        <v>67</v>
      </c>
      <c r="C6634" t="s">
        <v>89</v>
      </c>
      <c r="D6634" t="s">
        <v>107</v>
      </c>
      <c r="AK6634" t="s">
        <v>364</v>
      </c>
    </row>
    <row r="6635" spans="1:37">
      <c r="B6635" t="s">
        <v>68</v>
      </c>
      <c r="C6635" t="s">
        <v>90</v>
      </c>
      <c r="D6635" t="s">
        <v>108</v>
      </c>
      <c r="AK6635" t="s">
        <v>364</v>
      </c>
    </row>
    <row r="6636" spans="1:37">
      <c r="A6636" t="s">
        <v>47</v>
      </c>
      <c r="B6636" t="s">
        <v>69</v>
      </c>
      <c r="C6636" t="s">
        <v>91</v>
      </c>
      <c r="D6636" t="s">
        <v>109</v>
      </c>
      <c r="E6636" t="s">
        <v>109</v>
      </c>
      <c r="F6636" t="s">
        <v>109</v>
      </c>
      <c r="G6636" t="s">
        <v>109</v>
      </c>
      <c r="H6636" t="s">
        <v>109</v>
      </c>
      <c r="I6636" t="s">
        <v>239</v>
      </c>
      <c r="AK6636" t="s">
        <v>364</v>
      </c>
    </row>
    <row r="6637" spans="1:37">
      <c r="B6637" t="s">
        <v>70</v>
      </c>
      <c r="C6637" t="s">
        <v>92</v>
      </c>
      <c r="D6637" t="s">
        <v>110</v>
      </c>
      <c r="E6637" t="s">
        <v>127</v>
      </c>
      <c r="F6637" t="s">
        <v>161</v>
      </c>
      <c r="G6637" t="s">
        <v>187</v>
      </c>
      <c r="H6637" t="s">
        <v>218</v>
      </c>
      <c r="AK6637" t="s">
        <v>364</v>
      </c>
    </row>
    <row r="6638" spans="1:37">
      <c r="B6638" t="s">
        <v>71</v>
      </c>
      <c r="C6638" t="s">
        <v>93</v>
      </c>
      <c r="D6638" t="s">
        <v>111</v>
      </c>
      <c r="E6638" t="s">
        <v>128</v>
      </c>
      <c r="F6638" t="s">
        <v>162</v>
      </c>
      <c r="G6638" t="s">
        <v>188</v>
      </c>
      <c r="H6638" t="s">
        <v>219</v>
      </c>
      <c r="I6638" t="s">
        <v>240</v>
      </c>
      <c r="J6638" t="s">
        <v>257</v>
      </c>
      <c r="K6638" t="s">
        <v>269</v>
      </c>
      <c r="L6638" t="s">
        <v>109</v>
      </c>
      <c r="M6638" t="s">
        <v>109</v>
      </c>
      <c r="N6638" t="s">
        <v>109</v>
      </c>
      <c r="O6638" t="s">
        <v>109</v>
      </c>
      <c r="P6638" t="s">
        <v>109</v>
      </c>
      <c r="Q6638" t="s">
        <v>321</v>
      </c>
      <c r="AK6638" t="s">
        <v>364</v>
      </c>
    </row>
    <row r="6639" spans="1:37">
      <c r="A6639" t="s">
        <v>48</v>
      </c>
      <c r="B6639" t="s">
        <v>71</v>
      </c>
      <c r="C6639" t="s">
        <v>93</v>
      </c>
      <c r="D6639" t="s">
        <v>111</v>
      </c>
      <c r="E6639" t="s">
        <v>128</v>
      </c>
      <c r="F6639" t="s">
        <v>163</v>
      </c>
      <c r="G6639" t="s">
        <v>189</v>
      </c>
      <c r="H6639" t="s">
        <v>220</v>
      </c>
      <c r="I6639" t="s">
        <v>241</v>
      </c>
      <c r="J6639" t="s">
        <v>258</v>
      </c>
      <c r="K6639" t="s">
        <v>270</v>
      </c>
      <c r="AK6639" t="s">
        <v>364</v>
      </c>
    </row>
    <row r="6640" spans="1:37">
      <c r="B6640" t="s">
        <v>72</v>
      </c>
      <c r="C6640" t="s">
        <v>72</v>
      </c>
      <c r="D6640" t="s">
        <v>72</v>
      </c>
      <c r="E6640" t="s">
        <v>139</v>
      </c>
      <c r="F6640" t="s">
        <v>139</v>
      </c>
      <c r="G6640" t="s">
        <v>192</v>
      </c>
      <c r="H6640" t="s">
        <v>192</v>
      </c>
      <c r="I6640" t="s">
        <v>192</v>
      </c>
      <c r="J6640" t="s">
        <v>192</v>
      </c>
      <c r="K6640" t="s">
        <v>271</v>
      </c>
      <c r="AK6640" t="s">
        <v>364</v>
      </c>
    </row>
    <row r="6641" spans="1:37">
      <c r="A6641" t="s">
        <v>37</v>
      </c>
      <c r="B6641" t="s">
        <v>49</v>
      </c>
      <c r="C6641" t="s">
        <v>73</v>
      </c>
      <c r="D6641" t="s">
        <v>94</v>
      </c>
      <c r="E6641" t="s">
        <v>112</v>
      </c>
      <c r="F6641" t="s">
        <v>146</v>
      </c>
      <c r="G6641" t="s">
        <v>172</v>
      </c>
      <c r="H6641" t="s">
        <v>207</v>
      </c>
      <c r="I6641" t="s">
        <v>226</v>
      </c>
      <c r="J6641" t="s">
        <v>246</v>
      </c>
      <c r="K6641" t="s">
        <v>259</v>
      </c>
      <c r="AK6641" t="s">
        <v>364</v>
      </c>
    </row>
    <row r="6642" spans="1:37">
      <c r="A6642" t="s">
        <v>38</v>
      </c>
      <c r="B6642" t="s">
        <v>50</v>
      </c>
      <c r="C6642" t="s">
        <v>74</v>
      </c>
      <c r="D6642" t="s">
        <v>95</v>
      </c>
      <c r="E6642" t="s">
        <v>113</v>
      </c>
      <c r="F6642" t="s">
        <v>147</v>
      </c>
      <c r="G6642" t="s">
        <v>173</v>
      </c>
      <c r="H6642" t="s">
        <v>208</v>
      </c>
      <c r="I6642" t="s">
        <v>227</v>
      </c>
      <c r="J6642" t="s">
        <v>115</v>
      </c>
      <c r="K6642" t="s">
        <v>260</v>
      </c>
      <c r="L6642" t="s">
        <v>273</v>
      </c>
      <c r="M6642" t="s">
        <v>282</v>
      </c>
      <c r="N6642" t="s">
        <v>291</v>
      </c>
      <c r="AK6642" t="s">
        <v>364</v>
      </c>
    </row>
    <row r="6643" spans="1:37">
      <c r="B6643" t="s">
        <v>51</v>
      </c>
      <c r="C6643" t="s">
        <v>75</v>
      </c>
      <c r="D6643" t="s">
        <v>52</v>
      </c>
      <c r="E6643" t="s">
        <v>114</v>
      </c>
      <c r="F6643" t="s">
        <v>148</v>
      </c>
      <c r="G6643" t="s">
        <v>148</v>
      </c>
      <c r="H6643" t="s">
        <v>209</v>
      </c>
      <c r="I6643" t="s">
        <v>228</v>
      </c>
      <c r="J6643" t="s">
        <v>247</v>
      </c>
      <c r="K6643" t="s">
        <v>261</v>
      </c>
      <c r="L6643" t="s">
        <v>274</v>
      </c>
      <c r="M6643" t="s">
        <v>283</v>
      </c>
      <c r="N6643" t="s">
        <v>292</v>
      </c>
      <c r="O6643" t="s">
        <v>300</v>
      </c>
      <c r="AK6643" t="s">
        <v>364</v>
      </c>
    </row>
    <row r="6644" spans="1:37">
      <c r="B6644" t="s">
        <v>52</v>
      </c>
      <c r="C6644" t="s">
        <v>76</v>
      </c>
      <c r="D6644" t="s">
        <v>96</v>
      </c>
      <c r="E6644" t="s">
        <v>115</v>
      </c>
      <c r="F6644" t="s">
        <v>149</v>
      </c>
      <c r="G6644" t="s">
        <v>174</v>
      </c>
      <c r="H6644" t="s">
        <v>96</v>
      </c>
      <c r="I6644" t="s">
        <v>229</v>
      </c>
      <c r="J6644" t="s">
        <v>248</v>
      </c>
      <c r="K6644" t="s">
        <v>262</v>
      </c>
      <c r="L6644" t="s">
        <v>52</v>
      </c>
      <c r="M6644" t="s">
        <v>76</v>
      </c>
      <c r="N6644" t="s">
        <v>293</v>
      </c>
      <c r="O6644" t="s">
        <v>301</v>
      </c>
      <c r="P6644" t="s">
        <v>309</v>
      </c>
      <c r="Q6644" t="s">
        <v>315</v>
      </c>
      <c r="R6644" t="s">
        <v>228</v>
      </c>
      <c r="S6644" t="s">
        <v>328</v>
      </c>
      <c r="T6644" t="s">
        <v>149</v>
      </c>
      <c r="U6644" t="s">
        <v>337</v>
      </c>
      <c r="V6644" t="s">
        <v>341</v>
      </c>
      <c r="W6644" t="s">
        <v>345</v>
      </c>
      <c r="X6644" t="s">
        <v>350</v>
      </c>
      <c r="AK6644" t="s">
        <v>364</v>
      </c>
    </row>
    <row r="6645" spans="1:37">
      <c r="B6645" t="s">
        <v>53</v>
      </c>
      <c r="C6645" t="s">
        <v>77</v>
      </c>
      <c r="D6645" t="s">
        <v>97</v>
      </c>
      <c r="E6645" t="s">
        <v>116</v>
      </c>
      <c r="F6645" t="s">
        <v>150</v>
      </c>
      <c r="G6645" t="s">
        <v>175</v>
      </c>
      <c r="H6645" t="s">
        <v>210</v>
      </c>
      <c r="I6645" t="s">
        <v>230</v>
      </c>
      <c r="J6645" t="s">
        <v>249</v>
      </c>
      <c r="K6645" t="s">
        <v>263</v>
      </c>
      <c r="L6645" t="s">
        <v>275</v>
      </c>
      <c r="M6645" t="s">
        <v>284</v>
      </c>
      <c r="N6645" t="s">
        <v>294</v>
      </c>
      <c r="O6645" t="s">
        <v>302</v>
      </c>
      <c r="P6645" t="s">
        <v>310</v>
      </c>
      <c r="Q6645" t="s">
        <v>316</v>
      </c>
      <c r="R6645" t="s">
        <v>322</v>
      </c>
      <c r="S6645" t="s">
        <v>329</v>
      </c>
      <c r="AK6645" t="s">
        <v>364</v>
      </c>
    </row>
    <row r="6646" spans="1:37">
      <c r="A6646" t="s">
        <v>39</v>
      </c>
      <c r="B6646" t="s">
        <v>54</v>
      </c>
      <c r="C6646" t="s">
        <v>54</v>
      </c>
      <c r="D6646" t="s">
        <v>54</v>
      </c>
      <c r="E6646" t="s">
        <v>54</v>
      </c>
      <c r="F6646" t="s">
        <v>54</v>
      </c>
      <c r="G6646" t="s">
        <v>54</v>
      </c>
      <c r="H6646" t="s">
        <v>54</v>
      </c>
      <c r="I6646" t="s">
        <v>54</v>
      </c>
      <c r="J6646" t="s">
        <v>54</v>
      </c>
      <c r="K6646" t="s">
        <v>54</v>
      </c>
      <c r="L6646" t="s">
        <v>54</v>
      </c>
      <c r="M6646" t="s">
        <v>54</v>
      </c>
      <c r="N6646" t="s">
        <v>54</v>
      </c>
      <c r="O6646" t="s">
        <v>54</v>
      </c>
      <c r="P6646" t="s">
        <v>54</v>
      </c>
      <c r="Q6646" t="s">
        <v>54</v>
      </c>
      <c r="R6646" t="s">
        <v>323</v>
      </c>
      <c r="S6646" t="s">
        <v>330</v>
      </c>
      <c r="AK6646" t="s">
        <v>364</v>
      </c>
    </row>
    <row r="6647" spans="1:37">
      <c r="B6647" t="s">
        <v>55</v>
      </c>
      <c r="C6647" t="s">
        <v>78</v>
      </c>
      <c r="D6647" t="s">
        <v>55</v>
      </c>
      <c r="E6647" t="s">
        <v>78</v>
      </c>
      <c r="F6647" t="s">
        <v>55</v>
      </c>
      <c r="G6647" t="s">
        <v>78</v>
      </c>
      <c r="H6647" t="s">
        <v>55</v>
      </c>
      <c r="I6647" t="s">
        <v>78</v>
      </c>
      <c r="J6647" t="s">
        <v>55</v>
      </c>
      <c r="K6647" t="s">
        <v>78</v>
      </c>
      <c r="L6647" t="s">
        <v>55</v>
      </c>
      <c r="M6647" t="s">
        <v>78</v>
      </c>
      <c r="N6647" t="s">
        <v>55</v>
      </c>
      <c r="O6647" t="s">
        <v>78</v>
      </c>
      <c r="P6647" t="s">
        <v>55</v>
      </c>
      <c r="Q6647" t="s">
        <v>78</v>
      </c>
      <c r="R6647" t="s">
        <v>55</v>
      </c>
      <c r="S6647" t="s">
        <v>78</v>
      </c>
      <c r="T6647" t="s">
        <v>55</v>
      </c>
      <c r="U6647" t="s">
        <v>78</v>
      </c>
      <c r="V6647" t="s">
        <v>55</v>
      </c>
      <c r="W6647" t="s">
        <v>78</v>
      </c>
      <c r="X6647" t="s">
        <v>55</v>
      </c>
      <c r="Y6647" t="s">
        <v>78</v>
      </c>
      <c r="Z6647" t="s">
        <v>55</v>
      </c>
      <c r="AA6647" t="s">
        <v>78</v>
      </c>
      <c r="AB6647" t="s">
        <v>55</v>
      </c>
      <c r="AC6647" t="s">
        <v>78</v>
      </c>
      <c r="AD6647" t="s">
        <v>55</v>
      </c>
      <c r="AE6647" t="s">
        <v>78</v>
      </c>
      <c r="AF6647" t="s">
        <v>55</v>
      </c>
      <c r="AG6647" t="s">
        <v>78</v>
      </c>
      <c r="AH6647" t="s">
        <v>55</v>
      </c>
      <c r="AI6647" t="s">
        <v>78</v>
      </c>
      <c r="AK6647" t="s">
        <v>364</v>
      </c>
    </row>
    <row r="6648" spans="1:37">
      <c r="B6648" t="s">
        <v>56</v>
      </c>
      <c r="C6648" t="s">
        <v>56</v>
      </c>
      <c r="D6648" t="s">
        <v>56</v>
      </c>
      <c r="E6648" t="s">
        <v>56</v>
      </c>
      <c r="F6648" t="s">
        <v>56</v>
      </c>
      <c r="G6648" t="s">
        <v>176</v>
      </c>
      <c r="H6648" t="s">
        <v>211</v>
      </c>
      <c r="I6648" t="s">
        <v>231</v>
      </c>
      <c r="J6648" t="s">
        <v>250</v>
      </c>
      <c r="K6648" t="s">
        <v>264</v>
      </c>
      <c r="L6648" t="s">
        <v>276</v>
      </c>
      <c r="M6648" t="s">
        <v>285</v>
      </c>
      <c r="N6648" t="s">
        <v>295</v>
      </c>
      <c r="O6648" t="s">
        <v>303</v>
      </c>
      <c r="P6648" t="s">
        <v>56</v>
      </c>
      <c r="Q6648" t="s">
        <v>317</v>
      </c>
      <c r="R6648" t="s">
        <v>324</v>
      </c>
      <c r="S6648" t="s">
        <v>331</v>
      </c>
      <c r="T6648" t="s">
        <v>334</v>
      </c>
      <c r="U6648" t="s">
        <v>338</v>
      </c>
      <c r="V6648" t="s">
        <v>342</v>
      </c>
      <c r="W6648" t="s">
        <v>346</v>
      </c>
      <c r="X6648" t="s">
        <v>351</v>
      </c>
      <c r="AK6648" t="s">
        <v>364</v>
      </c>
    </row>
    <row r="6649" spans="1:37">
      <c r="B6649" t="s">
        <v>57</v>
      </c>
      <c r="C6649" t="s">
        <v>79</v>
      </c>
      <c r="D6649" t="s">
        <v>98</v>
      </c>
      <c r="E6649" t="s">
        <v>117</v>
      </c>
      <c r="F6649" t="s">
        <v>151</v>
      </c>
      <c r="G6649" t="s">
        <v>177</v>
      </c>
      <c r="H6649" t="s">
        <v>212</v>
      </c>
      <c r="I6649" t="s">
        <v>232</v>
      </c>
      <c r="J6649" t="s">
        <v>251</v>
      </c>
      <c r="K6649" t="s">
        <v>265</v>
      </c>
      <c r="L6649" t="s">
        <v>277</v>
      </c>
      <c r="M6649" t="s">
        <v>286</v>
      </c>
      <c r="N6649" t="s">
        <v>296</v>
      </c>
      <c r="O6649" t="s">
        <v>304</v>
      </c>
      <c r="P6649" t="s">
        <v>311</v>
      </c>
      <c r="Q6649" t="s">
        <v>318</v>
      </c>
      <c r="R6649" t="s">
        <v>185</v>
      </c>
      <c r="S6649" t="s">
        <v>159</v>
      </c>
      <c r="T6649" t="s">
        <v>185</v>
      </c>
      <c r="U6649" t="s">
        <v>339</v>
      </c>
      <c r="V6649" t="s">
        <v>72</v>
      </c>
      <c r="W6649" t="s">
        <v>347</v>
      </c>
      <c r="X6649" t="s">
        <v>72</v>
      </c>
      <c r="Y6649" t="s">
        <v>96</v>
      </c>
      <c r="AK6649" t="s">
        <v>364</v>
      </c>
    </row>
    <row r="6650" spans="1:37">
      <c r="B6650" t="s">
        <v>58</v>
      </c>
      <c r="C6650" t="s">
        <v>80</v>
      </c>
      <c r="D6650" t="s">
        <v>99</v>
      </c>
      <c r="E6650" t="s">
        <v>118</v>
      </c>
      <c r="F6650" t="s">
        <v>152</v>
      </c>
      <c r="G6650" t="s">
        <v>178</v>
      </c>
      <c r="H6650" t="s">
        <v>213</v>
      </c>
      <c r="I6650" t="s">
        <v>233</v>
      </c>
      <c r="J6650" t="s">
        <v>252</v>
      </c>
      <c r="K6650" t="s">
        <v>266</v>
      </c>
      <c r="L6650" t="s">
        <v>278</v>
      </c>
      <c r="M6650" t="s">
        <v>287</v>
      </c>
      <c r="N6650" t="s">
        <v>297</v>
      </c>
      <c r="O6650" t="s">
        <v>305</v>
      </c>
      <c r="P6650" t="s">
        <v>312</v>
      </c>
      <c r="Q6650" t="s">
        <v>319</v>
      </c>
      <c r="R6650">
        <f>&gt;10       ветра      2.8     19  12 15</f>
        <v>0</v>
      </c>
      <c r="AK6650" t="s">
        <v>364</v>
      </c>
    </row>
    <row r="6651" spans="1:37">
      <c r="A6651" t="s">
        <v>40</v>
      </c>
      <c r="B6651" t="s">
        <v>59</v>
      </c>
      <c r="C6651" t="s">
        <v>81</v>
      </c>
      <c r="D6651" t="s">
        <v>100</v>
      </c>
      <c r="E6651" t="s">
        <v>119</v>
      </c>
      <c r="F6651" t="s">
        <v>153</v>
      </c>
      <c r="G6651" t="s">
        <v>179</v>
      </c>
      <c r="H6651" t="s">
        <v>214</v>
      </c>
      <c r="I6651" t="s">
        <v>234</v>
      </c>
      <c r="AK6651" t="s">
        <v>364</v>
      </c>
    </row>
    <row r="6652" spans="1:37">
      <c r="A6652" t="s">
        <v>40</v>
      </c>
      <c r="B6652" t="s">
        <v>60</v>
      </c>
      <c r="C6652" t="s">
        <v>82</v>
      </c>
      <c r="D6652" t="s">
        <v>101</v>
      </c>
      <c r="E6652" t="s">
        <v>120</v>
      </c>
      <c r="F6652" t="s">
        <v>154</v>
      </c>
      <c r="G6652" t="s">
        <v>180</v>
      </c>
      <c r="H6652" t="s">
        <v>215</v>
      </c>
      <c r="I6652" t="s">
        <v>235</v>
      </c>
      <c r="J6652" t="s">
        <v>253</v>
      </c>
      <c r="K6652" t="s">
        <v>267</v>
      </c>
      <c r="L6652" t="s">
        <v>279</v>
      </c>
      <c r="M6652" t="s">
        <v>288</v>
      </c>
      <c r="N6652" t="s">
        <v>100</v>
      </c>
      <c r="O6652" t="s">
        <v>306</v>
      </c>
      <c r="P6652" t="s">
        <v>313</v>
      </c>
      <c r="Q6652" t="s">
        <v>320</v>
      </c>
      <c r="R6652" t="s">
        <v>325</v>
      </c>
      <c r="S6652" t="s">
        <v>332</v>
      </c>
      <c r="T6652" t="s">
        <v>119</v>
      </c>
      <c r="U6652" t="s">
        <v>234</v>
      </c>
      <c r="V6652" t="s">
        <v>343</v>
      </c>
      <c r="W6652" t="s">
        <v>348</v>
      </c>
      <c r="X6652" t="s">
        <v>352</v>
      </c>
      <c r="Y6652" t="s">
        <v>354</v>
      </c>
      <c r="AK6652" t="s">
        <v>364</v>
      </c>
    </row>
    <row r="6653" spans="1:37">
      <c r="A6653" t="s">
        <v>41</v>
      </c>
      <c r="B6653" t="s">
        <v>61</v>
      </c>
      <c r="C6653" t="s">
        <v>83</v>
      </c>
      <c r="D6653" t="s">
        <v>102</v>
      </c>
      <c r="E6653" t="s">
        <v>121</v>
      </c>
      <c r="F6653" t="s">
        <v>155</v>
      </c>
      <c r="G6653" t="s">
        <v>181</v>
      </c>
      <c r="H6653" t="s">
        <v>216</v>
      </c>
      <c r="I6653" t="s">
        <v>236</v>
      </c>
      <c r="AK6653" t="s">
        <v>364</v>
      </c>
    </row>
    <row r="6654" spans="1:37">
      <c r="A6654" t="s">
        <v>42</v>
      </c>
      <c r="B6654" t="s">
        <v>62</v>
      </c>
      <c r="C6654" t="s">
        <v>84</v>
      </c>
      <c r="D6654" t="s">
        <v>103</v>
      </c>
      <c r="E6654" t="s">
        <v>122</v>
      </c>
      <c r="F6654" t="s">
        <v>156</v>
      </c>
      <c r="G6654" t="s">
        <v>182</v>
      </c>
      <c r="H6654" t="s">
        <v>83</v>
      </c>
      <c r="I6654" t="s">
        <v>237</v>
      </c>
      <c r="J6654" t="s">
        <v>254</v>
      </c>
      <c r="K6654" t="s">
        <v>268</v>
      </c>
      <c r="L6654" t="s">
        <v>280</v>
      </c>
      <c r="M6654" t="s">
        <v>289</v>
      </c>
      <c r="N6654" t="s">
        <v>298</v>
      </c>
      <c r="O6654" t="s">
        <v>307</v>
      </c>
      <c r="P6654" t="s">
        <v>314</v>
      </c>
      <c r="Q6654" t="s">
        <v>216</v>
      </c>
      <c r="R6654" t="s">
        <v>326</v>
      </c>
      <c r="S6654" t="s">
        <v>333</v>
      </c>
      <c r="T6654" t="s">
        <v>335</v>
      </c>
      <c r="U6654" t="s">
        <v>340</v>
      </c>
      <c r="V6654" t="s">
        <v>344</v>
      </c>
      <c r="W6654" t="s">
        <v>349</v>
      </c>
      <c r="AK6654" t="s">
        <v>364</v>
      </c>
    </row>
    <row r="6655" spans="1:37">
      <c r="A6655" t="s">
        <v>43</v>
      </c>
      <c r="B6655" t="s">
        <v>63</v>
      </c>
      <c r="C6655" t="s">
        <v>85</v>
      </c>
      <c r="D6655" t="s">
        <v>104</v>
      </c>
      <c r="E6655" t="s">
        <v>123</v>
      </c>
      <c r="F6655" t="s">
        <v>157</v>
      </c>
      <c r="G6655" t="s">
        <v>183</v>
      </c>
      <c r="AK6655" t="s">
        <v>364</v>
      </c>
    </row>
    <row r="6656" spans="1:37">
      <c r="A6656" t="s">
        <v>44</v>
      </c>
      <c r="B6656" t="s">
        <v>64</v>
      </c>
      <c r="C6656" t="s">
        <v>86</v>
      </c>
      <c r="D6656" t="s">
        <v>105</v>
      </c>
      <c r="E6656" t="s">
        <v>124</v>
      </c>
      <c r="F6656" t="s">
        <v>158</v>
      </c>
      <c r="G6656" t="s">
        <v>184</v>
      </c>
      <c r="AK6656" t="s">
        <v>364</v>
      </c>
    </row>
    <row r="6657" spans="1:37">
      <c r="A6657" t="s">
        <v>45</v>
      </c>
      <c r="B6657" t="s">
        <v>65</v>
      </c>
      <c r="C6657" t="s">
        <v>87</v>
      </c>
      <c r="D6657" t="s">
        <v>106</v>
      </c>
      <c r="E6657" t="s">
        <v>125</v>
      </c>
      <c r="F6657" t="s">
        <v>159</v>
      </c>
      <c r="G6657" t="s">
        <v>185</v>
      </c>
      <c r="H6657" t="s">
        <v>159</v>
      </c>
      <c r="I6657" t="s">
        <v>185</v>
      </c>
      <c r="J6657" t="s">
        <v>255</v>
      </c>
      <c r="AK6657" t="s">
        <v>364</v>
      </c>
    </row>
    <row r="6658" spans="1:37">
      <c r="A6658" t="s">
        <v>46</v>
      </c>
      <c r="B6658" t="s">
        <v>66</v>
      </c>
      <c r="C6658" t="s">
        <v>88</v>
      </c>
      <c r="D6658" t="s">
        <v>76</v>
      </c>
      <c r="E6658" t="s">
        <v>126</v>
      </c>
      <c r="F6658" t="s">
        <v>160</v>
      </c>
      <c r="G6658" t="s">
        <v>186</v>
      </c>
      <c r="H6658" t="s">
        <v>217</v>
      </c>
      <c r="I6658" t="s">
        <v>238</v>
      </c>
      <c r="J6658" t="s">
        <v>256</v>
      </c>
      <c r="K6658" t="s">
        <v>265</v>
      </c>
      <c r="L6658" t="s">
        <v>281</v>
      </c>
      <c r="M6658" t="s">
        <v>290</v>
      </c>
      <c r="N6658" t="s">
        <v>299</v>
      </c>
      <c r="O6658" t="s">
        <v>308</v>
      </c>
      <c r="P6658" t="s">
        <v>228</v>
      </c>
      <c r="Q6658" t="s">
        <v>72</v>
      </c>
      <c r="R6658" t="s">
        <v>327</v>
      </c>
      <c r="S6658" t="s">
        <v>327</v>
      </c>
      <c r="T6658" t="s">
        <v>336</v>
      </c>
      <c r="U6658" t="s">
        <v>336</v>
      </c>
      <c r="V6658" t="s">
        <v>336</v>
      </c>
      <c r="W6658" t="s">
        <v>336</v>
      </c>
      <c r="X6658" t="s">
        <v>353</v>
      </c>
      <c r="AK6658" t="s">
        <v>364</v>
      </c>
    </row>
    <row r="6659" spans="1:37">
      <c r="A6659" t="s">
        <v>37</v>
      </c>
      <c r="B6659" t="s">
        <v>49</v>
      </c>
      <c r="C6659" t="s">
        <v>73</v>
      </c>
      <c r="D6659" t="s">
        <v>94</v>
      </c>
      <c r="E6659" t="s">
        <v>112</v>
      </c>
      <c r="F6659" t="s">
        <v>146</v>
      </c>
      <c r="G6659" t="s">
        <v>172</v>
      </c>
      <c r="H6659" t="s">
        <v>207</v>
      </c>
      <c r="I6659" t="s">
        <v>226</v>
      </c>
      <c r="J6659" t="s">
        <v>246</v>
      </c>
      <c r="K6659" t="s">
        <v>259</v>
      </c>
      <c r="AK6659" t="s">
        <v>364</v>
      </c>
    </row>
    <row r="6660" spans="1:37">
      <c r="A6660" t="s">
        <v>38</v>
      </c>
      <c r="B6660" t="s">
        <v>50</v>
      </c>
      <c r="C6660" t="s">
        <v>74</v>
      </c>
      <c r="D6660" t="s">
        <v>95</v>
      </c>
      <c r="E6660" t="s">
        <v>113</v>
      </c>
      <c r="F6660" t="s">
        <v>147</v>
      </c>
      <c r="G6660" t="s">
        <v>173</v>
      </c>
      <c r="H6660" t="s">
        <v>208</v>
      </c>
      <c r="I6660" t="s">
        <v>227</v>
      </c>
      <c r="J6660" t="s">
        <v>115</v>
      </c>
      <c r="K6660" t="s">
        <v>260</v>
      </c>
      <c r="L6660" t="s">
        <v>273</v>
      </c>
      <c r="M6660" t="s">
        <v>282</v>
      </c>
      <c r="N6660" t="s">
        <v>291</v>
      </c>
      <c r="AK6660" t="s">
        <v>364</v>
      </c>
    </row>
    <row r="6661" spans="1:37">
      <c r="B6661" t="s">
        <v>51</v>
      </c>
      <c r="C6661" t="s">
        <v>75</v>
      </c>
      <c r="D6661" t="s">
        <v>52</v>
      </c>
      <c r="E6661" t="s">
        <v>114</v>
      </c>
      <c r="F6661" t="s">
        <v>148</v>
      </c>
      <c r="G6661" t="s">
        <v>148</v>
      </c>
      <c r="H6661" t="s">
        <v>209</v>
      </c>
      <c r="I6661" t="s">
        <v>228</v>
      </c>
      <c r="J6661" t="s">
        <v>247</v>
      </c>
      <c r="K6661" t="s">
        <v>261</v>
      </c>
      <c r="L6661" t="s">
        <v>274</v>
      </c>
      <c r="M6661" t="s">
        <v>283</v>
      </c>
      <c r="N6661" t="s">
        <v>292</v>
      </c>
      <c r="O6661" t="s">
        <v>300</v>
      </c>
      <c r="AK6661" t="s">
        <v>364</v>
      </c>
    </row>
    <row r="6662" spans="1:37">
      <c r="B6662" t="s">
        <v>52</v>
      </c>
      <c r="C6662" t="s">
        <v>76</v>
      </c>
      <c r="D6662" t="s">
        <v>96</v>
      </c>
      <c r="E6662" t="s">
        <v>115</v>
      </c>
      <c r="F6662" t="s">
        <v>149</v>
      </c>
      <c r="G6662" t="s">
        <v>174</v>
      </c>
      <c r="H6662" t="s">
        <v>96</v>
      </c>
      <c r="I6662" t="s">
        <v>229</v>
      </c>
      <c r="J6662" t="s">
        <v>248</v>
      </c>
      <c r="K6662" t="s">
        <v>262</v>
      </c>
      <c r="L6662" t="s">
        <v>52</v>
      </c>
      <c r="M6662" t="s">
        <v>76</v>
      </c>
      <c r="N6662" t="s">
        <v>293</v>
      </c>
      <c r="O6662" t="s">
        <v>301</v>
      </c>
      <c r="P6662" t="s">
        <v>309</v>
      </c>
      <c r="Q6662" t="s">
        <v>315</v>
      </c>
      <c r="R6662" t="s">
        <v>228</v>
      </c>
      <c r="S6662" t="s">
        <v>328</v>
      </c>
      <c r="T6662" t="s">
        <v>149</v>
      </c>
      <c r="U6662" t="s">
        <v>337</v>
      </c>
      <c r="V6662" t="s">
        <v>341</v>
      </c>
      <c r="W6662" t="s">
        <v>345</v>
      </c>
      <c r="X6662" t="s">
        <v>350</v>
      </c>
      <c r="AK6662" t="s">
        <v>364</v>
      </c>
    </row>
    <row r="6663" spans="1:37">
      <c r="B6663" t="s">
        <v>53</v>
      </c>
      <c r="C6663" t="s">
        <v>77</v>
      </c>
      <c r="D6663" t="s">
        <v>97</v>
      </c>
      <c r="E6663" t="s">
        <v>116</v>
      </c>
      <c r="F6663" t="s">
        <v>150</v>
      </c>
      <c r="G6663" t="s">
        <v>175</v>
      </c>
      <c r="H6663" t="s">
        <v>210</v>
      </c>
      <c r="I6663" t="s">
        <v>230</v>
      </c>
      <c r="J6663" t="s">
        <v>249</v>
      </c>
      <c r="K6663" t="s">
        <v>263</v>
      </c>
      <c r="L6663" t="s">
        <v>275</v>
      </c>
      <c r="M6663" t="s">
        <v>284</v>
      </c>
      <c r="N6663" t="s">
        <v>294</v>
      </c>
      <c r="O6663" t="s">
        <v>302</v>
      </c>
      <c r="P6663" t="s">
        <v>310</v>
      </c>
      <c r="Q6663" t="s">
        <v>316</v>
      </c>
      <c r="R6663" t="s">
        <v>322</v>
      </c>
      <c r="S6663" t="s">
        <v>329</v>
      </c>
      <c r="AK6663" t="s">
        <v>364</v>
      </c>
    </row>
    <row r="6664" spans="1:37">
      <c r="A6664" t="s">
        <v>39</v>
      </c>
      <c r="B6664" t="s">
        <v>54</v>
      </c>
      <c r="C6664" t="s">
        <v>54</v>
      </c>
      <c r="D6664" t="s">
        <v>54</v>
      </c>
      <c r="E6664" t="s">
        <v>54</v>
      </c>
      <c r="F6664" t="s">
        <v>54</v>
      </c>
      <c r="G6664" t="s">
        <v>54</v>
      </c>
      <c r="H6664" t="s">
        <v>54</v>
      </c>
      <c r="I6664" t="s">
        <v>54</v>
      </c>
      <c r="J6664" t="s">
        <v>54</v>
      </c>
      <c r="K6664" t="s">
        <v>54</v>
      </c>
      <c r="L6664" t="s">
        <v>54</v>
      </c>
      <c r="M6664" t="s">
        <v>54</v>
      </c>
      <c r="N6664" t="s">
        <v>54</v>
      </c>
      <c r="O6664" t="s">
        <v>54</v>
      </c>
      <c r="P6664" t="s">
        <v>54</v>
      </c>
      <c r="Q6664" t="s">
        <v>54</v>
      </c>
      <c r="R6664" t="s">
        <v>323</v>
      </c>
      <c r="S6664" t="s">
        <v>330</v>
      </c>
      <c r="AK6664" t="s">
        <v>364</v>
      </c>
    </row>
    <row r="6665" spans="1:37">
      <c r="B6665" t="s">
        <v>55</v>
      </c>
      <c r="C6665" t="s">
        <v>78</v>
      </c>
      <c r="D6665" t="s">
        <v>55</v>
      </c>
      <c r="E6665" t="s">
        <v>78</v>
      </c>
      <c r="F6665" t="s">
        <v>55</v>
      </c>
      <c r="G6665" t="s">
        <v>78</v>
      </c>
      <c r="H6665" t="s">
        <v>55</v>
      </c>
      <c r="I6665" t="s">
        <v>78</v>
      </c>
      <c r="J6665" t="s">
        <v>55</v>
      </c>
      <c r="K6665" t="s">
        <v>78</v>
      </c>
      <c r="L6665" t="s">
        <v>55</v>
      </c>
      <c r="M6665" t="s">
        <v>78</v>
      </c>
      <c r="N6665" t="s">
        <v>55</v>
      </c>
      <c r="O6665" t="s">
        <v>78</v>
      </c>
      <c r="P6665" t="s">
        <v>55</v>
      </c>
      <c r="Q6665" t="s">
        <v>78</v>
      </c>
      <c r="R6665" t="s">
        <v>55</v>
      </c>
      <c r="S6665" t="s">
        <v>78</v>
      </c>
      <c r="T6665" t="s">
        <v>55</v>
      </c>
      <c r="U6665" t="s">
        <v>78</v>
      </c>
      <c r="V6665" t="s">
        <v>55</v>
      </c>
      <c r="W6665" t="s">
        <v>78</v>
      </c>
      <c r="X6665" t="s">
        <v>55</v>
      </c>
      <c r="Y6665" t="s">
        <v>78</v>
      </c>
      <c r="Z6665" t="s">
        <v>55</v>
      </c>
      <c r="AA6665" t="s">
        <v>78</v>
      </c>
      <c r="AB6665" t="s">
        <v>55</v>
      </c>
      <c r="AC6665" t="s">
        <v>78</v>
      </c>
      <c r="AD6665" t="s">
        <v>55</v>
      </c>
      <c r="AE6665" t="s">
        <v>78</v>
      </c>
      <c r="AF6665" t="s">
        <v>55</v>
      </c>
      <c r="AG6665" t="s">
        <v>78</v>
      </c>
      <c r="AH6665" t="s">
        <v>55</v>
      </c>
      <c r="AI6665" t="s">
        <v>78</v>
      </c>
      <c r="AK6665" t="s">
        <v>364</v>
      </c>
    </row>
    <row r="6666" spans="1:37">
      <c r="B6666" t="s">
        <v>56</v>
      </c>
      <c r="C6666" t="s">
        <v>56</v>
      </c>
      <c r="D6666" t="s">
        <v>56</v>
      </c>
      <c r="E6666" t="s">
        <v>56</v>
      </c>
      <c r="F6666" t="s">
        <v>56</v>
      </c>
      <c r="G6666" t="s">
        <v>176</v>
      </c>
      <c r="H6666" t="s">
        <v>211</v>
      </c>
      <c r="I6666" t="s">
        <v>231</v>
      </c>
      <c r="J6666" t="s">
        <v>250</v>
      </c>
      <c r="K6666" t="s">
        <v>264</v>
      </c>
      <c r="L6666" t="s">
        <v>276</v>
      </c>
      <c r="M6666" t="s">
        <v>285</v>
      </c>
      <c r="N6666" t="s">
        <v>295</v>
      </c>
      <c r="O6666" t="s">
        <v>303</v>
      </c>
      <c r="P6666" t="s">
        <v>56</v>
      </c>
      <c r="Q6666" t="s">
        <v>317</v>
      </c>
      <c r="R6666" t="s">
        <v>324</v>
      </c>
      <c r="S6666" t="s">
        <v>331</v>
      </c>
      <c r="T6666" t="s">
        <v>334</v>
      </c>
      <c r="U6666" t="s">
        <v>338</v>
      </c>
      <c r="V6666" t="s">
        <v>342</v>
      </c>
      <c r="W6666" t="s">
        <v>346</v>
      </c>
      <c r="X6666" t="s">
        <v>351</v>
      </c>
      <c r="AK6666" t="s">
        <v>364</v>
      </c>
    </row>
    <row r="6667" spans="1:37">
      <c r="B6667" t="s">
        <v>57</v>
      </c>
      <c r="C6667" t="s">
        <v>79</v>
      </c>
      <c r="D6667" t="s">
        <v>98</v>
      </c>
      <c r="E6667" t="s">
        <v>117</v>
      </c>
      <c r="F6667" t="s">
        <v>151</v>
      </c>
      <c r="G6667" t="s">
        <v>177</v>
      </c>
      <c r="H6667" t="s">
        <v>212</v>
      </c>
      <c r="I6667" t="s">
        <v>232</v>
      </c>
      <c r="J6667" t="s">
        <v>251</v>
      </c>
      <c r="K6667" t="s">
        <v>265</v>
      </c>
      <c r="L6667" t="s">
        <v>277</v>
      </c>
      <c r="M6667" t="s">
        <v>286</v>
      </c>
      <c r="N6667" t="s">
        <v>296</v>
      </c>
      <c r="O6667" t="s">
        <v>304</v>
      </c>
      <c r="P6667" t="s">
        <v>311</v>
      </c>
      <c r="Q6667" t="s">
        <v>318</v>
      </c>
      <c r="R6667" t="s">
        <v>185</v>
      </c>
      <c r="S6667" t="s">
        <v>159</v>
      </c>
      <c r="T6667" t="s">
        <v>185</v>
      </c>
      <c r="U6667" t="s">
        <v>339</v>
      </c>
      <c r="V6667" t="s">
        <v>72</v>
      </c>
      <c r="W6667" t="s">
        <v>347</v>
      </c>
      <c r="X6667" t="s">
        <v>72</v>
      </c>
      <c r="Y6667" t="s">
        <v>96</v>
      </c>
      <c r="AK6667" t="s">
        <v>364</v>
      </c>
    </row>
    <row r="6668" spans="1:37">
      <c r="B6668" t="s">
        <v>58</v>
      </c>
      <c r="C6668" t="s">
        <v>80</v>
      </c>
      <c r="D6668" t="s">
        <v>99</v>
      </c>
      <c r="E6668" t="s">
        <v>118</v>
      </c>
      <c r="F6668" t="s">
        <v>152</v>
      </c>
      <c r="G6668" t="s">
        <v>178</v>
      </c>
      <c r="H6668" t="s">
        <v>213</v>
      </c>
      <c r="I6668" t="s">
        <v>233</v>
      </c>
      <c r="J6668" t="s">
        <v>252</v>
      </c>
      <c r="K6668" t="s">
        <v>266</v>
      </c>
      <c r="L6668" t="s">
        <v>278</v>
      </c>
      <c r="M6668" t="s">
        <v>287</v>
      </c>
      <c r="N6668" t="s">
        <v>297</v>
      </c>
      <c r="O6668" t="s">
        <v>305</v>
      </c>
      <c r="P6668" t="s">
        <v>312</v>
      </c>
      <c r="Q6668" t="s">
        <v>319</v>
      </c>
      <c r="R6668">
        <f>&gt;10       ветра      2.9     22  12</f>
        <v>0</v>
      </c>
      <c r="AK6668" t="s">
        <v>364</v>
      </c>
    </row>
    <row r="6669" spans="1:37">
      <c r="A6669" t="s">
        <v>40</v>
      </c>
      <c r="B6669" t="s">
        <v>59</v>
      </c>
      <c r="C6669" t="s">
        <v>81</v>
      </c>
      <c r="D6669" t="s">
        <v>100</v>
      </c>
      <c r="E6669" t="s">
        <v>119</v>
      </c>
      <c r="F6669" t="s">
        <v>153</v>
      </c>
      <c r="G6669" t="s">
        <v>179</v>
      </c>
      <c r="H6669" t="s">
        <v>214</v>
      </c>
      <c r="I6669" t="s">
        <v>234</v>
      </c>
      <c r="AK6669" t="s">
        <v>364</v>
      </c>
    </row>
    <row r="6670" spans="1:37">
      <c r="A6670" t="s">
        <v>40</v>
      </c>
      <c r="B6670" t="s">
        <v>60</v>
      </c>
      <c r="C6670" t="s">
        <v>82</v>
      </c>
      <c r="D6670" t="s">
        <v>101</v>
      </c>
      <c r="E6670" t="s">
        <v>120</v>
      </c>
      <c r="F6670" t="s">
        <v>154</v>
      </c>
      <c r="G6670" t="s">
        <v>180</v>
      </c>
      <c r="H6670" t="s">
        <v>215</v>
      </c>
      <c r="I6670" t="s">
        <v>235</v>
      </c>
      <c r="J6670" t="s">
        <v>253</v>
      </c>
      <c r="K6670" t="s">
        <v>267</v>
      </c>
      <c r="L6670" t="s">
        <v>279</v>
      </c>
      <c r="M6670" t="s">
        <v>288</v>
      </c>
      <c r="N6670" t="s">
        <v>100</v>
      </c>
      <c r="O6670" t="s">
        <v>306</v>
      </c>
      <c r="P6670" t="s">
        <v>313</v>
      </c>
      <c r="Q6670" t="s">
        <v>320</v>
      </c>
      <c r="R6670" t="s">
        <v>325</v>
      </c>
      <c r="S6670" t="s">
        <v>332</v>
      </c>
      <c r="T6670" t="s">
        <v>119</v>
      </c>
      <c r="U6670" t="s">
        <v>234</v>
      </c>
      <c r="V6670" t="s">
        <v>343</v>
      </c>
      <c r="W6670" t="s">
        <v>348</v>
      </c>
      <c r="X6670" t="s">
        <v>352</v>
      </c>
      <c r="Y6670" t="s">
        <v>354</v>
      </c>
      <c r="AK6670" t="s">
        <v>364</v>
      </c>
    </row>
    <row r="6671" spans="1:37">
      <c r="A6671" t="s">
        <v>41</v>
      </c>
      <c r="B6671" t="s">
        <v>61</v>
      </c>
      <c r="C6671" t="s">
        <v>83</v>
      </c>
      <c r="D6671" t="s">
        <v>102</v>
      </c>
      <c r="E6671" t="s">
        <v>121</v>
      </c>
      <c r="F6671" t="s">
        <v>155</v>
      </c>
      <c r="G6671" t="s">
        <v>181</v>
      </c>
      <c r="H6671" t="s">
        <v>216</v>
      </c>
      <c r="I6671" t="s">
        <v>236</v>
      </c>
      <c r="AK6671" t="s">
        <v>364</v>
      </c>
    </row>
    <row r="6672" spans="1:37">
      <c r="A6672" t="s">
        <v>42</v>
      </c>
      <c r="B6672" t="s">
        <v>62</v>
      </c>
      <c r="C6672" t="s">
        <v>84</v>
      </c>
      <c r="D6672" t="s">
        <v>103</v>
      </c>
      <c r="E6672" t="s">
        <v>122</v>
      </c>
      <c r="F6672" t="s">
        <v>156</v>
      </c>
      <c r="G6672" t="s">
        <v>182</v>
      </c>
      <c r="H6672" t="s">
        <v>83</v>
      </c>
      <c r="I6672" t="s">
        <v>237</v>
      </c>
      <c r="J6672" t="s">
        <v>254</v>
      </c>
      <c r="K6672" t="s">
        <v>268</v>
      </c>
      <c r="L6672" t="s">
        <v>280</v>
      </c>
      <c r="M6672" t="s">
        <v>289</v>
      </c>
      <c r="N6672" t="s">
        <v>298</v>
      </c>
      <c r="O6672" t="s">
        <v>307</v>
      </c>
      <c r="P6672" t="s">
        <v>314</v>
      </c>
      <c r="Q6672" t="s">
        <v>216</v>
      </c>
      <c r="R6672" t="s">
        <v>326</v>
      </c>
      <c r="S6672" t="s">
        <v>333</v>
      </c>
      <c r="T6672" t="s">
        <v>335</v>
      </c>
      <c r="U6672" t="s">
        <v>340</v>
      </c>
      <c r="V6672" t="s">
        <v>344</v>
      </c>
      <c r="W6672" t="s">
        <v>349</v>
      </c>
      <c r="AK6672" t="s">
        <v>364</v>
      </c>
    </row>
    <row r="6673" spans="1:37">
      <c r="A6673" t="s">
        <v>43</v>
      </c>
      <c r="B6673" t="s">
        <v>63</v>
      </c>
      <c r="C6673" t="s">
        <v>85</v>
      </c>
      <c r="D6673" t="s">
        <v>104</v>
      </c>
      <c r="E6673" t="s">
        <v>123</v>
      </c>
      <c r="F6673" t="s">
        <v>157</v>
      </c>
      <c r="G6673" t="s">
        <v>183</v>
      </c>
      <c r="AK6673" t="s">
        <v>364</v>
      </c>
    </row>
    <row r="6674" spans="1:37">
      <c r="A6674" t="s">
        <v>44</v>
      </c>
      <c r="B6674" t="s">
        <v>64</v>
      </c>
      <c r="C6674" t="s">
        <v>86</v>
      </c>
      <c r="D6674" t="s">
        <v>105</v>
      </c>
      <c r="E6674" t="s">
        <v>124</v>
      </c>
      <c r="F6674" t="s">
        <v>158</v>
      </c>
      <c r="G6674" t="s">
        <v>184</v>
      </c>
      <c r="AK6674" t="s">
        <v>364</v>
      </c>
    </row>
    <row r="6675" spans="1:37">
      <c r="A6675" t="s">
        <v>45</v>
      </c>
      <c r="B6675" t="s">
        <v>65</v>
      </c>
      <c r="C6675" t="s">
        <v>87</v>
      </c>
      <c r="D6675" t="s">
        <v>106</v>
      </c>
      <c r="E6675" t="s">
        <v>125</v>
      </c>
      <c r="F6675" t="s">
        <v>159</v>
      </c>
      <c r="G6675" t="s">
        <v>185</v>
      </c>
      <c r="H6675" t="s">
        <v>159</v>
      </c>
      <c r="I6675" t="s">
        <v>185</v>
      </c>
      <c r="J6675" t="s">
        <v>255</v>
      </c>
      <c r="AK6675" t="s">
        <v>364</v>
      </c>
    </row>
    <row r="6676" spans="1:37">
      <c r="A6676" t="s">
        <v>46</v>
      </c>
      <c r="B6676" t="s">
        <v>66</v>
      </c>
      <c r="C6676" t="s">
        <v>88</v>
      </c>
      <c r="D6676" t="s">
        <v>76</v>
      </c>
      <c r="E6676" t="s">
        <v>126</v>
      </c>
      <c r="F6676" t="s">
        <v>160</v>
      </c>
      <c r="G6676" t="s">
        <v>186</v>
      </c>
      <c r="H6676" t="s">
        <v>217</v>
      </c>
      <c r="I6676" t="s">
        <v>238</v>
      </c>
      <c r="J6676" t="s">
        <v>256</v>
      </c>
      <c r="K6676" t="s">
        <v>265</v>
      </c>
      <c r="L6676" t="s">
        <v>281</v>
      </c>
      <c r="M6676" t="s">
        <v>290</v>
      </c>
      <c r="N6676" t="s">
        <v>299</v>
      </c>
      <c r="O6676" t="s">
        <v>308</v>
      </c>
      <c r="P6676" t="s">
        <v>228</v>
      </c>
      <c r="Q6676" t="s">
        <v>72</v>
      </c>
      <c r="R6676" t="s">
        <v>327</v>
      </c>
      <c r="S6676" t="s">
        <v>327</v>
      </c>
      <c r="T6676" t="s">
        <v>336</v>
      </c>
      <c r="U6676" t="s">
        <v>336</v>
      </c>
      <c r="V6676" t="s">
        <v>336</v>
      </c>
      <c r="W6676" t="s">
        <v>336</v>
      </c>
      <c r="X6676" t="s">
        <v>353</v>
      </c>
      <c r="AK6676" t="s">
        <v>364</v>
      </c>
    </row>
    <row r="6677" spans="1:37">
      <c r="B6677" t="s">
        <v>67</v>
      </c>
      <c r="C6677" t="s">
        <v>89</v>
      </c>
      <c r="D6677" t="s">
        <v>107</v>
      </c>
      <c r="AK6677" t="s">
        <v>364</v>
      </c>
    </row>
    <row r="6678" spans="1:37">
      <c r="B6678" t="s">
        <v>68</v>
      </c>
      <c r="C6678" t="s">
        <v>90</v>
      </c>
      <c r="D6678" t="s">
        <v>108</v>
      </c>
      <c r="AK6678" t="s">
        <v>364</v>
      </c>
    </row>
    <row r="6679" spans="1:37">
      <c r="A6679" t="s">
        <v>47</v>
      </c>
      <c r="B6679" t="s">
        <v>69</v>
      </c>
      <c r="C6679" t="s">
        <v>91</v>
      </c>
      <c r="D6679" t="s">
        <v>109</v>
      </c>
      <c r="E6679" t="s">
        <v>109</v>
      </c>
      <c r="F6679" t="s">
        <v>109</v>
      </c>
      <c r="G6679" t="s">
        <v>109</v>
      </c>
      <c r="H6679" t="s">
        <v>109</v>
      </c>
      <c r="I6679" t="s">
        <v>239</v>
      </c>
      <c r="AK6679" t="s">
        <v>364</v>
      </c>
    </row>
    <row r="6680" spans="1:37">
      <c r="B6680" t="s">
        <v>70</v>
      </c>
      <c r="C6680" t="s">
        <v>92</v>
      </c>
      <c r="D6680" t="s">
        <v>110</v>
      </c>
      <c r="E6680" t="s">
        <v>127</v>
      </c>
      <c r="F6680" t="s">
        <v>161</v>
      </c>
      <c r="G6680" t="s">
        <v>187</v>
      </c>
      <c r="H6680" t="s">
        <v>218</v>
      </c>
      <c r="AK6680" t="s">
        <v>364</v>
      </c>
    </row>
    <row r="6681" spans="1:37">
      <c r="B6681" t="s">
        <v>71</v>
      </c>
      <c r="C6681" t="s">
        <v>93</v>
      </c>
      <c r="D6681" t="s">
        <v>111</v>
      </c>
      <c r="E6681" t="s">
        <v>128</v>
      </c>
      <c r="F6681" t="s">
        <v>162</v>
      </c>
      <c r="G6681" t="s">
        <v>188</v>
      </c>
      <c r="H6681" t="s">
        <v>219</v>
      </c>
      <c r="I6681" t="s">
        <v>240</v>
      </c>
      <c r="J6681" t="s">
        <v>257</v>
      </c>
      <c r="K6681" t="s">
        <v>269</v>
      </c>
      <c r="L6681" t="s">
        <v>109</v>
      </c>
      <c r="M6681" t="s">
        <v>109</v>
      </c>
      <c r="N6681" t="s">
        <v>109</v>
      </c>
      <c r="O6681" t="s">
        <v>109</v>
      </c>
      <c r="P6681" t="s">
        <v>109</v>
      </c>
      <c r="Q6681" t="s">
        <v>321</v>
      </c>
      <c r="AK6681" t="s">
        <v>364</v>
      </c>
    </row>
    <row r="6682" spans="1:37">
      <c r="A6682" t="s">
        <v>48</v>
      </c>
      <c r="B6682" t="s">
        <v>71</v>
      </c>
      <c r="C6682" t="s">
        <v>93</v>
      </c>
      <c r="D6682" t="s">
        <v>111</v>
      </c>
      <c r="E6682" t="s">
        <v>128</v>
      </c>
      <c r="F6682" t="s">
        <v>163</v>
      </c>
      <c r="G6682" t="s">
        <v>189</v>
      </c>
      <c r="H6682" t="s">
        <v>220</v>
      </c>
      <c r="I6682" t="s">
        <v>241</v>
      </c>
      <c r="J6682" t="s">
        <v>258</v>
      </c>
      <c r="K6682" t="s">
        <v>270</v>
      </c>
      <c r="AK6682" t="s">
        <v>364</v>
      </c>
    </row>
    <row r="6683" spans="1:37">
      <c r="B6683" t="s">
        <v>72</v>
      </c>
      <c r="C6683" t="s">
        <v>72</v>
      </c>
      <c r="D6683" t="s">
        <v>72</v>
      </c>
      <c r="E6683" t="s">
        <v>72</v>
      </c>
      <c r="F6683" t="s">
        <v>72</v>
      </c>
      <c r="G6683" t="s">
        <v>72</v>
      </c>
      <c r="H6683" t="s">
        <v>72</v>
      </c>
      <c r="I6683" t="s">
        <v>72</v>
      </c>
      <c r="J6683" t="s">
        <v>72</v>
      </c>
      <c r="K6683" t="s">
        <v>272</v>
      </c>
      <c r="AK6683" t="s">
        <v>364</v>
      </c>
    </row>
    <row r="6684" spans="1:37">
      <c r="A6684" t="s">
        <v>37</v>
      </c>
      <c r="B6684" t="s">
        <v>49</v>
      </c>
      <c r="C6684" t="s">
        <v>73</v>
      </c>
      <c r="D6684" t="s">
        <v>94</v>
      </c>
      <c r="E6684" t="s">
        <v>112</v>
      </c>
      <c r="F6684" t="s">
        <v>146</v>
      </c>
      <c r="G6684" t="s">
        <v>172</v>
      </c>
      <c r="H6684" t="s">
        <v>207</v>
      </c>
      <c r="I6684" t="s">
        <v>226</v>
      </c>
      <c r="J6684" t="s">
        <v>246</v>
      </c>
      <c r="K6684" t="s">
        <v>259</v>
      </c>
      <c r="AK6684" t="s">
        <v>364</v>
      </c>
    </row>
    <row r="6685" spans="1:37">
      <c r="A6685" t="s">
        <v>38</v>
      </c>
      <c r="B6685" t="s">
        <v>50</v>
      </c>
      <c r="C6685" t="s">
        <v>74</v>
      </c>
      <c r="D6685" t="s">
        <v>95</v>
      </c>
      <c r="E6685" t="s">
        <v>113</v>
      </c>
      <c r="F6685" t="s">
        <v>147</v>
      </c>
      <c r="G6685" t="s">
        <v>173</v>
      </c>
      <c r="H6685" t="s">
        <v>208</v>
      </c>
      <c r="I6685" t="s">
        <v>227</v>
      </c>
      <c r="J6685" t="s">
        <v>115</v>
      </c>
      <c r="K6685" t="s">
        <v>260</v>
      </c>
      <c r="L6685" t="s">
        <v>273</v>
      </c>
      <c r="M6685" t="s">
        <v>282</v>
      </c>
      <c r="N6685" t="s">
        <v>291</v>
      </c>
      <c r="AK6685" t="s">
        <v>364</v>
      </c>
    </row>
    <row r="6686" spans="1:37">
      <c r="B6686" t="s">
        <v>51</v>
      </c>
      <c r="C6686" t="s">
        <v>75</v>
      </c>
      <c r="D6686" t="s">
        <v>52</v>
      </c>
      <c r="E6686" t="s">
        <v>114</v>
      </c>
      <c r="F6686" t="s">
        <v>148</v>
      </c>
      <c r="G6686" t="s">
        <v>148</v>
      </c>
      <c r="H6686" t="s">
        <v>209</v>
      </c>
      <c r="I6686" t="s">
        <v>228</v>
      </c>
      <c r="J6686" t="s">
        <v>247</v>
      </c>
      <c r="K6686" t="s">
        <v>261</v>
      </c>
      <c r="L6686" t="s">
        <v>274</v>
      </c>
      <c r="M6686" t="s">
        <v>283</v>
      </c>
      <c r="N6686" t="s">
        <v>292</v>
      </c>
      <c r="O6686" t="s">
        <v>300</v>
      </c>
      <c r="AK6686" t="s">
        <v>364</v>
      </c>
    </row>
    <row r="6687" spans="1:37">
      <c r="B6687" t="s">
        <v>52</v>
      </c>
      <c r="C6687" t="s">
        <v>76</v>
      </c>
      <c r="D6687" t="s">
        <v>96</v>
      </c>
      <c r="E6687" t="s">
        <v>115</v>
      </c>
      <c r="F6687" t="s">
        <v>149</v>
      </c>
      <c r="G6687" t="s">
        <v>174</v>
      </c>
      <c r="H6687" t="s">
        <v>96</v>
      </c>
      <c r="I6687" t="s">
        <v>229</v>
      </c>
      <c r="J6687" t="s">
        <v>248</v>
      </c>
      <c r="K6687" t="s">
        <v>262</v>
      </c>
      <c r="L6687" t="s">
        <v>52</v>
      </c>
      <c r="M6687" t="s">
        <v>76</v>
      </c>
      <c r="N6687" t="s">
        <v>293</v>
      </c>
      <c r="O6687" t="s">
        <v>301</v>
      </c>
      <c r="P6687" t="s">
        <v>309</v>
      </c>
      <c r="Q6687" t="s">
        <v>315</v>
      </c>
      <c r="R6687" t="s">
        <v>228</v>
      </c>
      <c r="S6687" t="s">
        <v>328</v>
      </c>
      <c r="T6687" t="s">
        <v>149</v>
      </c>
      <c r="U6687" t="s">
        <v>337</v>
      </c>
      <c r="V6687" t="s">
        <v>341</v>
      </c>
      <c r="W6687" t="s">
        <v>345</v>
      </c>
      <c r="X6687" t="s">
        <v>350</v>
      </c>
      <c r="AK6687" t="s">
        <v>364</v>
      </c>
    </row>
    <row r="6688" spans="1:37">
      <c r="B6688" t="s">
        <v>53</v>
      </c>
      <c r="C6688" t="s">
        <v>77</v>
      </c>
      <c r="D6688" t="s">
        <v>97</v>
      </c>
      <c r="E6688" t="s">
        <v>116</v>
      </c>
      <c r="F6688" t="s">
        <v>150</v>
      </c>
      <c r="G6688" t="s">
        <v>175</v>
      </c>
      <c r="H6688" t="s">
        <v>210</v>
      </c>
      <c r="I6688" t="s">
        <v>230</v>
      </c>
      <c r="J6688" t="s">
        <v>249</v>
      </c>
      <c r="K6688" t="s">
        <v>263</v>
      </c>
      <c r="L6688" t="s">
        <v>275</v>
      </c>
      <c r="M6688" t="s">
        <v>284</v>
      </c>
      <c r="N6688" t="s">
        <v>294</v>
      </c>
      <c r="O6688" t="s">
        <v>302</v>
      </c>
      <c r="P6688" t="s">
        <v>310</v>
      </c>
      <c r="Q6688" t="s">
        <v>316</v>
      </c>
      <c r="R6688" t="s">
        <v>322</v>
      </c>
      <c r="S6688" t="s">
        <v>329</v>
      </c>
      <c r="AK6688" t="s">
        <v>364</v>
      </c>
    </row>
    <row r="6689" spans="1:37">
      <c r="A6689" t="s">
        <v>39</v>
      </c>
      <c r="B6689" t="s">
        <v>54</v>
      </c>
      <c r="C6689" t="s">
        <v>54</v>
      </c>
      <c r="D6689" t="s">
        <v>54</v>
      </c>
      <c r="E6689" t="s">
        <v>54</v>
      </c>
      <c r="F6689" t="s">
        <v>54</v>
      </c>
      <c r="G6689" t="s">
        <v>54</v>
      </c>
      <c r="H6689" t="s">
        <v>54</v>
      </c>
      <c r="I6689" t="s">
        <v>54</v>
      </c>
      <c r="J6689" t="s">
        <v>54</v>
      </c>
      <c r="K6689" t="s">
        <v>54</v>
      </c>
      <c r="L6689" t="s">
        <v>54</v>
      </c>
      <c r="M6689" t="s">
        <v>54</v>
      </c>
      <c r="N6689" t="s">
        <v>54</v>
      </c>
      <c r="O6689" t="s">
        <v>54</v>
      </c>
      <c r="P6689" t="s">
        <v>54</v>
      </c>
      <c r="Q6689" t="s">
        <v>54</v>
      </c>
      <c r="R6689" t="s">
        <v>323</v>
      </c>
      <c r="S6689" t="s">
        <v>330</v>
      </c>
      <c r="AK6689" t="s">
        <v>364</v>
      </c>
    </row>
    <row r="6690" spans="1:37">
      <c r="B6690" t="s">
        <v>55</v>
      </c>
      <c r="C6690" t="s">
        <v>78</v>
      </c>
      <c r="D6690" t="s">
        <v>55</v>
      </c>
      <c r="E6690" t="s">
        <v>78</v>
      </c>
      <c r="F6690" t="s">
        <v>55</v>
      </c>
      <c r="G6690" t="s">
        <v>78</v>
      </c>
      <c r="H6690" t="s">
        <v>55</v>
      </c>
      <c r="I6690" t="s">
        <v>78</v>
      </c>
      <c r="J6690" t="s">
        <v>55</v>
      </c>
      <c r="K6690" t="s">
        <v>78</v>
      </c>
      <c r="L6690" t="s">
        <v>55</v>
      </c>
      <c r="M6690" t="s">
        <v>78</v>
      </c>
      <c r="N6690" t="s">
        <v>55</v>
      </c>
      <c r="O6690" t="s">
        <v>78</v>
      </c>
      <c r="P6690" t="s">
        <v>55</v>
      </c>
      <c r="Q6690" t="s">
        <v>78</v>
      </c>
      <c r="R6690" t="s">
        <v>55</v>
      </c>
      <c r="S6690" t="s">
        <v>78</v>
      </c>
      <c r="T6690" t="s">
        <v>55</v>
      </c>
      <c r="U6690" t="s">
        <v>78</v>
      </c>
      <c r="V6690" t="s">
        <v>55</v>
      </c>
      <c r="W6690" t="s">
        <v>78</v>
      </c>
      <c r="X6690" t="s">
        <v>55</v>
      </c>
      <c r="Y6690" t="s">
        <v>78</v>
      </c>
      <c r="Z6690" t="s">
        <v>55</v>
      </c>
      <c r="AA6690" t="s">
        <v>78</v>
      </c>
      <c r="AB6690" t="s">
        <v>55</v>
      </c>
      <c r="AC6690" t="s">
        <v>78</v>
      </c>
      <c r="AD6690" t="s">
        <v>55</v>
      </c>
      <c r="AE6690" t="s">
        <v>78</v>
      </c>
      <c r="AF6690" t="s">
        <v>55</v>
      </c>
      <c r="AG6690" t="s">
        <v>78</v>
      </c>
      <c r="AH6690" t="s">
        <v>55</v>
      </c>
      <c r="AI6690" t="s">
        <v>78</v>
      </c>
      <c r="AK6690" t="s">
        <v>364</v>
      </c>
    </row>
    <row r="6691" spans="1:37">
      <c r="B6691" t="s">
        <v>56</v>
      </c>
      <c r="C6691" t="s">
        <v>56</v>
      </c>
      <c r="D6691" t="s">
        <v>56</v>
      </c>
      <c r="E6691" t="s">
        <v>56</v>
      </c>
      <c r="F6691" t="s">
        <v>56</v>
      </c>
      <c r="G6691" t="s">
        <v>176</v>
      </c>
      <c r="H6691" t="s">
        <v>211</v>
      </c>
      <c r="I6691" t="s">
        <v>231</v>
      </c>
      <c r="J6691" t="s">
        <v>250</v>
      </c>
      <c r="K6691" t="s">
        <v>264</v>
      </c>
      <c r="L6691" t="s">
        <v>276</v>
      </c>
      <c r="M6691" t="s">
        <v>285</v>
      </c>
      <c r="N6691" t="s">
        <v>295</v>
      </c>
      <c r="O6691" t="s">
        <v>303</v>
      </c>
      <c r="P6691" t="s">
        <v>56</v>
      </c>
      <c r="Q6691" t="s">
        <v>317</v>
      </c>
      <c r="R6691" t="s">
        <v>324</v>
      </c>
      <c r="S6691" t="s">
        <v>331</v>
      </c>
      <c r="T6691" t="s">
        <v>334</v>
      </c>
      <c r="U6691" t="s">
        <v>338</v>
      </c>
      <c r="V6691" t="s">
        <v>342</v>
      </c>
      <c r="W6691" t="s">
        <v>346</v>
      </c>
      <c r="X6691" t="s">
        <v>351</v>
      </c>
      <c r="AK6691" t="s">
        <v>364</v>
      </c>
    </row>
    <row r="6692" spans="1:37">
      <c r="B6692" t="s">
        <v>57</v>
      </c>
      <c r="C6692" t="s">
        <v>79</v>
      </c>
      <c r="D6692" t="s">
        <v>98</v>
      </c>
      <c r="E6692" t="s">
        <v>117</v>
      </c>
      <c r="F6692" t="s">
        <v>151</v>
      </c>
      <c r="G6692" t="s">
        <v>177</v>
      </c>
      <c r="H6692" t="s">
        <v>212</v>
      </c>
      <c r="I6692" t="s">
        <v>232</v>
      </c>
      <c r="J6692" t="s">
        <v>251</v>
      </c>
      <c r="K6692" t="s">
        <v>265</v>
      </c>
      <c r="L6692" t="s">
        <v>277</v>
      </c>
      <c r="M6692" t="s">
        <v>286</v>
      </c>
      <c r="N6692" t="s">
        <v>296</v>
      </c>
      <c r="O6692" t="s">
        <v>304</v>
      </c>
      <c r="P6692" t="s">
        <v>311</v>
      </c>
      <c r="Q6692" t="s">
        <v>318</v>
      </c>
      <c r="R6692" t="s">
        <v>185</v>
      </c>
      <c r="S6692" t="s">
        <v>159</v>
      </c>
      <c r="T6692" t="s">
        <v>185</v>
      </c>
      <c r="U6692" t="s">
        <v>339</v>
      </c>
      <c r="V6692" t="s">
        <v>72</v>
      </c>
      <c r="W6692" t="s">
        <v>347</v>
      </c>
      <c r="X6692" t="s">
        <v>72</v>
      </c>
      <c r="Y6692" t="s">
        <v>96</v>
      </c>
      <c r="AK6692" t="s">
        <v>364</v>
      </c>
    </row>
    <row r="6693" spans="1:37">
      <c r="B6693" t="s">
        <v>58</v>
      </c>
      <c r="C6693" t="s">
        <v>80</v>
      </c>
      <c r="D6693" t="s">
        <v>99</v>
      </c>
      <c r="E6693" t="s">
        <v>118</v>
      </c>
      <c r="F6693" t="s">
        <v>152</v>
      </c>
      <c r="G6693" t="s">
        <v>178</v>
      </c>
      <c r="H6693" t="s">
        <v>213</v>
      </c>
      <c r="I6693" t="s">
        <v>233</v>
      </c>
      <c r="J6693" t="s">
        <v>252</v>
      </c>
      <c r="K6693" t="s">
        <v>266</v>
      </c>
      <c r="L6693" t="s">
        <v>278</v>
      </c>
      <c r="M6693" t="s">
        <v>287</v>
      </c>
      <c r="N6693" t="s">
        <v>297</v>
      </c>
      <c r="O6693" t="s">
        <v>305</v>
      </c>
      <c r="P6693" t="s">
        <v>312</v>
      </c>
      <c r="Q6693" t="s">
        <v>319</v>
      </c>
      <c r="R6693">
        <f>&gt;10       ветра      2.8     23  12</f>
        <v>0</v>
      </c>
      <c r="AK6693" t="s">
        <v>364</v>
      </c>
    </row>
    <row r="6694" spans="1:37">
      <c r="A6694" t="s">
        <v>40</v>
      </c>
      <c r="B6694" t="s">
        <v>59</v>
      </c>
      <c r="C6694" t="s">
        <v>81</v>
      </c>
      <c r="D6694" t="s">
        <v>100</v>
      </c>
      <c r="E6694" t="s">
        <v>119</v>
      </c>
      <c r="F6694" t="s">
        <v>153</v>
      </c>
      <c r="G6694" t="s">
        <v>179</v>
      </c>
      <c r="H6694" t="s">
        <v>214</v>
      </c>
      <c r="I6694" t="s">
        <v>234</v>
      </c>
      <c r="AK6694" t="s">
        <v>364</v>
      </c>
    </row>
    <row r="6695" spans="1:37">
      <c r="A6695" t="s">
        <v>40</v>
      </c>
      <c r="B6695" t="s">
        <v>60</v>
      </c>
      <c r="C6695" t="s">
        <v>82</v>
      </c>
      <c r="D6695" t="s">
        <v>101</v>
      </c>
      <c r="E6695" t="s">
        <v>120</v>
      </c>
      <c r="F6695" t="s">
        <v>154</v>
      </c>
      <c r="G6695" t="s">
        <v>180</v>
      </c>
      <c r="H6695" t="s">
        <v>215</v>
      </c>
      <c r="I6695" t="s">
        <v>235</v>
      </c>
      <c r="J6695" t="s">
        <v>253</v>
      </c>
      <c r="K6695" t="s">
        <v>267</v>
      </c>
      <c r="L6695" t="s">
        <v>279</v>
      </c>
      <c r="M6695" t="s">
        <v>288</v>
      </c>
      <c r="N6695" t="s">
        <v>100</v>
      </c>
      <c r="O6695" t="s">
        <v>306</v>
      </c>
      <c r="P6695" t="s">
        <v>313</v>
      </c>
      <c r="Q6695" t="s">
        <v>320</v>
      </c>
      <c r="R6695" t="s">
        <v>325</v>
      </c>
      <c r="S6695" t="s">
        <v>332</v>
      </c>
      <c r="T6695" t="s">
        <v>119</v>
      </c>
      <c r="U6695" t="s">
        <v>234</v>
      </c>
      <c r="V6695" t="s">
        <v>343</v>
      </c>
      <c r="W6695" t="s">
        <v>348</v>
      </c>
      <c r="X6695" t="s">
        <v>352</v>
      </c>
      <c r="Y6695" t="s">
        <v>354</v>
      </c>
      <c r="AK6695" t="s">
        <v>364</v>
      </c>
    </row>
    <row r="6696" spans="1:37">
      <c r="A6696" t="s">
        <v>41</v>
      </c>
      <c r="B6696" t="s">
        <v>61</v>
      </c>
      <c r="C6696" t="s">
        <v>83</v>
      </c>
      <c r="D6696" t="s">
        <v>102</v>
      </c>
      <c r="E6696" t="s">
        <v>121</v>
      </c>
      <c r="F6696" t="s">
        <v>155</v>
      </c>
      <c r="G6696" t="s">
        <v>181</v>
      </c>
      <c r="H6696" t="s">
        <v>216</v>
      </c>
      <c r="I6696" t="s">
        <v>236</v>
      </c>
      <c r="AK6696" t="s">
        <v>364</v>
      </c>
    </row>
    <row r="6697" spans="1:37">
      <c r="A6697" t="s">
        <v>42</v>
      </c>
      <c r="B6697" t="s">
        <v>62</v>
      </c>
      <c r="C6697" t="s">
        <v>84</v>
      </c>
      <c r="D6697" t="s">
        <v>103</v>
      </c>
      <c r="E6697" t="s">
        <v>122</v>
      </c>
      <c r="F6697" t="s">
        <v>156</v>
      </c>
      <c r="G6697" t="s">
        <v>182</v>
      </c>
      <c r="H6697" t="s">
        <v>83</v>
      </c>
      <c r="I6697" t="s">
        <v>237</v>
      </c>
      <c r="J6697" t="s">
        <v>254</v>
      </c>
      <c r="K6697" t="s">
        <v>268</v>
      </c>
      <c r="L6697" t="s">
        <v>280</v>
      </c>
      <c r="M6697" t="s">
        <v>289</v>
      </c>
      <c r="N6697" t="s">
        <v>298</v>
      </c>
      <c r="O6697" t="s">
        <v>307</v>
      </c>
      <c r="P6697" t="s">
        <v>314</v>
      </c>
      <c r="Q6697" t="s">
        <v>216</v>
      </c>
      <c r="R6697" t="s">
        <v>326</v>
      </c>
      <c r="S6697" t="s">
        <v>333</v>
      </c>
      <c r="T6697" t="s">
        <v>335</v>
      </c>
      <c r="U6697" t="s">
        <v>340</v>
      </c>
      <c r="V6697" t="s">
        <v>344</v>
      </c>
      <c r="W6697" t="s">
        <v>349</v>
      </c>
      <c r="AK6697" t="s">
        <v>364</v>
      </c>
    </row>
    <row r="6698" spans="1:37">
      <c r="A6698" t="s">
        <v>43</v>
      </c>
      <c r="B6698" t="s">
        <v>63</v>
      </c>
      <c r="C6698" t="s">
        <v>85</v>
      </c>
      <c r="D6698" t="s">
        <v>104</v>
      </c>
      <c r="E6698" t="s">
        <v>123</v>
      </c>
      <c r="F6698" t="s">
        <v>157</v>
      </c>
      <c r="G6698" t="s">
        <v>183</v>
      </c>
      <c r="AK6698" t="s">
        <v>364</v>
      </c>
    </row>
    <row r="6699" spans="1:37">
      <c r="A6699" t="s">
        <v>44</v>
      </c>
      <c r="B6699" t="s">
        <v>64</v>
      </c>
      <c r="C6699" t="s">
        <v>86</v>
      </c>
      <c r="D6699" t="s">
        <v>105</v>
      </c>
      <c r="E6699" t="s">
        <v>124</v>
      </c>
      <c r="F6699" t="s">
        <v>158</v>
      </c>
      <c r="G6699" t="s">
        <v>184</v>
      </c>
      <c r="AK6699" t="s">
        <v>364</v>
      </c>
    </row>
    <row r="6700" spans="1:37">
      <c r="A6700" t="s">
        <v>45</v>
      </c>
      <c r="B6700" t="s">
        <v>65</v>
      </c>
      <c r="C6700" t="s">
        <v>87</v>
      </c>
      <c r="D6700" t="s">
        <v>106</v>
      </c>
      <c r="E6700" t="s">
        <v>125</v>
      </c>
      <c r="F6700" t="s">
        <v>159</v>
      </c>
      <c r="G6700" t="s">
        <v>185</v>
      </c>
      <c r="H6700" t="s">
        <v>159</v>
      </c>
      <c r="I6700" t="s">
        <v>185</v>
      </c>
      <c r="J6700" t="s">
        <v>255</v>
      </c>
      <c r="AK6700" t="s">
        <v>364</v>
      </c>
    </row>
    <row r="6701" spans="1:37">
      <c r="A6701" t="s">
        <v>46</v>
      </c>
      <c r="B6701" t="s">
        <v>66</v>
      </c>
      <c r="C6701" t="s">
        <v>88</v>
      </c>
      <c r="D6701" t="s">
        <v>76</v>
      </c>
      <c r="E6701" t="s">
        <v>126</v>
      </c>
      <c r="F6701" t="s">
        <v>160</v>
      </c>
      <c r="G6701" t="s">
        <v>186</v>
      </c>
      <c r="H6701" t="s">
        <v>217</v>
      </c>
      <c r="I6701" t="s">
        <v>238</v>
      </c>
      <c r="J6701" t="s">
        <v>256</v>
      </c>
      <c r="K6701" t="s">
        <v>265</v>
      </c>
      <c r="L6701" t="s">
        <v>281</v>
      </c>
      <c r="M6701" t="s">
        <v>290</v>
      </c>
      <c r="N6701" t="s">
        <v>299</v>
      </c>
      <c r="O6701" t="s">
        <v>308</v>
      </c>
      <c r="P6701" t="s">
        <v>228</v>
      </c>
      <c r="Q6701" t="s">
        <v>72</v>
      </c>
      <c r="R6701" t="s">
        <v>327</v>
      </c>
      <c r="S6701" t="s">
        <v>327</v>
      </c>
      <c r="T6701" t="s">
        <v>336</v>
      </c>
      <c r="U6701" t="s">
        <v>336</v>
      </c>
      <c r="V6701" t="s">
        <v>336</v>
      </c>
      <c r="W6701" t="s">
        <v>336</v>
      </c>
      <c r="X6701" t="s">
        <v>353</v>
      </c>
      <c r="AK6701" t="s">
        <v>364</v>
      </c>
    </row>
    <row r="6702" spans="1:37">
      <c r="B6702" t="s">
        <v>67</v>
      </c>
      <c r="C6702" t="s">
        <v>89</v>
      </c>
      <c r="D6702" t="s">
        <v>107</v>
      </c>
      <c r="AK6702" t="s">
        <v>364</v>
      </c>
    </row>
    <row r="6703" spans="1:37">
      <c r="B6703" t="s">
        <v>68</v>
      </c>
      <c r="C6703" t="s">
        <v>90</v>
      </c>
      <c r="D6703" t="s">
        <v>108</v>
      </c>
      <c r="AK6703" t="s">
        <v>364</v>
      </c>
    </row>
    <row r="6704" spans="1:37">
      <c r="A6704" t="s">
        <v>47</v>
      </c>
      <c r="B6704" t="s">
        <v>69</v>
      </c>
      <c r="C6704" t="s">
        <v>91</v>
      </c>
      <c r="D6704" t="s">
        <v>109</v>
      </c>
      <c r="E6704" t="s">
        <v>109</v>
      </c>
      <c r="F6704" t="s">
        <v>109</v>
      </c>
      <c r="G6704" t="s">
        <v>109</v>
      </c>
      <c r="H6704" t="s">
        <v>109</v>
      </c>
      <c r="I6704" t="s">
        <v>239</v>
      </c>
      <c r="AK6704" t="s">
        <v>364</v>
      </c>
    </row>
    <row r="6705" spans="1:37">
      <c r="B6705" t="s">
        <v>70</v>
      </c>
      <c r="C6705" t="s">
        <v>92</v>
      </c>
      <c r="D6705" t="s">
        <v>110</v>
      </c>
      <c r="E6705" t="s">
        <v>127</v>
      </c>
      <c r="F6705" t="s">
        <v>161</v>
      </c>
      <c r="G6705" t="s">
        <v>187</v>
      </c>
      <c r="H6705" t="s">
        <v>218</v>
      </c>
      <c r="AK6705" t="s">
        <v>364</v>
      </c>
    </row>
    <row r="6706" spans="1:37">
      <c r="B6706" t="s">
        <v>71</v>
      </c>
      <c r="C6706" t="s">
        <v>93</v>
      </c>
      <c r="D6706" t="s">
        <v>111</v>
      </c>
      <c r="E6706" t="s">
        <v>128</v>
      </c>
      <c r="F6706" t="s">
        <v>162</v>
      </c>
      <c r="G6706" t="s">
        <v>188</v>
      </c>
      <c r="H6706" t="s">
        <v>219</v>
      </c>
      <c r="I6706" t="s">
        <v>240</v>
      </c>
      <c r="J6706" t="s">
        <v>257</v>
      </c>
      <c r="K6706" t="s">
        <v>269</v>
      </c>
      <c r="L6706" t="s">
        <v>109</v>
      </c>
      <c r="M6706" t="s">
        <v>109</v>
      </c>
      <c r="N6706" t="s">
        <v>109</v>
      </c>
      <c r="O6706" t="s">
        <v>109</v>
      </c>
      <c r="P6706" t="s">
        <v>109</v>
      </c>
      <c r="Q6706" t="s">
        <v>321</v>
      </c>
      <c r="AK6706" t="s">
        <v>364</v>
      </c>
    </row>
    <row r="6707" spans="1:37">
      <c r="A6707" t="s">
        <v>48</v>
      </c>
      <c r="B6707" t="s">
        <v>71</v>
      </c>
      <c r="C6707" t="s">
        <v>93</v>
      </c>
      <c r="D6707" t="s">
        <v>111</v>
      </c>
      <c r="E6707" t="s">
        <v>128</v>
      </c>
      <c r="F6707" t="s">
        <v>163</v>
      </c>
      <c r="G6707" t="s">
        <v>189</v>
      </c>
      <c r="H6707" t="s">
        <v>220</v>
      </c>
      <c r="I6707" t="s">
        <v>241</v>
      </c>
      <c r="J6707" t="s">
        <v>258</v>
      </c>
      <c r="K6707" t="s">
        <v>270</v>
      </c>
      <c r="AK6707" t="s">
        <v>364</v>
      </c>
    </row>
    <row r="6708" spans="1:37">
      <c r="B6708" t="s">
        <v>72</v>
      </c>
      <c r="C6708" t="s">
        <v>72</v>
      </c>
      <c r="D6708" t="s">
        <v>72</v>
      </c>
      <c r="E6708" t="s">
        <v>139</v>
      </c>
      <c r="F6708" t="s">
        <v>139</v>
      </c>
      <c r="G6708" t="s">
        <v>192</v>
      </c>
      <c r="H6708" t="s">
        <v>72</v>
      </c>
      <c r="I6708" t="s">
        <v>192</v>
      </c>
      <c r="J6708" t="s">
        <v>72</v>
      </c>
      <c r="K6708" t="s">
        <v>271</v>
      </c>
      <c r="AK6708" t="s">
        <v>364</v>
      </c>
    </row>
    <row r="6709" spans="1:37">
      <c r="A6709" t="s">
        <v>37</v>
      </c>
      <c r="B6709" t="s">
        <v>49</v>
      </c>
      <c r="C6709" t="s">
        <v>73</v>
      </c>
      <c r="D6709" t="s">
        <v>94</v>
      </c>
      <c r="E6709" t="s">
        <v>112</v>
      </c>
      <c r="F6709" t="s">
        <v>146</v>
      </c>
      <c r="G6709" t="s">
        <v>172</v>
      </c>
      <c r="H6709" t="s">
        <v>207</v>
      </c>
      <c r="I6709" t="s">
        <v>226</v>
      </c>
      <c r="J6709" t="s">
        <v>246</v>
      </c>
      <c r="K6709" t="s">
        <v>259</v>
      </c>
      <c r="AK6709" t="s">
        <v>364</v>
      </c>
    </row>
    <row r="6710" spans="1:37">
      <c r="A6710" t="s">
        <v>38</v>
      </c>
      <c r="B6710" t="s">
        <v>50</v>
      </c>
      <c r="C6710" t="s">
        <v>74</v>
      </c>
      <c r="D6710" t="s">
        <v>95</v>
      </c>
      <c r="E6710" t="s">
        <v>113</v>
      </c>
      <c r="F6710" t="s">
        <v>147</v>
      </c>
      <c r="G6710" t="s">
        <v>173</v>
      </c>
      <c r="H6710" t="s">
        <v>208</v>
      </c>
      <c r="I6710" t="s">
        <v>227</v>
      </c>
      <c r="J6710" t="s">
        <v>115</v>
      </c>
      <c r="K6710" t="s">
        <v>260</v>
      </c>
      <c r="L6710" t="s">
        <v>273</v>
      </c>
      <c r="M6710" t="s">
        <v>282</v>
      </c>
      <c r="N6710" t="s">
        <v>291</v>
      </c>
      <c r="AK6710" t="s">
        <v>364</v>
      </c>
    </row>
    <row r="6711" spans="1:37">
      <c r="B6711" t="s">
        <v>51</v>
      </c>
      <c r="C6711" t="s">
        <v>75</v>
      </c>
      <c r="D6711" t="s">
        <v>52</v>
      </c>
      <c r="E6711" t="s">
        <v>114</v>
      </c>
      <c r="F6711" t="s">
        <v>148</v>
      </c>
      <c r="G6711" t="s">
        <v>148</v>
      </c>
      <c r="H6711" t="s">
        <v>209</v>
      </c>
      <c r="I6711" t="s">
        <v>228</v>
      </c>
      <c r="J6711" t="s">
        <v>247</v>
      </c>
      <c r="K6711" t="s">
        <v>261</v>
      </c>
      <c r="L6711" t="s">
        <v>274</v>
      </c>
      <c r="M6711" t="s">
        <v>283</v>
      </c>
      <c r="N6711" t="s">
        <v>292</v>
      </c>
      <c r="O6711" t="s">
        <v>300</v>
      </c>
      <c r="AK6711" t="s">
        <v>364</v>
      </c>
    </row>
    <row r="6712" spans="1:37">
      <c r="B6712" t="s">
        <v>52</v>
      </c>
      <c r="C6712" t="s">
        <v>76</v>
      </c>
      <c r="D6712" t="s">
        <v>96</v>
      </c>
      <c r="E6712" t="s">
        <v>115</v>
      </c>
      <c r="F6712" t="s">
        <v>149</v>
      </c>
      <c r="G6712" t="s">
        <v>174</v>
      </c>
      <c r="H6712" t="s">
        <v>96</v>
      </c>
      <c r="I6712" t="s">
        <v>229</v>
      </c>
      <c r="J6712" t="s">
        <v>248</v>
      </c>
      <c r="K6712" t="s">
        <v>262</v>
      </c>
      <c r="L6712" t="s">
        <v>52</v>
      </c>
      <c r="M6712" t="s">
        <v>76</v>
      </c>
      <c r="N6712" t="s">
        <v>293</v>
      </c>
      <c r="O6712" t="s">
        <v>301</v>
      </c>
      <c r="P6712" t="s">
        <v>309</v>
      </c>
      <c r="Q6712" t="s">
        <v>315</v>
      </c>
      <c r="R6712" t="s">
        <v>228</v>
      </c>
      <c r="S6712" t="s">
        <v>328</v>
      </c>
      <c r="T6712" t="s">
        <v>149</v>
      </c>
      <c r="U6712" t="s">
        <v>337</v>
      </c>
      <c r="V6712" t="s">
        <v>341</v>
      </c>
      <c r="W6712" t="s">
        <v>345</v>
      </c>
      <c r="X6712" t="s">
        <v>350</v>
      </c>
      <c r="AK6712" t="s">
        <v>364</v>
      </c>
    </row>
    <row r="6713" spans="1:37">
      <c r="B6713" t="s">
        <v>53</v>
      </c>
      <c r="C6713" t="s">
        <v>77</v>
      </c>
      <c r="D6713" t="s">
        <v>97</v>
      </c>
      <c r="E6713" t="s">
        <v>116</v>
      </c>
      <c r="F6713" t="s">
        <v>150</v>
      </c>
      <c r="G6713" t="s">
        <v>175</v>
      </c>
      <c r="H6713" t="s">
        <v>210</v>
      </c>
      <c r="I6713" t="s">
        <v>230</v>
      </c>
      <c r="J6713" t="s">
        <v>249</v>
      </c>
      <c r="K6713" t="s">
        <v>263</v>
      </c>
      <c r="L6713" t="s">
        <v>275</v>
      </c>
      <c r="M6713" t="s">
        <v>284</v>
      </c>
      <c r="N6713" t="s">
        <v>294</v>
      </c>
      <c r="O6713" t="s">
        <v>302</v>
      </c>
      <c r="P6713" t="s">
        <v>310</v>
      </c>
      <c r="Q6713" t="s">
        <v>316</v>
      </c>
      <c r="R6713" t="s">
        <v>322</v>
      </c>
      <c r="S6713" t="s">
        <v>329</v>
      </c>
      <c r="AK6713" t="s">
        <v>364</v>
      </c>
    </row>
    <row r="6714" spans="1:37">
      <c r="A6714" t="s">
        <v>39</v>
      </c>
      <c r="B6714" t="s">
        <v>54</v>
      </c>
      <c r="C6714" t="s">
        <v>54</v>
      </c>
      <c r="D6714" t="s">
        <v>54</v>
      </c>
      <c r="E6714" t="s">
        <v>54</v>
      </c>
      <c r="F6714" t="s">
        <v>54</v>
      </c>
      <c r="G6714" t="s">
        <v>54</v>
      </c>
      <c r="H6714" t="s">
        <v>54</v>
      </c>
      <c r="I6714" t="s">
        <v>54</v>
      </c>
      <c r="J6714" t="s">
        <v>54</v>
      </c>
      <c r="K6714" t="s">
        <v>54</v>
      </c>
      <c r="L6714" t="s">
        <v>54</v>
      </c>
      <c r="M6714" t="s">
        <v>54</v>
      </c>
      <c r="N6714" t="s">
        <v>54</v>
      </c>
      <c r="O6714" t="s">
        <v>54</v>
      </c>
      <c r="P6714" t="s">
        <v>54</v>
      </c>
      <c r="Q6714" t="s">
        <v>54</v>
      </c>
      <c r="R6714" t="s">
        <v>323</v>
      </c>
      <c r="S6714" t="s">
        <v>330</v>
      </c>
      <c r="AK6714" t="s">
        <v>364</v>
      </c>
    </row>
    <row r="6715" spans="1:37">
      <c r="B6715" t="s">
        <v>55</v>
      </c>
      <c r="C6715" t="s">
        <v>78</v>
      </c>
      <c r="D6715" t="s">
        <v>55</v>
      </c>
      <c r="E6715" t="s">
        <v>78</v>
      </c>
      <c r="F6715" t="s">
        <v>55</v>
      </c>
      <c r="G6715" t="s">
        <v>78</v>
      </c>
      <c r="H6715" t="s">
        <v>55</v>
      </c>
      <c r="I6715" t="s">
        <v>78</v>
      </c>
      <c r="J6715" t="s">
        <v>55</v>
      </c>
      <c r="K6715" t="s">
        <v>78</v>
      </c>
      <c r="L6715" t="s">
        <v>55</v>
      </c>
      <c r="M6715" t="s">
        <v>78</v>
      </c>
      <c r="N6715" t="s">
        <v>55</v>
      </c>
      <c r="O6715" t="s">
        <v>78</v>
      </c>
      <c r="P6715" t="s">
        <v>55</v>
      </c>
      <c r="Q6715" t="s">
        <v>78</v>
      </c>
      <c r="R6715" t="s">
        <v>55</v>
      </c>
      <c r="S6715" t="s">
        <v>78</v>
      </c>
      <c r="T6715" t="s">
        <v>55</v>
      </c>
      <c r="U6715" t="s">
        <v>78</v>
      </c>
      <c r="V6715" t="s">
        <v>55</v>
      </c>
      <c r="W6715" t="s">
        <v>78</v>
      </c>
      <c r="X6715" t="s">
        <v>55</v>
      </c>
      <c r="Y6715" t="s">
        <v>78</v>
      </c>
      <c r="Z6715" t="s">
        <v>55</v>
      </c>
      <c r="AA6715" t="s">
        <v>78</v>
      </c>
      <c r="AB6715" t="s">
        <v>55</v>
      </c>
      <c r="AC6715" t="s">
        <v>78</v>
      </c>
      <c r="AD6715" t="s">
        <v>55</v>
      </c>
      <c r="AE6715" t="s">
        <v>78</v>
      </c>
      <c r="AF6715" t="s">
        <v>55</v>
      </c>
      <c r="AG6715" t="s">
        <v>78</v>
      </c>
      <c r="AH6715" t="s">
        <v>55</v>
      </c>
      <c r="AI6715" t="s">
        <v>78</v>
      </c>
      <c r="AK6715" t="s">
        <v>364</v>
      </c>
    </row>
    <row r="6716" spans="1:37">
      <c r="B6716" t="s">
        <v>56</v>
      </c>
      <c r="C6716" t="s">
        <v>56</v>
      </c>
      <c r="D6716" t="s">
        <v>56</v>
      </c>
      <c r="E6716" t="s">
        <v>56</v>
      </c>
      <c r="F6716" t="s">
        <v>56</v>
      </c>
      <c r="G6716" t="s">
        <v>176</v>
      </c>
      <c r="H6716" t="s">
        <v>211</v>
      </c>
      <c r="I6716" t="s">
        <v>231</v>
      </c>
      <c r="J6716" t="s">
        <v>250</v>
      </c>
      <c r="K6716" t="s">
        <v>264</v>
      </c>
      <c r="L6716" t="s">
        <v>276</v>
      </c>
      <c r="M6716" t="s">
        <v>285</v>
      </c>
      <c r="N6716" t="s">
        <v>295</v>
      </c>
      <c r="O6716" t="s">
        <v>303</v>
      </c>
      <c r="P6716" t="s">
        <v>56</v>
      </c>
      <c r="Q6716" t="s">
        <v>317</v>
      </c>
      <c r="R6716" t="s">
        <v>324</v>
      </c>
      <c r="S6716" t="s">
        <v>331</v>
      </c>
      <c r="T6716" t="s">
        <v>334</v>
      </c>
      <c r="U6716" t="s">
        <v>338</v>
      </c>
      <c r="V6716" t="s">
        <v>342</v>
      </c>
      <c r="W6716" t="s">
        <v>346</v>
      </c>
      <c r="X6716" t="s">
        <v>351</v>
      </c>
      <c r="AK6716" t="s">
        <v>364</v>
      </c>
    </row>
    <row r="6717" spans="1:37">
      <c r="B6717" t="s">
        <v>57</v>
      </c>
      <c r="C6717" t="s">
        <v>79</v>
      </c>
      <c r="D6717" t="s">
        <v>98</v>
      </c>
      <c r="E6717" t="s">
        <v>117</v>
      </c>
      <c r="F6717" t="s">
        <v>151</v>
      </c>
      <c r="G6717" t="s">
        <v>177</v>
      </c>
      <c r="H6717" t="s">
        <v>212</v>
      </c>
      <c r="I6717" t="s">
        <v>232</v>
      </c>
      <c r="J6717" t="s">
        <v>251</v>
      </c>
      <c r="K6717" t="s">
        <v>265</v>
      </c>
      <c r="L6717" t="s">
        <v>277</v>
      </c>
      <c r="M6717" t="s">
        <v>286</v>
      </c>
      <c r="N6717" t="s">
        <v>296</v>
      </c>
      <c r="O6717" t="s">
        <v>304</v>
      </c>
      <c r="P6717" t="s">
        <v>311</v>
      </c>
      <c r="Q6717" t="s">
        <v>318</v>
      </c>
      <c r="R6717" t="s">
        <v>185</v>
      </c>
      <c r="S6717" t="s">
        <v>159</v>
      </c>
      <c r="T6717" t="s">
        <v>185</v>
      </c>
      <c r="U6717" t="s">
        <v>339</v>
      </c>
      <c r="V6717" t="s">
        <v>72</v>
      </c>
      <c r="W6717" t="s">
        <v>347</v>
      </c>
      <c r="X6717" t="s">
        <v>72</v>
      </c>
      <c r="Y6717" t="s">
        <v>96</v>
      </c>
      <c r="AK6717" t="s">
        <v>364</v>
      </c>
    </row>
    <row r="6718" spans="1:37">
      <c r="B6718" t="s">
        <v>58</v>
      </c>
      <c r="C6718" t="s">
        <v>80</v>
      </c>
      <c r="D6718" t="s">
        <v>99</v>
      </c>
      <c r="E6718" t="s">
        <v>118</v>
      </c>
      <c r="F6718" t="s">
        <v>152</v>
      </c>
      <c r="G6718" t="s">
        <v>178</v>
      </c>
      <c r="H6718" t="s">
        <v>213</v>
      </c>
      <c r="I6718" t="s">
        <v>233</v>
      </c>
      <c r="J6718" t="s">
        <v>252</v>
      </c>
      <c r="K6718" t="s">
        <v>266</v>
      </c>
      <c r="L6718" t="s">
        <v>278</v>
      </c>
      <c r="M6718" t="s">
        <v>287</v>
      </c>
      <c r="N6718" t="s">
        <v>297</v>
      </c>
      <c r="O6718" t="s">
        <v>305</v>
      </c>
      <c r="P6718" t="s">
        <v>312</v>
      </c>
      <c r="Q6718" t="s">
        <v>319</v>
      </c>
      <c r="R6718">
        <f>&gt;10       ветра      2.8     18  11 12</f>
        <v>0</v>
      </c>
      <c r="AK6718" t="s">
        <v>364</v>
      </c>
    </row>
    <row r="6719" spans="1:37">
      <c r="A6719" t="s">
        <v>40</v>
      </c>
      <c r="B6719" t="s">
        <v>59</v>
      </c>
      <c r="C6719" t="s">
        <v>81</v>
      </c>
      <c r="D6719" t="s">
        <v>100</v>
      </c>
      <c r="E6719" t="s">
        <v>119</v>
      </c>
      <c r="F6719" t="s">
        <v>153</v>
      </c>
      <c r="G6719" t="s">
        <v>179</v>
      </c>
      <c r="H6719" t="s">
        <v>214</v>
      </c>
      <c r="I6719" t="s">
        <v>234</v>
      </c>
      <c r="AK6719" t="s">
        <v>364</v>
      </c>
    </row>
    <row r="6720" spans="1:37">
      <c r="A6720" t="s">
        <v>40</v>
      </c>
      <c r="B6720" t="s">
        <v>60</v>
      </c>
      <c r="C6720" t="s">
        <v>82</v>
      </c>
      <c r="D6720" t="s">
        <v>101</v>
      </c>
      <c r="E6720" t="s">
        <v>120</v>
      </c>
      <c r="F6720" t="s">
        <v>154</v>
      </c>
      <c r="G6720" t="s">
        <v>180</v>
      </c>
      <c r="H6720" t="s">
        <v>215</v>
      </c>
      <c r="I6720" t="s">
        <v>235</v>
      </c>
      <c r="J6720" t="s">
        <v>253</v>
      </c>
      <c r="K6720" t="s">
        <v>267</v>
      </c>
      <c r="L6720" t="s">
        <v>279</v>
      </c>
      <c r="M6720" t="s">
        <v>288</v>
      </c>
      <c r="N6720" t="s">
        <v>100</v>
      </c>
      <c r="O6720" t="s">
        <v>306</v>
      </c>
      <c r="P6720" t="s">
        <v>313</v>
      </c>
      <c r="Q6720" t="s">
        <v>320</v>
      </c>
      <c r="R6720" t="s">
        <v>325</v>
      </c>
      <c r="S6720" t="s">
        <v>332</v>
      </c>
      <c r="T6720" t="s">
        <v>119</v>
      </c>
      <c r="U6720" t="s">
        <v>234</v>
      </c>
      <c r="V6720" t="s">
        <v>343</v>
      </c>
      <c r="W6720" t="s">
        <v>348</v>
      </c>
      <c r="X6720" t="s">
        <v>352</v>
      </c>
      <c r="Y6720" t="s">
        <v>354</v>
      </c>
      <c r="AK6720" t="s">
        <v>364</v>
      </c>
    </row>
    <row r="6721" spans="1:37">
      <c r="A6721" t="s">
        <v>41</v>
      </c>
      <c r="B6721" t="s">
        <v>61</v>
      </c>
      <c r="C6721" t="s">
        <v>83</v>
      </c>
      <c r="D6721" t="s">
        <v>102</v>
      </c>
      <c r="E6721" t="s">
        <v>121</v>
      </c>
      <c r="F6721" t="s">
        <v>155</v>
      </c>
      <c r="G6721" t="s">
        <v>181</v>
      </c>
      <c r="H6721" t="s">
        <v>216</v>
      </c>
      <c r="I6721" t="s">
        <v>236</v>
      </c>
      <c r="AK6721" t="s">
        <v>364</v>
      </c>
    </row>
    <row r="6722" spans="1:37">
      <c r="A6722" t="s">
        <v>42</v>
      </c>
      <c r="B6722" t="s">
        <v>62</v>
      </c>
      <c r="C6722" t="s">
        <v>84</v>
      </c>
      <c r="D6722" t="s">
        <v>103</v>
      </c>
      <c r="E6722" t="s">
        <v>122</v>
      </c>
      <c r="F6722" t="s">
        <v>156</v>
      </c>
      <c r="G6722" t="s">
        <v>182</v>
      </c>
      <c r="H6722" t="s">
        <v>83</v>
      </c>
      <c r="I6722" t="s">
        <v>237</v>
      </c>
      <c r="J6722" t="s">
        <v>254</v>
      </c>
      <c r="K6722" t="s">
        <v>268</v>
      </c>
      <c r="L6722" t="s">
        <v>280</v>
      </c>
      <c r="M6722" t="s">
        <v>289</v>
      </c>
      <c r="N6722" t="s">
        <v>298</v>
      </c>
      <c r="O6722" t="s">
        <v>307</v>
      </c>
      <c r="P6722" t="s">
        <v>314</v>
      </c>
      <c r="Q6722" t="s">
        <v>216</v>
      </c>
      <c r="R6722" t="s">
        <v>326</v>
      </c>
      <c r="S6722" t="s">
        <v>333</v>
      </c>
      <c r="T6722" t="s">
        <v>335</v>
      </c>
      <c r="U6722" t="s">
        <v>340</v>
      </c>
      <c r="V6722" t="s">
        <v>344</v>
      </c>
      <c r="W6722" t="s">
        <v>349</v>
      </c>
      <c r="AK6722" t="s">
        <v>364</v>
      </c>
    </row>
    <row r="6723" spans="1:37">
      <c r="A6723" t="s">
        <v>43</v>
      </c>
      <c r="B6723" t="s">
        <v>63</v>
      </c>
      <c r="C6723" t="s">
        <v>85</v>
      </c>
      <c r="D6723" t="s">
        <v>104</v>
      </c>
      <c r="E6723" t="s">
        <v>123</v>
      </c>
      <c r="F6723" t="s">
        <v>157</v>
      </c>
      <c r="G6723" t="s">
        <v>183</v>
      </c>
      <c r="AK6723" t="s">
        <v>364</v>
      </c>
    </row>
    <row r="6724" spans="1:37">
      <c r="A6724" t="s">
        <v>44</v>
      </c>
      <c r="B6724" t="s">
        <v>64</v>
      </c>
      <c r="C6724" t="s">
        <v>86</v>
      </c>
      <c r="D6724" t="s">
        <v>105</v>
      </c>
      <c r="E6724" t="s">
        <v>124</v>
      </c>
      <c r="F6724" t="s">
        <v>158</v>
      </c>
      <c r="G6724" t="s">
        <v>184</v>
      </c>
      <c r="AK6724" t="s">
        <v>364</v>
      </c>
    </row>
    <row r="6725" spans="1:37">
      <c r="A6725" t="s">
        <v>45</v>
      </c>
      <c r="B6725" t="s">
        <v>65</v>
      </c>
      <c r="C6725" t="s">
        <v>87</v>
      </c>
      <c r="D6725" t="s">
        <v>106</v>
      </c>
      <c r="E6725" t="s">
        <v>125</v>
      </c>
      <c r="F6725" t="s">
        <v>159</v>
      </c>
      <c r="G6725" t="s">
        <v>185</v>
      </c>
      <c r="H6725" t="s">
        <v>159</v>
      </c>
      <c r="I6725" t="s">
        <v>185</v>
      </c>
      <c r="J6725" t="s">
        <v>255</v>
      </c>
      <c r="AK6725" t="s">
        <v>364</v>
      </c>
    </row>
    <row r="6726" spans="1:37">
      <c r="A6726" t="s">
        <v>46</v>
      </c>
      <c r="B6726" t="s">
        <v>66</v>
      </c>
      <c r="C6726" t="s">
        <v>88</v>
      </c>
      <c r="D6726" t="s">
        <v>76</v>
      </c>
      <c r="E6726" t="s">
        <v>126</v>
      </c>
      <c r="F6726" t="s">
        <v>160</v>
      </c>
      <c r="G6726" t="s">
        <v>186</v>
      </c>
      <c r="H6726" t="s">
        <v>217</v>
      </c>
      <c r="I6726" t="s">
        <v>238</v>
      </c>
      <c r="J6726" t="s">
        <v>256</v>
      </c>
      <c r="K6726" t="s">
        <v>265</v>
      </c>
      <c r="L6726" t="s">
        <v>281</v>
      </c>
      <c r="M6726" t="s">
        <v>290</v>
      </c>
      <c r="N6726" t="s">
        <v>299</v>
      </c>
      <c r="O6726" t="s">
        <v>308</v>
      </c>
      <c r="P6726" t="s">
        <v>228</v>
      </c>
      <c r="Q6726" t="s">
        <v>72</v>
      </c>
      <c r="R6726" t="s">
        <v>327</v>
      </c>
      <c r="S6726" t="s">
        <v>327</v>
      </c>
      <c r="T6726" t="s">
        <v>336</v>
      </c>
      <c r="U6726" t="s">
        <v>336</v>
      </c>
      <c r="V6726" t="s">
        <v>336</v>
      </c>
      <c r="W6726" t="s">
        <v>336</v>
      </c>
      <c r="X6726" t="s">
        <v>353</v>
      </c>
      <c r="AK6726" t="s">
        <v>364</v>
      </c>
    </row>
    <row r="6727" spans="1:37">
      <c r="B6727" t="s">
        <v>67</v>
      </c>
      <c r="C6727" t="s">
        <v>89</v>
      </c>
      <c r="D6727" t="s">
        <v>107</v>
      </c>
      <c r="AK6727" t="s">
        <v>364</v>
      </c>
    </row>
    <row r="6728" spans="1:37">
      <c r="B6728" t="s">
        <v>68</v>
      </c>
      <c r="C6728" t="s">
        <v>90</v>
      </c>
      <c r="D6728" t="s">
        <v>108</v>
      </c>
      <c r="AK6728" t="s">
        <v>364</v>
      </c>
    </row>
    <row r="6729" spans="1:37">
      <c r="A6729" t="s">
        <v>47</v>
      </c>
      <c r="B6729" t="s">
        <v>69</v>
      </c>
      <c r="C6729" t="s">
        <v>91</v>
      </c>
      <c r="D6729" t="s">
        <v>109</v>
      </c>
      <c r="E6729" t="s">
        <v>109</v>
      </c>
      <c r="F6729" t="s">
        <v>109</v>
      </c>
      <c r="G6729" t="s">
        <v>109</v>
      </c>
      <c r="H6729" t="s">
        <v>109</v>
      </c>
      <c r="I6729" t="s">
        <v>239</v>
      </c>
      <c r="AK6729" t="s">
        <v>364</v>
      </c>
    </row>
    <row r="6730" spans="1:37">
      <c r="B6730" t="s">
        <v>70</v>
      </c>
      <c r="C6730" t="s">
        <v>92</v>
      </c>
      <c r="D6730" t="s">
        <v>110</v>
      </c>
      <c r="E6730" t="s">
        <v>127</v>
      </c>
      <c r="F6730" t="s">
        <v>161</v>
      </c>
      <c r="G6730" t="s">
        <v>187</v>
      </c>
      <c r="H6730" t="s">
        <v>218</v>
      </c>
      <c r="AK6730" t="s">
        <v>364</v>
      </c>
    </row>
    <row r="6731" spans="1:37">
      <c r="B6731" t="s">
        <v>71</v>
      </c>
      <c r="C6731" t="s">
        <v>93</v>
      </c>
      <c r="D6731" t="s">
        <v>111</v>
      </c>
      <c r="E6731" t="s">
        <v>128</v>
      </c>
      <c r="F6731" t="s">
        <v>162</v>
      </c>
      <c r="G6731" t="s">
        <v>188</v>
      </c>
      <c r="H6731" t="s">
        <v>219</v>
      </c>
      <c r="I6731" t="s">
        <v>240</v>
      </c>
      <c r="J6731" t="s">
        <v>257</v>
      </c>
      <c r="K6731" t="s">
        <v>269</v>
      </c>
      <c r="L6731" t="s">
        <v>109</v>
      </c>
      <c r="M6731" t="s">
        <v>109</v>
      </c>
      <c r="N6731" t="s">
        <v>109</v>
      </c>
      <c r="O6731" t="s">
        <v>109</v>
      </c>
      <c r="P6731" t="s">
        <v>109</v>
      </c>
      <c r="Q6731" t="s">
        <v>321</v>
      </c>
      <c r="AK6731" t="s">
        <v>364</v>
      </c>
    </row>
    <row r="6732" spans="1:37">
      <c r="A6732" t="s">
        <v>48</v>
      </c>
      <c r="B6732" t="s">
        <v>71</v>
      </c>
      <c r="C6732" t="s">
        <v>93</v>
      </c>
      <c r="D6732" t="s">
        <v>111</v>
      </c>
      <c r="E6732" t="s">
        <v>128</v>
      </c>
      <c r="F6732" t="s">
        <v>163</v>
      </c>
      <c r="G6732" t="s">
        <v>189</v>
      </c>
      <c r="H6732" t="s">
        <v>220</v>
      </c>
      <c r="I6732" t="s">
        <v>241</v>
      </c>
      <c r="J6732" t="s">
        <v>258</v>
      </c>
      <c r="K6732" t="s">
        <v>270</v>
      </c>
      <c r="AK6732" t="s">
        <v>364</v>
      </c>
    </row>
    <row r="6733" spans="1:37">
      <c r="B6733" t="s">
        <v>72</v>
      </c>
      <c r="C6733" t="s">
        <v>72</v>
      </c>
      <c r="D6733" t="s">
        <v>72</v>
      </c>
      <c r="E6733" t="s">
        <v>139</v>
      </c>
      <c r="F6733" t="s">
        <v>139</v>
      </c>
      <c r="G6733" t="s">
        <v>192</v>
      </c>
      <c r="H6733" t="s">
        <v>192</v>
      </c>
      <c r="I6733" t="s">
        <v>192</v>
      </c>
      <c r="J6733" t="s">
        <v>192</v>
      </c>
      <c r="K6733" t="s">
        <v>271</v>
      </c>
      <c r="AK6733" t="s">
        <v>364</v>
      </c>
    </row>
    <row r="6734" spans="1:37">
      <c r="A6734" t="s">
        <v>37</v>
      </c>
      <c r="B6734" t="s">
        <v>49</v>
      </c>
      <c r="C6734" t="s">
        <v>73</v>
      </c>
      <c r="D6734" t="s">
        <v>94</v>
      </c>
      <c r="E6734" t="s">
        <v>112</v>
      </c>
      <c r="F6734" t="s">
        <v>146</v>
      </c>
      <c r="G6734" t="s">
        <v>172</v>
      </c>
      <c r="H6734" t="s">
        <v>207</v>
      </c>
      <c r="I6734" t="s">
        <v>226</v>
      </c>
      <c r="J6734" t="s">
        <v>246</v>
      </c>
      <c r="K6734" t="s">
        <v>259</v>
      </c>
      <c r="AK6734" t="s">
        <v>364</v>
      </c>
    </row>
    <row r="6735" spans="1:37">
      <c r="A6735" t="s">
        <v>38</v>
      </c>
      <c r="B6735" t="s">
        <v>50</v>
      </c>
      <c r="C6735" t="s">
        <v>74</v>
      </c>
      <c r="D6735" t="s">
        <v>95</v>
      </c>
      <c r="E6735" t="s">
        <v>113</v>
      </c>
      <c r="F6735" t="s">
        <v>147</v>
      </c>
      <c r="G6735" t="s">
        <v>173</v>
      </c>
      <c r="H6735" t="s">
        <v>208</v>
      </c>
      <c r="I6735" t="s">
        <v>227</v>
      </c>
      <c r="J6735" t="s">
        <v>115</v>
      </c>
      <c r="K6735" t="s">
        <v>260</v>
      </c>
      <c r="L6735" t="s">
        <v>273</v>
      </c>
      <c r="M6735" t="s">
        <v>282</v>
      </c>
      <c r="N6735" t="s">
        <v>291</v>
      </c>
      <c r="AK6735" t="s">
        <v>364</v>
      </c>
    </row>
    <row r="6736" spans="1:37">
      <c r="B6736" t="s">
        <v>51</v>
      </c>
      <c r="C6736" t="s">
        <v>75</v>
      </c>
      <c r="D6736" t="s">
        <v>52</v>
      </c>
      <c r="E6736" t="s">
        <v>114</v>
      </c>
      <c r="F6736" t="s">
        <v>148</v>
      </c>
      <c r="G6736" t="s">
        <v>148</v>
      </c>
      <c r="H6736" t="s">
        <v>209</v>
      </c>
      <c r="I6736" t="s">
        <v>228</v>
      </c>
      <c r="J6736" t="s">
        <v>247</v>
      </c>
      <c r="K6736" t="s">
        <v>261</v>
      </c>
      <c r="L6736" t="s">
        <v>274</v>
      </c>
      <c r="M6736" t="s">
        <v>283</v>
      </c>
      <c r="N6736" t="s">
        <v>292</v>
      </c>
      <c r="O6736" t="s">
        <v>300</v>
      </c>
      <c r="AK6736" t="s">
        <v>364</v>
      </c>
    </row>
    <row r="6737" spans="1:37">
      <c r="B6737" t="s">
        <v>52</v>
      </c>
      <c r="C6737" t="s">
        <v>76</v>
      </c>
      <c r="D6737" t="s">
        <v>96</v>
      </c>
      <c r="E6737" t="s">
        <v>115</v>
      </c>
      <c r="F6737" t="s">
        <v>149</v>
      </c>
      <c r="G6737" t="s">
        <v>174</v>
      </c>
      <c r="H6737" t="s">
        <v>96</v>
      </c>
      <c r="I6737" t="s">
        <v>229</v>
      </c>
      <c r="J6737" t="s">
        <v>248</v>
      </c>
      <c r="K6737" t="s">
        <v>262</v>
      </c>
      <c r="L6737" t="s">
        <v>52</v>
      </c>
      <c r="M6737" t="s">
        <v>76</v>
      </c>
      <c r="N6737" t="s">
        <v>293</v>
      </c>
      <c r="O6737" t="s">
        <v>301</v>
      </c>
      <c r="P6737" t="s">
        <v>309</v>
      </c>
      <c r="Q6737" t="s">
        <v>315</v>
      </c>
      <c r="R6737" t="s">
        <v>228</v>
      </c>
      <c r="S6737" t="s">
        <v>328</v>
      </c>
      <c r="T6737" t="s">
        <v>149</v>
      </c>
      <c r="U6737" t="s">
        <v>337</v>
      </c>
      <c r="V6737" t="s">
        <v>341</v>
      </c>
      <c r="W6737" t="s">
        <v>345</v>
      </c>
      <c r="X6737" t="s">
        <v>350</v>
      </c>
      <c r="AK6737" t="s">
        <v>364</v>
      </c>
    </row>
    <row r="6738" spans="1:37">
      <c r="B6738" t="s">
        <v>53</v>
      </c>
      <c r="C6738" t="s">
        <v>77</v>
      </c>
      <c r="D6738" t="s">
        <v>97</v>
      </c>
      <c r="E6738" t="s">
        <v>116</v>
      </c>
      <c r="F6738" t="s">
        <v>150</v>
      </c>
      <c r="G6738" t="s">
        <v>175</v>
      </c>
      <c r="H6738" t="s">
        <v>210</v>
      </c>
      <c r="I6738" t="s">
        <v>230</v>
      </c>
      <c r="J6738" t="s">
        <v>249</v>
      </c>
      <c r="K6738" t="s">
        <v>263</v>
      </c>
      <c r="L6738" t="s">
        <v>275</v>
      </c>
      <c r="M6738" t="s">
        <v>284</v>
      </c>
      <c r="N6738" t="s">
        <v>294</v>
      </c>
      <c r="O6738" t="s">
        <v>302</v>
      </c>
      <c r="P6738" t="s">
        <v>310</v>
      </c>
      <c r="Q6738" t="s">
        <v>316</v>
      </c>
      <c r="R6738" t="s">
        <v>322</v>
      </c>
      <c r="S6738" t="s">
        <v>329</v>
      </c>
      <c r="AK6738" t="s">
        <v>364</v>
      </c>
    </row>
    <row r="6739" spans="1:37">
      <c r="A6739" t="s">
        <v>39</v>
      </c>
      <c r="B6739" t="s">
        <v>54</v>
      </c>
      <c r="C6739" t="s">
        <v>54</v>
      </c>
      <c r="D6739" t="s">
        <v>54</v>
      </c>
      <c r="E6739" t="s">
        <v>54</v>
      </c>
      <c r="F6739" t="s">
        <v>54</v>
      </c>
      <c r="G6739" t="s">
        <v>54</v>
      </c>
      <c r="H6739" t="s">
        <v>54</v>
      </c>
      <c r="I6739" t="s">
        <v>54</v>
      </c>
      <c r="J6739" t="s">
        <v>54</v>
      </c>
      <c r="K6739" t="s">
        <v>54</v>
      </c>
      <c r="L6739" t="s">
        <v>54</v>
      </c>
      <c r="M6739" t="s">
        <v>54</v>
      </c>
      <c r="N6739" t="s">
        <v>54</v>
      </c>
      <c r="O6739" t="s">
        <v>54</v>
      </c>
      <c r="P6739" t="s">
        <v>54</v>
      </c>
      <c r="Q6739" t="s">
        <v>54</v>
      </c>
      <c r="R6739" t="s">
        <v>323</v>
      </c>
      <c r="S6739" t="s">
        <v>330</v>
      </c>
      <c r="AK6739" t="s">
        <v>364</v>
      </c>
    </row>
    <row r="6740" spans="1:37">
      <c r="B6740" t="s">
        <v>55</v>
      </c>
      <c r="C6740" t="s">
        <v>78</v>
      </c>
      <c r="D6740" t="s">
        <v>55</v>
      </c>
      <c r="E6740" t="s">
        <v>78</v>
      </c>
      <c r="F6740" t="s">
        <v>55</v>
      </c>
      <c r="G6740" t="s">
        <v>78</v>
      </c>
      <c r="H6740" t="s">
        <v>55</v>
      </c>
      <c r="I6740" t="s">
        <v>78</v>
      </c>
      <c r="J6740" t="s">
        <v>55</v>
      </c>
      <c r="K6740" t="s">
        <v>78</v>
      </c>
      <c r="L6740" t="s">
        <v>55</v>
      </c>
      <c r="M6740" t="s">
        <v>78</v>
      </c>
      <c r="N6740" t="s">
        <v>55</v>
      </c>
      <c r="O6740" t="s">
        <v>78</v>
      </c>
      <c r="P6740" t="s">
        <v>55</v>
      </c>
      <c r="Q6740" t="s">
        <v>78</v>
      </c>
      <c r="R6740" t="s">
        <v>55</v>
      </c>
      <c r="S6740" t="s">
        <v>78</v>
      </c>
      <c r="T6740" t="s">
        <v>55</v>
      </c>
      <c r="U6740" t="s">
        <v>78</v>
      </c>
      <c r="V6740" t="s">
        <v>55</v>
      </c>
      <c r="W6740" t="s">
        <v>78</v>
      </c>
      <c r="X6740" t="s">
        <v>55</v>
      </c>
      <c r="Y6740" t="s">
        <v>78</v>
      </c>
      <c r="Z6740" t="s">
        <v>55</v>
      </c>
      <c r="AA6740" t="s">
        <v>78</v>
      </c>
      <c r="AB6740" t="s">
        <v>55</v>
      </c>
      <c r="AC6740" t="s">
        <v>78</v>
      </c>
      <c r="AD6740" t="s">
        <v>55</v>
      </c>
      <c r="AE6740" t="s">
        <v>78</v>
      </c>
      <c r="AF6740" t="s">
        <v>55</v>
      </c>
      <c r="AG6740" t="s">
        <v>78</v>
      </c>
      <c r="AH6740" t="s">
        <v>55</v>
      </c>
      <c r="AI6740" t="s">
        <v>78</v>
      </c>
      <c r="AK6740" t="s">
        <v>364</v>
      </c>
    </row>
    <row r="6741" spans="1:37">
      <c r="B6741" t="s">
        <v>56</v>
      </c>
      <c r="C6741" t="s">
        <v>56</v>
      </c>
      <c r="D6741" t="s">
        <v>56</v>
      </c>
      <c r="E6741" t="s">
        <v>56</v>
      </c>
      <c r="F6741" t="s">
        <v>56</v>
      </c>
      <c r="G6741" t="s">
        <v>176</v>
      </c>
      <c r="H6741" t="s">
        <v>211</v>
      </c>
      <c r="I6741" t="s">
        <v>231</v>
      </c>
      <c r="J6741" t="s">
        <v>250</v>
      </c>
      <c r="K6741" t="s">
        <v>264</v>
      </c>
      <c r="L6741" t="s">
        <v>276</v>
      </c>
      <c r="M6741" t="s">
        <v>285</v>
      </c>
      <c r="N6741" t="s">
        <v>295</v>
      </c>
      <c r="O6741" t="s">
        <v>303</v>
      </c>
      <c r="P6741" t="s">
        <v>56</v>
      </c>
      <c r="Q6741" t="s">
        <v>317</v>
      </c>
      <c r="R6741" t="s">
        <v>324</v>
      </c>
      <c r="S6741" t="s">
        <v>331</v>
      </c>
      <c r="T6741" t="s">
        <v>334</v>
      </c>
      <c r="U6741" t="s">
        <v>338</v>
      </c>
      <c r="V6741" t="s">
        <v>342</v>
      </c>
      <c r="W6741" t="s">
        <v>346</v>
      </c>
      <c r="X6741" t="s">
        <v>351</v>
      </c>
      <c r="AK6741" t="s">
        <v>364</v>
      </c>
    </row>
    <row r="6742" spans="1:37">
      <c r="B6742" t="s">
        <v>57</v>
      </c>
      <c r="C6742" t="s">
        <v>79</v>
      </c>
      <c r="D6742" t="s">
        <v>98</v>
      </c>
      <c r="E6742" t="s">
        <v>117</v>
      </c>
      <c r="F6742" t="s">
        <v>151</v>
      </c>
      <c r="G6742" t="s">
        <v>177</v>
      </c>
      <c r="H6742" t="s">
        <v>212</v>
      </c>
      <c r="I6742" t="s">
        <v>232</v>
      </c>
      <c r="J6742" t="s">
        <v>251</v>
      </c>
      <c r="K6742" t="s">
        <v>265</v>
      </c>
      <c r="L6742" t="s">
        <v>277</v>
      </c>
      <c r="M6742" t="s">
        <v>286</v>
      </c>
      <c r="N6742" t="s">
        <v>296</v>
      </c>
      <c r="O6742" t="s">
        <v>304</v>
      </c>
      <c r="P6742" t="s">
        <v>311</v>
      </c>
      <c r="Q6742" t="s">
        <v>318</v>
      </c>
      <c r="R6742" t="s">
        <v>185</v>
      </c>
      <c r="S6742" t="s">
        <v>159</v>
      </c>
      <c r="T6742" t="s">
        <v>185</v>
      </c>
      <c r="U6742" t="s">
        <v>339</v>
      </c>
      <c r="V6742" t="s">
        <v>72</v>
      </c>
      <c r="W6742" t="s">
        <v>347</v>
      </c>
      <c r="X6742" t="s">
        <v>72</v>
      </c>
      <c r="Y6742" t="s">
        <v>96</v>
      </c>
      <c r="AK6742" t="s">
        <v>364</v>
      </c>
    </row>
    <row r="6743" spans="1:37">
      <c r="B6743" t="s">
        <v>58</v>
      </c>
      <c r="C6743" t="s">
        <v>80</v>
      </c>
      <c r="D6743" t="s">
        <v>99</v>
      </c>
      <c r="E6743" t="s">
        <v>118</v>
      </c>
      <c r="F6743" t="s">
        <v>152</v>
      </c>
      <c r="G6743" t="s">
        <v>178</v>
      </c>
      <c r="H6743" t="s">
        <v>213</v>
      </c>
      <c r="I6743" t="s">
        <v>233</v>
      </c>
      <c r="J6743" t="s">
        <v>252</v>
      </c>
      <c r="K6743" t="s">
        <v>266</v>
      </c>
      <c r="L6743" t="s">
        <v>278</v>
      </c>
      <c r="M6743" t="s">
        <v>287</v>
      </c>
      <c r="N6743" t="s">
        <v>297</v>
      </c>
      <c r="O6743" t="s">
        <v>305</v>
      </c>
      <c r="P6743" t="s">
        <v>312</v>
      </c>
      <c r="Q6743" t="s">
        <v>319</v>
      </c>
      <c r="R6743">
        <f>&gt;10       ветра      1.8     17  12</f>
        <v>0</v>
      </c>
      <c r="AK6743" t="s">
        <v>364</v>
      </c>
    </row>
    <row r="6744" spans="1:37">
      <c r="A6744" t="s">
        <v>40</v>
      </c>
      <c r="B6744" t="s">
        <v>59</v>
      </c>
      <c r="C6744" t="s">
        <v>81</v>
      </c>
      <c r="D6744" t="s">
        <v>100</v>
      </c>
      <c r="E6744" t="s">
        <v>119</v>
      </c>
      <c r="F6744" t="s">
        <v>153</v>
      </c>
      <c r="G6744" t="s">
        <v>179</v>
      </c>
      <c r="H6744" t="s">
        <v>214</v>
      </c>
      <c r="I6744" t="s">
        <v>234</v>
      </c>
      <c r="AK6744" t="s">
        <v>364</v>
      </c>
    </row>
    <row r="6745" spans="1:37">
      <c r="A6745" t="s">
        <v>40</v>
      </c>
      <c r="B6745" t="s">
        <v>60</v>
      </c>
      <c r="C6745" t="s">
        <v>82</v>
      </c>
      <c r="D6745" t="s">
        <v>101</v>
      </c>
      <c r="E6745" t="s">
        <v>120</v>
      </c>
      <c r="F6745" t="s">
        <v>154</v>
      </c>
      <c r="G6745" t="s">
        <v>180</v>
      </c>
      <c r="H6745" t="s">
        <v>215</v>
      </c>
      <c r="I6745" t="s">
        <v>235</v>
      </c>
      <c r="J6745" t="s">
        <v>253</v>
      </c>
      <c r="K6745" t="s">
        <v>267</v>
      </c>
      <c r="L6745" t="s">
        <v>279</v>
      </c>
      <c r="M6745" t="s">
        <v>288</v>
      </c>
      <c r="N6745" t="s">
        <v>100</v>
      </c>
      <c r="O6745" t="s">
        <v>306</v>
      </c>
      <c r="P6745" t="s">
        <v>313</v>
      </c>
      <c r="Q6745" t="s">
        <v>320</v>
      </c>
      <c r="R6745" t="s">
        <v>325</v>
      </c>
      <c r="S6745" t="s">
        <v>332</v>
      </c>
      <c r="T6745" t="s">
        <v>119</v>
      </c>
      <c r="U6745" t="s">
        <v>234</v>
      </c>
      <c r="V6745" t="s">
        <v>343</v>
      </c>
      <c r="W6745" t="s">
        <v>348</v>
      </c>
      <c r="X6745" t="s">
        <v>352</v>
      </c>
      <c r="Y6745" t="s">
        <v>354</v>
      </c>
      <c r="AK6745" t="s">
        <v>364</v>
      </c>
    </row>
    <row r="6746" spans="1:37">
      <c r="A6746" t="s">
        <v>41</v>
      </c>
      <c r="B6746" t="s">
        <v>61</v>
      </c>
      <c r="C6746" t="s">
        <v>83</v>
      </c>
      <c r="D6746" t="s">
        <v>102</v>
      </c>
      <c r="E6746" t="s">
        <v>121</v>
      </c>
      <c r="F6746" t="s">
        <v>155</v>
      </c>
      <c r="G6746" t="s">
        <v>181</v>
      </c>
      <c r="H6746" t="s">
        <v>216</v>
      </c>
      <c r="I6746" t="s">
        <v>236</v>
      </c>
      <c r="AK6746" t="s">
        <v>364</v>
      </c>
    </row>
    <row r="6747" spans="1:37">
      <c r="A6747" t="s">
        <v>42</v>
      </c>
      <c r="B6747" t="s">
        <v>62</v>
      </c>
      <c r="C6747" t="s">
        <v>84</v>
      </c>
      <c r="D6747" t="s">
        <v>103</v>
      </c>
      <c r="E6747" t="s">
        <v>122</v>
      </c>
      <c r="F6747" t="s">
        <v>156</v>
      </c>
      <c r="G6747" t="s">
        <v>182</v>
      </c>
      <c r="H6747" t="s">
        <v>83</v>
      </c>
      <c r="I6747" t="s">
        <v>237</v>
      </c>
      <c r="J6747" t="s">
        <v>254</v>
      </c>
      <c r="K6747" t="s">
        <v>268</v>
      </c>
      <c r="L6747" t="s">
        <v>280</v>
      </c>
      <c r="M6747" t="s">
        <v>289</v>
      </c>
      <c r="N6747" t="s">
        <v>298</v>
      </c>
      <c r="O6747" t="s">
        <v>307</v>
      </c>
      <c r="P6747" t="s">
        <v>314</v>
      </c>
      <c r="Q6747" t="s">
        <v>216</v>
      </c>
      <c r="R6747" t="s">
        <v>326</v>
      </c>
      <c r="S6747" t="s">
        <v>333</v>
      </c>
      <c r="T6747" t="s">
        <v>335</v>
      </c>
      <c r="U6747" t="s">
        <v>340</v>
      </c>
      <c r="V6747" t="s">
        <v>344</v>
      </c>
      <c r="W6747" t="s">
        <v>349</v>
      </c>
      <c r="AK6747" t="s">
        <v>364</v>
      </c>
    </row>
    <row r="6748" spans="1:37">
      <c r="A6748" t="s">
        <v>43</v>
      </c>
      <c r="B6748" t="s">
        <v>63</v>
      </c>
      <c r="C6748" t="s">
        <v>85</v>
      </c>
      <c r="D6748" t="s">
        <v>104</v>
      </c>
      <c r="E6748" t="s">
        <v>123</v>
      </c>
      <c r="F6748" t="s">
        <v>157</v>
      </c>
      <c r="G6748" t="s">
        <v>183</v>
      </c>
      <c r="AK6748" t="s">
        <v>364</v>
      </c>
    </row>
    <row r="6749" spans="1:37">
      <c r="A6749" t="s">
        <v>44</v>
      </c>
      <c r="B6749" t="s">
        <v>64</v>
      </c>
      <c r="C6749" t="s">
        <v>86</v>
      </c>
      <c r="D6749" t="s">
        <v>105</v>
      </c>
      <c r="E6749" t="s">
        <v>124</v>
      </c>
      <c r="F6749" t="s">
        <v>158</v>
      </c>
      <c r="G6749" t="s">
        <v>184</v>
      </c>
      <c r="AK6749" t="s">
        <v>364</v>
      </c>
    </row>
    <row r="6750" spans="1:37">
      <c r="A6750" t="s">
        <v>45</v>
      </c>
      <c r="B6750" t="s">
        <v>65</v>
      </c>
      <c r="C6750" t="s">
        <v>87</v>
      </c>
      <c r="D6750" t="s">
        <v>106</v>
      </c>
      <c r="E6750" t="s">
        <v>125</v>
      </c>
      <c r="F6750" t="s">
        <v>159</v>
      </c>
      <c r="G6750" t="s">
        <v>185</v>
      </c>
      <c r="H6750" t="s">
        <v>159</v>
      </c>
      <c r="I6750" t="s">
        <v>185</v>
      </c>
      <c r="J6750" t="s">
        <v>255</v>
      </c>
      <c r="AK6750" t="s">
        <v>364</v>
      </c>
    </row>
    <row r="6751" spans="1:37">
      <c r="A6751" t="s">
        <v>46</v>
      </c>
      <c r="B6751" t="s">
        <v>66</v>
      </c>
      <c r="C6751" t="s">
        <v>88</v>
      </c>
      <c r="D6751" t="s">
        <v>76</v>
      </c>
      <c r="E6751" t="s">
        <v>126</v>
      </c>
      <c r="F6751" t="s">
        <v>160</v>
      </c>
      <c r="G6751" t="s">
        <v>186</v>
      </c>
      <c r="H6751" t="s">
        <v>217</v>
      </c>
      <c r="I6751" t="s">
        <v>238</v>
      </c>
      <c r="J6751" t="s">
        <v>256</v>
      </c>
      <c r="K6751" t="s">
        <v>265</v>
      </c>
      <c r="L6751" t="s">
        <v>281</v>
      </c>
      <c r="M6751" t="s">
        <v>290</v>
      </c>
      <c r="N6751" t="s">
        <v>299</v>
      </c>
      <c r="O6751" t="s">
        <v>308</v>
      </c>
      <c r="P6751" t="s">
        <v>228</v>
      </c>
      <c r="Q6751" t="s">
        <v>72</v>
      </c>
      <c r="R6751" t="s">
        <v>327</v>
      </c>
      <c r="S6751" t="s">
        <v>327</v>
      </c>
      <c r="T6751" t="s">
        <v>336</v>
      </c>
      <c r="U6751" t="s">
        <v>336</v>
      </c>
      <c r="V6751" t="s">
        <v>336</v>
      </c>
      <c r="W6751" t="s">
        <v>336</v>
      </c>
      <c r="X6751" t="s">
        <v>353</v>
      </c>
      <c r="AK6751" t="s">
        <v>364</v>
      </c>
    </row>
    <row r="6752" spans="1:37">
      <c r="A6752" t="s">
        <v>37</v>
      </c>
      <c r="B6752" t="s">
        <v>49</v>
      </c>
      <c r="C6752" t="s">
        <v>73</v>
      </c>
      <c r="D6752" t="s">
        <v>94</v>
      </c>
      <c r="E6752" t="s">
        <v>112</v>
      </c>
      <c r="F6752" t="s">
        <v>146</v>
      </c>
      <c r="G6752" t="s">
        <v>172</v>
      </c>
      <c r="H6752" t="s">
        <v>207</v>
      </c>
      <c r="I6752" t="s">
        <v>226</v>
      </c>
      <c r="J6752" t="s">
        <v>246</v>
      </c>
      <c r="K6752" t="s">
        <v>259</v>
      </c>
      <c r="AK6752" t="s">
        <v>364</v>
      </c>
    </row>
    <row r="6753" spans="1:37">
      <c r="A6753" t="s">
        <v>38</v>
      </c>
      <c r="B6753" t="s">
        <v>50</v>
      </c>
      <c r="C6753" t="s">
        <v>74</v>
      </c>
      <c r="D6753" t="s">
        <v>95</v>
      </c>
      <c r="E6753" t="s">
        <v>113</v>
      </c>
      <c r="F6753" t="s">
        <v>147</v>
      </c>
      <c r="G6753" t="s">
        <v>173</v>
      </c>
      <c r="H6753" t="s">
        <v>208</v>
      </c>
      <c r="I6753" t="s">
        <v>227</v>
      </c>
      <c r="J6753" t="s">
        <v>115</v>
      </c>
      <c r="K6753" t="s">
        <v>260</v>
      </c>
      <c r="L6753" t="s">
        <v>273</v>
      </c>
      <c r="M6753" t="s">
        <v>282</v>
      </c>
      <c r="N6753" t="s">
        <v>291</v>
      </c>
      <c r="AK6753" t="s">
        <v>364</v>
      </c>
    </row>
    <row r="6754" spans="1:37">
      <c r="B6754" t="s">
        <v>51</v>
      </c>
      <c r="C6754" t="s">
        <v>75</v>
      </c>
      <c r="D6754" t="s">
        <v>52</v>
      </c>
      <c r="E6754" t="s">
        <v>114</v>
      </c>
      <c r="F6754" t="s">
        <v>148</v>
      </c>
      <c r="G6754" t="s">
        <v>148</v>
      </c>
      <c r="H6754" t="s">
        <v>209</v>
      </c>
      <c r="I6754" t="s">
        <v>228</v>
      </c>
      <c r="J6754" t="s">
        <v>247</v>
      </c>
      <c r="K6754" t="s">
        <v>261</v>
      </c>
      <c r="L6754" t="s">
        <v>274</v>
      </c>
      <c r="M6754" t="s">
        <v>283</v>
      </c>
      <c r="N6754" t="s">
        <v>292</v>
      </c>
      <c r="O6754" t="s">
        <v>300</v>
      </c>
      <c r="AK6754" t="s">
        <v>364</v>
      </c>
    </row>
    <row r="6755" spans="1:37">
      <c r="B6755" t="s">
        <v>52</v>
      </c>
      <c r="C6755" t="s">
        <v>76</v>
      </c>
      <c r="D6755" t="s">
        <v>96</v>
      </c>
      <c r="E6755" t="s">
        <v>115</v>
      </c>
      <c r="F6755" t="s">
        <v>149</v>
      </c>
      <c r="G6755" t="s">
        <v>174</v>
      </c>
      <c r="H6755" t="s">
        <v>96</v>
      </c>
      <c r="I6755" t="s">
        <v>229</v>
      </c>
      <c r="J6755" t="s">
        <v>248</v>
      </c>
      <c r="K6755" t="s">
        <v>262</v>
      </c>
      <c r="L6755" t="s">
        <v>52</v>
      </c>
      <c r="M6755" t="s">
        <v>76</v>
      </c>
      <c r="N6755" t="s">
        <v>293</v>
      </c>
      <c r="O6755" t="s">
        <v>301</v>
      </c>
      <c r="P6755" t="s">
        <v>309</v>
      </c>
      <c r="Q6755" t="s">
        <v>315</v>
      </c>
      <c r="R6755" t="s">
        <v>228</v>
      </c>
      <c r="S6755" t="s">
        <v>328</v>
      </c>
      <c r="T6755" t="s">
        <v>149</v>
      </c>
      <c r="U6755" t="s">
        <v>337</v>
      </c>
      <c r="V6755" t="s">
        <v>341</v>
      </c>
      <c r="W6755" t="s">
        <v>345</v>
      </c>
      <c r="X6755" t="s">
        <v>350</v>
      </c>
      <c r="AK6755" t="s">
        <v>364</v>
      </c>
    </row>
    <row r="6756" spans="1:37">
      <c r="B6756" t="s">
        <v>53</v>
      </c>
      <c r="C6756" t="s">
        <v>77</v>
      </c>
      <c r="D6756" t="s">
        <v>97</v>
      </c>
      <c r="E6756" t="s">
        <v>116</v>
      </c>
      <c r="F6756" t="s">
        <v>150</v>
      </c>
      <c r="G6756" t="s">
        <v>175</v>
      </c>
      <c r="H6756" t="s">
        <v>210</v>
      </c>
      <c r="I6756" t="s">
        <v>230</v>
      </c>
      <c r="J6756" t="s">
        <v>249</v>
      </c>
      <c r="K6756" t="s">
        <v>263</v>
      </c>
      <c r="L6756" t="s">
        <v>275</v>
      </c>
      <c r="M6756" t="s">
        <v>284</v>
      </c>
      <c r="N6756" t="s">
        <v>294</v>
      </c>
      <c r="O6756" t="s">
        <v>302</v>
      </c>
      <c r="P6756" t="s">
        <v>310</v>
      </c>
      <c r="Q6756" t="s">
        <v>316</v>
      </c>
      <c r="R6756" t="s">
        <v>322</v>
      </c>
      <c r="S6756" t="s">
        <v>329</v>
      </c>
      <c r="AK6756" t="s">
        <v>364</v>
      </c>
    </row>
    <row r="6757" spans="1:37">
      <c r="A6757" t="s">
        <v>39</v>
      </c>
      <c r="B6757" t="s">
        <v>54</v>
      </c>
      <c r="C6757" t="s">
        <v>54</v>
      </c>
      <c r="D6757" t="s">
        <v>54</v>
      </c>
      <c r="E6757" t="s">
        <v>54</v>
      </c>
      <c r="F6757" t="s">
        <v>54</v>
      </c>
      <c r="G6757" t="s">
        <v>54</v>
      </c>
      <c r="H6757" t="s">
        <v>54</v>
      </c>
      <c r="I6757" t="s">
        <v>54</v>
      </c>
      <c r="J6757" t="s">
        <v>54</v>
      </c>
      <c r="K6757" t="s">
        <v>54</v>
      </c>
      <c r="L6757" t="s">
        <v>54</v>
      </c>
      <c r="M6757" t="s">
        <v>54</v>
      </c>
      <c r="N6757" t="s">
        <v>54</v>
      </c>
      <c r="O6757" t="s">
        <v>54</v>
      </c>
      <c r="P6757" t="s">
        <v>54</v>
      </c>
      <c r="Q6757" t="s">
        <v>54</v>
      </c>
      <c r="R6757" t="s">
        <v>323</v>
      </c>
      <c r="S6757" t="s">
        <v>330</v>
      </c>
      <c r="AK6757" t="s">
        <v>364</v>
      </c>
    </row>
    <row r="6758" spans="1:37">
      <c r="B6758" t="s">
        <v>55</v>
      </c>
      <c r="C6758" t="s">
        <v>78</v>
      </c>
      <c r="D6758" t="s">
        <v>55</v>
      </c>
      <c r="E6758" t="s">
        <v>78</v>
      </c>
      <c r="F6758" t="s">
        <v>55</v>
      </c>
      <c r="G6758" t="s">
        <v>78</v>
      </c>
      <c r="H6758" t="s">
        <v>55</v>
      </c>
      <c r="I6758" t="s">
        <v>78</v>
      </c>
      <c r="J6758" t="s">
        <v>55</v>
      </c>
      <c r="K6758" t="s">
        <v>78</v>
      </c>
      <c r="L6758" t="s">
        <v>55</v>
      </c>
      <c r="M6758" t="s">
        <v>78</v>
      </c>
      <c r="N6758" t="s">
        <v>55</v>
      </c>
      <c r="O6758" t="s">
        <v>78</v>
      </c>
      <c r="P6758" t="s">
        <v>55</v>
      </c>
      <c r="Q6758" t="s">
        <v>78</v>
      </c>
      <c r="R6758" t="s">
        <v>55</v>
      </c>
      <c r="S6758" t="s">
        <v>78</v>
      </c>
      <c r="T6758" t="s">
        <v>55</v>
      </c>
      <c r="U6758" t="s">
        <v>78</v>
      </c>
      <c r="V6758" t="s">
        <v>55</v>
      </c>
      <c r="W6758" t="s">
        <v>78</v>
      </c>
      <c r="X6758" t="s">
        <v>55</v>
      </c>
      <c r="Y6758" t="s">
        <v>78</v>
      </c>
      <c r="Z6758" t="s">
        <v>55</v>
      </c>
      <c r="AA6758" t="s">
        <v>78</v>
      </c>
      <c r="AB6758" t="s">
        <v>55</v>
      </c>
      <c r="AC6758" t="s">
        <v>78</v>
      </c>
      <c r="AD6758" t="s">
        <v>55</v>
      </c>
      <c r="AE6758" t="s">
        <v>78</v>
      </c>
      <c r="AF6758" t="s">
        <v>55</v>
      </c>
      <c r="AG6758" t="s">
        <v>78</v>
      </c>
      <c r="AH6758" t="s">
        <v>55</v>
      </c>
      <c r="AI6758" t="s">
        <v>78</v>
      </c>
      <c r="AK6758" t="s">
        <v>364</v>
      </c>
    </row>
    <row r="6759" spans="1:37">
      <c r="B6759" t="s">
        <v>56</v>
      </c>
      <c r="C6759" t="s">
        <v>56</v>
      </c>
      <c r="D6759" t="s">
        <v>56</v>
      </c>
      <c r="E6759" t="s">
        <v>56</v>
      </c>
      <c r="F6759" t="s">
        <v>56</v>
      </c>
      <c r="G6759" t="s">
        <v>176</v>
      </c>
      <c r="H6759" t="s">
        <v>211</v>
      </c>
      <c r="I6759" t="s">
        <v>231</v>
      </c>
      <c r="J6759" t="s">
        <v>250</v>
      </c>
      <c r="K6759" t="s">
        <v>264</v>
      </c>
      <c r="L6759" t="s">
        <v>276</v>
      </c>
      <c r="M6759" t="s">
        <v>285</v>
      </c>
      <c r="N6759" t="s">
        <v>295</v>
      </c>
      <c r="O6759" t="s">
        <v>303</v>
      </c>
      <c r="P6759" t="s">
        <v>56</v>
      </c>
      <c r="Q6759" t="s">
        <v>317</v>
      </c>
      <c r="R6759" t="s">
        <v>324</v>
      </c>
      <c r="S6759" t="s">
        <v>331</v>
      </c>
      <c r="T6759" t="s">
        <v>334</v>
      </c>
      <c r="U6759" t="s">
        <v>338</v>
      </c>
      <c r="V6759" t="s">
        <v>342</v>
      </c>
      <c r="W6759" t="s">
        <v>346</v>
      </c>
      <c r="X6759" t="s">
        <v>351</v>
      </c>
      <c r="AK6759" t="s">
        <v>364</v>
      </c>
    </row>
    <row r="6760" spans="1:37">
      <c r="B6760" t="s">
        <v>57</v>
      </c>
      <c r="C6760" t="s">
        <v>79</v>
      </c>
      <c r="D6760" t="s">
        <v>98</v>
      </c>
      <c r="E6760" t="s">
        <v>117</v>
      </c>
      <c r="F6760" t="s">
        <v>151</v>
      </c>
      <c r="G6760" t="s">
        <v>177</v>
      </c>
      <c r="H6760" t="s">
        <v>212</v>
      </c>
      <c r="I6760" t="s">
        <v>232</v>
      </c>
      <c r="J6760" t="s">
        <v>251</v>
      </c>
      <c r="K6760" t="s">
        <v>265</v>
      </c>
      <c r="L6760" t="s">
        <v>277</v>
      </c>
      <c r="M6760" t="s">
        <v>286</v>
      </c>
      <c r="N6760" t="s">
        <v>296</v>
      </c>
      <c r="O6760" t="s">
        <v>304</v>
      </c>
      <c r="P6760" t="s">
        <v>311</v>
      </c>
      <c r="Q6760" t="s">
        <v>318</v>
      </c>
      <c r="R6760" t="s">
        <v>185</v>
      </c>
      <c r="S6760" t="s">
        <v>159</v>
      </c>
      <c r="T6760" t="s">
        <v>185</v>
      </c>
      <c r="U6760" t="s">
        <v>339</v>
      </c>
      <c r="V6760" t="s">
        <v>72</v>
      </c>
      <c r="W6760" t="s">
        <v>347</v>
      </c>
      <c r="X6760" t="s">
        <v>72</v>
      </c>
      <c r="Y6760" t="s">
        <v>96</v>
      </c>
      <c r="AK6760" t="s">
        <v>364</v>
      </c>
    </row>
    <row r="6761" spans="1:37">
      <c r="B6761" t="s">
        <v>58</v>
      </c>
      <c r="C6761" t="s">
        <v>80</v>
      </c>
      <c r="D6761" t="s">
        <v>99</v>
      </c>
      <c r="E6761" t="s">
        <v>118</v>
      </c>
      <c r="F6761" t="s">
        <v>152</v>
      </c>
      <c r="G6761" t="s">
        <v>178</v>
      </c>
      <c r="H6761" t="s">
        <v>213</v>
      </c>
      <c r="I6761" t="s">
        <v>233</v>
      </c>
      <c r="J6761" t="s">
        <v>252</v>
      </c>
      <c r="K6761" t="s">
        <v>266</v>
      </c>
      <c r="L6761" t="s">
        <v>278</v>
      </c>
      <c r="M6761" t="s">
        <v>287</v>
      </c>
      <c r="N6761" t="s">
        <v>297</v>
      </c>
      <c r="O6761" t="s">
        <v>305</v>
      </c>
      <c r="P6761" t="s">
        <v>312</v>
      </c>
      <c r="Q6761" t="s">
        <v>319</v>
      </c>
      <c r="R6761">
        <f>&gt;10       ветра      3.6     22  12</f>
        <v>0</v>
      </c>
      <c r="AK6761" t="s">
        <v>364</v>
      </c>
    </row>
    <row r="6762" spans="1:37">
      <c r="A6762" t="s">
        <v>40</v>
      </c>
      <c r="B6762" t="s">
        <v>59</v>
      </c>
      <c r="C6762" t="s">
        <v>81</v>
      </c>
      <c r="D6762" t="s">
        <v>100</v>
      </c>
      <c r="E6762" t="s">
        <v>119</v>
      </c>
      <c r="F6762" t="s">
        <v>153</v>
      </c>
      <c r="G6762" t="s">
        <v>179</v>
      </c>
      <c r="H6762" t="s">
        <v>214</v>
      </c>
      <c r="I6762" t="s">
        <v>234</v>
      </c>
      <c r="AK6762" t="s">
        <v>364</v>
      </c>
    </row>
    <row r="6763" spans="1:37">
      <c r="A6763" t="s">
        <v>40</v>
      </c>
      <c r="B6763" t="s">
        <v>60</v>
      </c>
      <c r="C6763" t="s">
        <v>82</v>
      </c>
      <c r="D6763" t="s">
        <v>101</v>
      </c>
      <c r="E6763" t="s">
        <v>120</v>
      </c>
      <c r="F6763" t="s">
        <v>154</v>
      </c>
      <c r="G6763" t="s">
        <v>180</v>
      </c>
      <c r="H6763" t="s">
        <v>215</v>
      </c>
      <c r="I6763" t="s">
        <v>235</v>
      </c>
      <c r="J6763" t="s">
        <v>253</v>
      </c>
      <c r="K6763" t="s">
        <v>267</v>
      </c>
      <c r="L6763" t="s">
        <v>279</v>
      </c>
      <c r="M6763" t="s">
        <v>288</v>
      </c>
      <c r="N6763" t="s">
        <v>100</v>
      </c>
      <c r="O6763" t="s">
        <v>306</v>
      </c>
      <c r="P6763" t="s">
        <v>313</v>
      </c>
      <c r="Q6763" t="s">
        <v>320</v>
      </c>
      <c r="R6763" t="s">
        <v>325</v>
      </c>
      <c r="S6763" t="s">
        <v>332</v>
      </c>
      <c r="T6763" t="s">
        <v>119</v>
      </c>
      <c r="U6763" t="s">
        <v>234</v>
      </c>
      <c r="V6763" t="s">
        <v>343</v>
      </c>
      <c r="W6763" t="s">
        <v>348</v>
      </c>
      <c r="X6763" t="s">
        <v>352</v>
      </c>
      <c r="Y6763" t="s">
        <v>354</v>
      </c>
      <c r="AK6763" t="s">
        <v>364</v>
      </c>
    </row>
    <row r="6764" spans="1:37">
      <c r="A6764" t="s">
        <v>41</v>
      </c>
      <c r="B6764" t="s">
        <v>61</v>
      </c>
      <c r="C6764" t="s">
        <v>83</v>
      </c>
      <c r="D6764" t="s">
        <v>102</v>
      </c>
      <c r="E6764" t="s">
        <v>121</v>
      </c>
      <c r="F6764" t="s">
        <v>155</v>
      </c>
      <c r="G6764" t="s">
        <v>181</v>
      </c>
      <c r="H6764" t="s">
        <v>216</v>
      </c>
      <c r="I6764" t="s">
        <v>236</v>
      </c>
      <c r="AK6764" t="s">
        <v>364</v>
      </c>
    </row>
    <row r="6765" spans="1:37">
      <c r="A6765" t="s">
        <v>42</v>
      </c>
      <c r="B6765" t="s">
        <v>62</v>
      </c>
      <c r="C6765" t="s">
        <v>84</v>
      </c>
      <c r="D6765" t="s">
        <v>103</v>
      </c>
      <c r="E6765" t="s">
        <v>122</v>
      </c>
      <c r="F6765" t="s">
        <v>156</v>
      </c>
      <c r="G6765" t="s">
        <v>182</v>
      </c>
      <c r="H6765" t="s">
        <v>83</v>
      </c>
      <c r="I6765" t="s">
        <v>237</v>
      </c>
      <c r="J6765" t="s">
        <v>254</v>
      </c>
      <c r="K6765" t="s">
        <v>268</v>
      </c>
      <c r="L6765" t="s">
        <v>280</v>
      </c>
      <c r="M6765" t="s">
        <v>289</v>
      </c>
      <c r="N6765" t="s">
        <v>298</v>
      </c>
      <c r="O6765" t="s">
        <v>307</v>
      </c>
      <c r="P6765" t="s">
        <v>314</v>
      </c>
      <c r="Q6765" t="s">
        <v>216</v>
      </c>
      <c r="R6765" t="s">
        <v>326</v>
      </c>
      <c r="S6765" t="s">
        <v>333</v>
      </c>
      <c r="T6765" t="s">
        <v>335</v>
      </c>
      <c r="U6765" t="s">
        <v>340</v>
      </c>
      <c r="V6765" t="s">
        <v>344</v>
      </c>
      <c r="W6765" t="s">
        <v>349</v>
      </c>
      <c r="AK6765" t="s">
        <v>364</v>
      </c>
    </row>
    <row r="6766" spans="1:37">
      <c r="A6766" t="s">
        <v>43</v>
      </c>
      <c r="B6766" t="s">
        <v>63</v>
      </c>
      <c r="C6766" t="s">
        <v>85</v>
      </c>
      <c r="D6766" t="s">
        <v>104</v>
      </c>
      <c r="E6766" t="s">
        <v>123</v>
      </c>
      <c r="F6766" t="s">
        <v>157</v>
      </c>
      <c r="G6766" t="s">
        <v>183</v>
      </c>
      <c r="AK6766" t="s">
        <v>364</v>
      </c>
    </row>
    <row r="6767" spans="1:37">
      <c r="A6767" t="s">
        <v>44</v>
      </c>
      <c r="B6767" t="s">
        <v>64</v>
      </c>
      <c r="C6767" t="s">
        <v>86</v>
      </c>
      <c r="D6767" t="s">
        <v>105</v>
      </c>
      <c r="E6767" t="s">
        <v>124</v>
      </c>
      <c r="F6767" t="s">
        <v>158</v>
      </c>
      <c r="G6767" t="s">
        <v>184</v>
      </c>
      <c r="AK6767" t="s">
        <v>364</v>
      </c>
    </row>
    <row r="6768" spans="1:37">
      <c r="A6768" t="s">
        <v>45</v>
      </c>
      <c r="B6768" t="s">
        <v>65</v>
      </c>
      <c r="C6768" t="s">
        <v>87</v>
      </c>
      <c r="D6768" t="s">
        <v>106</v>
      </c>
      <c r="E6768" t="s">
        <v>125</v>
      </c>
      <c r="F6768" t="s">
        <v>159</v>
      </c>
      <c r="G6768" t="s">
        <v>185</v>
      </c>
      <c r="H6768" t="s">
        <v>159</v>
      </c>
      <c r="I6768" t="s">
        <v>185</v>
      </c>
      <c r="J6768" t="s">
        <v>255</v>
      </c>
      <c r="AK6768" t="s">
        <v>364</v>
      </c>
    </row>
    <row r="6769" spans="1:37">
      <c r="A6769" t="s">
        <v>46</v>
      </c>
      <c r="B6769" t="s">
        <v>66</v>
      </c>
      <c r="C6769" t="s">
        <v>88</v>
      </c>
      <c r="D6769" t="s">
        <v>76</v>
      </c>
      <c r="E6769" t="s">
        <v>126</v>
      </c>
      <c r="F6769" t="s">
        <v>160</v>
      </c>
      <c r="G6769" t="s">
        <v>186</v>
      </c>
      <c r="H6769" t="s">
        <v>217</v>
      </c>
      <c r="I6769" t="s">
        <v>238</v>
      </c>
      <c r="J6769" t="s">
        <v>256</v>
      </c>
      <c r="K6769" t="s">
        <v>265</v>
      </c>
      <c r="L6769" t="s">
        <v>281</v>
      </c>
      <c r="M6769" t="s">
        <v>290</v>
      </c>
      <c r="N6769" t="s">
        <v>299</v>
      </c>
      <c r="O6769" t="s">
        <v>308</v>
      </c>
      <c r="P6769" t="s">
        <v>228</v>
      </c>
      <c r="Q6769" t="s">
        <v>72</v>
      </c>
      <c r="R6769" t="s">
        <v>327</v>
      </c>
      <c r="S6769" t="s">
        <v>327</v>
      </c>
      <c r="T6769" t="s">
        <v>336</v>
      </c>
      <c r="U6769" t="s">
        <v>336</v>
      </c>
      <c r="V6769" t="s">
        <v>336</v>
      </c>
      <c r="W6769" t="s">
        <v>336</v>
      </c>
      <c r="X6769" t="s">
        <v>353</v>
      </c>
      <c r="AK6769" t="s">
        <v>364</v>
      </c>
    </row>
    <row r="6770" spans="1:37">
      <c r="A6770" t="s">
        <v>37</v>
      </c>
      <c r="B6770" t="s">
        <v>49</v>
      </c>
      <c r="C6770" t="s">
        <v>73</v>
      </c>
      <c r="D6770" t="s">
        <v>94</v>
      </c>
      <c r="E6770" t="s">
        <v>112</v>
      </c>
      <c r="F6770" t="s">
        <v>146</v>
      </c>
      <c r="G6770" t="s">
        <v>172</v>
      </c>
      <c r="H6770" t="s">
        <v>207</v>
      </c>
      <c r="I6770" t="s">
        <v>226</v>
      </c>
      <c r="J6770" t="s">
        <v>246</v>
      </c>
      <c r="K6770" t="s">
        <v>259</v>
      </c>
      <c r="AK6770" t="s">
        <v>364</v>
      </c>
    </row>
    <row r="6771" spans="1:37">
      <c r="A6771" t="s">
        <v>38</v>
      </c>
      <c r="B6771" t="s">
        <v>50</v>
      </c>
      <c r="C6771" t="s">
        <v>74</v>
      </c>
      <c r="D6771" t="s">
        <v>95</v>
      </c>
      <c r="E6771" t="s">
        <v>113</v>
      </c>
      <c r="F6771" t="s">
        <v>147</v>
      </c>
      <c r="G6771" t="s">
        <v>173</v>
      </c>
      <c r="H6771" t="s">
        <v>208</v>
      </c>
      <c r="I6771" t="s">
        <v>227</v>
      </c>
      <c r="J6771" t="s">
        <v>115</v>
      </c>
      <c r="K6771" t="s">
        <v>260</v>
      </c>
      <c r="L6771" t="s">
        <v>273</v>
      </c>
      <c r="M6771" t="s">
        <v>282</v>
      </c>
      <c r="N6771" t="s">
        <v>291</v>
      </c>
      <c r="AK6771" t="s">
        <v>364</v>
      </c>
    </row>
    <row r="6772" spans="1:37">
      <c r="B6772" t="s">
        <v>51</v>
      </c>
      <c r="C6772" t="s">
        <v>75</v>
      </c>
      <c r="D6772" t="s">
        <v>52</v>
      </c>
      <c r="E6772" t="s">
        <v>114</v>
      </c>
      <c r="F6772" t="s">
        <v>148</v>
      </c>
      <c r="G6772" t="s">
        <v>148</v>
      </c>
      <c r="H6772" t="s">
        <v>209</v>
      </c>
      <c r="I6772" t="s">
        <v>228</v>
      </c>
      <c r="J6772" t="s">
        <v>247</v>
      </c>
      <c r="K6772" t="s">
        <v>261</v>
      </c>
      <c r="L6772" t="s">
        <v>274</v>
      </c>
      <c r="M6772" t="s">
        <v>283</v>
      </c>
      <c r="N6772" t="s">
        <v>292</v>
      </c>
      <c r="O6772" t="s">
        <v>300</v>
      </c>
      <c r="AK6772" t="s">
        <v>364</v>
      </c>
    </row>
    <row r="6773" spans="1:37">
      <c r="B6773" t="s">
        <v>52</v>
      </c>
      <c r="C6773" t="s">
        <v>76</v>
      </c>
      <c r="D6773" t="s">
        <v>96</v>
      </c>
      <c r="E6773" t="s">
        <v>115</v>
      </c>
      <c r="F6773" t="s">
        <v>149</v>
      </c>
      <c r="G6773" t="s">
        <v>174</v>
      </c>
      <c r="H6773" t="s">
        <v>96</v>
      </c>
      <c r="I6773" t="s">
        <v>229</v>
      </c>
      <c r="J6773" t="s">
        <v>248</v>
      </c>
      <c r="K6773" t="s">
        <v>262</v>
      </c>
      <c r="L6773" t="s">
        <v>52</v>
      </c>
      <c r="M6773" t="s">
        <v>76</v>
      </c>
      <c r="N6773" t="s">
        <v>293</v>
      </c>
      <c r="O6773" t="s">
        <v>301</v>
      </c>
      <c r="P6773" t="s">
        <v>309</v>
      </c>
      <c r="Q6773" t="s">
        <v>315</v>
      </c>
      <c r="R6773" t="s">
        <v>228</v>
      </c>
      <c r="S6773" t="s">
        <v>328</v>
      </c>
      <c r="T6773" t="s">
        <v>149</v>
      </c>
      <c r="U6773" t="s">
        <v>337</v>
      </c>
      <c r="V6773" t="s">
        <v>341</v>
      </c>
      <c r="W6773" t="s">
        <v>345</v>
      </c>
      <c r="X6773" t="s">
        <v>350</v>
      </c>
      <c r="AK6773" t="s">
        <v>364</v>
      </c>
    </row>
    <row r="6774" spans="1:37">
      <c r="B6774" t="s">
        <v>53</v>
      </c>
      <c r="C6774" t="s">
        <v>77</v>
      </c>
      <c r="D6774" t="s">
        <v>97</v>
      </c>
      <c r="E6774" t="s">
        <v>116</v>
      </c>
      <c r="F6774" t="s">
        <v>150</v>
      </c>
      <c r="G6774" t="s">
        <v>175</v>
      </c>
      <c r="H6774" t="s">
        <v>210</v>
      </c>
      <c r="I6774" t="s">
        <v>230</v>
      </c>
      <c r="J6774" t="s">
        <v>249</v>
      </c>
      <c r="K6774" t="s">
        <v>263</v>
      </c>
      <c r="L6774" t="s">
        <v>275</v>
      </c>
      <c r="M6774" t="s">
        <v>284</v>
      </c>
      <c r="N6774" t="s">
        <v>294</v>
      </c>
      <c r="O6774" t="s">
        <v>302</v>
      </c>
      <c r="P6774" t="s">
        <v>310</v>
      </c>
      <c r="Q6774" t="s">
        <v>316</v>
      </c>
      <c r="R6774" t="s">
        <v>322</v>
      </c>
      <c r="S6774" t="s">
        <v>329</v>
      </c>
      <c r="AK6774" t="s">
        <v>364</v>
      </c>
    </row>
    <row r="6775" spans="1:37">
      <c r="A6775" t="s">
        <v>39</v>
      </c>
      <c r="B6775" t="s">
        <v>54</v>
      </c>
      <c r="C6775" t="s">
        <v>54</v>
      </c>
      <c r="D6775" t="s">
        <v>54</v>
      </c>
      <c r="E6775" t="s">
        <v>54</v>
      </c>
      <c r="F6775" t="s">
        <v>54</v>
      </c>
      <c r="G6775" t="s">
        <v>54</v>
      </c>
      <c r="H6775" t="s">
        <v>54</v>
      </c>
      <c r="I6775" t="s">
        <v>54</v>
      </c>
      <c r="J6775" t="s">
        <v>54</v>
      </c>
      <c r="K6775" t="s">
        <v>54</v>
      </c>
      <c r="L6775" t="s">
        <v>54</v>
      </c>
      <c r="M6775" t="s">
        <v>54</v>
      </c>
      <c r="N6775" t="s">
        <v>54</v>
      </c>
      <c r="O6775" t="s">
        <v>54</v>
      </c>
      <c r="P6775" t="s">
        <v>54</v>
      </c>
      <c r="Q6775" t="s">
        <v>54</v>
      </c>
      <c r="R6775" t="s">
        <v>323</v>
      </c>
      <c r="S6775" t="s">
        <v>330</v>
      </c>
      <c r="AK6775" t="s">
        <v>364</v>
      </c>
    </row>
    <row r="6776" spans="1:37">
      <c r="B6776" t="s">
        <v>55</v>
      </c>
      <c r="C6776" t="s">
        <v>78</v>
      </c>
      <c r="D6776" t="s">
        <v>55</v>
      </c>
      <c r="E6776" t="s">
        <v>78</v>
      </c>
      <c r="F6776" t="s">
        <v>55</v>
      </c>
      <c r="G6776" t="s">
        <v>78</v>
      </c>
      <c r="H6776" t="s">
        <v>55</v>
      </c>
      <c r="I6776" t="s">
        <v>78</v>
      </c>
      <c r="J6776" t="s">
        <v>55</v>
      </c>
      <c r="K6776" t="s">
        <v>78</v>
      </c>
      <c r="L6776" t="s">
        <v>55</v>
      </c>
      <c r="M6776" t="s">
        <v>78</v>
      </c>
      <c r="N6776" t="s">
        <v>55</v>
      </c>
      <c r="O6776" t="s">
        <v>78</v>
      </c>
      <c r="P6776" t="s">
        <v>55</v>
      </c>
      <c r="Q6776" t="s">
        <v>78</v>
      </c>
      <c r="R6776" t="s">
        <v>55</v>
      </c>
      <c r="S6776" t="s">
        <v>78</v>
      </c>
      <c r="T6776" t="s">
        <v>55</v>
      </c>
      <c r="U6776" t="s">
        <v>78</v>
      </c>
      <c r="V6776" t="s">
        <v>55</v>
      </c>
      <c r="W6776" t="s">
        <v>78</v>
      </c>
      <c r="X6776" t="s">
        <v>55</v>
      </c>
      <c r="Y6776" t="s">
        <v>78</v>
      </c>
      <c r="Z6776" t="s">
        <v>55</v>
      </c>
      <c r="AA6776" t="s">
        <v>78</v>
      </c>
      <c r="AB6776" t="s">
        <v>55</v>
      </c>
      <c r="AC6776" t="s">
        <v>78</v>
      </c>
      <c r="AD6776" t="s">
        <v>55</v>
      </c>
      <c r="AE6776" t="s">
        <v>78</v>
      </c>
      <c r="AF6776" t="s">
        <v>55</v>
      </c>
      <c r="AG6776" t="s">
        <v>78</v>
      </c>
      <c r="AH6776" t="s">
        <v>55</v>
      </c>
      <c r="AI6776" t="s">
        <v>78</v>
      </c>
      <c r="AK6776" t="s">
        <v>364</v>
      </c>
    </row>
    <row r="6777" spans="1:37">
      <c r="B6777" t="s">
        <v>56</v>
      </c>
      <c r="C6777" t="s">
        <v>56</v>
      </c>
      <c r="D6777" t="s">
        <v>56</v>
      </c>
      <c r="E6777" t="s">
        <v>56</v>
      </c>
      <c r="F6777" t="s">
        <v>56</v>
      </c>
      <c r="G6777" t="s">
        <v>176</v>
      </c>
      <c r="H6777" t="s">
        <v>211</v>
      </c>
      <c r="I6777" t="s">
        <v>231</v>
      </c>
      <c r="J6777" t="s">
        <v>250</v>
      </c>
      <c r="K6777" t="s">
        <v>264</v>
      </c>
      <c r="L6777" t="s">
        <v>276</v>
      </c>
      <c r="M6777" t="s">
        <v>285</v>
      </c>
      <c r="N6777" t="s">
        <v>295</v>
      </c>
      <c r="O6777" t="s">
        <v>303</v>
      </c>
      <c r="P6777" t="s">
        <v>56</v>
      </c>
      <c r="Q6777" t="s">
        <v>317</v>
      </c>
      <c r="R6777" t="s">
        <v>324</v>
      </c>
      <c r="S6777" t="s">
        <v>331</v>
      </c>
      <c r="T6777" t="s">
        <v>334</v>
      </c>
      <c r="U6777" t="s">
        <v>338</v>
      </c>
      <c r="V6777" t="s">
        <v>342</v>
      </c>
      <c r="W6777" t="s">
        <v>346</v>
      </c>
      <c r="X6777" t="s">
        <v>351</v>
      </c>
      <c r="AK6777" t="s">
        <v>364</v>
      </c>
    </row>
    <row r="6778" spans="1:37">
      <c r="B6778" t="s">
        <v>57</v>
      </c>
      <c r="C6778" t="s">
        <v>79</v>
      </c>
      <c r="D6778" t="s">
        <v>98</v>
      </c>
      <c r="E6778" t="s">
        <v>117</v>
      </c>
      <c r="F6778" t="s">
        <v>151</v>
      </c>
      <c r="G6778" t="s">
        <v>177</v>
      </c>
      <c r="H6778" t="s">
        <v>212</v>
      </c>
      <c r="I6778" t="s">
        <v>232</v>
      </c>
      <c r="J6778" t="s">
        <v>251</v>
      </c>
      <c r="K6778" t="s">
        <v>265</v>
      </c>
      <c r="L6778" t="s">
        <v>277</v>
      </c>
      <c r="M6778" t="s">
        <v>286</v>
      </c>
      <c r="N6778" t="s">
        <v>296</v>
      </c>
      <c r="O6778" t="s">
        <v>304</v>
      </c>
      <c r="P6778" t="s">
        <v>311</v>
      </c>
      <c r="Q6778" t="s">
        <v>318</v>
      </c>
      <c r="R6778" t="s">
        <v>185</v>
      </c>
      <c r="S6778" t="s">
        <v>159</v>
      </c>
      <c r="T6778" t="s">
        <v>185</v>
      </c>
      <c r="U6778" t="s">
        <v>339</v>
      </c>
      <c r="V6778" t="s">
        <v>72</v>
      </c>
      <c r="W6778" t="s">
        <v>347</v>
      </c>
      <c r="X6778" t="s">
        <v>72</v>
      </c>
      <c r="Y6778" t="s">
        <v>96</v>
      </c>
      <c r="AK6778" t="s">
        <v>364</v>
      </c>
    </row>
    <row r="6779" spans="1:37">
      <c r="B6779" t="s">
        <v>58</v>
      </c>
      <c r="C6779" t="s">
        <v>80</v>
      </c>
      <c r="D6779" t="s">
        <v>99</v>
      </c>
      <c r="E6779" t="s">
        <v>118</v>
      </c>
      <c r="F6779" t="s">
        <v>152</v>
      </c>
      <c r="G6779" t="s">
        <v>178</v>
      </c>
      <c r="H6779" t="s">
        <v>213</v>
      </c>
      <c r="I6779" t="s">
        <v>233</v>
      </c>
      <c r="J6779" t="s">
        <v>252</v>
      </c>
      <c r="K6779" t="s">
        <v>266</v>
      </c>
      <c r="L6779" t="s">
        <v>278</v>
      </c>
      <c r="M6779" t="s">
        <v>287</v>
      </c>
      <c r="N6779" t="s">
        <v>297</v>
      </c>
      <c r="O6779" t="s">
        <v>305</v>
      </c>
      <c r="P6779" t="s">
        <v>312</v>
      </c>
      <c r="Q6779" t="s">
        <v>319</v>
      </c>
      <c r="R6779">
        <f>&gt;10       ветра      2.2     20  12</f>
        <v>0</v>
      </c>
      <c r="AK6779" t="s">
        <v>364</v>
      </c>
    </row>
    <row r="6780" spans="1:37">
      <c r="A6780" t="s">
        <v>40</v>
      </c>
      <c r="B6780" t="s">
        <v>59</v>
      </c>
      <c r="C6780" t="s">
        <v>81</v>
      </c>
      <c r="D6780" t="s">
        <v>100</v>
      </c>
      <c r="E6780" t="s">
        <v>119</v>
      </c>
      <c r="F6780" t="s">
        <v>153</v>
      </c>
      <c r="G6780" t="s">
        <v>179</v>
      </c>
      <c r="H6780" t="s">
        <v>214</v>
      </c>
      <c r="I6780" t="s">
        <v>234</v>
      </c>
      <c r="AK6780" t="s">
        <v>364</v>
      </c>
    </row>
    <row r="6781" spans="1:37">
      <c r="A6781" t="s">
        <v>40</v>
      </c>
      <c r="B6781" t="s">
        <v>60</v>
      </c>
      <c r="C6781" t="s">
        <v>82</v>
      </c>
      <c r="D6781" t="s">
        <v>101</v>
      </c>
      <c r="E6781" t="s">
        <v>120</v>
      </c>
      <c r="F6781" t="s">
        <v>154</v>
      </c>
      <c r="G6781" t="s">
        <v>180</v>
      </c>
      <c r="H6781" t="s">
        <v>215</v>
      </c>
      <c r="I6781" t="s">
        <v>235</v>
      </c>
      <c r="J6781" t="s">
        <v>253</v>
      </c>
      <c r="K6781" t="s">
        <v>267</v>
      </c>
      <c r="L6781" t="s">
        <v>279</v>
      </c>
      <c r="M6781" t="s">
        <v>288</v>
      </c>
      <c r="N6781" t="s">
        <v>100</v>
      </c>
      <c r="O6781" t="s">
        <v>306</v>
      </c>
      <c r="P6781" t="s">
        <v>313</v>
      </c>
      <c r="Q6781" t="s">
        <v>320</v>
      </c>
      <c r="R6781" t="s">
        <v>325</v>
      </c>
      <c r="S6781" t="s">
        <v>332</v>
      </c>
      <c r="T6781" t="s">
        <v>119</v>
      </c>
      <c r="U6781" t="s">
        <v>234</v>
      </c>
      <c r="V6781" t="s">
        <v>343</v>
      </c>
      <c r="W6781" t="s">
        <v>348</v>
      </c>
      <c r="X6781" t="s">
        <v>352</v>
      </c>
      <c r="Y6781" t="s">
        <v>354</v>
      </c>
      <c r="AK6781" t="s">
        <v>364</v>
      </c>
    </row>
    <row r="6782" spans="1:37">
      <c r="A6782" t="s">
        <v>41</v>
      </c>
      <c r="B6782" t="s">
        <v>61</v>
      </c>
      <c r="C6782" t="s">
        <v>83</v>
      </c>
      <c r="D6782" t="s">
        <v>102</v>
      </c>
      <c r="E6782" t="s">
        <v>121</v>
      </c>
      <c r="F6782" t="s">
        <v>155</v>
      </c>
      <c r="G6782" t="s">
        <v>181</v>
      </c>
      <c r="H6782" t="s">
        <v>216</v>
      </c>
      <c r="I6782" t="s">
        <v>236</v>
      </c>
      <c r="AK6782" t="s">
        <v>364</v>
      </c>
    </row>
    <row r="6783" spans="1:37">
      <c r="A6783" t="s">
        <v>42</v>
      </c>
      <c r="B6783" t="s">
        <v>62</v>
      </c>
      <c r="C6783" t="s">
        <v>84</v>
      </c>
      <c r="D6783" t="s">
        <v>103</v>
      </c>
      <c r="E6783" t="s">
        <v>122</v>
      </c>
      <c r="F6783" t="s">
        <v>156</v>
      </c>
      <c r="G6783" t="s">
        <v>182</v>
      </c>
      <c r="H6783" t="s">
        <v>83</v>
      </c>
      <c r="I6783" t="s">
        <v>237</v>
      </c>
      <c r="J6783" t="s">
        <v>254</v>
      </c>
      <c r="K6783" t="s">
        <v>268</v>
      </c>
      <c r="L6783" t="s">
        <v>280</v>
      </c>
      <c r="M6783" t="s">
        <v>289</v>
      </c>
      <c r="N6783" t="s">
        <v>298</v>
      </c>
      <c r="O6783" t="s">
        <v>307</v>
      </c>
      <c r="P6783" t="s">
        <v>314</v>
      </c>
      <c r="Q6783" t="s">
        <v>216</v>
      </c>
      <c r="R6783" t="s">
        <v>326</v>
      </c>
      <c r="S6783" t="s">
        <v>333</v>
      </c>
      <c r="T6783" t="s">
        <v>335</v>
      </c>
      <c r="U6783" t="s">
        <v>340</v>
      </c>
      <c r="V6783" t="s">
        <v>344</v>
      </c>
      <c r="W6783" t="s">
        <v>349</v>
      </c>
      <c r="AK6783" t="s">
        <v>364</v>
      </c>
    </row>
    <row r="6784" spans="1:37">
      <c r="A6784" t="s">
        <v>43</v>
      </c>
      <c r="B6784" t="s">
        <v>63</v>
      </c>
      <c r="C6784" t="s">
        <v>85</v>
      </c>
      <c r="D6784" t="s">
        <v>104</v>
      </c>
      <c r="E6784" t="s">
        <v>123</v>
      </c>
      <c r="F6784" t="s">
        <v>157</v>
      </c>
      <c r="G6784" t="s">
        <v>183</v>
      </c>
      <c r="AK6784" t="s">
        <v>364</v>
      </c>
    </row>
    <row r="6785" spans="1:37">
      <c r="A6785" t="s">
        <v>44</v>
      </c>
      <c r="B6785" t="s">
        <v>64</v>
      </c>
      <c r="C6785" t="s">
        <v>86</v>
      </c>
      <c r="D6785" t="s">
        <v>105</v>
      </c>
      <c r="E6785" t="s">
        <v>124</v>
      </c>
      <c r="F6785" t="s">
        <v>158</v>
      </c>
      <c r="G6785" t="s">
        <v>184</v>
      </c>
      <c r="AK6785" t="s">
        <v>364</v>
      </c>
    </row>
    <row r="6786" spans="1:37">
      <c r="A6786" t="s">
        <v>45</v>
      </c>
      <c r="B6786" t="s">
        <v>65</v>
      </c>
      <c r="C6786" t="s">
        <v>87</v>
      </c>
      <c r="D6786" t="s">
        <v>106</v>
      </c>
      <c r="E6786" t="s">
        <v>125</v>
      </c>
      <c r="F6786" t="s">
        <v>159</v>
      </c>
      <c r="G6786" t="s">
        <v>185</v>
      </c>
      <c r="H6786" t="s">
        <v>159</v>
      </c>
      <c r="I6786" t="s">
        <v>185</v>
      </c>
      <c r="J6786" t="s">
        <v>255</v>
      </c>
      <c r="AK6786" t="s">
        <v>364</v>
      </c>
    </row>
    <row r="6787" spans="1:37">
      <c r="A6787" t="s">
        <v>46</v>
      </c>
      <c r="B6787" t="s">
        <v>66</v>
      </c>
      <c r="C6787" t="s">
        <v>88</v>
      </c>
      <c r="D6787" t="s">
        <v>76</v>
      </c>
      <c r="E6787" t="s">
        <v>126</v>
      </c>
      <c r="F6787" t="s">
        <v>160</v>
      </c>
      <c r="G6787" t="s">
        <v>186</v>
      </c>
      <c r="H6787" t="s">
        <v>217</v>
      </c>
      <c r="I6787" t="s">
        <v>238</v>
      </c>
      <c r="J6787" t="s">
        <v>256</v>
      </c>
      <c r="K6787" t="s">
        <v>265</v>
      </c>
      <c r="L6787" t="s">
        <v>281</v>
      </c>
      <c r="M6787" t="s">
        <v>290</v>
      </c>
      <c r="N6787" t="s">
        <v>299</v>
      </c>
      <c r="O6787" t="s">
        <v>308</v>
      </c>
      <c r="P6787" t="s">
        <v>228</v>
      </c>
      <c r="Q6787" t="s">
        <v>72</v>
      </c>
      <c r="R6787" t="s">
        <v>327</v>
      </c>
      <c r="S6787" t="s">
        <v>327</v>
      </c>
      <c r="T6787" t="s">
        <v>336</v>
      </c>
      <c r="U6787" t="s">
        <v>336</v>
      </c>
      <c r="V6787" t="s">
        <v>336</v>
      </c>
      <c r="W6787" t="s">
        <v>336</v>
      </c>
      <c r="X6787" t="s">
        <v>353</v>
      </c>
      <c r="AK6787" t="s">
        <v>364</v>
      </c>
    </row>
    <row r="6788" spans="1:37">
      <c r="B6788" t="s">
        <v>67</v>
      </c>
      <c r="C6788" t="s">
        <v>89</v>
      </c>
      <c r="D6788" t="s">
        <v>107</v>
      </c>
      <c r="AK6788" t="s">
        <v>364</v>
      </c>
    </row>
    <row r="6789" spans="1:37">
      <c r="B6789" t="s">
        <v>68</v>
      </c>
      <c r="C6789" t="s">
        <v>90</v>
      </c>
      <c r="D6789" t="s">
        <v>108</v>
      </c>
      <c r="AK6789" t="s">
        <v>364</v>
      </c>
    </row>
    <row r="6790" spans="1:37">
      <c r="A6790" t="s">
        <v>47</v>
      </c>
      <c r="B6790" t="s">
        <v>69</v>
      </c>
      <c r="C6790" t="s">
        <v>91</v>
      </c>
      <c r="D6790" t="s">
        <v>109</v>
      </c>
      <c r="E6790" t="s">
        <v>109</v>
      </c>
      <c r="F6790" t="s">
        <v>109</v>
      </c>
      <c r="G6790" t="s">
        <v>109</v>
      </c>
      <c r="H6790" t="s">
        <v>109</v>
      </c>
      <c r="I6790" t="s">
        <v>239</v>
      </c>
      <c r="AK6790" t="s">
        <v>364</v>
      </c>
    </row>
    <row r="6791" spans="1:37">
      <c r="B6791" t="s">
        <v>70</v>
      </c>
      <c r="C6791" t="s">
        <v>92</v>
      </c>
      <c r="D6791" t="s">
        <v>110</v>
      </c>
      <c r="E6791" t="s">
        <v>127</v>
      </c>
      <c r="F6791" t="s">
        <v>161</v>
      </c>
      <c r="G6791" t="s">
        <v>187</v>
      </c>
      <c r="H6791" t="s">
        <v>218</v>
      </c>
      <c r="AK6791" t="s">
        <v>364</v>
      </c>
    </row>
    <row r="6792" spans="1:37">
      <c r="B6792" t="s">
        <v>71</v>
      </c>
      <c r="C6792" t="s">
        <v>93</v>
      </c>
      <c r="D6792" t="s">
        <v>111</v>
      </c>
      <c r="E6792" t="s">
        <v>128</v>
      </c>
      <c r="F6792" t="s">
        <v>162</v>
      </c>
      <c r="G6792" t="s">
        <v>188</v>
      </c>
      <c r="H6792" t="s">
        <v>219</v>
      </c>
      <c r="I6792" t="s">
        <v>240</v>
      </c>
      <c r="J6792" t="s">
        <v>257</v>
      </c>
      <c r="K6792" t="s">
        <v>269</v>
      </c>
      <c r="L6792" t="s">
        <v>109</v>
      </c>
      <c r="M6792" t="s">
        <v>109</v>
      </c>
      <c r="N6792" t="s">
        <v>109</v>
      </c>
      <c r="O6792" t="s">
        <v>109</v>
      </c>
      <c r="P6792" t="s">
        <v>109</v>
      </c>
      <c r="Q6792" t="s">
        <v>321</v>
      </c>
      <c r="AK6792" t="s">
        <v>364</v>
      </c>
    </row>
    <row r="6793" spans="1:37">
      <c r="A6793" t="s">
        <v>48</v>
      </c>
      <c r="B6793" t="s">
        <v>71</v>
      </c>
      <c r="C6793" t="s">
        <v>93</v>
      </c>
      <c r="D6793" t="s">
        <v>111</v>
      </c>
      <c r="E6793" t="s">
        <v>128</v>
      </c>
      <c r="F6793" t="s">
        <v>163</v>
      </c>
      <c r="G6793" t="s">
        <v>189</v>
      </c>
      <c r="H6793" t="s">
        <v>220</v>
      </c>
      <c r="I6793" t="s">
        <v>241</v>
      </c>
      <c r="J6793" t="s">
        <v>258</v>
      </c>
      <c r="K6793" t="s">
        <v>270</v>
      </c>
      <c r="AK6793" t="s">
        <v>364</v>
      </c>
    </row>
    <row r="6794" spans="1:37">
      <c r="B6794" t="s">
        <v>72</v>
      </c>
      <c r="C6794" t="s">
        <v>72</v>
      </c>
      <c r="D6794" t="s">
        <v>72</v>
      </c>
      <c r="E6794" t="s">
        <v>72</v>
      </c>
      <c r="F6794" t="s">
        <v>72</v>
      </c>
      <c r="G6794" t="s">
        <v>72</v>
      </c>
      <c r="H6794" t="s">
        <v>72</v>
      </c>
      <c r="I6794" t="s">
        <v>72</v>
      </c>
      <c r="J6794" t="s">
        <v>72</v>
      </c>
      <c r="K6794" t="s">
        <v>272</v>
      </c>
      <c r="AK6794" t="s">
        <v>364</v>
      </c>
    </row>
    <row r="6795" spans="1:37">
      <c r="A6795" t="s">
        <v>37</v>
      </c>
      <c r="B6795" t="s">
        <v>49</v>
      </c>
      <c r="C6795" t="s">
        <v>73</v>
      </c>
      <c r="D6795" t="s">
        <v>94</v>
      </c>
      <c r="E6795" t="s">
        <v>112</v>
      </c>
      <c r="F6795" t="s">
        <v>146</v>
      </c>
      <c r="G6795" t="s">
        <v>172</v>
      </c>
      <c r="H6795" t="s">
        <v>207</v>
      </c>
      <c r="I6795" t="s">
        <v>226</v>
      </c>
      <c r="J6795" t="s">
        <v>246</v>
      </c>
      <c r="K6795" t="s">
        <v>259</v>
      </c>
      <c r="AK6795" t="s">
        <v>364</v>
      </c>
    </row>
    <row r="6796" spans="1:37">
      <c r="A6796" t="s">
        <v>38</v>
      </c>
      <c r="B6796" t="s">
        <v>50</v>
      </c>
      <c r="C6796" t="s">
        <v>74</v>
      </c>
      <c r="D6796" t="s">
        <v>95</v>
      </c>
      <c r="E6796" t="s">
        <v>113</v>
      </c>
      <c r="F6796" t="s">
        <v>147</v>
      </c>
      <c r="G6796" t="s">
        <v>173</v>
      </c>
      <c r="H6796" t="s">
        <v>208</v>
      </c>
      <c r="I6796" t="s">
        <v>227</v>
      </c>
      <c r="J6796" t="s">
        <v>115</v>
      </c>
      <c r="K6796" t="s">
        <v>260</v>
      </c>
      <c r="L6796" t="s">
        <v>273</v>
      </c>
      <c r="M6796" t="s">
        <v>282</v>
      </c>
      <c r="N6796" t="s">
        <v>291</v>
      </c>
      <c r="AK6796" t="s">
        <v>364</v>
      </c>
    </row>
    <row r="6797" spans="1:37">
      <c r="B6797" t="s">
        <v>51</v>
      </c>
      <c r="C6797" t="s">
        <v>75</v>
      </c>
      <c r="D6797" t="s">
        <v>52</v>
      </c>
      <c r="E6797" t="s">
        <v>114</v>
      </c>
      <c r="F6797" t="s">
        <v>148</v>
      </c>
      <c r="G6797" t="s">
        <v>148</v>
      </c>
      <c r="H6797" t="s">
        <v>209</v>
      </c>
      <c r="I6797" t="s">
        <v>228</v>
      </c>
      <c r="J6797" t="s">
        <v>247</v>
      </c>
      <c r="K6797" t="s">
        <v>261</v>
      </c>
      <c r="L6797" t="s">
        <v>274</v>
      </c>
      <c r="M6797" t="s">
        <v>283</v>
      </c>
      <c r="N6797" t="s">
        <v>292</v>
      </c>
      <c r="O6797" t="s">
        <v>300</v>
      </c>
      <c r="AK6797" t="s">
        <v>364</v>
      </c>
    </row>
    <row r="6798" spans="1:37">
      <c r="B6798" t="s">
        <v>52</v>
      </c>
      <c r="C6798" t="s">
        <v>76</v>
      </c>
      <c r="D6798" t="s">
        <v>96</v>
      </c>
      <c r="E6798" t="s">
        <v>115</v>
      </c>
      <c r="F6798" t="s">
        <v>149</v>
      </c>
      <c r="G6798" t="s">
        <v>174</v>
      </c>
      <c r="H6798" t="s">
        <v>96</v>
      </c>
      <c r="I6798" t="s">
        <v>229</v>
      </c>
      <c r="J6798" t="s">
        <v>248</v>
      </c>
      <c r="K6798" t="s">
        <v>262</v>
      </c>
      <c r="L6798" t="s">
        <v>52</v>
      </c>
      <c r="M6798" t="s">
        <v>76</v>
      </c>
      <c r="N6798" t="s">
        <v>293</v>
      </c>
      <c r="O6798" t="s">
        <v>301</v>
      </c>
      <c r="P6798" t="s">
        <v>309</v>
      </c>
      <c r="Q6798" t="s">
        <v>315</v>
      </c>
      <c r="R6798" t="s">
        <v>228</v>
      </c>
      <c r="S6798" t="s">
        <v>328</v>
      </c>
      <c r="T6798" t="s">
        <v>149</v>
      </c>
      <c r="U6798" t="s">
        <v>337</v>
      </c>
      <c r="V6798" t="s">
        <v>341</v>
      </c>
      <c r="W6798" t="s">
        <v>345</v>
      </c>
      <c r="X6798" t="s">
        <v>350</v>
      </c>
      <c r="AK6798" t="s">
        <v>364</v>
      </c>
    </row>
    <row r="6799" spans="1:37">
      <c r="B6799" t="s">
        <v>53</v>
      </c>
      <c r="C6799" t="s">
        <v>77</v>
      </c>
      <c r="D6799" t="s">
        <v>97</v>
      </c>
      <c r="E6799" t="s">
        <v>116</v>
      </c>
      <c r="F6799" t="s">
        <v>150</v>
      </c>
      <c r="G6799" t="s">
        <v>175</v>
      </c>
      <c r="H6799" t="s">
        <v>210</v>
      </c>
      <c r="I6799" t="s">
        <v>230</v>
      </c>
      <c r="J6799" t="s">
        <v>249</v>
      </c>
      <c r="K6799" t="s">
        <v>263</v>
      </c>
      <c r="L6799" t="s">
        <v>275</v>
      </c>
      <c r="M6799" t="s">
        <v>284</v>
      </c>
      <c r="N6799" t="s">
        <v>294</v>
      </c>
      <c r="O6799" t="s">
        <v>302</v>
      </c>
      <c r="P6799" t="s">
        <v>310</v>
      </c>
      <c r="Q6799" t="s">
        <v>316</v>
      </c>
      <c r="R6799" t="s">
        <v>322</v>
      </c>
      <c r="S6799" t="s">
        <v>329</v>
      </c>
      <c r="AK6799" t="s">
        <v>364</v>
      </c>
    </row>
    <row r="6800" spans="1:37">
      <c r="A6800" t="s">
        <v>39</v>
      </c>
      <c r="B6800" t="s">
        <v>54</v>
      </c>
      <c r="C6800" t="s">
        <v>54</v>
      </c>
      <c r="D6800" t="s">
        <v>54</v>
      </c>
      <c r="E6800" t="s">
        <v>54</v>
      </c>
      <c r="F6800" t="s">
        <v>54</v>
      </c>
      <c r="G6800" t="s">
        <v>54</v>
      </c>
      <c r="H6800" t="s">
        <v>54</v>
      </c>
      <c r="I6800" t="s">
        <v>54</v>
      </c>
      <c r="J6800" t="s">
        <v>54</v>
      </c>
      <c r="K6800" t="s">
        <v>54</v>
      </c>
      <c r="L6800" t="s">
        <v>54</v>
      </c>
      <c r="M6800" t="s">
        <v>54</v>
      </c>
      <c r="N6800" t="s">
        <v>54</v>
      </c>
      <c r="O6800" t="s">
        <v>54</v>
      </c>
      <c r="P6800" t="s">
        <v>54</v>
      </c>
      <c r="Q6800" t="s">
        <v>54</v>
      </c>
      <c r="R6800" t="s">
        <v>323</v>
      </c>
      <c r="S6800" t="s">
        <v>330</v>
      </c>
      <c r="AK6800" t="s">
        <v>364</v>
      </c>
    </row>
    <row r="6801" spans="1:37">
      <c r="B6801" t="s">
        <v>55</v>
      </c>
      <c r="C6801" t="s">
        <v>78</v>
      </c>
      <c r="D6801" t="s">
        <v>55</v>
      </c>
      <c r="E6801" t="s">
        <v>78</v>
      </c>
      <c r="F6801" t="s">
        <v>55</v>
      </c>
      <c r="G6801" t="s">
        <v>78</v>
      </c>
      <c r="H6801" t="s">
        <v>55</v>
      </c>
      <c r="I6801" t="s">
        <v>78</v>
      </c>
      <c r="J6801" t="s">
        <v>55</v>
      </c>
      <c r="K6801" t="s">
        <v>78</v>
      </c>
      <c r="L6801" t="s">
        <v>55</v>
      </c>
      <c r="M6801" t="s">
        <v>78</v>
      </c>
      <c r="N6801" t="s">
        <v>55</v>
      </c>
      <c r="O6801" t="s">
        <v>78</v>
      </c>
      <c r="P6801" t="s">
        <v>55</v>
      </c>
      <c r="Q6801" t="s">
        <v>78</v>
      </c>
      <c r="R6801" t="s">
        <v>55</v>
      </c>
      <c r="S6801" t="s">
        <v>78</v>
      </c>
      <c r="T6801" t="s">
        <v>55</v>
      </c>
      <c r="U6801" t="s">
        <v>78</v>
      </c>
      <c r="V6801" t="s">
        <v>55</v>
      </c>
      <c r="W6801" t="s">
        <v>78</v>
      </c>
      <c r="X6801" t="s">
        <v>55</v>
      </c>
      <c r="Y6801" t="s">
        <v>78</v>
      </c>
      <c r="Z6801" t="s">
        <v>55</v>
      </c>
      <c r="AA6801" t="s">
        <v>78</v>
      </c>
      <c r="AB6801" t="s">
        <v>55</v>
      </c>
      <c r="AC6801" t="s">
        <v>78</v>
      </c>
      <c r="AD6801" t="s">
        <v>55</v>
      </c>
      <c r="AE6801" t="s">
        <v>78</v>
      </c>
      <c r="AF6801" t="s">
        <v>55</v>
      </c>
      <c r="AG6801" t="s">
        <v>78</v>
      </c>
      <c r="AH6801" t="s">
        <v>55</v>
      </c>
      <c r="AI6801" t="s">
        <v>78</v>
      </c>
      <c r="AK6801" t="s">
        <v>364</v>
      </c>
    </row>
    <row r="6802" spans="1:37">
      <c r="B6802" t="s">
        <v>56</v>
      </c>
      <c r="C6802" t="s">
        <v>56</v>
      </c>
      <c r="D6802" t="s">
        <v>56</v>
      </c>
      <c r="E6802" t="s">
        <v>56</v>
      </c>
      <c r="F6802" t="s">
        <v>56</v>
      </c>
      <c r="G6802" t="s">
        <v>176</v>
      </c>
      <c r="H6802" t="s">
        <v>211</v>
      </c>
      <c r="I6802" t="s">
        <v>231</v>
      </c>
      <c r="J6802" t="s">
        <v>250</v>
      </c>
      <c r="K6802" t="s">
        <v>264</v>
      </c>
      <c r="L6802" t="s">
        <v>276</v>
      </c>
      <c r="M6802" t="s">
        <v>285</v>
      </c>
      <c r="N6802" t="s">
        <v>295</v>
      </c>
      <c r="O6802" t="s">
        <v>303</v>
      </c>
      <c r="P6802" t="s">
        <v>56</v>
      </c>
      <c r="Q6802" t="s">
        <v>317</v>
      </c>
      <c r="R6802" t="s">
        <v>324</v>
      </c>
      <c r="S6802" t="s">
        <v>331</v>
      </c>
      <c r="T6802" t="s">
        <v>334</v>
      </c>
      <c r="U6802" t="s">
        <v>338</v>
      </c>
      <c r="V6802" t="s">
        <v>342</v>
      </c>
      <c r="W6802" t="s">
        <v>346</v>
      </c>
      <c r="X6802" t="s">
        <v>351</v>
      </c>
      <c r="AK6802" t="s">
        <v>364</v>
      </c>
    </row>
    <row r="6803" spans="1:37">
      <c r="B6803" t="s">
        <v>57</v>
      </c>
      <c r="C6803" t="s">
        <v>79</v>
      </c>
      <c r="D6803" t="s">
        <v>98</v>
      </c>
      <c r="E6803" t="s">
        <v>117</v>
      </c>
      <c r="F6803" t="s">
        <v>151</v>
      </c>
      <c r="G6803" t="s">
        <v>177</v>
      </c>
      <c r="H6803" t="s">
        <v>212</v>
      </c>
      <c r="I6803" t="s">
        <v>232</v>
      </c>
      <c r="J6803" t="s">
        <v>251</v>
      </c>
      <c r="K6803" t="s">
        <v>265</v>
      </c>
      <c r="L6803" t="s">
        <v>277</v>
      </c>
      <c r="M6803" t="s">
        <v>286</v>
      </c>
      <c r="N6803" t="s">
        <v>296</v>
      </c>
      <c r="O6803" t="s">
        <v>304</v>
      </c>
      <c r="P6803" t="s">
        <v>311</v>
      </c>
      <c r="Q6803" t="s">
        <v>318</v>
      </c>
      <c r="R6803" t="s">
        <v>185</v>
      </c>
      <c r="S6803" t="s">
        <v>159</v>
      </c>
      <c r="T6803" t="s">
        <v>185</v>
      </c>
      <c r="U6803" t="s">
        <v>339</v>
      </c>
      <c r="V6803" t="s">
        <v>72</v>
      </c>
      <c r="W6803" t="s">
        <v>347</v>
      </c>
      <c r="X6803" t="s">
        <v>72</v>
      </c>
      <c r="Y6803" t="s">
        <v>96</v>
      </c>
      <c r="AK6803" t="s">
        <v>364</v>
      </c>
    </row>
    <row r="6804" spans="1:37">
      <c r="B6804" t="s">
        <v>58</v>
      </c>
      <c r="C6804" t="s">
        <v>80</v>
      </c>
      <c r="D6804" t="s">
        <v>99</v>
      </c>
      <c r="E6804" t="s">
        <v>118</v>
      </c>
      <c r="F6804" t="s">
        <v>152</v>
      </c>
      <c r="G6804" t="s">
        <v>178</v>
      </c>
      <c r="H6804" t="s">
        <v>213</v>
      </c>
      <c r="I6804" t="s">
        <v>233</v>
      </c>
      <c r="J6804" t="s">
        <v>252</v>
      </c>
      <c r="K6804" t="s">
        <v>266</v>
      </c>
      <c r="L6804" t="s">
        <v>278</v>
      </c>
      <c r="M6804" t="s">
        <v>287</v>
      </c>
      <c r="N6804" t="s">
        <v>297</v>
      </c>
      <c r="O6804" t="s">
        <v>305</v>
      </c>
      <c r="P6804" t="s">
        <v>312</v>
      </c>
      <c r="Q6804" t="s">
        <v>319</v>
      </c>
      <c r="R6804">
        <f>&gt;10       ветра      1.8     22  12</f>
        <v>0</v>
      </c>
      <c r="AK6804" t="s">
        <v>364</v>
      </c>
    </row>
    <row r="6805" spans="1:37">
      <c r="A6805" t="s">
        <v>40</v>
      </c>
      <c r="B6805" t="s">
        <v>59</v>
      </c>
      <c r="C6805" t="s">
        <v>81</v>
      </c>
      <c r="D6805" t="s">
        <v>100</v>
      </c>
      <c r="E6805" t="s">
        <v>119</v>
      </c>
      <c r="F6805" t="s">
        <v>153</v>
      </c>
      <c r="G6805" t="s">
        <v>179</v>
      </c>
      <c r="H6805" t="s">
        <v>214</v>
      </c>
      <c r="I6805" t="s">
        <v>234</v>
      </c>
      <c r="AK6805" t="s">
        <v>364</v>
      </c>
    </row>
    <row r="6806" spans="1:37">
      <c r="A6806" t="s">
        <v>40</v>
      </c>
      <c r="B6806" t="s">
        <v>60</v>
      </c>
      <c r="C6806" t="s">
        <v>82</v>
      </c>
      <c r="D6806" t="s">
        <v>101</v>
      </c>
      <c r="E6806" t="s">
        <v>120</v>
      </c>
      <c r="F6806" t="s">
        <v>154</v>
      </c>
      <c r="G6806" t="s">
        <v>180</v>
      </c>
      <c r="H6806" t="s">
        <v>215</v>
      </c>
      <c r="I6806" t="s">
        <v>235</v>
      </c>
      <c r="J6806" t="s">
        <v>253</v>
      </c>
      <c r="K6806" t="s">
        <v>267</v>
      </c>
      <c r="L6806" t="s">
        <v>279</v>
      </c>
      <c r="M6806" t="s">
        <v>288</v>
      </c>
      <c r="N6806" t="s">
        <v>100</v>
      </c>
      <c r="O6806" t="s">
        <v>306</v>
      </c>
      <c r="P6806" t="s">
        <v>313</v>
      </c>
      <c r="Q6806" t="s">
        <v>320</v>
      </c>
      <c r="R6806" t="s">
        <v>325</v>
      </c>
      <c r="S6806" t="s">
        <v>332</v>
      </c>
      <c r="T6806" t="s">
        <v>119</v>
      </c>
      <c r="U6806" t="s">
        <v>234</v>
      </c>
      <c r="V6806" t="s">
        <v>343</v>
      </c>
      <c r="W6806" t="s">
        <v>348</v>
      </c>
      <c r="X6806" t="s">
        <v>352</v>
      </c>
      <c r="Y6806" t="s">
        <v>354</v>
      </c>
      <c r="AK6806" t="s">
        <v>364</v>
      </c>
    </row>
    <row r="6807" spans="1:37">
      <c r="A6807" t="s">
        <v>41</v>
      </c>
      <c r="B6807" t="s">
        <v>61</v>
      </c>
      <c r="C6807" t="s">
        <v>83</v>
      </c>
      <c r="D6807" t="s">
        <v>102</v>
      </c>
      <c r="E6807" t="s">
        <v>121</v>
      </c>
      <c r="F6807" t="s">
        <v>155</v>
      </c>
      <c r="G6807" t="s">
        <v>181</v>
      </c>
      <c r="H6807" t="s">
        <v>216</v>
      </c>
      <c r="I6807" t="s">
        <v>236</v>
      </c>
      <c r="AK6807" t="s">
        <v>364</v>
      </c>
    </row>
    <row r="6808" spans="1:37">
      <c r="A6808" t="s">
        <v>42</v>
      </c>
      <c r="B6808" t="s">
        <v>62</v>
      </c>
      <c r="C6808" t="s">
        <v>84</v>
      </c>
      <c r="D6808" t="s">
        <v>103</v>
      </c>
      <c r="E6808" t="s">
        <v>122</v>
      </c>
      <c r="F6808" t="s">
        <v>156</v>
      </c>
      <c r="G6808" t="s">
        <v>182</v>
      </c>
      <c r="H6808" t="s">
        <v>83</v>
      </c>
      <c r="I6808" t="s">
        <v>237</v>
      </c>
      <c r="J6808" t="s">
        <v>254</v>
      </c>
      <c r="K6808" t="s">
        <v>268</v>
      </c>
      <c r="L6808" t="s">
        <v>280</v>
      </c>
      <c r="M6808" t="s">
        <v>289</v>
      </c>
      <c r="N6808" t="s">
        <v>298</v>
      </c>
      <c r="O6808" t="s">
        <v>307</v>
      </c>
      <c r="P6808" t="s">
        <v>314</v>
      </c>
      <c r="Q6808" t="s">
        <v>216</v>
      </c>
      <c r="R6808" t="s">
        <v>326</v>
      </c>
      <c r="S6808" t="s">
        <v>333</v>
      </c>
      <c r="T6808" t="s">
        <v>335</v>
      </c>
      <c r="U6808" t="s">
        <v>340</v>
      </c>
      <c r="V6808" t="s">
        <v>344</v>
      </c>
      <c r="W6808" t="s">
        <v>349</v>
      </c>
      <c r="AK6808" t="s">
        <v>364</v>
      </c>
    </row>
    <row r="6809" spans="1:37">
      <c r="A6809" t="s">
        <v>43</v>
      </c>
      <c r="B6809" t="s">
        <v>63</v>
      </c>
      <c r="C6809" t="s">
        <v>85</v>
      </c>
      <c r="D6809" t="s">
        <v>104</v>
      </c>
      <c r="E6809" t="s">
        <v>123</v>
      </c>
      <c r="F6809" t="s">
        <v>157</v>
      </c>
      <c r="G6809" t="s">
        <v>183</v>
      </c>
      <c r="AK6809" t="s">
        <v>364</v>
      </c>
    </row>
    <row r="6810" spans="1:37">
      <c r="A6810" t="s">
        <v>44</v>
      </c>
      <c r="B6810" t="s">
        <v>64</v>
      </c>
      <c r="C6810" t="s">
        <v>86</v>
      </c>
      <c r="D6810" t="s">
        <v>105</v>
      </c>
      <c r="E6810" t="s">
        <v>124</v>
      </c>
      <c r="F6810" t="s">
        <v>158</v>
      </c>
      <c r="G6810" t="s">
        <v>184</v>
      </c>
      <c r="AK6810" t="s">
        <v>364</v>
      </c>
    </row>
    <row r="6811" spans="1:37">
      <c r="A6811" t="s">
        <v>45</v>
      </c>
      <c r="B6811" t="s">
        <v>65</v>
      </c>
      <c r="C6811" t="s">
        <v>87</v>
      </c>
      <c r="D6811" t="s">
        <v>106</v>
      </c>
      <c r="E6811" t="s">
        <v>125</v>
      </c>
      <c r="F6811" t="s">
        <v>159</v>
      </c>
      <c r="G6811" t="s">
        <v>185</v>
      </c>
      <c r="H6811" t="s">
        <v>159</v>
      </c>
      <c r="I6811" t="s">
        <v>185</v>
      </c>
      <c r="J6811" t="s">
        <v>255</v>
      </c>
      <c r="AK6811" t="s">
        <v>364</v>
      </c>
    </row>
    <row r="6812" spans="1:37">
      <c r="A6812" t="s">
        <v>46</v>
      </c>
      <c r="B6812" t="s">
        <v>66</v>
      </c>
      <c r="C6812" t="s">
        <v>88</v>
      </c>
      <c r="D6812" t="s">
        <v>76</v>
      </c>
      <c r="E6812" t="s">
        <v>126</v>
      </c>
      <c r="F6812" t="s">
        <v>160</v>
      </c>
      <c r="G6812" t="s">
        <v>186</v>
      </c>
      <c r="H6812" t="s">
        <v>217</v>
      </c>
      <c r="I6812" t="s">
        <v>238</v>
      </c>
      <c r="J6812" t="s">
        <v>256</v>
      </c>
      <c r="K6812" t="s">
        <v>265</v>
      </c>
      <c r="L6812" t="s">
        <v>281</v>
      </c>
      <c r="M6812" t="s">
        <v>290</v>
      </c>
      <c r="N6812" t="s">
        <v>299</v>
      </c>
      <c r="O6812" t="s">
        <v>308</v>
      </c>
      <c r="P6812" t="s">
        <v>228</v>
      </c>
      <c r="Q6812" t="s">
        <v>72</v>
      </c>
      <c r="R6812" t="s">
        <v>327</v>
      </c>
      <c r="S6812" t="s">
        <v>327</v>
      </c>
      <c r="T6812" t="s">
        <v>336</v>
      </c>
      <c r="U6812" t="s">
        <v>336</v>
      </c>
      <c r="V6812" t="s">
        <v>336</v>
      </c>
      <c r="W6812" t="s">
        <v>336</v>
      </c>
      <c r="X6812" t="s">
        <v>353</v>
      </c>
      <c r="AK6812" t="s">
        <v>364</v>
      </c>
    </row>
    <row r="6813" spans="1:37">
      <c r="B6813" t="s">
        <v>67</v>
      </c>
      <c r="C6813" t="s">
        <v>89</v>
      </c>
      <c r="D6813" t="s">
        <v>107</v>
      </c>
      <c r="AK6813" t="s">
        <v>364</v>
      </c>
    </row>
    <row r="6814" spans="1:37">
      <c r="B6814" t="s">
        <v>68</v>
      </c>
      <c r="C6814" t="s">
        <v>90</v>
      </c>
      <c r="D6814" t="s">
        <v>108</v>
      </c>
      <c r="AK6814" t="s">
        <v>364</v>
      </c>
    </row>
    <row r="6815" spans="1:37">
      <c r="A6815" t="s">
        <v>47</v>
      </c>
      <c r="B6815" t="s">
        <v>69</v>
      </c>
      <c r="C6815" t="s">
        <v>91</v>
      </c>
      <c r="D6815" t="s">
        <v>109</v>
      </c>
      <c r="E6815" t="s">
        <v>109</v>
      </c>
      <c r="F6815" t="s">
        <v>109</v>
      </c>
      <c r="G6815" t="s">
        <v>109</v>
      </c>
      <c r="H6815" t="s">
        <v>109</v>
      </c>
      <c r="I6815" t="s">
        <v>239</v>
      </c>
      <c r="AK6815" t="s">
        <v>364</v>
      </c>
    </row>
    <row r="6816" spans="1:37">
      <c r="B6816" t="s">
        <v>70</v>
      </c>
      <c r="C6816" t="s">
        <v>92</v>
      </c>
      <c r="D6816" t="s">
        <v>110</v>
      </c>
      <c r="E6816" t="s">
        <v>127</v>
      </c>
      <c r="F6816" t="s">
        <v>161</v>
      </c>
      <c r="G6816" t="s">
        <v>187</v>
      </c>
      <c r="H6816" t="s">
        <v>218</v>
      </c>
      <c r="AK6816" t="s">
        <v>364</v>
      </c>
    </row>
    <row r="6817" spans="1:37">
      <c r="B6817" t="s">
        <v>71</v>
      </c>
      <c r="C6817" t="s">
        <v>93</v>
      </c>
      <c r="D6817" t="s">
        <v>111</v>
      </c>
      <c r="E6817" t="s">
        <v>128</v>
      </c>
      <c r="F6817" t="s">
        <v>162</v>
      </c>
      <c r="G6817" t="s">
        <v>188</v>
      </c>
      <c r="H6817" t="s">
        <v>219</v>
      </c>
      <c r="I6817" t="s">
        <v>240</v>
      </c>
      <c r="J6817" t="s">
        <v>257</v>
      </c>
      <c r="K6817" t="s">
        <v>269</v>
      </c>
      <c r="L6817" t="s">
        <v>109</v>
      </c>
      <c r="M6817" t="s">
        <v>109</v>
      </c>
      <c r="N6817" t="s">
        <v>109</v>
      </c>
      <c r="O6817" t="s">
        <v>109</v>
      </c>
      <c r="P6817" t="s">
        <v>109</v>
      </c>
      <c r="Q6817" t="s">
        <v>321</v>
      </c>
      <c r="AK6817" t="s">
        <v>364</v>
      </c>
    </row>
    <row r="6818" spans="1:37">
      <c r="A6818" t="s">
        <v>48</v>
      </c>
      <c r="B6818" t="s">
        <v>71</v>
      </c>
      <c r="C6818" t="s">
        <v>93</v>
      </c>
      <c r="D6818" t="s">
        <v>111</v>
      </c>
      <c r="E6818" t="s">
        <v>128</v>
      </c>
      <c r="F6818" t="s">
        <v>163</v>
      </c>
      <c r="G6818" t="s">
        <v>189</v>
      </c>
      <c r="H6818" t="s">
        <v>220</v>
      </c>
      <c r="I6818" t="s">
        <v>241</v>
      </c>
      <c r="J6818" t="s">
        <v>258</v>
      </c>
      <c r="K6818" t="s">
        <v>270</v>
      </c>
      <c r="AK6818" t="s">
        <v>364</v>
      </c>
    </row>
    <row r="6819" spans="1:37">
      <c r="B6819" t="s">
        <v>72</v>
      </c>
      <c r="C6819" t="s">
        <v>72</v>
      </c>
      <c r="D6819" t="s">
        <v>72</v>
      </c>
      <c r="E6819" t="s">
        <v>139</v>
      </c>
      <c r="F6819" t="s">
        <v>139</v>
      </c>
      <c r="G6819" t="s">
        <v>192</v>
      </c>
      <c r="H6819" t="s">
        <v>192</v>
      </c>
      <c r="I6819" t="s">
        <v>192</v>
      </c>
      <c r="J6819" t="s">
        <v>192</v>
      </c>
      <c r="K6819" t="s">
        <v>271</v>
      </c>
      <c r="AK6819" t="s">
        <v>364</v>
      </c>
    </row>
    <row r="6820" spans="1:37">
      <c r="A6820" t="s">
        <v>37</v>
      </c>
      <c r="B6820" t="s">
        <v>49</v>
      </c>
      <c r="C6820" t="s">
        <v>73</v>
      </c>
      <c r="D6820" t="s">
        <v>94</v>
      </c>
      <c r="E6820" t="s">
        <v>112</v>
      </c>
      <c r="F6820" t="s">
        <v>146</v>
      </c>
      <c r="G6820" t="s">
        <v>172</v>
      </c>
      <c r="H6820" t="s">
        <v>207</v>
      </c>
      <c r="I6820" t="s">
        <v>226</v>
      </c>
      <c r="J6820" t="s">
        <v>246</v>
      </c>
      <c r="K6820" t="s">
        <v>259</v>
      </c>
      <c r="AK6820" t="s">
        <v>364</v>
      </c>
    </row>
    <row r="6821" spans="1:37">
      <c r="A6821" t="s">
        <v>38</v>
      </c>
      <c r="B6821" t="s">
        <v>50</v>
      </c>
      <c r="C6821" t="s">
        <v>74</v>
      </c>
      <c r="D6821" t="s">
        <v>95</v>
      </c>
      <c r="E6821" t="s">
        <v>113</v>
      </c>
      <c r="F6821" t="s">
        <v>147</v>
      </c>
      <c r="G6821" t="s">
        <v>173</v>
      </c>
      <c r="H6821" t="s">
        <v>208</v>
      </c>
      <c r="I6821" t="s">
        <v>227</v>
      </c>
      <c r="J6821" t="s">
        <v>115</v>
      </c>
      <c r="K6821" t="s">
        <v>260</v>
      </c>
      <c r="L6821" t="s">
        <v>273</v>
      </c>
      <c r="M6821" t="s">
        <v>282</v>
      </c>
      <c r="N6821" t="s">
        <v>291</v>
      </c>
      <c r="AK6821" t="s">
        <v>364</v>
      </c>
    </row>
    <row r="6822" spans="1:37">
      <c r="B6822" t="s">
        <v>51</v>
      </c>
      <c r="C6822" t="s">
        <v>75</v>
      </c>
      <c r="D6822" t="s">
        <v>52</v>
      </c>
      <c r="E6822" t="s">
        <v>114</v>
      </c>
      <c r="F6822" t="s">
        <v>148</v>
      </c>
      <c r="G6822" t="s">
        <v>148</v>
      </c>
      <c r="H6822" t="s">
        <v>209</v>
      </c>
      <c r="I6822" t="s">
        <v>228</v>
      </c>
      <c r="J6822" t="s">
        <v>247</v>
      </c>
      <c r="K6822" t="s">
        <v>261</v>
      </c>
      <c r="L6822" t="s">
        <v>274</v>
      </c>
      <c r="M6822" t="s">
        <v>283</v>
      </c>
      <c r="N6822" t="s">
        <v>292</v>
      </c>
      <c r="O6822" t="s">
        <v>300</v>
      </c>
      <c r="AK6822" t="s">
        <v>364</v>
      </c>
    </row>
    <row r="6823" spans="1:37">
      <c r="B6823" t="s">
        <v>52</v>
      </c>
      <c r="C6823" t="s">
        <v>76</v>
      </c>
      <c r="D6823" t="s">
        <v>96</v>
      </c>
      <c r="E6823" t="s">
        <v>115</v>
      </c>
      <c r="F6823" t="s">
        <v>149</v>
      </c>
      <c r="G6823" t="s">
        <v>174</v>
      </c>
      <c r="H6823" t="s">
        <v>96</v>
      </c>
      <c r="I6823" t="s">
        <v>229</v>
      </c>
      <c r="J6823" t="s">
        <v>248</v>
      </c>
      <c r="K6823" t="s">
        <v>262</v>
      </c>
      <c r="L6823" t="s">
        <v>52</v>
      </c>
      <c r="M6823" t="s">
        <v>76</v>
      </c>
      <c r="N6823" t="s">
        <v>293</v>
      </c>
      <c r="O6823" t="s">
        <v>301</v>
      </c>
      <c r="P6823" t="s">
        <v>309</v>
      </c>
      <c r="Q6823" t="s">
        <v>315</v>
      </c>
      <c r="R6823" t="s">
        <v>228</v>
      </c>
      <c r="S6823" t="s">
        <v>328</v>
      </c>
      <c r="T6823" t="s">
        <v>149</v>
      </c>
      <c r="U6823" t="s">
        <v>337</v>
      </c>
      <c r="V6823" t="s">
        <v>341</v>
      </c>
      <c r="W6823" t="s">
        <v>345</v>
      </c>
      <c r="X6823" t="s">
        <v>350</v>
      </c>
      <c r="AK6823" t="s">
        <v>364</v>
      </c>
    </row>
    <row r="6824" spans="1:37">
      <c r="B6824" t="s">
        <v>53</v>
      </c>
      <c r="C6824" t="s">
        <v>77</v>
      </c>
      <c r="D6824" t="s">
        <v>97</v>
      </c>
      <c r="E6824" t="s">
        <v>116</v>
      </c>
      <c r="F6824" t="s">
        <v>150</v>
      </c>
      <c r="G6824" t="s">
        <v>175</v>
      </c>
      <c r="H6824" t="s">
        <v>210</v>
      </c>
      <c r="I6824" t="s">
        <v>230</v>
      </c>
      <c r="J6824" t="s">
        <v>249</v>
      </c>
      <c r="K6824" t="s">
        <v>263</v>
      </c>
      <c r="L6824" t="s">
        <v>275</v>
      </c>
      <c r="M6824" t="s">
        <v>284</v>
      </c>
      <c r="N6824" t="s">
        <v>294</v>
      </c>
      <c r="O6824" t="s">
        <v>302</v>
      </c>
      <c r="P6824" t="s">
        <v>310</v>
      </c>
      <c r="Q6824" t="s">
        <v>316</v>
      </c>
      <c r="R6824" t="s">
        <v>322</v>
      </c>
      <c r="S6824" t="s">
        <v>329</v>
      </c>
      <c r="AK6824" t="s">
        <v>364</v>
      </c>
    </row>
    <row r="6825" spans="1:37">
      <c r="A6825" t="s">
        <v>39</v>
      </c>
      <c r="B6825" t="s">
        <v>54</v>
      </c>
      <c r="C6825" t="s">
        <v>54</v>
      </c>
      <c r="D6825" t="s">
        <v>54</v>
      </c>
      <c r="E6825" t="s">
        <v>54</v>
      </c>
      <c r="F6825" t="s">
        <v>54</v>
      </c>
      <c r="G6825" t="s">
        <v>54</v>
      </c>
      <c r="H6825" t="s">
        <v>54</v>
      </c>
      <c r="I6825" t="s">
        <v>54</v>
      </c>
      <c r="J6825" t="s">
        <v>54</v>
      </c>
      <c r="K6825" t="s">
        <v>54</v>
      </c>
      <c r="L6825" t="s">
        <v>54</v>
      </c>
      <c r="M6825" t="s">
        <v>54</v>
      </c>
      <c r="N6825" t="s">
        <v>54</v>
      </c>
      <c r="O6825" t="s">
        <v>54</v>
      </c>
      <c r="P6825" t="s">
        <v>54</v>
      </c>
      <c r="Q6825" t="s">
        <v>54</v>
      </c>
      <c r="R6825" t="s">
        <v>323</v>
      </c>
      <c r="S6825" t="s">
        <v>330</v>
      </c>
      <c r="AK6825" t="s">
        <v>364</v>
      </c>
    </row>
    <row r="6826" spans="1:37">
      <c r="B6826" t="s">
        <v>55</v>
      </c>
      <c r="C6826" t="s">
        <v>78</v>
      </c>
      <c r="D6826" t="s">
        <v>55</v>
      </c>
      <c r="E6826" t="s">
        <v>78</v>
      </c>
      <c r="F6826" t="s">
        <v>55</v>
      </c>
      <c r="G6826" t="s">
        <v>78</v>
      </c>
      <c r="H6826" t="s">
        <v>55</v>
      </c>
      <c r="I6826" t="s">
        <v>78</v>
      </c>
      <c r="J6826" t="s">
        <v>55</v>
      </c>
      <c r="K6826" t="s">
        <v>78</v>
      </c>
      <c r="L6826" t="s">
        <v>55</v>
      </c>
      <c r="M6826" t="s">
        <v>78</v>
      </c>
      <c r="N6826" t="s">
        <v>55</v>
      </c>
      <c r="O6826" t="s">
        <v>78</v>
      </c>
      <c r="P6826" t="s">
        <v>55</v>
      </c>
      <c r="Q6826" t="s">
        <v>78</v>
      </c>
      <c r="R6826" t="s">
        <v>55</v>
      </c>
      <c r="S6826" t="s">
        <v>78</v>
      </c>
      <c r="T6826" t="s">
        <v>55</v>
      </c>
      <c r="U6826" t="s">
        <v>78</v>
      </c>
      <c r="V6826" t="s">
        <v>55</v>
      </c>
      <c r="W6826" t="s">
        <v>78</v>
      </c>
      <c r="X6826" t="s">
        <v>55</v>
      </c>
      <c r="Y6826" t="s">
        <v>78</v>
      </c>
      <c r="Z6826" t="s">
        <v>55</v>
      </c>
      <c r="AA6826" t="s">
        <v>78</v>
      </c>
      <c r="AB6826" t="s">
        <v>55</v>
      </c>
      <c r="AC6826" t="s">
        <v>78</v>
      </c>
      <c r="AD6826" t="s">
        <v>55</v>
      </c>
      <c r="AE6826" t="s">
        <v>78</v>
      </c>
      <c r="AF6826" t="s">
        <v>55</v>
      </c>
      <c r="AG6826" t="s">
        <v>78</v>
      </c>
      <c r="AH6826" t="s">
        <v>55</v>
      </c>
      <c r="AI6826" t="s">
        <v>78</v>
      </c>
      <c r="AK6826" t="s">
        <v>364</v>
      </c>
    </row>
    <row r="6827" spans="1:37">
      <c r="B6827" t="s">
        <v>56</v>
      </c>
      <c r="C6827" t="s">
        <v>56</v>
      </c>
      <c r="D6827" t="s">
        <v>56</v>
      </c>
      <c r="E6827" t="s">
        <v>56</v>
      </c>
      <c r="F6827" t="s">
        <v>56</v>
      </c>
      <c r="G6827" t="s">
        <v>176</v>
      </c>
      <c r="H6827" t="s">
        <v>211</v>
      </c>
      <c r="I6827" t="s">
        <v>231</v>
      </c>
      <c r="J6827" t="s">
        <v>250</v>
      </c>
      <c r="K6827" t="s">
        <v>264</v>
      </c>
      <c r="L6827" t="s">
        <v>276</v>
      </c>
      <c r="M6827" t="s">
        <v>285</v>
      </c>
      <c r="N6827" t="s">
        <v>295</v>
      </c>
      <c r="O6827" t="s">
        <v>303</v>
      </c>
      <c r="P6827" t="s">
        <v>56</v>
      </c>
      <c r="Q6827" t="s">
        <v>317</v>
      </c>
      <c r="R6827" t="s">
        <v>324</v>
      </c>
      <c r="S6827" t="s">
        <v>331</v>
      </c>
      <c r="T6827" t="s">
        <v>334</v>
      </c>
      <c r="U6827" t="s">
        <v>338</v>
      </c>
      <c r="V6827" t="s">
        <v>342</v>
      </c>
      <c r="W6827" t="s">
        <v>346</v>
      </c>
      <c r="X6827" t="s">
        <v>351</v>
      </c>
      <c r="AK6827" t="s">
        <v>364</v>
      </c>
    </row>
    <row r="6828" spans="1:37">
      <c r="B6828" t="s">
        <v>57</v>
      </c>
      <c r="C6828" t="s">
        <v>79</v>
      </c>
      <c r="D6828" t="s">
        <v>98</v>
      </c>
      <c r="E6828" t="s">
        <v>117</v>
      </c>
      <c r="F6828" t="s">
        <v>151</v>
      </c>
      <c r="G6828" t="s">
        <v>177</v>
      </c>
      <c r="H6828" t="s">
        <v>212</v>
      </c>
      <c r="I6828" t="s">
        <v>232</v>
      </c>
      <c r="J6828" t="s">
        <v>251</v>
      </c>
      <c r="K6828" t="s">
        <v>265</v>
      </c>
      <c r="L6828" t="s">
        <v>277</v>
      </c>
      <c r="M6828" t="s">
        <v>286</v>
      </c>
      <c r="N6828" t="s">
        <v>296</v>
      </c>
      <c r="O6828" t="s">
        <v>304</v>
      </c>
      <c r="P6828" t="s">
        <v>311</v>
      </c>
      <c r="Q6828" t="s">
        <v>318</v>
      </c>
      <c r="R6828" t="s">
        <v>185</v>
      </c>
      <c r="S6828" t="s">
        <v>159</v>
      </c>
      <c r="T6828" t="s">
        <v>185</v>
      </c>
      <c r="U6828" t="s">
        <v>339</v>
      </c>
      <c r="V6828" t="s">
        <v>72</v>
      </c>
      <c r="W6828" t="s">
        <v>347</v>
      </c>
      <c r="X6828" t="s">
        <v>72</v>
      </c>
      <c r="Y6828" t="s">
        <v>96</v>
      </c>
      <c r="AK6828" t="s">
        <v>364</v>
      </c>
    </row>
    <row r="6829" spans="1:37">
      <c r="B6829" t="s">
        <v>58</v>
      </c>
      <c r="C6829" t="s">
        <v>80</v>
      </c>
      <c r="D6829" t="s">
        <v>99</v>
      </c>
      <c r="E6829" t="s">
        <v>118</v>
      </c>
      <c r="F6829" t="s">
        <v>152</v>
      </c>
      <c r="G6829" t="s">
        <v>178</v>
      </c>
      <c r="H6829" t="s">
        <v>213</v>
      </c>
      <c r="I6829" t="s">
        <v>233</v>
      </c>
      <c r="J6829" t="s">
        <v>252</v>
      </c>
      <c r="K6829" t="s">
        <v>266</v>
      </c>
      <c r="L6829" t="s">
        <v>278</v>
      </c>
      <c r="M6829" t="s">
        <v>287</v>
      </c>
      <c r="N6829" t="s">
        <v>297</v>
      </c>
      <c r="O6829" t="s">
        <v>305</v>
      </c>
      <c r="P6829" t="s">
        <v>312</v>
      </c>
      <c r="Q6829" t="s">
        <v>319</v>
      </c>
      <c r="R6829">
        <f>&gt;10       ветра      1.2     15  12</f>
        <v>0</v>
      </c>
      <c r="AK6829" t="s">
        <v>364</v>
      </c>
    </row>
    <row r="6830" spans="1:37">
      <c r="A6830" t="s">
        <v>40</v>
      </c>
      <c r="B6830" t="s">
        <v>59</v>
      </c>
      <c r="C6830" t="s">
        <v>81</v>
      </c>
      <c r="D6830" t="s">
        <v>100</v>
      </c>
      <c r="E6830" t="s">
        <v>119</v>
      </c>
      <c r="F6830" t="s">
        <v>153</v>
      </c>
      <c r="G6830" t="s">
        <v>179</v>
      </c>
      <c r="H6830" t="s">
        <v>214</v>
      </c>
      <c r="I6830" t="s">
        <v>234</v>
      </c>
      <c r="AK6830" t="s">
        <v>364</v>
      </c>
    </row>
    <row r="6831" spans="1:37">
      <c r="A6831" t="s">
        <v>40</v>
      </c>
      <c r="B6831" t="s">
        <v>60</v>
      </c>
      <c r="C6831" t="s">
        <v>82</v>
      </c>
      <c r="D6831" t="s">
        <v>101</v>
      </c>
      <c r="E6831" t="s">
        <v>120</v>
      </c>
      <c r="F6831" t="s">
        <v>154</v>
      </c>
      <c r="G6831" t="s">
        <v>180</v>
      </c>
      <c r="H6831" t="s">
        <v>215</v>
      </c>
      <c r="I6831" t="s">
        <v>235</v>
      </c>
      <c r="J6831" t="s">
        <v>253</v>
      </c>
      <c r="K6831" t="s">
        <v>267</v>
      </c>
      <c r="L6831" t="s">
        <v>279</v>
      </c>
      <c r="M6831" t="s">
        <v>288</v>
      </c>
      <c r="N6831" t="s">
        <v>100</v>
      </c>
      <c r="O6831" t="s">
        <v>306</v>
      </c>
      <c r="P6831" t="s">
        <v>313</v>
      </c>
      <c r="Q6831" t="s">
        <v>320</v>
      </c>
      <c r="R6831" t="s">
        <v>325</v>
      </c>
      <c r="S6831" t="s">
        <v>332</v>
      </c>
      <c r="T6831" t="s">
        <v>119</v>
      </c>
      <c r="U6831" t="s">
        <v>234</v>
      </c>
      <c r="V6831" t="s">
        <v>343</v>
      </c>
      <c r="W6831" t="s">
        <v>348</v>
      </c>
      <c r="X6831" t="s">
        <v>352</v>
      </c>
      <c r="Y6831" t="s">
        <v>354</v>
      </c>
      <c r="AK6831" t="s">
        <v>364</v>
      </c>
    </row>
    <row r="6832" spans="1:37">
      <c r="A6832" t="s">
        <v>41</v>
      </c>
      <c r="B6832" t="s">
        <v>61</v>
      </c>
      <c r="C6832" t="s">
        <v>83</v>
      </c>
      <c r="D6832" t="s">
        <v>102</v>
      </c>
      <c r="E6832" t="s">
        <v>121</v>
      </c>
      <c r="F6832" t="s">
        <v>155</v>
      </c>
      <c r="G6832" t="s">
        <v>181</v>
      </c>
      <c r="H6832" t="s">
        <v>216</v>
      </c>
      <c r="I6832" t="s">
        <v>236</v>
      </c>
      <c r="AK6832" t="s">
        <v>364</v>
      </c>
    </row>
    <row r="6833" spans="1:37">
      <c r="A6833" t="s">
        <v>42</v>
      </c>
      <c r="B6833" t="s">
        <v>62</v>
      </c>
      <c r="C6833" t="s">
        <v>84</v>
      </c>
      <c r="D6833" t="s">
        <v>103</v>
      </c>
      <c r="E6833" t="s">
        <v>122</v>
      </c>
      <c r="F6833" t="s">
        <v>156</v>
      </c>
      <c r="G6833" t="s">
        <v>182</v>
      </c>
      <c r="H6833" t="s">
        <v>83</v>
      </c>
      <c r="I6833" t="s">
        <v>237</v>
      </c>
      <c r="J6833" t="s">
        <v>254</v>
      </c>
      <c r="K6833" t="s">
        <v>268</v>
      </c>
      <c r="L6833" t="s">
        <v>280</v>
      </c>
      <c r="M6833" t="s">
        <v>289</v>
      </c>
      <c r="N6833" t="s">
        <v>298</v>
      </c>
      <c r="O6833" t="s">
        <v>307</v>
      </c>
      <c r="P6833" t="s">
        <v>314</v>
      </c>
      <c r="Q6833" t="s">
        <v>216</v>
      </c>
      <c r="R6833" t="s">
        <v>326</v>
      </c>
      <c r="S6833" t="s">
        <v>333</v>
      </c>
      <c r="T6833" t="s">
        <v>335</v>
      </c>
      <c r="U6833" t="s">
        <v>340</v>
      </c>
      <c r="V6833" t="s">
        <v>344</v>
      </c>
      <c r="W6833" t="s">
        <v>349</v>
      </c>
      <c r="AK6833" t="s">
        <v>364</v>
      </c>
    </row>
    <row r="6834" spans="1:37">
      <c r="A6834" t="s">
        <v>43</v>
      </c>
      <c r="B6834" t="s">
        <v>63</v>
      </c>
      <c r="C6834" t="s">
        <v>85</v>
      </c>
      <c r="D6834" t="s">
        <v>104</v>
      </c>
      <c r="E6834" t="s">
        <v>123</v>
      </c>
      <c r="F6834" t="s">
        <v>157</v>
      </c>
      <c r="G6834" t="s">
        <v>183</v>
      </c>
      <c r="AK6834" t="s">
        <v>364</v>
      </c>
    </row>
    <row r="6835" spans="1:37">
      <c r="A6835" t="s">
        <v>44</v>
      </c>
      <c r="B6835" t="s">
        <v>64</v>
      </c>
      <c r="C6835" t="s">
        <v>86</v>
      </c>
      <c r="D6835" t="s">
        <v>105</v>
      </c>
      <c r="E6835" t="s">
        <v>124</v>
      </c>
      <c r="F6835" t="s">
        <v>158</v>
      </c>
      <c r="G6835" t="s">
        <v>184</v>
      </c>
      <c r="AK6835" t="s">
        <v>364</v>
      </c>
    </row>
    <row r="6836" spans="1:37">
      <c r="A6836" t="s">
        <v>45</v>
      </c>
      <c r="B6836" t="s">
        <v>65</v>
      </c>
      <c r="C6836" t="s">
        <v>87</v>
      </c>
      <c r="D6836" t="s">
        <v>106</v>
      </c>
      <c r="E6836" t="s">
        <v>125</v>
      </c>
      <c r="F6836" t="s">
        <v>159</v>
      </c>
      <c r="G6836" t="s">
        <v>185</v>
      </c>
      <c r="H6836" t="s">
        <v>159</v>
      </c>
      <c r="I6836" t="s">
        <v>185</v>
      </c>
      <c r="J6836" t="s">
        <v>255</v>
      </c>
      <c r="AK6836" t="s">
        <v>364</v>
      </c>
    </row>
    <row r="6837" spans="1:37">
      <c r="A6837" t="s">
        <v>46</v>
      </c>
      <c r="B6837" t="s">
        <v>66</v>
      </c>
      <c r="C6837" t="s">
        <v>88</v>
      </c>
      <c r="D6837" t="s">
        <v>76</v>
      </c>
      <c r="E6837" t="s">
        <v>126</v>
      </c>
      <c r="F6837" t="s">
        <v>160</v>
      </c>
      <c r="G6837" t="s">
        <v>186</v>
      </c>
      <c r="H6837" t="s">
        <v>217</v>
      </c>
      <c r="I6837" t="s">
        <v>238</v>
      </c>
      <c r="J6837" t="s">
        <v>256</v>
      </c>
      <c r="K6837" t="s">
        <v>265</v>
      </c>
      <c r="L6837" t="s">
        <v>281</v>
      </c>
      <c r="M6837" t="s">
        <v>290</v>
      </c>
      <c r="N6837" t="s">
        <v>299</v>
      </c>
      <c r="O6837" t="s">
        <v>308</v>
      </c>
      <c r="P6837" t="s">
        <v>228</v>
      </c>
      <c r="Q6837" t="s">
        <v>72</v>
      </c>
      <c r="R6837" t="s">
        <v>327</v>
      </c>
      <c r="S6837" t="s">
        <v>327</v>
      </c>
      <c r="T6837" t="s">
        <v>336</v>
      </c>
      <c r="U6837" t="s">
        <v>336</v>
      </c>
      <c r="V6837" t="s">
        <v>336</v>
      </c>
      <c r="W6837" t="s">
        <v>336</v>
      </c>
      <c r="X6837" t="s">
        <v>353</v>
      </c>
      <c r="AK6837" t="s">
        <v>364</v>
      </c>
    </row>
    <row r="6838" spans="1:37">
      <c r="B6838" t="s">
        <v>67</v>
      </c>
      <c r="C6838" t="s">
        <v>89</v>
      </c>
      <c r="D6838" t="s">
        <v>107</v>
      </c>
      <c r="AK6838" t="s">
        <v>364</v>
      </c>
    </row>
    <row r="6839" spans="1:37">
      <c r="B6839" t="s">
        <v>68</v>
      </c>
      <c r="C6839" t="s">
        <v>90</v>
      </c>
      <c r="D6839" t="s">
        <v>108</v>
      </c>
      <c r="AK6839" t="s">
        <v>364</v>
      </c>
    </row>
    <row r="6840" spans="1:37">
      <c r="A6840" t="s">
        <v>47</v>
      </c>
      <c r="B6840" t="s">
        <v>69</v>
      </c>
      <c r="C6840" t="s">
        <v>91</v>
      </c>
      <c r="D6840" t="s">
        <v>109</v>
      </c>
      <c r="E6840" t="s">
        <v>109</v>
      </c>
      <c r="F6840" t="s">
        <v>109</v>
      </c>
      <c r="G6840" t="s">
        <v>109</v>
      </c>
      <c r="H6840" t="s">
        <v>109</v>
      </c>
      <c r="I6840" t="s">
        <v>239</v>
      </c>
      <c r="AK6840" t="s">
        <v>364</v>
      </c>
    </row>
    <row r="6841" spans="1:37">
      <c r="B6841" t="s">
        <v>70</v>
      </c>
      <c r="C6841" t="s">
        <v>92</v>
      </c>
      <c r="D6841" t="s">
        <v>110</v>
      </c>
      <c r="E6841" t="s">
        <v>127</v>
      </c>
      <c r="F6841" t="s">
        <v>161</v>
      </c>
      <c r="G6841" t="s">
        <v>187</v>
      </c>
      <c r="H6841" t="s">
        <v>218</v>
      </c>
      <c r="AK6841" t="s">
        <v>364</v>
      </c>
    </row>
    <row r="6842" spans="1:37">
      <c r="B6842" t="s">
        <v>71</v>
      </c>
      <c r="C6842" t="s">
        <v>93</v>
      </c>
      <c r="D6842" t="s">
        <v>111</v>
      </c>
      <c r="E6842" t="s">
        <v>128</v>
      </c>
      <c r="F6842" t="s">
        <v>162</v>
      </c>
      <c r="G6842" t="s">
        <v>188</v>
      </c>
      <c r="H6842" t="s">
        <v>219</v>
      </c>
      <c r="I6842" t="s">
        <v>240</v>
      </c>
      <c r="J6842" t="s">
        <v>257</v>
      </c>
      <c r="K6842" t="s">
        <v>269</v>
      </c>
      <c r="L6842" t="s">
        <v>109</v>
      </c>
      <c r="M6842" t="s">
        <v>109</v>
      </c>
      <c r="N6842" t="s">
        <v>109</v>
      </c>
      <c r="O6842" t="s">
        <v>109</v>
      </c>
      <c r="P6842" t="s">
        <v>109</v>
      </c>
      <c r="Q6842" t="s">
        <v>321</v>
      </c>
      <c r="AK6842" t="s">
        <v>364</v>
      </c>
    </row>
    <row r="6843" spans="1:37">
      <c r="A6843" t="s">
        <v>48</v>
      </c>
      <c r="B6843" t="s">
        <v>71</v>
      </c>
      <c r="C6843" t="s">
        <v>93</v>
      </c>
      <c r="D6843" t="s">
        <v>111</v>
      </c>
      <c r="E6843" t="s">
        <v>128</v>
      </c>
      <c r="F6843" t="s">
        <v>163</v>
      </c>
      <c r="G6843" t="s">
        <v>189</v>
      </c>
      <c r="H6843" t="s">
        <v>220</v>
      </c>
      <c r="I6843" t="s">
        <v>241</v>
      </c>
      <c r="J6843" t="s">
        <v>258</v>
      </c>
      <c r="K6843" t="s">
        <v>270</v>
      </c>
      <c r="AK6843" t="s">
        <v>364</v>
      </c>
    </row>
    <row r="6844" spans="1:37">
      <c r="B6844" t="s">
        <v>72</v>
      </c>
      <c r="C6844" t="s">
        <v>72</v>
      </c>
      <c r="D6844" t="s">
        <v>72</v>
      </c>
      <c r="E6844" t="s">
        <v>72</v>
      </c>
      <c r="F6844" t="s">
        <v>72</v>
      </c>
      <c r="G6844" t="s">
        <v>72</v>
      </c>
      <c r="H6844" t="s">
        <v>72</v>
      </c>
      <c r="I6844" t="s">
        <v>72</v>
      </c>
      <c r="J6844" t="s">
        <v>72</v>
      </c>
      <c r="K6844" t="s">
        <v>272</v>
      </c>
      <c r="AK6844" t="s">
        <v>364</v>
      </c>
    </row>
    <row r="6845" spans="1:37">
      <c r="A6845" t="s">
        <v>37</v>
      </c>
      <c r="B6845" t="s">
        <v>49</v>
      </c>
      <c r="C6845" t="s">
        <v>73</v>
      </c>
      <c r="D6845" t="s">
        <v>94</v>
      </c>
      <c r="E6845" t="s">
        <v>112</v>
      </c>
      <c r="F6845" t="s">
        <v>146</v>
      </c>
      <c r="G6845" t="s">
        <v>172</v>
      </c>
      <c r="H6845" t="s">
        <v>207</v>
      </c>
      <c r="I6845" t="s">
        <v>226</v>
      </c>
      <c r="J6845" t="s">
        <v>246</v>
      </c>
      <c r="K6845" t="s">
        <v>259</v>
      </c>
      <c r="AK6845" t="s">
        <v>364</v>
      </c>
    </row>
    <row r="6846" spans="1:37">
      <c r="A6846" t="s">
        <v>38</v>
      </c>
      <c r="B6846" t="s">
        <v>50</v>
      </c>
      <c r="C6846" t="s">
        <v>74</v>
      </c>
      <c r="D6846" t="s">
        <v>95</v>
      </c>
      <c r="E6846" t="s">
        <v>113</v>
      </c>
      <c r="F6846" t="s">
        <v>147</v>
      </c>
      <c r="G6846" t="s">
        <v>173</v>
      </c>
      <c r="H6846" t="s">
        <v>208</v>
      </c>
      <c r="I6846" t="s">
        <v>227</v>
      </c>
      <c r="J6846" t="s">
        <v>115</v>
      </c>
      <c r="K6846" t="s">
        <v>260</v>
      </c>
      <c r="L6846" t="s">
        <v>273</v>
      </c>
      <c r="M6846" t="s">
        <v>282</v>
      </c>
      <c r="N6846" t="s">
        <v>291</v>
      </c>
      <c r="AK6846" t="s">
        <v>364</v>
      </c>
    </row>
    <row r="6847" spans="1:37">
      <c r="B6847" t="s">
        <v>51</v>
      </c>
      <c r="C6847" t="s">
        <v>75</v>
      </c>
      <c r="D6847" t="s">
        <v>52</v>
      </c>
      <c r="E6847" t="s">
        <v>114</v>
      </c>
      <c r="F6847" t="s">
        <v>148</v>
      </c>
      <c r="G6847" t="s">
        <v>148</v>
      </c>
      <c r="H6847" t="s">
        <v>209</v>
      </c>
      <c r="I6847" t="s">
        <v>228</v>
      </c>
      <c r="J6847" t="s">
        <v>247</v>
      </c>
      <c r="K6847" t="s">
        <v>261</v>
      </c>
      <c r="L6847" t="s">
        <v>274</v>
      </c>
      <c r="M6847" t="s">
        <v>283</v>
      </c>
      <c r="N6847" t="s">
        <v>292</v>
      </c>
      <c r="O6847" t="s">
        <v>300</v>
      </c>
      <c r="AK6847" t="s">
        <v>364</v>
      </c>
    </row>
    <row r="6848" spans="1:37">
      <c r="B6848" t="s">
        <v>52</v>
      </c>
      <c r="C6848" t="s">
        <v>76</v>
      </c>
      <c r="D6848" t="s">
        <v>96</v>
      </c>
      <c r="E6848" t="s">
        <v>115</v>
      </c>
      <c r="F6848" t="s">
        <v>149</v>
      </c>
      <c r="G6848" t="s">
        <v>174</v>
      </c>
      <c r="H6848" t="s">
        <v>96</v>
      </c>
      <c r="I6848" t="s">
        <v>229</v>
      </c>
      <c r="J6848" t="s">
        <v>248</v>
      </c>
      <c r="K6848" t="s">
        <v>262</v>
      </c>
      <c r="L6848" t="s">
        <v>52</v>
      </c>
      <c r="M6848" t="s">
        <v>76</v>
      </c>
      <c r="N6848" t="s">
        <v>293</v>
      </c>
      <c r="O6848" t="s">
        <v>301</v>
      </c>
      <c r="P6848" t="s">
        <v>309</v>
      </c>
      <c r="Q6848" t="s">
        <v>315</v>
      </c>
      <c r="R6848" t="s">
        <v>228</v>
      </c>
      <c r="S6848" t="s">
        <v>328</v>
      </c>
      <c r="T6848" t="s">
        <v>149</v>
      </c>
      <c r="U6848" t="s">
        <v>337</v>
      </c>
      <c r="V6848" t="s">
        <v>341</v>
      </c>
      <c r="W6848" t="s">
        <v>345</v>
      </c>
      <c r="X6848" t="s">
        <v>350</v>
      </c>
      <c r="AK6848" t="s">
        <v>364</v>
      </c>
    </row>
    <row r="6849" spans="1:37">
      <c r="B6849" t="s">
        <v>53</v>
      </c>
      <c r="C6849" t="s">
        <v>77</v>
      </c>
      <c r="D6849" t="s">
        <v>97</v>
      </c>
      <c r="E6849" t="s">
        <v>116</v>
      </c>
      <c r="F6849" t="s">
        <v>150</v>
      </c>
      <c r="G6849" t="s">
        <v>175</v>
      </c>
      <c r="H6849" t="s">
        <v>210</v>
      </c>
      <c r="I6849" t="s">
        <v>230</v>
      </c>
      <c r="J6849" t="s">
        <v>249</v>
      </c>
      <c r="K6849" t="s">
        <v>263</v>
      </c>
      <c r="L6849" t="s">
        <v>275</v>
      </c>
      <c r="M6849" t="s">
        <v>284</v>
      </c>
      <c r="N6849" t="s">
        <v>294</v>
      </c>
      <c r="O6849" t="s">
        <v>302</v>
      </c>
      <c r="P6849" t="s">
        <v>310</v>
      </c>
      <c r="Q6849" t="s">
        <v>316</v>
      </c>
      <c r="R6849" t="s">
        <v>322</v>
      </c>
      <c r="S6849" t="s">
        <v>329</v>
      </c>
      <c r="AK6849" t="s">
        <v>364</v>
      </c>
    </row>
    <row r="6850" spans="1:37">
      <c r="A6850" t="s">
        <v>39</v>
      </c>
      <c r="B6850" t="s">
        <v>54</v>
      </c>
      <c r="C6850" t="s">
        <v>54</v>
      </c>
      <c r="D6850" t="s">
        <v>54</v>
      </c>
      <c r="E6850" t="s">
        <v>54</v>
      </c>
      <c r="F6850" t="s">
        <v>54</v>
      </c>
      <c r="G6850" t="s">
        <v>54</v>
      </c>
      <c r="H6850" t="s">
        <v>54</v>
      </c>
      <c r="I6850" t="s">
        <v>54</v>
      </c>
      <c r="J6850" t="s">
        <v>54</v>
      </c>
      <c r="K6850" t="s">
        <v>54</v>
      </c>
      <c r="L6850" t="s">
        <v>54</v>
      </c>
      <c r="M6850" t="s">
        <v>54</v>
      </c>
      <c r="N6850" t="s">
        <v>54</v>
      </c>
      <c r="O6850" t="s">
        <v>54</v>
      </c>
      <c r="P6850" t="s">
        <v>54</v>
      </c>
      <c r="Q6850" t="s">
        <v>54</v>
      </c>
      <c r="R6850" t="s">
        <v>323</v>
      </c>
      <c r="S6850" t="s">
        <v>330</v>
      </c>
      <c r="AK6850" t="s">
        <v>364</v>
      </c>
    </row>
    <row r="6851" spans="1:37">
      <c r="B6851" t="s">
        <v>55</v>
      </c>
      <c r="C6851" t="s">
        <v>78</v>
      </c>
      <c r="D6851" t="s">
        <v>55</v>
      </c>
      <c r="E6851" t="s">
        <v>78</v>
      </c>
      <c r="F6851" t="s">
        <v>55</v>
      </c>
      <c r="G6851" t="s">
        <v>78</v>
      </c>
      <c r="H6851" t="s">
        <v>55</v>
      </c>
      <c r="I6851" t="s">
        <v>78</v>
      </c>
      <c r="J6851" t="s">
        <v>55</v>
      </c>
      <c r="K6851" t="s">
        <v>78</v>
      </c>
      <c r="L6851" t="s">
        <v>55</v>
      </c>
      <c r="M6851" t="s">
        <v>78</v>
      </c>
      <c r="N6851" t="s">
        <v>55</v>
      </c>
      <c r="O6851" t="s">
        <v>78</v>
      </c>
      <c r="P6851" t="s">
        <v>55</v>
      </c>
      <c r="Q6851" t="s">
        <v>78</v>
      </c>
      <c r="R6851" t="s">
        <v>55</v>
      </c>
      <c r="S6851" t="s">
        <v>78</v>
      </c>
      <c r="T6851" t="s">
        <v>55</v>
      </c>
      <c r="U6851" t="s">
        <v>78</v>
      </c>
      <c r="V6851" t="s">
        <v>55</v>
      </c>
      <c r="W6851" t="s">
        <v>78</v>
      </c>
      <c r="X6851" t="s">
        <v>55</v>
      </c>
      <c r="Y6851" t="s">
        <v>78</v>
      </c>
      <c r="Z6851" t="s">
        <v>55</v>
      </c>
      <c r="AA6851" t="s">
        <v>78</v>
      </c>
      <c r="AB6851" t="s">
        <v>55</v>
      </c>
      <c r="AC6851" t="s">
        <v>78</v>
      </c>
      <c r="AD6851" t="s">
        <v>55</v>
      </c>
      <c r="AE6851" t="s">
        <v>78</v>
      </c>
      <c r="AF6851" t="s">
        <v>55</v>
      </c>
      <c r="AG6851" t="s">
        <v>78</v>
      </c>
      <c r="AH6851" t="s">
        <v>55</v>
      </c>
      <c r="AI6851" t="s">
        <v>78</v>
      </c>
      <c r="AK6851" t="s">
        <v>364</v>
      </c>
    </row>
    <row r="6852" spans="1:37">
      <c r="B6852" t="s">
        <v>56</v>
      </c>
      <c r="C6852" t="s">
        <v>56</v>
      </c>
      <c r="D6852" t="s">
        <v>56</v>
      </c>
      <c r="E6852" t="s">
        <v>56</v>
      </c>
      <c r="F6852" t="s">
        <v>56</v>
      </c>
      <c r="G6852" t="s">
        <v>176</v>
      </c>
      <c r="H6852" t="s">
        <v>211</v>
      </c>
      <c r="I6852" t="s">
        <v>231</v>
      </c>
      <c r="J6852" t="s">
        <v>250</v>
      </c>
      <c r="K6852" t="s">
        <v>264</v>
      </c>
      <c r="L6852" t="s">
        <v>276</v>
      </c>
      <c r="M6852" t="s">
        <v>285</v>
      </c>
      <c r="N6852" t="s">
        <v>295</v>
      </c>
      <c r="O6852" t="s">
        <v>303</v>
      </c>
      <c r="P6852" t="s">
        <v>56</v>
      </c>
      <c r="Q6852" t="s">
        <v>317</v>
      </c>
      <c r="R6852" t="s">
        <v>324</v>
      </c>
      <c r="S6852" t="s">
        <v>331</v>
      </c>
      <c r="T6852" t="s">
        <v>334</v>
      </c>
      <c r="U6852" t="s">
        <v>338</v>
      </c>
      <c r="V6852" t="s">
        <v>342</v>
      </c>
      <c r="W6852" t="s">
        <v>346</v>
      </c>
      <c r="X6852" t="s">
        <v>351</v>
      </c>
      <c r="AK6852" t="s">
        <v>364</v>
      </c>
    </row>
    <row r="6853" spans="1:37">
      <c r="B6853" t="s">
        <v>57</v>
      </c>
      <c r="C6853" t="s">
        <v>79</v>
      </c>
      <c r="D6853" t="s">
        <v>98</v>
      </c>
      <c r="E6853" t="s">
        <v>117</v>
      </c>
      <c r="F6853" t="s">
        <v>151</v>
      </c>
      <c r="G6853" t="s">
        <v>177</v>
      </c>
      <c r="H6853" t="s">
        <v>212</v>
      </c>
      <c r="I6853" t="s">
        <v>232</v>
      </c>
      <c r="J6853" t="s">
        <v>251</v>
      </c>
      <c r="K6853" t="s">
        <v>265</v>
      </c>
      <c r="L6853" t="s">
        <v>277</v>
      </c>
      <c r="M6853" t="s">
        <v>286</v>
      </c>
      <c r="N6853" t="s">
        <v>296</v>
      </c>
      <c r="O6853" t="s">
        <v>304</v>
      </c>
      <c r="P6853" t="s">
        <v>311</v>
      </c>
      <c r="Q6853" t="s">
        <v>318</v>
      </c>
      <c r="R6853" t="s">
        <v>185</v>
      </c>
      <c r="S6853" t="s">
        <v>159</v>
      </c>
      <c r="T6853" t="s">
        <v>185</v>
      </c>
      <c r="U6853" t="s">
        <v>339</v>
      </c>
      <c r="V6853" t="s">
        <v>72</v>
      </c>
      <c r="W6853" t="s">
        <v>347</v>
      </c>
      <c r="X6853" t="s">
        <v>72</v>
      </c>
      <c r="Y6853" t="s">
        <v>96</v>
      </c>
      <c r="AK6853" t="s">
        <v>364</v>
      </c>
    </row>
    <row r="6854" spans="1:37">
      <c r="B6854" t="s">
        <v>58</v>
      </c>
      <c r="C6854" t="s">
        <v>80</v>
      </c>
      <c r="D6854" t="s">
        <v>99</v>
      </c>
      <c r="E6854" t="s">
        <v>118</v>
      </c>
      <c r="F6854" t="s">
        <v>152</v>
      </c>
      <c r="G6854" t="s">
        <v>178</v>
      </c>
      <c r="H6854" t="s">
        <v>213</v>
      </c>
      <c r="I6854" t="s">
        <v>233</v>
      </c>
      <c r="J6854" t="s">
        <v>252</v>
      </c>
      <c r="K6854" t="s">
        <v>266</v>
      </c>
      <c r="L6854" t="s">
        <v>278</v>
      </c>
      <c r="M6854" t="s">
        <v>287</v>
      </c>
      <c r="N6854" t="s">
        <v>297</v>
      </c>
      <c r="O6854" t="s">
        <v>305</v>
      </c>
      <c r="P6854" t="s">
        <v>312</v>
      </c>
      <c r="Q6854" t="s">
        <v>319</v>
      </c>
      <c r="R6854">
        <f>&gt;10       ветра      2.3     24  12</f>
        <v>0</v>
      </c>
      <c r="AK6854" t="s">
        <v>364</v>
      </c>
    </row>
    <row r="6855" spans="1:37">
      <c r="A6855" t="s">
        <v>40</v>
      </c>
      <c r="B6855" t="s">
        <v>59</v>
      </c>
      <c r="C6855" t="s">
        <v>81</v>
      </c>
      <c r="D6855" t="s">
        <v>100</v>
      </c>
      <c r="E6855" t="s">
        <v>119</v>
      </c>
      <c r="F6855" t="s">
        <v>153</v>
      </c>
      <c r="G6855" t="s">
        <v>179</v>
      </c>
      <c r="H6855" t="s">
        <v>214</v>
      </c>
      <c r="I6855" t="s">
        <v>234</v>
      </c>
      <c r="AK6855" t="s">
        <v>364</v>
      </c>
    </row>
    <row r="6856" spans="1:37">
      <c r="A6856" t="s">
        <v>40</v>
      </c>
      <c r="B6856" t="s">
        <v>60</v>
      </c>
      <c r="C6856" t="s">
        <v>82</v>
      </c>
      <c r="D6856" t="s">
        <v>101</v>
      </c>
      <c r="E6856" t="s">
        <v>120</v>
      </c>
      <c r="F6856" t="s">
        <v>154</v>
      </c>
      <c r="G6856" t="s">
        <v>180</v>
      </c>
      <c r="H6856" t="s">
        <v>215</v>
      </c>
      <c r="I6856" t="s">
        <v>235</v>
      </c>
      <c r="J6856" t="s">
        <v>253</v>
      </c>
      <c r="K6856" t="s">
        <v>267</v>
      </c>
      <c r="L6856" t="s">
        <v>279</v>
      </c>
      <c r="M6856" t="s">
        <v>288</v>
      </c>
      <c r="N6856" t="s">
        <v>100</v>
      </c>
      <c r="O6856" t="s">
        <v>306</v>
      </c>
      <c r="P6856" t="s">
        <v>313</v>
      </c>
      <c r="Q6856" t="s">
        <v>320</v>
      </c>
      <c r="R6856" t="s">
        <v>325</v>
      </c>
      <c r="S6856" t="s">
        <v>332</v>
      </c>
      <c r="T6856" t="s">
        <v>119</v>
      </c>
      <c r="U6856" t="s">
        <v>234</v>
      </c>
      <c r="V6856" t="s">
        <v>343</v>
      </c>
      <c r="W6856" t="s">
        <v>348</v>
      </c>
      <c r="X6856" t="s">
        <v>352</v>
      </c>
      <c r="Y6856" t="s">
        <v>354</v>
      </c>
      <c r="AK6856" t="s">
        <v>364</v>
      </c>
    </row>
    <row r="6857" spans="1:37">
      <c r="A6857" t="s">
        <v>41</v>
      </c>
      <c r="B6857" t="s">
        <v>61</v>
      </c>
      <c r="C6857" t="s">
        <v>83</v>
      </c>
      <c r="D6857" t="s">
        <v>102</v>
      </c>
      <c r="E6857" t="s">
        <v>121</v>
      </c>
      <c r="F6857" t="s">
        <v>155</v>
      </c>
      <c r="G6857" t="s">
        <v>181</v>
      </c>
      <c r="H6857" t="s">
        <v>216</v>
      </c>
      <c r="I6857" t="s">
        <v>236</v>
      </c>
      <c r="AK6857" t="s">
        <v>364</v>
      </c>
    </row>
    <row r="6858" spans="1:37">
      <c r="A6858" t="s">
        <v>42</v>
      </c>
      <c r="B6858" t="s">
        <v>62</v>
      </c>
      <c r="C6858" t="s">
        <v>84</v>
      </c>
      <c r="D6858" t="s">
        <v>103</v>
      </c>
      <c r="E6858" t="s">
        <v>122</v>
      </c>
      <c r="F6858" t="s">
        <v>156</v>
      </c>
      <c r="G6858" t="s">
        <v>182</v>
      </c>
      <c r="H6858" t="s">
        <v>83</v>
      </c>
      <c r="I6858" t="s">
        <v>237</v>
      </c>
      <c r="J6858" t="s">
        <v>254</v>
      </c>
      <c r="K6858" t="s">
        <v>268</v>
      </c>
      <c r="L6858" t="s">
        <v>280</v>
      </c>
      <c r="M6858" t="s">
        <v>289</v>
      </c>
      <c r="N6858" t="s">
        <v>298</v>
      </c>
      <c r="O6858" t="s">
        <v>307</v>
      </c>
      <c r="P6858" t="s">
        <v>314</v>
      </c>
      <c r="Q6858" t="s">
        <v>216</v>
      </c>
      <c r="R6858" t="s">
        <v>326</v>
      </c>
      <c r="S6858" t="s">
        <v>333</v>
      </c>
      <c r="T6858" t="s">
        <v>335</v>
      </c>
      <c r="U6858" t="s">
        <v>340</v>
      </c>
      <c r="V6858" t="s">
        <v>344</v>
      </c>
      <c r="W6858" t="s">
        <v>349</v>
      </c>
      <c r="AK6858" t="s">
        <v>364</v>
      </c>
    </row>
    <row r="6859" spans="1:37">
      <c r="A6859" t="s">
        <v>43</v>
      </c>
      <c r="B6859" t="s">
        <v>63</v>
      </c>
      <c r="C6859" t="s">
        <v>85</v>
      </c>
      <c r="D6859" t="s">
        <v>104</v>
      </c>
      <c r="E6859" t="s">
        <v>123</v>
      </c>
      <c r="F6859" t="s">
        <v>157</v>
      </c>
      <c r="G6859" t="s">
        <v>183</v>
      </c>
      <c r="AK6859" t="s">
        <v>364</v>
      </c>
    </row>
    <row r="6860" spans="1:37">
      <c r="A6860" t="s">
        <v>44</v>
      </c>
      <c r="B6860" t="s">
        <v>64</v>
      </c>
      <c r="C6860" t="s">
        <v>86</v>
      </c>
      <c r="D6860" t="s">
        <v>105</v>
      </c>
      <c r="E6860" t="s">
        <v>124</v>
      </c>
      <c r="F6860" t="s">
        <v>158</v>
      </c>
      <c r="G6860" t="s">
        <v>184</v>
      </c>
      <c r="AK6860" t="s">
        <v>364</v>
      </c>
    </row>
    <row r="6861" spans="1:37">
      <c r="A6861" t="s">
        <v>45</v>
      </c>
      <c r="B6861" t="s">
        <v>65</v>
      </c>
      <c r="C6861" t="s">
        <v>87</v>
      </c>
      <c r="D6861" t="s">
        <v>106</v>
      </c>
      <c r="E6861" t="s">
        <v>125</v>
      </c>
      <c r="F6861" t="s">
        <v>159</v>
      </c>
      <c r="G6861" t="s">
        <v>185</v>
      </c>
      <c r="H6861" t="s">
        <v>159</v>
      </c>
      <c r="I6861" t="s">
        <v>185</v>
      </c>
      <c r="J6861" t="s">
        <v>255</v>
      </c>
      <c r="AK6861" t="s">
        <v>364</v>
      </c>
    </row>
    <row r="6862" spans="1:37">
      <c r="A6862" t="s">
        <v>46</v>
      </c>
      <c r="B6862" t="s">
        <v>66</v>
      </c>
      <c r="C6862" t="s">
        <v>88</v>
      </c>
      <c r="D6862" t="s">
        <v>76</v>
      </c>
      <c r="E6862" t="s">
        <v>126</v>
      </c>
      <c r="F6862" t="s">
        <v>160</v>
      </c>
      <c r="G6862" t="s">
        <v>186</v>
      </c>
      <c r="H6862" t="s">
        <v>217</v>
      </c>
      <c r="I6862" t="s">
        <v>238</v>
      </c>
      <c r="J6862" t="s">
        <v>256</v>
      </c>
      <c r="K6862" t="s">
        <v>265</v>
      </c>
      <c r="L6862" t="s">
        <v>281</v>
      </c>
      <c r="M6862" t="s">
        <v>290</v>
      </c>
      <c r="N6862" t="s">
        <v>299</v>
      </c>
      <c r="O6862" t="s">
        <v>308</v>
      </c>
      <c r="P6862" t="s">
        <v>228</v>
      </c>
      <c r="Q6862" t="s">
        <v>72</v>
      </c>
      <c r="R6862" t="s">
        <v>327</v>
      </c>
      <c r="S6862" t="s">
        <v>327</v>
      </c>
      <c r="T6862" t="s">
        <v>336</v>
      </c>
      <c r="U6862" t="s">
        <v>336</v>
      </c>
      <c r="V6862" t="s">
        <v>336</v>
      </c>
      <c r="W6862" t="s">
        <v>336</v>
      </c>
      <c r="X6862" t="s">
        <v>353</v>
      </c>
      <c r="AK6862" t="s">
        <v>364</v>
      </c>
    </row>
    <row r="6863" spans="1:37">
      <c r="B6863" t="s">
        <v>67</v>
      </c>
      <c r="C6863" t="s">
        <v>89</v>
      </c>
      <c r="D6863" t="s">
        <v>107</v>
      </c>
      <c r="AK6863" t="s">
        <v>364</v>
      </c>
    </row>
    <row r="6864" spans="1:37">
      <c r="B6864" t="s">
        <v>68</v>
      </c>
      <c r="C6864" t="s">
        <v>90</v>
      </c>
      <c r="D6864" t="s">
        <v>108</v>
      </c>
      <c r="AK6864" t="s">
        <v>364</v>
      </c>
    </row>
    <row r="6865" spans="1:37">
      <c r="A6865" t="s">
        <v>47</v>
      </c>
      <c r="B6865" t="s">
        <v>69</v>
      </c>
      <c r="C6865" t="s">
        <v>91</v>
      </c>
      <c r="D6865" t="s">
        <v>109</v>
      </c>
      <c r="E6865" t="s">
        <v>109</v>
      </c>
      <c r="F6865" t="s">
        <v>109</v>
      </c>
      <c r="G6865" t="s">
        <v>109</v>
      </c>
      <c r="H6865" t="s">
        <v>109</v>
      </c>
      <c r="I6865" t="s">
        <v>239</v>
      </c>
      <c r="AK6865" t="s">
        <v>364</v>
      </c>
    </row>
    <row r="6866" spans="1:37">
      <c r="B6866" t="s">
        <v>70</v>
      </c>
      <c r="C6866" t="s">
        <v>92</v>
      </c>
      <c r="D6866" t="s">
        <v>110</v>
      </c>
      <c r="E6866" t="s">
        <v>127</v>
      </c>
      <c r="F6866" t="s">
        <v>161</v>
      </c>
      <c r="G6866" t="s">
        <v>187</v>
      </c>
      <c r="H6866" t="s">
        <v>218</v>
      </c>
      <c r="AK6866" t="s">
        <v>364</v>
      </c>
    </row>
    <row r="6867" spans="1:37">
      <c r="B6867" t="s">
        <v>71</v>
      </c>
      <c r="C6867" t="s">
        <v>93</v>
      </c>
      <c r="D6867" t="s">
        <v>111</v>
      </c>
      <c r="E6867" t="s">
        <v>128</v>
      </c>
      <c r="F6867" t="s">
        <v>162</v>
      </c>
      <c r="G6867" t="s">
        <v>188</v>
      </c>
      <c r="H6867" t="s">
        <v>219</v>
      </c>
      <c r="I6867" t="s">
        <v>240</v>
      </c>
      <c r="J6867" t="s">
        <v>257</v>
      </c>
      <c r="K6867" t="s">
        <v>269</v>
      </c>
      <c r="L6867" t="s">
        <v>109</v>
      </c>
      <c r="M6867" t="s">
        <v>109</v>
      </c>
      <c r="N6867" t="s">
        <v>109</v>
      </c>
      <c r="O6867" t="s">
        <v>109</v>
      </c>
      <c r="P6867" t="s">
        <v>109</v>
      </c>
      <c r="Q6867" t="s">
        <v>321</v>
      </c>
      <c r="AK6867" t="s">
        <v>364</v>
      </c>
    </row>
    <row r="6868" spans="1:37">
      <c r="A6868" t="s">
        <v>48</v>
      </c>
      <c r="B6868" t="s">
        <v>71</v>
      </c>
      <c r="C6868" t="s">
        <v>93</v>
      </c>
      <c r="D6868" t="s">
        <v>111</v>
      </c>
      <c r="E6868" t="s">
        <v>128</v>
      </c>
      <c r="F6868" t="s">
        <v>163</v>
      </c>
      <c r="G6868" t="s">
        <v>189</v>
      </c>
      <c r="H6868" t="s">
        <v>220</v>
      </c>
      <c r="I6868" t="s">
        <v>241</v>
      </c>
      <c r="J6868" t="s">
        <v>258</v>
      </c>
      <c r="K6868" t="s">
        <v>270</v>
      </c>
      <c r="AK6868" t="s">
        <v>364</v>
      </c>
    </row>
    <row r="6869" spans="1:37">
      <c r="B6869" t="s">
        <v>72</v>
      </c>
      <c r="C6869" t="s">
        <v>72</v>
      </c>
      <c r="D6869" t="s">
        <v>72</v>
      </c>
      <c r="E6869" t="s">
        <v>139</v>
      </c>
      <c r="F6869" t="s">
        <v>139</v>
      </c>
      <c r="G6869" t="s">
        <v>192</v>
      </c>
      <c r="H6869" t="s">
        <v>192</v>
      </c>
      <c r="I6869" t="s">
        <v>192</v>
      </c>
      <c r="J6869" t="s">
        <v>192</v>
      </c>
      <c r="K6869" t="s">
        <v>272</v>
      </c>
      <c r="AK6869" t="s">
        <v>364</v>
      </c>
    </row>
    <row r="6870" spans="1:37">
      <c r="A6870" t="s">
        <v>37</v>
      </c>
      <c r="B6870" t="s">
        <v>49</v>
      </c>
      <c r="C6870" t="s">
        <v>73</v>
      </c>
      <c r="D6870" t="s">
        <v>94</v>
      </c>
      <c r="E6870" t="s">
        <v>112</v>
      </c>
      <c r="F6870" t="s">
        <v>146</v>
      </c>
      <c r="G6870" t="s">
        <v>172</v>
      </c>
      <c r="H6870" t="s">
        <v>207</v>
      </c>
      <c r="I6870" t="s">
        <v>226</v>
      </c>
      <c r="J6870" t="s">
        <v>246</v>
      </c>
      <c r="K6870" t="s">
        <v>259</v>
      </c>
      <c r="AK6870" t="s">
        <v>364</v>
      </c>
    </row>
    <row r="6871" spans="1:37">
      <c r="A6871" t="s">
        <v>38</v>
      </c>
      <c r="B6871" t="s">
        <v>50</v>
      </c>
      <c r="C6871" t="s">
        <v>74</v>
      </c>
      <c r="D6871" t="s">
        <v>95</v>
      </c>
      <c r="E6871" t="s">
        <v>113</v>
      </c>
      <c r="F6871" t="s">
        <v>147</v>
      </c>
      <c r="G6871" t="s">
        <v>173</v>
      </c>
      <c r="H6871" t="s">
        <v>208</v>
      </c>
      <c r="I6871" t="s">
        <v>227</v>
      </c>
      <c r="J6871" t="s">
        <v>115</v>
      </c>
      <c r="K6871" t="s">
        <v>260</v>
      </c>
      <c r="L6871" t="s">
        <v>273</v>
      </c>
      <c r="M6871" t="s">
        <v>282</v>
      </c>
      <c r="N6871" t="s">
        <v>291</v>
      </c>
      <c r="AK6871" t="s">
        <v>364</v>
      </c>
    </row>
    <row r="6872" spans="1:37">
      <c r="B6872" t="s">
        <v>51</v>
      </c>
      <c r="C6872" t="s">
        <v>75</v>
      </c>
      <c r="D6872" t="s">
        <v>52</v>
      </c>
      <c r="E6872" t="s">
        <v>114</v>
      </c>
      <c r="F6872" t="s">
        <v>148</v>
      </c>
      <c r="G6872" t="s">
        <v>148</v>
      </c>
      <c r="H6872" t="s">
        <v>209</v>
      </c>
      <c r="I6872" t="s">
        <v>228</v>
      </c>
      <c r="J6872" t="s">
        <v>247</v>
      </c>
      <c r="K6872" t="s">
        <v>261</v>
      </c>
      <c r="L6872" t="s">
        <v>274</v>
      </c>
      <c r="M6872" t="s">
        <v>283</v>
      </c>
      <c r="N6872" t="s">
        <v>292</v>
      </c>
      <c r="O6872" t="s">
        <v>300</v>
      </c>
      <c r="AK6872" t="s">
        <v>364</v>
      </c>
    </row>
    <row r="6873" spans="1:37">
      <c r="B6873" t="s">
        <v>52</v>
      </c>
      <c r="C6873" t="s">
        <v>76</v>
      </c>
      <c r="D6873" t="s">
        <v>96</v>
      </c>
      <c r="E6873" t="s">
        <v>115</v>
      </c>
      <c r="F6873" t="s">
        <v>149</v>
      </c>
      <c r="G6873" t="s">
        <v>174</v>
      </c>
      <c r="H6873" t="s">
        <v>96</v>
      </c>
      <c r="I6873" t="s">
        <v>229</v>
      </c>
      <c r="J6873" t="s">
        <v>248</v>
      </c>
      <c r="K6873" t="s">
        <v>262</v>
      </c>
      <c r="L6873" t="s">
        <v>52</v>
      </c>
      <c r="M6873" t="s">
        <v>76</v>
      </c>
      <c r="N6873" t="s">
        <v>293</v>
      </c>
      <c r="O6873" t="s">
        <v>301</v>
      </c>
      <c r="P6873" t="s">
        <v>309</v>
      </c>
      <c r="Q6873" t="s">
        <v>315</v>
      </c>
      <c r="R6873" t="s">
        <v>228</v>
      </c>
      <c r="S6873" t="s">
        <v>328</v>
      </c>
      <c r="T6873" t="s">
        <v>149</v>
      </c>
      <c r="U6873" t="s">
        <v>337</v>
      </c>
      <c r="V6873" t="s">
        <v>341</v>
      </c>
      <c r="W6873" t="s">
        <v>345</v>
      </c>
      <c r="X6873" t="s">
        <v>350</v>
      </c>
      <c r="AK6873" t="s">
        <v>364</v>
      </c>
    </row>
    <row r="6874" spans="1:37">
      <c r="B6874" t="s">
        <v>53</v>
      </c>
      <c r="C6874" t="s">
        <v>77</v>
      </c>
      <c r="D6874" t="s">
        <v>97</v>
      </c>
      <c r="E6874" t="s">
        <v>116</v>
      </c>
      <c r="F6874" t="s">
        <v>150</v>
      </c>
      <c r="G6874" t="s">
        <v>175</v>
      </c>
      <c r="H6874" t="s">
        <v>210</v>
      </c>
      <c r="I6874" t="s">
        <v>230</v>
      </c>
      <c r="J6874" t="s">
        <v>249</v>
      </c>
      <c r="K6874" t="s">
        <v>263</v>
      </c>
      <c r="L6874" t="s">
        <v>275</v>
      </c>
      <c r="M6874" t="s">
        <v>284</v>
      </c>
      <c r="N6874" t="s">
        <v>294</v>
      </c>
      <c r="O6874" t="s">
        <v>302</v>
      </c>
      <c r="P6874" t="s">
        <v>310</v>
      </c>
      <c r="Q6874" t="s">
        <v>316</v>
      </c>
      <c r="R6874" t="s">
        <v>322</v>
      </c>
      <c r="S6874" t="s">
        <v>329</v>
      </c>
      <c r="AK6874" t="s">
        <v>364</v>
      </c>
    </row>
    <row r="6875" spans="1:37">
      <c r="A6875" t="s">
        <v>39</v>
      </c>
      <c r="B6875" t="s">
        <v>54</v>
      </c>
      <c r="C6875" t="s">
        <v>54</v>
      </c>
      <c r="D6875" t="s">
        <v>54</v>
      </c>
      <c r="E6875" t="s">
        <v>54</v>
      </c>
      <c r="F6875" t="s">
        <v>54</v>
      </c>
      <c r="G6875" t="s">
        <v>54</v>
      </c>
      <c r="H6875" t="s">
        <v>54</v>
      </c>
      <c r="I6875" t="s">
        <v>54</v>
      </c>
      <c r="J6875" t="s">
        <v>54</v>
      </c>
      <c r="K6875" t="s">
        <v>54</v>
      </c>
      <c r="L6875" t="s">
        <v>54</v>
      </c>
      <c r="M6875" t="s">
        <v>54</v>
      </c>
      <c r="N6875" t="s">
        <v>54</v>
      </c>
      <c r="O6875" t="s">
        <v>54</v>
      </c>
      <c r="P6875" t="s">
        <v>54</v>
      </c>
      <c r="Q6875" t="s">
        <v>54</v>
      </c>
      <c r="R6875" t="s">
        <v>323</v>
      </c>
      <c r="S6875" t="s">
        <v>330</v>
      </c>
      <c r="AK6875" t="s">
        <v>364</v>
      </c>
    </row>
    <row r="6876" spans="1:37">
      <c r="B6876" t="s">
        <v>55</v>
      </c>
      <c r="C6876" t="s">
        <v>78</v>
      </c>
      <c r="D6876" t="s">
        <v>55</v>
      </c>
      <c r="E6876" t="s">
        <v>78</v>
      </c>
      <c r="F6876" t="s">
        <v>55</v>
      </c>
      <c r="G6876" t="s">
        <v>78</v>
      </c>
      <c r="H6876" t="s">
        <v>55</v>
      </c>
      <c r="I6876" t="s">
        <v>78</v>
      </c>
      <c r="J6876" t="s">
        <v>55</v>
      </c>
      <c r="K6876" t="s">
        <v>78</v>
      </c>
      <c r="L6876" t="s">
        <v>55</v>
      </c>
      <c r="M6876" t="s">
        <v>78</v>
      </c>
      <c r="N6876" t="s">
        <v>55</v>
      </c>
      <c r="O6876" t="s">
        <v>78</v>
      </c>
      <c r="P6876" t="s">
        <v>55</v>
      </c>
      <c r="Q6876" t="s">
        <v>78</v>
      </c>
      <c r="R6876" t="s">
        <v>55</v>
      </c>
      <c r="S6876" t="s">
        <v>78</v>
      </c>
      <c r="T6876" t="s">
        <v>55</v>
      </c>
      <c r="U6876" t="s">
        <v>78</v>
      </c>
      <c r="V6876" t="s">
        <v>55</v>
      </c>
      <c r="W6876" t="s">
        <v>78</v>
      </c>
      <c r="X6876" t="s">
        <v>55</v>
      </c>
      <c r="Y6876" t="s">
        <v>78</v>
      </c>
      <c r="Z6876" t="s">
        <v>55</v>
      </c>
      <c r="AA6876" t="s">
        <v>78</v>
      </c>
      <c r="AB6876" t="s">
        <v>55</v>
      </c>
      <c r="AC6876" t="s">
        <v>78</v>
      </c>
      <c r="AD6876" t="s">
        <v>55</v>
      </c>
      <c r="AE6876" t="s">
        <v>78</v>
      </c>
      <c r="AF6876" t="s">
        <v>55</v>
      </c>
      <c r="AG6876" t="s">
        <v>78</v>
      </c>
      <c r="AH6876" t="s">
        <v>55</v>
      </c>
      <c r="AI6876" t="s">
        <v>78</v>
      </c>
      <c r="AK6876" t="s">
        <v>364</v>
      </c>
    </row>
    <row r="6877" spans="1:37">
      <c r="B6877" t="s">
        <v>56</v>
      </c>
      <c r="C6877" t="s">
        <v>56</v>
      </c>
      <c r="D6877" t="s">
        <v>56</v>
      </c>
      <c r="E6877" t="s">
        <v>56</v>
      </c>
      <c r="F6877" t="s">
        <v>56</v>
      </c>
      <c r="G6877" t="s">
        <v>176</v>
      </c>
      <c r="H6877" t="s">
        <v>211</v>
      </c>
      <c r="I6877" t="s">
        <v>231</v>
      </c>
      <c r="J6877" t="s">
        <v>250</v>
      </c>
      <c r="K6877" t="s">
        <v>264</v>
      </c>
      <c r="L6877" t="s">
        <v>276</v>
      </c>
      <c r="M6877" t="s">
        <v>285</v>
      </c>
      <c r="N6877" t="s">
        <v>295</v>
      </c>
      <c r="O6877" t="s">
        <v>303</v>
      </c>
      <c r="P6877" t="s">
        <v>56</v>
      </c>
      <c r="Q6877" t="s">
        <v>317</v>
      </c>
      <c r="R6877" t="s">
        <v>324</v>
      </c>
      <c r="S6877" t="s">
        <v>331</v>
      </c>
      <c r="T6877" t="s">
        <v>334</v>
      </c>
      <c r="U6877" t="s">
        <v>338</v>
      </c>
      <c r="V6877" t="s">
        <v>342</v>
      </c>
      <c r="W6877" t="s">
        <v>346</v>
      </c>
      <c r="X6877" t="s">
        <v>351</v>
      </c>
      <c r="AK6877" t="s">
        <v>364</v>
      </c>
    </row>
    <row r="6878" spans="1:37">
      <c r="B6878" t="s">
        <v>57</v>
      </c>
      <c r="C6878" t="s">
        <v>79</v>
      </c>
      <c r="D6878" t="s">
        <v>98</v>
      </c>
      <c r="E6878" t="s">
        <v>117</v>
      </c>
      <c r="F6878" t="s">
        <v>151</v>
      </c>
      <c r="G6878" t="s">
        <v>177</v>
      </c>
      <c r="H6878" t="s">
        <v>212</v>
      </c>
      <c r="I6878" t="s">
        <v>232</v>
      </c>
      <c r="J6878" t="s">
        <v>251</v>
      </c>
      <c r="K6878" t="s">
        <v>265</v>
      </c>
      <c r="L6878" t="s">
        <v>277</v>
      </c>
      <c r="M6878" t="s">
        <v>286</v>
      </c>
      <c r="N6878" t="s">
        <v>296</v>
      </c>
      <c r="O6878" t="s">
        <v>304</v>
      </c>
      <c r="P6878" t="s">
        <v>311</v>
      </c>
      <c r="Q6878" t="s">
        <v>318</v>
      </c>
      <c r="R6878" t="s">
        <v>185</v>
      </c>
      <c r="S6878" t="s">
        <v>159</v>
      </c>
      <c r="T6878" t="s">
        <v>185</v>
      </c>
      <c r="U6878" t="s">
        <v>339</v>
      </c>
      <c r="V6878" t="s">
        <v>72</v>
      </c>
      <c r="W6878" t="s">
        <v>347</v>
      </c>
      <c r="X6878" t="s">
        <v>72</v>
      </c>
      <c r="Y6878" t="s">
        <v>96</v>
      </c>
      <c r="AK6878" t="s">
        <v>364</v>
      </c>
    </row>
    <row r="6879" spans="1:37">
      <c r="B6879" t="s">
        <v>58</v>
      </c>
      <c r="C6879" t="s">
        <v>80</v>
      </c>
      <c r="D6879" t="s">
        <v>99</v>
      </c>
      <c r="E6879" t="s">
        <v>118</v>
      </c>
      <c r="F6879" t="s">
        <v>152</v>
      </c>
      <c r="G6879" t="s">
        <v>178</v>
      </c>
      <c r="H6879" t="s">
        <v>213</v>
      </c>
      <c r="I6879" t="s">
        <v>233</v>
      </c>
      <c r="J6879" t="s">
        <v>252</v>
      </c>
      <c r="K6879" t="s">
        <v>266</v>
      </c>
      <c r="L6879" t="s">
        <v>278</v>
      </c>
      <c r="M6879" t="s">
        <v>287</v>
      </c>
      <c r="N6879" t="s">
        <v>297</v>
      </c>
      <c r="O6879" t="s">
        <v>305</v>
      </c>
      <c r="P6879" t="s">
        <v>312</v>
      </c>
      <c r="Q6879" t="s">
        <v>319</v>
      </c>
      <c r="R6879">
        <f>&gt;10       ветра      3.3     17  12 15</f>
        <v>0</v>
      </c>
      <c r="AK6879" t="s">
        <v>364</v>
      </c>
    </row>
    <row r="6880" spans="1:37">
      <c r="A6880" t="s">
        <v>40</v>
      </c>
      <c r="B6880" t="s">
        <v>59</v>
      </c>
      <c r="C6880" t="s">
        <v>81</v>
      </c>
      <c r="D6880" t="s">
        <v>100</v>
      </c>
      <c r="E6880" t="s">
        <v>119</v>
      </c>
      <c r="F6880" t="s">
        <v>153</v>
      </c>
      <c r="G6880" t="s">
        <v>179</v>
      </c>
      <c r="H6880" t="s">
        <v>214</v>
      </c>
      <c r="I6880" t="s">
        <v>234</v>
      </c>
      <c r="AK6880" t="s">
        <v>364</v>
      </c>
    </row>
    <row r="6881" spans="1:37">
      <c r="A6881" t="s">
        <v>40</v>
      </c>
      <c r="B6881" t="s">
        <v>60</v>
      </c>
      <c r="C6881" t="s">
        <v>82</v>
      </c>
      <c r="D6881" t="s">
        <v>101</v>
      </c>
      <c r="E6881" t="s">
        <v>120</v>
      </c>
      <c r="F6881" t="s">
        <v>154</v>
      </c>
      <c r="G6881" t="s">
        <v>180</v>
      </c>
      <c r="H6881" t="s">
        <v>215</v>
      </c>
      <c r="I6881" t="s">
        <v>235</v>
      </c>
      <c r="J6881" t="s">
        <v>253</v>
      </c>
      <c r="K6881" t="s">
        <v>267</v>
      </c>
      <c r="L6881" t="s">
        <v>279</v>
      </c>
      <c r="M6881" t="s">
        <v>288</v>
      </c>
      <c r="N6881" t="s">
        <v>100</v>
      </c>
      <c r="O6881" t="s">
        <v>306</v>
      </c>
      <c r="P6881" t="s">
        <v>313</v>
      </c>
      <c r="Q6881" t="s">
        <v>320</v>
      </c>
      <c r="R6881" t="s">
        <v>325</v>
      </c>
      <c r="S6881" t="s">
        <v>332</v>
      </c>
      <c r="T6881" t="s">
        <v>119</v>
      </c>
      <c r="U6881" t="s">
        <v>234</v>
      </c>
      <c r="V6881" t="s">
        <v>343</v>
      </c>
      <c r="W6881" t="s">
        <v>348</v>
      </c>
      <c r="X6881" t="s">
        <v>352</v>
      </c>
      <c r="Y6881" t="s">
        <v>354</v>
      </c>
      <c r="AK6881" t="s">
        <v>364</v>
      </c>
    </row>
    <row r="6882" spans="1:37">
      <c r="A6882" t="s">
        <v>41</v>
      </c>
      <c r="B6882" t="s">
        <v>61</v>
      </c>
      <c r="C6882" t="s">
        <v>83</v>
      </c>
      <c r="D6882" t="s">
        <v>102</v>
      </c>
      <c r="E6882" t="s">
        <v>121</v>
      </c>
      <c r="F6882" t="s">
        <v>155</v>
      </c>
      <c r="G6882" t="s">
        <v>181</v>
      </c>
      <c r="H6882" t="s">
        <v>216</v>
      </c>
      <c r="I6882" t="s">
        <v>236</v>
      </c>
      <c r="AK6882" t="s">
        <v>364</v>
      </c>
    </row>
    <row r="6883" spans="1:37">
      <c r="A6883" t="s">
        <v>42</v>
      </c>
      <c r="B6883" t="s">
        <v>62</v>
      </c>
      <c r="C6883" t="s">
        <v>84</v>
      </c>
      <c r="D6883" t="s">
        <v>103</v>
      </c>
      <c r="E6883" t="s">
        <v>122</v>
      </c>
      <c r="F6883" t="s">
        <v>156</v>
      </c>
      <c r="G6883" t="s">
        <v>182</v>
      </c>
      <c r="H6883" t="s">
        <v>83</v>
      </c>
      <c r="I6883" t="s">
        <v>237</v>
      </c>
      <c r="J6883" t="s">
        <v>254</v>
      </c>
      <c r="K6883" t="s">
        <v>268</v>
      </c>
      <c r="L6883" t="s">
        <v>280</v>
      </c>
      <c r="M6883" t="s">
        <v>289</v>
      </c>
      <c r="N6883" t="s">
        <v>298</v>
      </c>
      <c r="O6883" t="s">
        <v>307</v>
      </c>
      <c r="P6883" t="s">
        <v>314</v>
      </c>
      <c r="Q6883" t="s">
        <v>216</v>
      </c>
      <c r="R6883" t="s">
        <v>326</v>
      </c>
      <c r="S6883" t="s">
        <v>333</v>
      </c>
      <c r="T6883" t="s">
        <v>335</v>
      </c>
      <c r="U6883" t="s">
        <v>340</v>
      </c>
      <c r="V6883" t="s">
        <v>344</v>
      </c>
      <c r="W6883" t="s">
        <v>349</v>
      </c>
      <c r="AK6883" t="s">
        <v>364</v>
      </c>
    </row>
    <row r="6884" spans="1:37">
      <c r="A6884" t="s">
        <v>43</v>
      </c>
      <c r="B6884" t="s">
        <v>63</v>
      </c>
      <c r="C6884" t="s">
        <v>85</v>
      </c>
      <c r="D6884" t="s">
        <v>104</v>
      </c>
      <c r="E6884" t="s">
        <v>123</v>
      </c>
      <c r="F6884" t="s">
        <v>157</v>
      </c>
      <c r="G6884" t="s">
        <v>183</v>
      </c>
      <c r="AK6884" t="s">
        <v>364</v>
      </c>
    </row>
    <row r="6885" spans="1:37">
      <c r="A6885" t="s">
        <v>44</v>
      </c>
      <c r="B6885" t="s">
        <v>64</v>
      </c>
      <c r="C6885" t="s">
        <v>86</v>
      </c>
      <c r="D6885" t="s">
        <v>105</v>
      </c>
      <c r="E6885" t="s">
        <v>124</v>
      </c>
      <c r="F6885" t="s">
        <v>158</v>
      </c>
      <c r="G6885" t="s">
        <v>184</v>
      </c>
      <c r="AK6885" t="s">
        <v>364</v>
      </c>
    </row>
    <row r="6886" spans="1:37">
      <c r="A6886" t="s">
        <v>45</v>
      </c>
      <c r="B6886" t="s">
        <v>65</v>
      </c>
      <c r="C6886" t="s">
        <v>87</v>
      </c>
      <c r="D6886" t="s">
        <v>106</v>
      </c>
      <c r="E6886" t="s">
        <v>125</v>
      </c>
      <c r="F6886" t="s">
        <v>159</v>
      </c>
      <c r="G6886" t="s">
        <v>185</v>
      </c>
      <c r="H6886" t="s">
        <v>159</v>
      </c>
      <c r="I6886" t="s">
        <v>185</v>
      </c>
      <c r="J6886" t="s">
        <v>255</v>
      </c>
      <c r="AK6886" t="s">
        <v>364</v>
      </c>
    </row>
    <row r="6887" spans="1:37">
      <c r="A6887" t="s">
        <v>46</v>
      </c>
      <c r="B6887" t="s">
        <v>66</v>
      </c>
      <c r="C6887" t="s">
        <v>88</v>
      </c>
      <c r="D6887" t="s">
        <v>76</v>
      </c>
      <c r="E6887" t="s">
        <v>126</v>
      </c>
      <c r="F6887" t="s">
        <v>160</v>
      </c>
      <c r="G6887" t="s">
        <v>186</v>
      </c>
      <c r="H6887" t="s">
        <v>217</v>
      </c>
      <c r="I6887" t="s">
        <v>238</v>
      </c>
      <c r="J6887" t="s">
        <v>256</v>
      </c>
      <c r="K6887" t="s">
        <v>265</v>
      </c>
      <c r="L6887" t="s">
        <v>281</v>
      </c>
      <c r="M6887" t="s">
        <v>290</v>
      </c>
      <c r="N6887" t="s">
        <v>299</v>
      </c>
      <c r="O6887" t="s">
        <v>308</v>
      </c>
      <c r="P6887" t="s">
        <v>228</v>
      </c>
      <c r="Q6887" t="s">
        <v>72</v>
      </c>
      <c r="R6887" t="s">
        <v>327</v>
      </c>
      <c r="S6887" t="s">
        <v>327</v>
      </c>
      <c r="T6887" t="s">
        <v>336</v>
      </c>
      <c r="U6887" t="s">
        <v>336</v>
      </c>
      <c r="V6887" t="s">
        <v>336</v>
      </c>
      <c r="W6887" t="s">
        <v>336</v>
      </c>
      <c r="X6887" t="s">
        <v>353</v>
      </c>
      <c r="AK6887" t="s">
        <v>364</v>
      </c>
    </row>
    <row r="6888" spans="1:37">
      <c r="B6888" t="s">
        <v>67</v>
      </c>
      <c r="C6888" t="s">
        <v>89</v>
      </c>
      <c r="D6888" t="s">
        <v>107</v>
      </c>
      <c r="AK6888" t="s">
        <v>364</v>
      </c>
    </row>
    <row r="6889" spans="1:37">
      <c r="B6889" t="s">
        <v>68</v>
      </c>
      <c r="C6889" t="s">
        <v>90</v>
      </c>
      <c r="D6889" t="s">
        <v>108</v>
      </c>
      <c r="AK6889" t="s">
        <v>364</v>
      </c>
    </row>
    <row r="6890" spans="1:37">
      <c r="A6890" t="s">
        <v>47</v>
      </c>
      <c r="B6890" t="s">
        <v>69</v>
      </c>
      <c r="C6890" t="s">
        <v>91</v>
      </c>
      <c r="D6890" t="s">
        <v>109</v>
      </c>
      <c r="E6890" t="s">
        <v>109</v>
      </c>
      <c r="F6890" t="s">
        <v>109</v>
      </c>
      <c r="G6890" t="s">
        <v>109</v>
      </c>
      <c r="H6890" t="s">
        <v>109</v>
      </c>
      <c r="I6890" t="s">
        <v>239</v>
      </c>
      <c r="AK6890" t="s">
        <v>364</v>
      </c>
    </row>
    <row r="6891" spans="1:37">
      <c r="B6891" t="s">
        <v>70</v>
      </c>
      <c r="C6891" t="s">
        <v>92</v>
      </c>
      <c r="D6891" t="s">
        <v>110</v>
      </c>
      <c r="E6891" t="s">
        <v>127</v>
      </c>
      <c r="F6891" t="s">
        <v>161</v>
      </c>
      <c r="G6891" t="s">
        <v>187</v>
      </c>
      <c r="H6891" t="s">
        <v>218</v>
      </c>
      <c r="AK6891" t="s">
        <v>364</v>
      </c>
    </row>
    <row r="6892" spans="1:37">
      <c r="B6892" t="s">
        <v>71</v>
      </c>
      <c r="C6892" t="s">
        <v>93</v>
      </c>
      <c r="D6892" t="s">
        <v>111</v>
      </c>
      <c r="E6892" t="s">
        <v>128</v>
      </c>
      <c r="F6892" t="s">
        <v>162</v>
      </c>
      <c r="G6892" t="s">
        <v>188</v>
      </c>
      <c r="H6892" t="s">
        <v>219</v>
      </c>
      <c r="I6892" t="s">
        <v>240</v>
      </c>
      <c r="J6892" t="s">
        <v>257</v>
      </c>
      <c r="K6892" t="s">
        <v>269</v>
      </c>
      <c r="L6892" t="s">
        <v>109</v>
      </c>
      <c r="M6892" t="s">
        <v>109</v>
      </c>
      <c r="N6892" t="s">
        <v>109</v>
      </c>
      <c r="O6892" t="s">
        <v>109</v>
      </c>
      <c r="P6892" t="s">
        <v>109</v>
      </c>
      <c r="Q6892" t="s">
        <v>321</v>
      </c>
      <c r="AK6892" t="s">
        <v>364</v>
      </c>
    </row>
    <row r="6893" spans="1:37">
      <c r="A6893" t="s">
        <v>48</v>
      </c>
      <c r="B6893" t="s">
        <v>71</v>
      </c>
      <c r="C6893" t="s">
        <v>93</v>
      </c>
      <c r="D6893" t="s">
        <v>111</v>
      </c>
      <c r="E6893" t="s">
        <v>128</v>
      </c>
      <c r="F6893" t="s">
        <v>163</v>
      </c>
      <c r="G6893" t="s">
        <v>189</v>
      </c>
      <c r="H6893" t="s">
        <v>220</v>
      </c>
      <c r="I6893" t="s">
        <v>241</v>
      </c>
      <c r="J6893" t="s">
        <v>258</v>
      </c>
      <c r="K6893" t="s">
        <v>270</v>
      </c>
      <c r="AK6893" t="s">
        <v>364</v>
      </c>
    </row>
    <row r="6894" spans="1:37">
      <c r="B6894" t="s">
        <v>72</v>
      </c>
      <c r="C6894" t="s">
        <v>72</v>
      </c>
      <c r="D6894" t="s">
        <v>72</v>
      </c>
      <c r="E6894" t="s">
        <v>139</v>
      </c>
      <c r="F6894" t="s">
        <v>139</v>
      </c>
      <c r="G6894" t="s">
        <v>192</v>
      </c>
      <c r="H6894" t="s">
        <v>192</v>
      </c>
      <c r="I6894" t="s">
        <v>192</v>
      </c>
      <c r="J6894" t="s">
        <v>192</v>
      </c>
      <c r="K6894" t="s">
        <v>271</v>
      </c>
      <c r="AK6894" t="s">
        <v>364</v>
      </c>
    </row>
    <row r="6895" spans="1:37">
      <c r="A6895" t="s">
        <v>37</v>
      </c>
      <c r="B6895" t="s">
        <v>49</v>
      </c>
      <c r="C6895" t="s">
        <v>73</v>
      </c>
      <c r="D6895" t="s">
        <v>94</v>
      </c>
      <c r="E6895" t="s">
        <v>112</v>
      </c>
      <c r="F6895" t="s">
        <v>146</v>
      </c>
      <c r="G6895" t="s">
        <v>172</v>
      </c>
      <c r="H6895" t="s">
        <v>207</v>
      </c>
      <c r="I6895" t="s">
        <v>226</v>
      </c>
      <c r="J6895" t="s">
        <v>246</v>
      </c>
      <c r="K6895" t="s">
        <v>259</v>
      </c>
      <c r="AK6895" t="s">
        <v>364</v>
      </c>
    </row>
    <row r="6896" spans="1:37">
      <c r="A6896" t="s">
        <v>38</v>
      </c>
      <c r="B6896" t="s">
        <v>50</v>
      </c>
      <c r="C6896" t="s">
        <v>74</v>
      </c>
      <c r="D6896" t="s">
        <v>95</v>
      </c>
      <c r="E6896" t="s">
        <v>113</v>
      </c>
      <c r="F6896" t="s">
        <v>147</v>
      </c>
      <c r="G6896" t="s">
        <v>173</v>
      </c>
      <c r="H6896" t="s">
        <v>208</v>
      </c>
      <c r="I6896" t="s">
        <v>227</v>
      </c>
      <c r="J6896" t="s">
        <v>115</v>
      </c>
      <c r="K6896" t="s">
        <v>260</v>
      </c>
      <c r="L6896" t="s">
        <v>273</v>
      </c>
      <c r="M6896" t="s">
        <v>282</v>
      </c>
      <c r="N6896" t="s">
        <v>291</v>
      </c>
      <c r="AK6896" t="s">
        <v>364</v>
      </c>
    </row>
    <row r="6897" spans="1:37">
      <c r="B6897" t="s">
        <v>51</v>
      </c>
      <c r="C6897" t="s">
        <v>75</v>
      </c>
      <c r="D6897" t="s">
        <v>52</v>
      </c>
      <c r="E6897" t="s">
        <v>114</v>
      </c>
      <c r="F6897" t="s">
        <v>148</v>
      </c>
      <c r="G6897" t="s">
        <v>148</v>
      </c>
      <c r="H6897" t="s">
        <v>209</v>
      </c>
      <c r="I6897" t="s">
        <v>228</v>
      </c>
      <c r="J6897" t="s">
        <v>247</v>
      </c>
      <c r="K6897" t="s">
        <v>261</v>
      </c>
      <c r="L6897" t="s">
        <v>274</v>
      </c>
      <c r="M6897" t="s">
        <v>283</v>
      </c>
      <c r="N6897" t="s">
        <v>292</v>
      </c>
      <c r="O6897" t="s">
        <v>300</v>
      </c>
      <c r="AK6897" t="s">
        <v>364</v>
      </c>
    </row>
    <row r="6898" spans="1:37">
      <c r="B6898" t="s">
        <v>52</v>
      </c>
      <c r="C6898" t="s">
        <v>76</v>
      </c>
      <c r="D6898" t="s">
        <v>96</v>
      </c>
      <c r="E6898" t="s">
        <v>115</v>
      </c>
      <c r="F6898" t="s">
        <v>149</v>
      </c>
      <c r="G6898" t="s">
        <v>174</v>
      </c>
      <c r="H6898" t="s">
        <v>96</v>
      </c>
      <c r="I6898" t="s">
        <v>229</v>
      </c>
      <c r="J6898" t="s">
        <v>248</v>
      </c>
      <c r="K6898" t="s">
        <v>262</v>
      </c>
      <c r="L6898" t="s">
        <v>52</v>
      </c>
      <c r="M6898" t="s">
        <v>76</v>
      </c>
      <c r="N6898" t="s">
        <v>293</v>
      </c>
      <c r="O6898" t="s">
        <v>301</v>
      </c>
      <c r="P6898" t="s">
        <v>309</v>
      </c>
      <c r="Q6898" t="s">
        <v>315</v>
      </c>
      <c r="R6898" t="s">
        <v>228</v>
      </c>
      <c r="S6898" t="s">
        <v>328</v>
      </c>
      <c r="T6898" t="s">
        <v>149</v>
      </c>
      <c r="U6898" t="s">
        <v>337</v>
      </c>
      <c r="V6898" t="s">
        <v>341</v>
      </c>
      <c r="W6898" t="s">
        <v>345</v>
      </c>
      <c r="X6898" t="s">
        <v>350</v>
      </c>
      <c r="AK6898" t="s">
        <v>364</v>
      </c>
    </row>
    <row r="6899" spans="1:37">
      <c r="B6899" t="s">
        <v>53</v>
      </c>
      <c r="C6899" t="s">
        <v>77</v>
      </c>
      <c r="D6899" t="s">
        <v>97</v>
      </c>
      <c r="E6899" t="s">
        <v>116</v>
      </c>
      <c r="F6899" t="s">
        <v>150</v>
      </c>
      <c r="G6899" t="s">
        <v>175</v>
      </c>
      <c r="H6899" t="s">
        <v>210</v>
      </c>
      <c r="I6899" t="s">
        <v>230</v>
      </c>
      <c r="J6899" t="s">
        <v>249</v>
      </c>
      <c r="K6899" t="s">
        <v>263</v>
      </c>
      <c r="L6899" t="s">
        <v>275</v>
      </c>
      <c r="M6899" t="s">
        <v>284</v>
      </c>
      <c r="N6899" t="s">
        <v>294</v>
      </c>
      <c r="O6899" t="s">
        <v>302</v>
      </c>
      <c r="P6899" t="s">
        <v>310</v>
      </c>
      <c r="Q6899" t="s">
        <v>316</v>
      </c>
      <c r="R6899" t="s">
        <v>322</v>
      </c>
      <c r="S6899" t="s">
        <v>329</v>
      </c>
      <c r="AK6899" t="s">
        <v>364</v>
      </c>
    </row>
    <row r="6900" spans="1:37">
      <c r="A6900" t="s">
        <v>39</v>
      </c>
      <c r="B6900" t="s">
        <v>54</v>
      </c>
      <c r="C6900" t="s">
        <v>54</v>
      </c>
      <c r="D6900" t="s">
        <v>54</v>
      </c>
      <c r="E6900" t="s">
        <v>54</v>
      </c>
      <c r="F6900" t="s">
        <v>54</v>
      </c>
      <c r="G6900" t="s">
        <v>54</v>
      </c>
      <c r="H6900" t="s">
        <v>54</v>
      </c>
      <c r="I6900" t="s">
        <v>54</v>
      </c>
      <c r="J6900" t="s">
        <v>54</v>
      </c>
      <c r="K6900" t="s">
        <v>54</v>
      </c>
      <c r="L6900" t="s">
        <v>54</v>
      </c>
      <c r="M6900" t="s">
        <v>54</v>
      </c>
      <c r="N6900" t="s">
        <v>54</v>
      </c>
      <c r="O6900" t="s">
        <v>54</v>
      </c>
      <c r="P6900" t="s">
        <v>54</v>
      </c>
      <c r="Q6900" t="s">
        <v>54</v>
      </c>
      <c r="R6900" t="s">
        <v>323</v>
      </c>
      <c r="S6900" t="s">
        <v>330</v>
      </c>
      <c r="AK6900" t="s">
        <v>364</v>
      </c>
    </row>
    <row r="6901" spans="1:37">
      <c r="B6901" t="s">
        <v>55</v>
      </c>
      <c r="C6901" t="s">
        <v>78</v>
      </c>
      <c r="D6901" t="s">
        <v>55</v>
      </c>
      <c r="E6901" t="s">
        <v>78</v>
      </c>
      <c r="F6901" t="s">
        <v>55</v>
      </c>
      <c r="G6901" t="s">
        <v>78</v>
      </c>
      <c r="H6901" t="s">
        <v>55</v>
      </c>
      <c r="I6901" t="s">
        <v>78</v>
      </c>
      <c r="J6901" t="s">
        <v>55</v>
      </c>
      <c r="K6901" t="s">
        <v>78</v>
      </c>
      <c r="L6901" t="s">
        <v>55</v>
      </c>
      <c r="M6901" t="s">
        <v>78</v>
      </c>
      <c r="N6901" t="s">
        <v>55</v>
      </c>
      <c r="O6901" t="s">
        <v>78</v>
      </c>
      <c r="P6901" t="s">
        <v>55</v>
      </c>
      <c r="Q6901" t="s">
        <v>78</v>
      </c>
      <c r="R6901" t="s">
        <v>55</v>
      </c>
      <c r="S6901" t="s">
        <v>78</v>
      </c>
      <c r="T6901" t="s">
        <v>55</v>
      </c>
      <c r="U6901" t="s">
        <v>78</v>
      </c>
      <c r="V6901" t="s">
        <v>55</v>
      </c>
      <c r="W6901" t="s">
        <v>78</v>
      </c>
      <c r="X6901" t="s">
        <v>55</v>
      </c>
      <c r="Y6901" t="s">
        <v>78</v>
      </c>
      <c r="Z6901" t="s">
        <v>55</v>
      </c>
      <c r="AA6901" t="s">
        <v>78</v>
      </c>
      <c r="AB6901" t="s">
        <v>55</v>
      </c>
      <c r="AC6901" t="s">
        <v>78</v>
      </c>
      <c r="AD6901" t="s">
        <v>55</v>
      </c>
      <c r="AE6901" t="s">
        <v>78</v>
      </c>
      <c r="AF6901" t="s">
        <v>55</v>
      </c>
      <c r="AG6901" t="s">
        <v>78</v>
      </c>
      <c r="AH6901" t="s">
        <v>55</v>
      </c>
      <c r="AI6901" t="s">
        <v>78</v>
      </c>
      <c r="AK6901" t="s">
        <v>364</v>
      </c>
    </row>
    <row r="6902" spans="1:37">
      <c r="B6902" t="s">
        <v>56</v>
      </c>
      <c r="C6902" t="s">
        <v>56</v>
      </c>
      <c r="D6902" t="s">
        <v>56</v>
      </c>
      <c r="E6902" t="s">
        <v>56</v>
      </c>
      <c r="F6902" t="s">
        <v>56</v>
      </c>
      <c r="G6902" t="s">
        <v>176</v>
      </c>
      <c r="H6902" t="s">
        <v>211</v>
      </c>
      <c r="I6902" t="s">
        <v>231</v>
      </c>
      <c r="J6902" t="s">
        <v>250</v>
      </c>
      <c r="K6902" t="s">
        <v>264</v>
      </c>
      <c r="L6902" t="s">
        <v>276</v>
      </c>
      <c r="M6902" t="s">
        <v>285</v>
      </c>
      <c r="N6902" t="s">
        <v>295</v>
      </c>
      <c r="O6902" t="s">
        <v>303</v>
      </c>
      <c r="P6902" t="s">
        <v>56</v>
      </c>
      <c r="Q6902" t="s">
        <v>317</v>
      </c>
      <c r="R6902" t="s">
        <v>324</v>
      </c>
      <c r="S6902" t="s">
        <v>331</v>
      </c>
      <c r="T6902" t="s">
        <v>334</v>
      </c>
      <c r="U6902" t="s">
        <v>338</v>
      </c>
      <c r="V6902" t="s">
        <v>342</v>
      </c>
      <c r="W6902" t="s">
        <v>346</v>
      </c>
      <c r="X6902" t="s">
        <v>351</v>
      </c>
      <c r="AK6902" t="s">
        <v>364</v>
      </c>
    </row>
    <row r="6903" spans="1:37">
      <c r="B6903" t="s">
        <v>57</v>
      </c>
      <c r="C6903" t="s">
        <v>79</v>
      </c>
      <c r="D6903" t="s">
        <v>98</v>
      </c>
      <c r="E6903" t="s">
        <v>117</v>
      </c>
      <c r="F6903" t="s">
        <v>151</v>
      </c>
      <c r="G6903" t="s">
        <v>177</v>
      </c>
      <c r="H6903" t="s">
        <v>212</v>
      </c>
      <c r="I6903" t="s">
        <v>232</v>
      </c>
      <c r="J6903" t="s">
        <v>251</v>
      </c>
      <c r="K6903" t="s">
        <v>265</v>
      </c>
      <c r="L6903" t="s">
        <v>277</v>
      </c>
      <c r="M6903" t="s">
        <v>286</v>
      </c>
      <c r="N6903" t="s">
        <v>296</v>
      </c>
      <c r="O6903" t="s">
        <v>304</v>
      </c>
      <c r="P6903" t="s">
        <v>311</v>
      </c>
      <c r="Q6903" t="s">
        <v>318</v>
      </c>
      <c r="R6903" t="s">
        <v>185</v>
      </c>
      <c r="S6903" t="s">
        <v>159</v>
      </c>
      <c r="T6903" t="s">
        <v>185</v>
      </c>
      <c r="U6903" t="s">
        <v>339</v>
      </c>
      <c r="V6903" t="s">
        <v>72</v>
      </c>
      <c r="W6903" t="s">
        <v>347</v>
      </c>
      <c r="X6903" t="s">
        <v>72</v>
      </c>
      <c r="Y6903" t="s">
        <v>96</v>
      </c>
      <c r="AK6903" t="s">
        <v>364</v>
      </c>
    </row>
    <row r="6904" spans="1:37">
      <c r="B6904" t="s">
        <v>58</v>
      </c>
      <c r="C6904" t="s">
        <v>80</v>
      </c>
      <c r="D6904" t="s">
        <v>99</v>
      </c>
      <c r="E6904" t="s">
        <v>118</v>
      </c>
      <c r="F6904" t="s">
        <v>152</v>
      </c>
      <c r="G6904" t="s">
        <v>178</v>
      </c>
      <c r="H6904" t="s">
        <v>213</v>
      </c>
      <c r="I6904" t="s">
        <v>233</v>
      </c>
      <c r="J6904" t="s">
        <v>252</v>
      </c>
      <c r="K6904" t="s">
        <v>266</v>
      </c>
      <c r="L6904" t="s">
        <v>278</v>
      </c>
      <c r="M6904" t="s">
        <v>287</v>
      </c>
      <c r="N6904" t="s">
        <v>297</v>
      </c>
      <c r="O6904" t="s">
        <v>305</v>
      </c>
      <c r="P6904" t="s">
        <v>312</v>
      </c>
      <c r="Q6904" t="s">
        <v>319</v>
      </c>
      <c r="R6904">
        <f>&gt;10       ветра      2.4     22  12</f>
        <v>0</v>
      </c>
      <c r="AK6904" t="s">
        <v>364</v>
      </c>
    </row>
    <row r="6905" spans="1:37">
      <c r="A6905" t="s">
        <v>40</v>
      </c>
      <c r="B6905" t="s">
        <v>59</v>
      </c>
      <c r="C6905" t="s">
        <v>81</v>
      </c>
      <c r="D6905" t="s">
        <v>100</v>
      </c>
      <c r="E6905" t="s">
        <v>119</v>
      </c>
      <c r="F6905" t="s">
        <v>153</v>
      </c>
      <c r="G6905" t="s">
        <v>179</v>
      </c>
      <c r="H6905" t="s">
        <v>214</v>
      </c>
      <c r="I6905" t="s">
        <v>234</v>
      </c>
      <c r="AK6905" t="s">
        <v>364</v>
      </c>
    </row>
    <row r="6906" spans="1:37">
      <c r="A6906" t="s">
        <v>40</v>
      </c>
      <c r="B6906" t="s">
        <v>60</v>
      </c>
      <c r="C6906" t="s">
        <v>82</v>
      </c>
      <c r="D6906" t="s">
        <v>101</v>
      </c>
      <c r="E6906" t="s">
        <v>120</v>
      </c>
      <c r="F6906" t="s">
        <v>154</v>
      </c>
      <c r="G6906" t="s">
        <v>180</v>
      </c>
      <c r="H6906" t="s">
        <v>215</v>
      </c>
      <c r="I6906" t="s">
        <v>235</v>
      </c>
      <c r="J6906" t="s">
        <v>253</v>
      </c>
      <c r="K6906" t="s">
        <v>267</v>
      </c>
      <c r="L6906" t="s">
        <v>279</v>
      </c>
      <c r="M6906" t="s">
        <v>288</v>
      </c>
      <c r="N6906" t="s">
        <v>100</v>
      </c>
      <c r="O6906" t="s">
        <v>306</v>
      </c>
      <c r="P6906" t="s">
        <v>313</v>
      </c>
      <c r="Q6906" t="s">
        <v>320</v>
      </c>
      <c r="R6906" t="s">
        <v>325</v>
      </c>
      <c r="S6906" t="s">
        <v>332</v>
      </c>
      <c r="T6906" t="s">
        <v>119</v>
      </c>
      <c r="U6906" t="s">
        <v>234</v>
      </c>
      <c r="V6906" t="s">
        <v>343</v>
      </c>
      <c r="W6906" t="s">
        <v>348</v>
      </c>
      <c r="X6906" t="s">
        <v>352</v>
      </c>
      <c r="Y6906" t="s">
        <v>354</v>
      </c>
      <c r="AK6906" t="s">
        <v>364</v>
      </c>
    </row>
    <row r="6907" spans="1:37">
      <c r="A6907" t="s">
        <v>41</v>
      </c>
      <c r="B6907" t="s">
        <v>61</v>
      </c>
      <c r="C6907" t="s">
        <v>83</v>
      </c>
      <c r="D6907" t="s">
        <v>102</v>
      </c>
      <c r="E6907" t="s">
        <v>121</v>
      </c>
      <c r="F6907" t="s">
        <v>155</v>
      </c>
      <c r="G6907" t="s">
        <v>181</v>
      </c>
      <c r="H6907" t="s">
        <v>216</v>
      </c>
      <c r="I6907" t="s">
        <v>236</v>
      </c>
      <c r="AK6907" t="s">
        <v>364</v>
      </c>
    </row>
    <row r="6908" spans="1:37">
      <c r="A6908" t="s">
        <v>42</v>
      </c>
      <c r="B6908" t="s">
        <v>62</v>
      </c>
      <c r="C6908" t="s">
        <v>84</v>
      </c>
      <c r="D6908" t="s">
        <v>103</v>
      </c>
      <c r="E6908" t="s">
        <v>122</v>
      </c>
      <c r="F6908" t="s">
        <v>156</v>
      </c>
      <c r="G6908" t="s">
        <v>182</v>
      </c>
      <c r="H6908" t="s">
        <v>83</v>
      </c>
      <c r="I6908" t="s">
        <v>237</v>
      </c>
      <c r="J6908" t="s">
        <v>254</v>
      </c>
      <c r="K6908" t="s">
        <v>268</v>
      </c>
      <c r="L6908" t="s">
        <v>280</v>
      </c>
      <c r="M6908" t="s">
        <v>289</v>
      </c>
      <c r="N6908" t="s">
        <v>298</v>
      </c>
      <c r="O6908" t="s">
        <v>307</v>
      </c>
      <c r="P6908" t="s">
        <v>314</v>
      </c>
      <c r="Q6908" t="s">
        <v>216</v>
      </c>
      <c r="R6908" t="s">
        <v>326</v>
      </c>
      <c r="S6908" t="s">
        <v>333</v>
      </c>
      <c r="T6908" t="s">
        <v>335</v>
      </c>
      <c r="U6908" t="s">
        <v>340</v>
      </c>
      <c r="V6908" t="s">
        <v>344</v>
      </c>
      <c r="W6908" t="s">
        <v>349</v>
      </c>
      <c r="AK6908" t="s">
        <v>364</v>
      </c>
    </row>
    <row r="6909" spans="1:37">
      <c r="A6909" t="s">
        <v>43</v>
      </c>
      <c r="B6909" t="s">
        <v>63</v>
      </c>
      <c r="C6909" t="s">
        <v>85</v>
      </c>
      <c r="D6909" t="s">
        <v>104</v>
      </c>
      <c r="E6909" t="s">
        <v>123</v>
      </c>
      <c r="F6909" t="s">
        <v>157</v>
      </c>
      <c r="G6909" t="s">
        <v>183</v>
      </c>
      <c r="AK6909" t="s">
        <v>364</v>
      </c>
    </row>
    <row r="6910" spans="1:37">
      <c r="A6910" t="s">
        <v>44</v>
      </c>
      <c r="B6910" t="s">
        <v>64</v>
      </c>
      <c r="C6910" t="s">
        <v>86</v>
      </c>
      <c r="D6910" t="s">
        <v>105</v>
      </c>
      <c r="E6910" t="s">
        <v>124</v>
      </c>
      <c r="F6910" t="s">
        <v>158</v>
      </c>
      <c r="G6910" t="s">
        <v>184</v>
      </c>
      <c r="AK6910" t="s">
        <v>364</v>
      </c>
    </row>
    <row r="6911" spans="1:37">
      <c r="A6911" t="s">
        <v>45</v>
      </c>
      <c r="B6911" t="s">
        <v>65</v>
      </c>
      <c r="C6911" t="s">
        <v>87</v>
      </c>
      <c r="D6911" t="s">
        <v>106</v>
      </c>
      <c r="E6911" t="s">
        <v>125</v>
      </c>
      <c r="F6911" t="s">
        <v>159</v>
      </c>
      <c r="G6911" t="s">
        <v>185</v>
      </c>
      <c r="H6911" t="s">
        <v>159</v>
      </c>
      <c r="I6911" t="s">
        <v>185</v>
      </c>
      <c r="J6911" t="s">
        <v>255</v>
      </c>
      <c r="AK6911" t="s">
        <v>364</v>
      </c>
    </row>
    <row r="6912" spans="1:37">
      <c r="A6912" t="s">
        <v>46</v>
      </c>
      <c r="B6912" t="s">
        <v>66</v>
      </c>
      <c r="C6912" t="s">
        <v>88</v>
      </c>
      <c r="D6912" t="s">
        <v>76</v>
      </c>
      <c r="E6912" t="s">
        <v>126</v>
      </c>
      <c r="F6912" t="s">
        <v>160</v>
      </c>
      <c r="G6912" t="s">
        <v>186</v>
      </c>
      <c r="H6912" t="s">
        <v>217</v>
      </c>
      <c r="I6912" t="s">
        <v>238</v>
      </c>
      <c r="J6912" t="s">
        <v>256</v>
      </c>
      <c r="K6912" t="s">
        <v>265</v>
      </c>
      <c r="L6912" t="s">
        <v>281</v>
      </c>
      <c r="M6912" t="s">
        <v>290</v>
      </c>
      <c r="N6912" t="s">
        <v>299</v>
      </c>
      <c r="O6912" t="s">
        <v>308</v>
      </c>
      <c r="P6912" t="s">
        <v>228</v>
      </c>
      <c r="Q6912" t="s">
        <v>72</v>
      </c>
      <c r="R6912" t="s">
        <v>327</v>
      </c>
      <c r="S6912" t="s">
        <v>327</v>
      </c>
      <c r="T6912" t="s">
        <v>336</v>
      </c>
      <c r="U6912" t="s">
        <v>336</v>
      </c>
      <c r="V6912" t="s">
        <v>336</v>
      </c>
      <c r="W6912" t="s">
        <v>336</v>
      </c>
      <c r="X6912" t="s">
        <v>353</v>
      </c>
      <c r="AK6912" t="s">
        <v>364</v>
      </c>
    </row>
    <row r="6913" spans="1:37">
      <c r="B6913" t="s">
        <v>67</v>
      </c>
      <c r="C6913" t="s">
        <v>89</v>
      </c>
      <c r="D6913" t="s">
        <v>107</v>
      </c>
      <c r="AK6913" t="s">
        <v>364</v>
      </c>
    </row>
    <row r="6914" spans="1:37">
      <c r="B6914" t="s">
        <v>68</v>
      </c>
      <c r="C6914" t="s">
        <v>90</v>
      </c>
      <c r="D6914" t="s">
        <v>108</v>
      </c>
      <c r="AK6914" t="s">
        <v>364</v>
      </c>
    </row>
    <row r="6915" spans="1:37">
      <c r="A6915" t="s">
        <v>47</v>
      </c>
      <c r="B6915" t="s">
        <v>69</v>
      </c>
      <c r="C6915" t="s">
        <v>91</v>
      </c>
      <c r="D6915" t="s">
        <v>109</v>
      </c>
      <c r="E6915" t="s">
        <v>109</v>
      </c>
      <c r="F6915" t="s">
        <v>109</v>
      </c>
      <c r="G6915" t="s">
        <v>109</v>
      </c>
      <c r="H6915" t="s">
        <v>109</v>
      </c>
      <c r="I6915" t="s">
        <v>239</v>
      </c>
      <c r="AK6915" t="s">
        <v>364</v>
      </c>
    </row>
    <row r="6916" spans="1:37">
      <c r="B6916" t="s">
        <v>70</v>
      </c>
      <c r="C6916" t="s">
        <v>92</v>
      </c>
      <c r="D6916" t="s">
        <v>110</v>
      </c>
      <c r="E6916" t="s">
        <v>127</v>
      </c>
      <c r="F6916" t="s">
        <v>161</v>
      </c>
      <c r="G6916" t="s">
        <v>187</v>
      </c>
      <c r="H6916" t="s">
        <v>218</v>
      </c>
      <c r="AK6916" t="s">
        <v>364</v>
      </c>
    </row>
    <row r="6917" spans="1:37">
      <c r="B6917" t="s">
        <v>71</v>
      </c>
      <c r="C6917" t="s">
        <v>93</v>
      </c>
      <c r="D6917" t="s">
        <v>111</v>
      </c>
      <c r="E6917" t="s">
        <v>128</v>
      </c>
      <c r="F6917" t="s">
        <v>162</v>
      </c>
      <c r="G6917" t="s">
        <v>188</v>
      </c>
      <c r="H6917" t="s">
        <v>219</v>
      </c>
      <c r="I6917" t="s">
        <v>240</v>
      </c>
      <c r="J6917" t="s">
        <v>257</v>
      </c>
      <c r="K6917" t="s">
        <v>269</v>
      </c>
      <c r="L6917" t="s">
        <v>109</v>
      </c>
      <c r="M6917" t="s">
        <v>109</v>
      </c>
      <c r="N6917" t="s">
        <v>109</v>
      </c>
      <c r="O6917" t="s">
        <v>109</v>
      </c>
      <c r="P6917" t="s">
        <v>109</v>
      </c>
      <c r="Q6917" t="s">
        <v>321</v>
      </c>
      <c r="AK6917" t="s">
        <v>364</v>
      </c>
    </row>
    <row r="6918" spans="1:37">
      <c r="A6918" t="s">
        <v>48</v>
      </c>
      <c r="B6918" t="s">
        <v>71</v>
      </c>
      <c r="C6918" t="s">
        <v>93</v>
      </c>
      <c r="D6918" t="s">
        <v>111</v>
      </c>
      <c r="E6918" t="s">
        <v>128</v>
      </c>
      <c r="F6918" t="s">
        <v>163</v>
      </c>
      <c r="G6918" t="s">
        <v>189</v>
      </c>
      <c r="H6918" t="s">
        <v>220</v>
      </c>
      <c r="I6918" t="s">
        <v>241</v>
      </c>
      <c r="J6918" t="s">
        <v>258</v>
      </c>
      <c r="K6918" t="s">
        <v>270</v>
      </c>
      <c r="AK6918" t="s">
        <v>364</v>
      </c>
    </row>
    <row r="6919" spans="1:37">
      <c r="B6919" t="s">
        <v>72</v>
      </c>
      <c r="C6919" t="s">
        <v>72</v>
      </c>
      <c r="D6919" t="s">
        <v>72</v>
      </c>
      <c r="E6919" t="s">
        <v>72</v>
      </c>
      <c r="F6919" t="s">
        <v>72</v>
      </c>
      <c r="G6919" t="s">
        <v>72</v>
      </c>
      <c r="H6919" t="s">
        <v>72</v>
      </c>
      <c r="I6919" t="s">
        <v>72</v>
      </c>
      <c r="J6919" t="s">
        <v>72</v>
      </c>
      <c r="K6919" t="s">
        <v>272</v>
      </c>
      <c r="AK6919" t="s">
        <v>364</v>
      </c>
    </row>
    <row r="6920" spans="1:37">
      <c r="A6920" t="s">
        <v>37</v>
      </c>
      <c r="B6920" t="s">
        <v>49</v>
      </c>
      <c r="C6920" t="s">
        <v>73</v>
      </c>
      <c r="D6920" t="s">
        <v>94</v>
      </c>
      <c r="E6920" t="s">
        <v>112</v>
      </c>
      <c r="F6920" t="s">
        <v>146</v>
      </c>
      <c r="G6920" t="s">
        <v>172</v>
      </c>
      <c r="H6920" t="s">
        <v>207</v>
      </c>
      <c r="I6920" t="s">
        <v>226</v>
      </c>
      <c r="J6920" t="s">
        <v>246</v>
      </c>
      <c r="K6920" t="s">
        <v>259</v>
      </c>
      <c r="AK6920" t="s">
        <v>364</v>
      </c>
    </row>
    <row r="6921" spans="1:37">
      <c r="A6921" t="s">
        <v>38</v>
      </c>
      <c r="B6921" t="s">
        <v>50</v>
      </c>
      <c r="C6921" t="s">
        <v>74</v>
      </c>
      <c r="D6921" t="s">
        <v>95</v>
      </c>
      <c r="E6921" t="s">
        <v>113</v>
      </c>
      <c r="F6921" t="s">
        <v>147</v>
      </c>
      <c r="G6921" t="s">
        <v>173</v>
      </c>
      <c r="H6921" t="s">
        <v>208</v>
      </c>
      <c r="I6921" t="s">
        <v>227</v>
      </c>
      <c r="J6921" t="s">
        <v>115</v>
      </c>
      <c r="K6921" t="s">
        <v>260</v>
      </c>
      <c r="L6921" t="s">
        <v>273</v>
      </c>
      <c r="M6921" t="s">
        <v>282</v>
      </c>
      <c r="N6921" t="s">
        <v>291</v>
      </c>
      <c r="AK6921" t="s">
        <v>364</v>
      </c>
    </row>
    <row r="6922" spans="1:37">
      <c r="B6922" t="s">
        <v>51</v>
      </c>
      <c r="C6922" t="s">
        <v>75</v>
      </c>
      <c r="D6922" t="s">
        <v>52</v>
      </c>
      <c r="E6922" t="s">
        <v>114</v>
      </c>
      <c r="F6922" t="s">
        <v>148</v>
      </c>
      <c r="G6922" t="s">
        <v>148</v>
      </c>
      <c r="H6922" t="s">
        <v>209</v>
      </c>
      <c r="I6922" t="s">
        <v>228</v>
      </c>
      <c r="J6922" t="s">
        <v>247</v>
      </c>
      <c r="K6922" t="s">
        <v>261</v>
      </c>
      <c r="L6922" t="s">
        <v>274</v>
      </c>
      <c r="M6922" t="s">
        <v>283</v>
      </c>
      <c r="N6922" t="s">
        <v>292</v>
      </c>
      <c r="O6922" t="s">
        <v>300</v>
      </c>
      <c r="AK6922" t="s">
        <v>364</v>
      </c>
    </row>
    <row r="6923" spans="1:37">
      <c r="B6923" t="s">
        <v>52</v>
      </c>
      <c r="C6923" t="s">
        <v>76</v>
      </c>
      <c r="D6923" t="s">
        <v>96</v>
      </c>
      <c r="E6923" t="s">
        <v>115</v>
      </c>
      <c r="F6923" t="s">
        <v>149</v>
      </c>
      <c r="G6923" t="s">
        <v>174</v>
      </c>
      <c r="H6923" t="s">
        <v>96</v>
      </c>
      <c r="I6923" t="s">
        <v>229</v>
      </c>
      <c r="J6923" t="s">
        <v>248</v>
      </c>
      <c r="K6923" t="s">
        <v>262</v>
      </c>
      <c r="L6923" t="s">
        <v>52</v>
      </c>
      <c r="M6923" t="s">
        <v>76</v>
      </c>
      <c r="N6923" t="s">
        <v>293</v>
      </c>
      <c r="O6923" t="s">
        <v>301</v>
      </c>
      <c r="P6923" t="s">
        <v>309</v>
      </c>
      <c r="Q6923" t="s">
        <v>315</v>
      </c>
      <c r="R6923" t="s">
        <v>228</v>
      </c>
      <c r="S6923" t="s">
        <v>328</v>
      </c>
      <c r="T6923" t="s">
        <v>149</v>
      </c>
      <c r="U6923" t="s">
        <v>337</v>
      </c>
      <c r="V6923" t="s">
        <v>341</v>
      </c>
      <c r="W6923" t="s">
        <v>345</v>
      </c>
      <c r="X6923" t="s">
        <v>350</v>
      </c>
      <c r="AK6923" t="s">
        <v>364</v>
      </c>
    </row>
    <row r="6924" spans="1:37">
      <c r="B6924" t="s">
        <v>53</v>
      </c>
      <c r="C6924" t="s">
        <v>77</v>
      </c>
      <c r="D6924" t="s">
        <v>97</v>
      </c>
      <c r="E6924" t="s">
        <v>116</v>
      </c>
      <c r="F6924" t="s">
        <v>150</v>
      </c>
      <c r="G6924" t="s">
        <v>175</v>
      </c>
      <c r="H6924" t="s">
        <v>210</v>
      </c>
      <c r="I6924" t="s">
        <v>230</v>
      </c>
      <c r="J6924" t="s">
        <v>249</v>
      </c>
      <c r="K6924" t="s">
        <v>263</v>
      </c>
      <c r="L6924" t="s">
        <v>275</v>
      </c>
      <c r="M6924" t="s">
        <v>284</v>
      </c>
      <c r="N6924" t="s">
        <v>294</v>
      </c>
      <c r="O6924" t="s">
        <v>302</v>
      </c>
      <c r="P6924" t="s">
        <v>310</v>
      </c>
      <c r="Q6924" t="s">
        <v>316</v>
      </c>
      <c r="R6924" t="s">
        <v>322</v>
      </c>
      <c r="S6924" t="s">
        <v>329</v>
      </c>
      <c r="AK6924" t="s">
        <v>364</v>
      </c>
    </row>
    <row r="6925" spans="1:37">
      <c r="A6925" t="s">
        <v>39</v>
      </c>
      <c r="B6925" t="s">
        <v>54</v>
      </c>
      <c r="C6925" t="s">
        <v>54</v>
      </c>
      <c r="D6925" t="s">
        <v>54</v>
      </c>
      <c r="E6925" t="s">
        <v>54</v>
      </c>
      <c r="F6925" t="s">
        <v>54</v>
      </c>
      <c r="G6925" t="s">
        <v>54</v>
      </c>
      <c r="H6925" t="s">
        <v>54</v>
      </c>
      <c r="I6925" t="s">
        <v>54</v>
      </c>
      <c r="J6925" t="s">
        <v>54</v>
      </c>
      <c r="K6925" t="s">
        <v>54</v>
      </c>
      <c r="L6925" t="s">
        <v>54</v>
      </c>
      <c r="M6925" t="s">
        <v>54</v>
      </c>
      <c r="N6925" t="s">
        <v>54</v>
      </c>
      <c r="O6925" t="s">
        <v>54</v>
      </c>
      <c r="P6925" t="s">
        <v>54</v>
      </c>
      <c r="Q6925" t="s">
        <v>54</v>
      </c>
      <c r="R6925" t="s">
        <v>323</v>
      </c>
      <c r="S6925" t="s">
        <v>330</v>
      </c>
      <c r="AK6925" t="s">
        <v>364</v>
      </c>
    </row>
    <row r="6926" spans="1:37">
      <c r="B6926" t="s">
        <v>55</v>
      </c>
      <c r="C6926" t="s">
        <v>78</v>
      </c>
      <c r="D6926" t="s">
        <v>55</v>
      </c>
      <c r="E6926" t="s">
        <v>78</v>
      </c>
      <c r="F6926" t="s">
        <v>55</v>
      </c>
      <c r="G6926" t="s">
        <v>78</v>
      </c>
      <c r="H6926" t="s">
        <v>55</v>
      </c>
      <c r="I6926" t="s">
        <v>78</v>
      </c>
      <c r="J6926" t="s">
        <v>55</v>
      </c>
      <c r="K6926" t="s">
        <v>78</v>
      </c>
      <c r="L6926" t="s">
        <v>55</v>
      </c>
      <c r="M6926" t="s">
        <v>78</v>
      </c>
      <c r="N6926" t="s">
        <v>55</v>
      </c>
      <c r="O6926" t="s">
        <v>78</v>
      </c>
      <c r="P6926" t="s">
        <v>55</v>
      </c>
      <c r="Q6926" t="s">
        <v>78</v>
      </c>
      <c r="R6926" t="s">
        <v>55</v>
      </c>
      <c r="S6926" t="s">
        <v>78</v>
      </c>
      <c r="T6926" t="s">
        <v>55</v>
      </c>
      <c r="U6926" t="s">
        <v>78</v>
      </c>
      <c r="V6926" t="s">
        <v>55</v>
      </c>
      <c r="W6926" t="s">
        <v>78</v>
      </c>
      <c r="X6926" t="s">
        <v>55</v>
      </c>
      <c r="Y6926" t="s">
        <v>78</v>
      </c>
      <c r="Z6926" t="s">
        <v>55</v>
      </c>
      <c r="AA6926" t="s">
        <v>78</v>
      </c>
      <c r="AB6926" t="s">
        <v>55</v>
      </c>
      <c r="AC6926" t="s">
        <v>78</v>
      </c>
      <c r="AD6926" t="s">
        <v>55</v>
      </c>
      <c r="AE6926" t="s">
        <v>78</v>
      </c>
      <c r="AF6926" t="s">
        <v>55</v>
      </c>
      <c r="AG6926" t="s">
        <v>78</v>
      </c>
      <c r="AH6926" t="s">
        <v>55</v>
      </c>
      <c r="AI6926" t="s">
        <v>78</v>
      </c>
      <c r="AK6926" t="s">
        <v>364</v>
      </c>
    </row>
    <row r="6927" spans="1:37">
      <c r="B6927" t="s">
        <v>56</v>
      </c>
      <c r="C6927" t="s">
        <v>56</v>
      </c>
      <c r="D6927" t="s">
        <v>56</v>
      </c>
      <c r="E6927" t="s">
        <v>56</v>
      </c>
      <c r="F6927" t="s">
        <v>56</v>
      </c>
      <c r="G6927" t="s">
        <v>176</v>
      </c>
      <c r="H6927" t="s">
        <v>211</v>
      </c>
      <c r="I6927" t="s">
        <v>231</v>
      </c>
      <c r="J6927" t="s">
        <v>250</v>
      </c>
      <c r="K6927" t="s">
        <v>264</v>
      </c>
      <c r="L6927" t="s">
        <v>276</v>
      </c>
      <c r="M6927" t="s">
        <v>285</v>
      </c>
      <c r="N6927" t="s">
        <v>295</v>
      </c>
      <c r="O6927" t="s">
        <v>303</v>
      </c>
      <c r="P6927" t="s">
        <v>56</v>
      </c>
      <c r="Q6927" t="s">
        <v>317</v>
      </c>
      <c r="R6927" t="s">
        <v>324</v>
      </c>
      <c r="S6927" t="s">
        <v>331</v>
      </c>
      <c r="T6927" t="s">
        <v>334</v>
      </c>
      <c r="U6927" t="s">
        <v>338</v>
      </c>
      <c r="V6927" t="s">
        <v>342</v>
      </c>
      <c r="W6927" t="s">
        <v>346</v>
      </c>
      <c r="X6927" t="s">
        <v>351</v>
      </c>
      <c r="AK6927" t="s">
        <v>364</v>
      </c>
    </row>
    <row r="6928" spans="1:37">
      <c r="B6928" t="s">
        <v>57</v>
      </c>
      <c r="C6928" t="s">
        <v>79</v>
      </c>
      <c r="D6928" t="s">
        <v>98</v>
      </c>
      <c r="E6928" t="s">
        <v>117</v>
      </c>
      <c r="F6928" t="s">
        <v>151</v>
      </c>
      <c r="G6928" t="s">
        <v>177</v>
      </c>
      <c r="H6928" t="s">
        <v>212</v>
      </c>
      <c r="I6928" t="s">
        <v>232</v>
      </c>
      <c r="J6928" t="s">
        <v>251</v>
      </c>
      <c r="K6928" t="s">
        <v>265</v>
      </c>
      <c r="L6928" t="s">
        <v>277</v>
      </c>
      <c r="M6928" t="s">
        <v>286</v>
      </c>
      <c r="N6928" t="s">
        <v>296</v>
      </c>
      <c r="O6928" t="s">
        <v>304</v>
      </c>
      <c r="P6928" t="s">
        <v>311</v>
      </c>
      <c r="Q6928" t="s">
        <v>318</v>
      </c>
      <c r="R6928" t="s">
        <v>185</v>
      </c>
      <c r="S6928" t="s">
        <v>159</v>
      </c>
      <c r="T6928" t="s">
        <v>185</v>
      </c>
      <c r="U6928" t="s">
        <v>339</v>
      </c>
      <c r="V6928" t="s">
        <v>72</v>
      </c>
      <c r="W6928" t="s">
        <v>347</v>
      </c>
      <c r="X6928" t="s">
        <v>72</v>
      </c>
      <c r="Y6928" t="s">
        <v>96</v>
      </c>
      <c r="AK6928" t="s">
        <v>364</v>
      </c>
    </row>
    <row r="6929" spans="1:37">
      <c r="B6929" t="s">
        <v>58</v>
      </c>
      <c r="C6929" t="s">
        <v>80</v>
      </c>
      <c r="D6929" t="s">
        <v>99</v>
      </c>
      <c r="E6929" t="s">
        <v>118</v>
      </c>
      <c r="F6929" t="s">
        <v>152</v>
      </c>
      <c r="G6929" t="s">
        <v>178</v>
      </c>
      <c r="H6929" t="s">
        <v>213</v>
      </c>
      <c r="I6929" t="s">
        <v>233</v>
      </c>
      <c r="J6929" t="s">
        <v>252</v>
      </c>
      <c r="K6929" t="s">
        <v>266</v>
      </c>
      <c r="L6929" t="s">
        <v>278</v>
      </c>
      <c r="M6929" t="s">
        <v>287</v>
      </c>
      <c r="N6929" t="s">
        <v>297</v>
      </c>
      <c r="O6929" t="s">
        <v>305</v>
      </c>
      <c r="P6929" t="s">
        <v>312</v>
      </c>
      <c r="Q6929" t="s">
        <v>319</v>
      </c>
      <c r="R6929">
        <f>&gt;10       ветра      2.1     19  12</f>
        <v>0</v>
      </c>
      <c r="AK6929" t="s">
        <v>364</v>
      </c>
    </row>
    <row r="6930" spans="1:37">
      <c r="A6930" t="s">
        <v>40</v>
      </c>
      <c r="B6930" t="s">
        <v>59</v>
      </c>
      <c r="C6930" t="s">
        <v>81</v>
      </c>
      <c r="D6930" t="s">
        <v>100</v>
      </c>
      <c r="E6930" t="s">
        <v>119</v>
      </c>
      <c r="F6930" t="s">
        <v>153</v>
      </c>
      <c r="G6930" t="s">
        <v>179</v>
      </c>
      <c r="H6930" t="s">
        <v>214</v>
      </c>
      <c r="I6930" t="s">
        <v>234</v>
      </c>
      <c r="AK6930" t="s">
        <v>364</v>
      </c>
    </row>
    <row r="6931" spans="1:37">
      <c r="A6931" t="s">
        <v>40</v>
      </c>
      <c r="B6931" t="s">
        <v>60</v>
      </c>
      <c r="C6931" t="s">
        <v>82</v>
      </c>
      <c r="D6931" t="s">
        <v>101</v>
      </c>
      <c r="E6931" t="s">
        <v>120</v>
      </c>
      <c r="F6931" t="s">
        <v>154</v>
      </c>
      <c r="G6931" t="s">
        <v>180</v>
      </c>
      <c r="H6931" t="s">
        <v>215</v>
      </c>
      <c r="I6931" t="s">
        <v>235</v>
      </c>
      <c r="J6931" t="s">
        <v>253</v>
      </c>
      <c r="K6931" t="s">
        <v>267</v>
      </c>
      <c r="L6931" t="s">
        <v>279</v>
      </c>
      <c r="M6931" t="s">
        <v>288</v>
      </c>
      <c r="N6931" t="s">
        <v>100</v>
      </c>
      <c r="O6931" t="s">
        <v>306</v>
      </c>
      <c r="P6931" t="s">
        <v>313</v>
      </c>
      <c r="Q6931" t="s">
        <v>320</v>
      </c>
      <c r="R6931" t="s">
        <v>325</v>
      </c>
      <c r="S6931" t="s">
        <v>332</v>
      </c>
      <c r="T6931" t="s">
        <v>119</v>
      </c>
      <c r="U6931" t="s">
        <v>234</v>
      </c>
      <c r="V6931" t="s">
        <v>343</v>
      </c>
      <c r="W6931" t="s">
        <v>348</v>
      </c>
      <c r="X6931" t="s">
        <v>352</v>
      </c>
      <c r="Y6931" t="s">
        <v>354</v>
      </c>
      <c r="AK6931" t="s">
        <v>364</v>
      </c>
    </row>
    <row r="6932" spans="1:37">
      <c r="A6932" t="s">
        <v>41</v>
      </c>
      <c r="B6932" t="s">
        <v>61</v>
      </c>
      <c r="C6932" t="s">
        <v>83</v>
      </c>
      <c r="D6932" t="s">
        <v>102</v>
      </c>
      <c r="E6932" t="s">
        <v>121</v>
      </c>
      <c r="F6932" t="s">
        <v>155</v>
      </c>
      <c r="G6932" t="s">
        <v>181</v>
      </c>
      <c r="H6932" t="s">
        <v>216</v>
      </c>
      <c r="I6932" t="s">
        <v>236</v>
      </c>
      <c r="AK6932" t="s">
        <v>364</v>
      </c>
    </row>
    <row r="6933" spans="1:37">
      <c r="A6933" t="s">
        <v>42</v>
      </c>
      <c r="B6933" t="s">
        <v>62</v>
      </c>
      <c r="C6933" t="s">
        <v>84</v>
      </c>
      <c r="D6933" t="s">
        <v>103</v>
      </c>
      <c r="E6933" t="s">
        <v>122</v>
      </c>
      <c r="F6933" t="s">
        <v>156</v>
      </c>
      <c r="G6933" t="s">
        <v>182</v>
      </c>
      <c r="H6933" t="s">
        <v>83</v>
      </c>
      <c r="I6933" t="s">
        <v>237</v>
      </c>
      <c r="J6933" t="s">
        <v>254</v>
      </c>
      <c r="K6933" t="s">
        <v>268</v>
      </c>
      <c r="L6933" t="s">
        <v>280</v>
      </c>
      <c r="M6933" t="s">
        <v>289</v>
      </c>
      <c r="N6933" t="s">
        <v>298</v>
      </c>
      <c r="O6933" t="s">
        <v>307</v>
      </c>
      <c r="P6933" t="s">
        <v>314</v>
      </c>
      <c r="Q6933" t="s">
        <v>216</v>
      </c>
      <c r="R6933" t="s">
        <v>326</v>
      </c>
      <c r="S6933" t="s">
        <v>333</v>
      </c>
      <c r="T6933" t="s">
        <v>335</v>
      </c>
      <c r="U6933" t="s">
        <v>340</v>
      </c>
      <c r="V6933" t="s">
        <v>344</v>
      </c>
      <c r="W6933" t="s">
        <v>349</v>
      </c>
      <c r="AK6933" t="s">
        <v>364</v>
      </c>
    </row>
    <row r="6934" spans="1:37">
      <c r="A6934" t="s">
        <v>43</v>
      </c>
      <c r="B6934" t="s">
        <v>63</v>
      </c>
      <c r="C6934" t="s">
        <v>85</v>
      </c>
      <c r="D6934" t="s">
        <v>104</v>
      </c>
      <c r="E6934" t="s">
        <v>123</v>
      </c>
      <c r="F6934" t="s">
        <v>157</v>
      </c>
      <c r="G6934" t="s">
        <v>183</v>
      </c>
      <c r="AK6934" t="s">
        <v>364</v>
      </c>
    </row>
    <row r="6935" spans="1:37">
      <c r="A6935" t="s">
        <v>44</v>
      </c>
      <c r="B6935" t="s">
        <v>64</v>
      </c>
      <c r="C6935" t="s">
        <v>86</v>
      </c>
      <c r="D6935" t="s">
        <v>105</v>
      </c>
      <c r="E6935" t="s">
        <v>124</v>
      </c>
      <c r="F6935" t="s">
        <v>158</v>
      </c>
      <c r="G6935" t="s">
        <v>184</v>
      </c>
      <c r="AK6935" t="s">
        <v>364</v>
      </c>
    </row>
    <row r="6936" spans="1:37">
      <c r="A6936" t="s">
        <v>45</v>
      </c>
      <c r="B6936" t="s">
        <v>65</v>
      </c>
      <c r="C6936" t="s">
        <v>87</v>
      </c>
      <c r="D6936" t="s">
        <v>106</v>
      </c>
      <c r="E6936" t="s">
        <v>125</v>
      </c>
      <c r="F6936" t="s">
        <v>159</v>
      </c>
      <c r="G6936" t="s">
        <v>185</v>
      </c>
      <c r="H6936" t="s">
        <v>159</v>
      </c>
      <c r="I6936" t="s">
        <v>185</v>
      </c>
      <c r="J6936" t="s">
        <v>255</v>
      </c>
      <c r="AK6936" t="s">
        <v>364</v>
      </c>
    </row>
    <row r="6937" spans="1:37">
      <c r="A6937" t="s">
        <v>46</v>
      </c>
      <c r="B6937" t="s">
        <v>66</v>
      </c>
      <c r="C6937" t="s">
        <v>88</v>
      </c>
      <c r="D6937" t="s">
        <v>76</v>
      </c>
      <c r="E6937" t="s">
        <v>126</v>
      </c>
      <c r="F6937" t="s">
        <v>160</v>
      </c>
      <c r="G6937" t="s">
        <v>186</v>
      </c>
      <c r="H6937" t="s">
        <v>217</v>
      </c>
      <c r="I6937" t="s">
        <v>238</v>
      </c>
      <c r="J6937" t="s">
        <v>256</v>
      </c>
      <c r="K6937" t="s">
        <v>265</v>
      </c>
      <c r="L6937" t="s">
        <v>281</v>
      </c>
      <c r="M6937" t="s">
        <v>290</v>
      </c>
      <c r="N6937" t="s">
        <v>299</v>
      </c>
      <c r="O6937" t="s">
        <v>308</v>
      </c>
      <c r="P6937" t="s">
        <v>228</v>
      </c>
      <c r="Q6937" t="s">
        <v>72</v>
      </c>
      <c r="R6937" t="s">
        <v>327</v>
      </c>
      <c r="S6937" t="s">
        <v>327</v>
      </c>
      <c r="T6937" t="s">
        <v>336</v>
      </c>
      <c r="U6937" t="s">
        <v>336</v>
      </c>
      <c r="V6937" t="s">
        <v>336</v>
      </c>
      <c r="W6937" t="s">
        <v>336</v>
      </c>
      <c r="X6937" t="s">
        <v>353</v>
      </c>
      <c r="AK6937" t="s">
        <v>364</v>
      </c>
    </row>
    <row r="6938" spans="1:37">
      <c r="B6938" t="s">
        <v>67</v>
      </c>
      <c r="C6938" t="s">
        <v>89</v>
      </c>
      <c r="D6938" t="s">
        <v>107</v>
      </c>
      <c r="AK6938" t="s">
        <v>364</v>
      </c>
    </row>
    <row r="6939" spans="1:37">
      <c r="B6939" t="s">
        <v>68</v>
      </c>
      <c r="C6939" t="s">
        <v>90</v>
      </c>
      <c r="D6939" t="s">
        <v>108</v>
      </c>
      <c r="AK6939" t="s">
        <v>364</v>
      </c>
    </row>
    <row r="6940" spans="1:37">
      <c r="A6940" t="s">
        <v>47</v>
      </c>
      <c r="B6940" t="s">
        <v>69</v>
      </c>
      <c r="C6940" t="s">
        <v>91</v>
      </c>
      <c r="D6940" t="s">
        <v>109</v>
      </c>
      <c r="E6940" t="s">
        <v>109</v>
      </c>
      <c r="F6940" t="s">
        <v>109</v>
      </c>
      <c r="G6940" t="s">
        <v>109</v>
      </c>
      <c r="H6940" t="s">
        <v>109</v>
      </c>
      <c r="I6940" t="s">
        <v>239</v>
      </c>
      <c r="AK6940" t="s">
        <v>364</v>
      </c>
    </row>
    <row r="6941" spans="1:37">
      <c r="B6941" t="s">
        <v>70</v>
      </c>
      <c r="C6941" t="s">
        <v>92</v>
      </c>
      <c r="D6941" t="s">
        <v>110</v>
      </c>
      <c r="E6941" t="s">
        <v>127</v>
      </c>
      <c r="F6941" t="s">
        <v>161</v>
      </c>
      <c r="G6941" t="s">
        <v>187</v>
      </c>
      <c r="H6941" t="s">
        <v>218</v>
      </c>
      <c r="AK6941" t="s">
        <v>364</v>
      </c>
    </row>
    <row r="6942" spans="1:37">
      <c r="B6942" t="s">
        <v>71</v>
      </c>
      <c r="C6942" t="s">
        <v>93</v>
      </c>
      <c r="D6942" t="s">
        <v>111</v>
      </c>
      <c r="E6942" t="s">
        <v>128</v>
      </c>
      <c r="F6942" t="s">
        <v>162</v>
      </c>
      <c r="G6942" t="s">
        <v>188</v>
      </c>
      <c r="H6942" t="s">
        <v>219</v>
      </c>
      <c r="I6942" t="s">
        <v>240</v>
      </c>
      <c r="J6942" t="s">
        <v>257</v>
      </c>
      <c r="K6942" t="s">
        <v>269</v>
      </c>
      <c r="L6942" t="s">
        <v>109</v>
      </c>
      <c r="M6942" t="s">
        <v>109</v>
      </c>
      <c r="N6942" t="s">
        <v>109</v>
      </c>
      <c r="O6942" t="s">
        <v>109</v>
      </c>
      <c r="P6942" t="s">
        <v>109</v>
      </c>
      <c r="Q6942" t="s">
        <v>321</v>
      </c>
      <c r="AK6942" t="s">
        <v>364</v>
      </c>
    </row>
    <row r="6943" spans="1:37">
      <c r="A6943" t="s">
        <v>48</v>
      </c>
      <c r="B6943" t="s">
        <v>71</v>
      </c>
      <c r="C6943" t="s">
        <v>93</v>
      </c>
      <c r="D6943" t="s">
        <v>111</v>
      </c>
      <c r="E6943" t="s">
        <v>128</v>
      </c>
      <c r="F6943" t="s">
        <v>163</v>
      </c>
      <c r="G6943" t="s">
        <v>189</v>
      </c>
      <c r="H6943" t="s">
        <v>220</v>
      </c>
      <c r="I6943" t="s">
        <v>241</v>
      </c>
      <c r="J6943" t="s">
        <v>258</v>
      </c>
      <c r="K6943" t="s">
        <v>270</v>
      </c>
      <c r="AK6943" t="s">
        <v>364</v>
      </c>
    </row>
    <row r="6944" spans="1:37">
      <c r="B6944" t="s">
        <v>72</v>
      </c>
      <c r="C6944" t="s">
        <v>72</v>
      </c>
      <c r="D6944" t="s">
        <v>72</v>
      </c>
      <c r="E6944" t="s">
        <v>72</v>
      </c>
      <c r="F6944" t="s">
        <v>72</v>
      </c>
      <c r="G6944" t="s">
        <v>72</v>
      </c>
      <c r="H6944" t="s">
        <v>72</v>
      </c>
      <c r="I6944" t="s">
        <v>72</v>
      </c>
      <c r="J6944" t="s">
        <v>72</v>
      </c>
      <c r="K6944" t="s">
        <v>272</v>
      </c>
      <c r="AK6944" t="s">
        <v>364</v>
      </c>
    </row>
    <row r="6945" spans="1:37">
      <c r="A6945" t="s">
        <v>37</v>
      </c>
      <c r="B6945" t="s">
        <v>49</v>
      </c>
      <c r="C6945" t="s">
        <v>73</v>
      </c>
      <c r="D6945" t="s">
        <v>94</v>
      </c>
      <c r="E6945" t="s">
        <v>112</v>
      </c>
      <c r="F6945" t="s">
        <v>146</v>
      </c>
      <c r="G6945" t="s">
        <v>172</v>
      </c>
      <c r="H6945" t="s">
        <v>207</v>
      </c>
      <c r="I6945" t="s">
        <v>226</v>
      </c>
      <c r="J6945" t="s">
        <v>246</v>
      </c>
      <c r="K6945" t="s">
        <v>259</v>
      </c>
      <c r="AK6945" t="s">
        <v>364</v>
      </c>
    </row>
    <row r="6946" spans="1:37">
      <c r="A6946" t="s">
        <v>38</v>
      </c>
      <c r="B6946" t="s">
        <v>50</v>
      </c>
      <c r="C6946" t="s">
        <v>74</v>
      </c>
      <c r="D6946" t="s">
        <v>95</v>
      </c>
      <c r="E6946" t="s">
        <v>113</v>
      </c>
      <c r="F6946" t="s">
        <v>147</v>
      </c>
      <c r="G6946" t="s">
        <v>173</v>
      </c>
      <c r="H6946" t="s">
        <v>208</v>
      </c>
      <c r="I6946" t="s">
        <v>227</v>
      </c>
      <c r="J6946" t="s">
        <v>115</v>
      </c>
      <c r="K6946" t="s">
        <v>260</v>
      </c>
      <c r="L6946" t="s">
        <v>273</v>
      </c>
      <c r="M6946" t="s">
        <v>282</v>
      </c>
      <c r="N6946" t="s">
        <v>291</v>
      </c>
      <c r="AK6946" t="s">
        <v>364</v>
      </c>
    </row>
    <row r="6947" spans="1:37">
      <c r="B6947" t="s">
        <v>51</v>
      </c>
      <c r="C6947" t="s">
        <v>75</v>
      </c>
      <c r="D6947" t="s">
        <v>52</v>
      </c>
      <c r="E6947" t="s">
        <v>114</v>
      </c>
      <c r="F6947" t="s">
        <v>148</v>
      </c>
      <c r="G6947" t="s">
        <v>148</v>
      </c>
      <c r="H6947" t="s">
        <v>209</v>
      </c>
      <c r="I6947" t="s">
        <v>228</v>
      </c>
      <c r="J6947" t="s">
        <v>247</v>
      </c>
      <c r="K6947" t="s">
        <v>261</v>
      </c>
      <c r="L6947" t="s">
        <v>274</v>
      </c>
      <c r="M6947" t="s">
        <v>283</v>
      </c>
      <c r="N6947" t="s">
        <v>292</v>
      </c>
      <c r="O6947" t="s">
        <v>300</v>
      </c>
      <c r="AK6947" t="s">
        <v>364</v>
      </c>
    </row>
    <row r="6948" spans="1:37">
      <c r="B6948" t="s">
        <v>52</v>
      </c>
      <c r="C6948" t="s">
        <v>76</v>
      </c>
      <c r="D6948" t="s">
        <v>96</v>
      </c>
      <c r="E6948" t="s">
        <v>115</v>
      </c>
      <c r="F6948" t="s">
        <v>149</v>
      </c>
      <c r="G6948" t="s">
        <v>174</v>
      </c>
      <c r="H6948" t="s">
        <v>96</v>
      </c>
      <c r="I6948" t="s">
        <v>229</v>
      </c>
      <c r="J6948" t="s">
        <v>248</v>
      </c>
      <c r="K6948" t="s">
        <v>262</v>
      </c>
      <c r="L6948" t="s">
        <v>52</v>
      </c>
      <c r="M6948" t="s">
        <v>76</v>
      </c>
      <c r="N6948" t="s">
        <v>293</v>
      </c>
      <c r="O6948" t="s">
        <v>301</v>
      </c>
      <c r="P6948" t="s">
        <v>309</v>
      </c>
      <c r="Q6948" t="s">
        <v>315</v>
      </c>
      <c r="R6948" t="s">
        <v>228</v>
      </c>
      <c r="S6948" t="s">
        <v>328</v>
      </c>
      <c r="T6948" t="s">
        <v>149</v>
      </c>
      <c r="U6948" t="s">
        <v>337</v>
      </c>
      <c r="V6948" t="s">
        <v>341</v>
      </c>
      <c r="W6948" t="s">
        <v>345</v>
      </c>
      <c r="X6948" t="s">
        <v>350</v>
      </c>
      <c r="AK6948" t="s">
        <v>364</v>
      </c>
    </row>
    <row r="6949" spans="1:37">
      <c r="B6949" t="s">
        <v>53</v>
      </c>
      <c r="C6949" t="s">
        <v>77</v>
      </c>
      <c r="D6949" t="s">
        <v>97</v>
      </c>
      <c r="E6949" t="s">
        <v>116</v>
      </c>
      <c r="F6949" t="s">
        <v>150</v>
      </c>
      <c r="G6949" t="s">
        <v>175</v>
      </c>
      <c r="H6949" t="s">
        <v>210</v>
      </c>
      <c r="I6949" t="s">
        <v>230</v>
      </c>
      <c r="J6949" t="s">
        <v>249</v>
      </c>
      <c r="K6949" t="s">
        <v>263</v>
      </c>
      <c r="L6949" t="s">
        <v>275</v>
      </c>
      <c r="M6949" t="s">
        <v>284</v>
      </c>
      <c r="N6949" t="s">
        <v>294</v>
      </c>
      <c r="O6949" t="s">
        <v>302</v>
      </c>
      <c r="P6949" t="s">
        <v>310</v>
      </c>
      <c r="Q6949" t="s">
        <v>316</v>
      </c>
      <c r="R6949" t="s">
        <v>322</v>
      </c>
      <c r="S6949" t="s">
        <v>329</v>
      </c>
      <c r="AK6949" t="s">
        <v>364</v>
      </c>
    </row>
    <row r="6950" spans="1:37">
      <c r="A6950" t="s">
        <v>39</v>
      </c>
      <c r="B6950" t="s">
        <v>54</v>
      </c>
      <c r="C6950" t="s">
        <v>54</v>
      </c>
      <c r="D6950" t="s">
        <v>54</v>
      </c>
      <c r="E6950" t="s">
        <v>54</v>
      </c>
      <c r="F6950" t="s">
        <v>54</v>
      </c>
      <c r="G6950" t="s">
        <v>54</v>
      </c>
      <c r="H6950" t="s">
        <v>54</v>
      </c>
      <c r="I6950" t="s">
        <v>54</v>
      </c>
      <c r="J6950" t="s">
        <v>54</v>
      </c>
      <c r="K6950" t="s">
        <v>54</v>
      </c>
      <c r="L6950" t="s">
        <v>54</v>
      </c>
      <c r="M6950" t="s">
        <v>54</v>
      </c>
      <c r="N6950" t="s">
        <v>54</v>
      </c>
      <c r="O6950" t="s">
        <v>54</v>
      </c>
      <c r="P6950" t="s">
        <v>54</v>
      </c>
      <c r="Q6950" t="s">
        <v>54</v>
      </c>
      <c r="R6950" t="s">
        <v>323</v>
      </c>
      <c r="S6950" t="s">
        <v>330</v>
      </c>
      <c r="AK6950" t="s">
        <v>364</v>
      </c>
    </row>
    <row r="6951" spans="1:37">
      <c r="B6951" t="s">
        <v>55</v>
      </c>
      <c r="C6951" t="s">
        <v>78</v>
      </c>
      <c r="D6951" t="s">
        <v>55</v>
      </c>
      <c r="E6951" t="s">
        <v>78</v>
      </c>
      <c r="F6951" t="s">
        <v>55</v>
      </c>
      <c r="G6951" t="s">
        <v>78</v>
      </c>
      <c r="H6951" t="s">
        <v>55</v>
      </c>
      <c r="I6951" t="s">
        <v>78</v>
      </c>
      <c r="J6951" t="s">
        <v>55</v>
      </c>
      <c r="K6951" t="s">
        <v>78</v>
      </c>
      <c r="L6951" t="s">
        <v>55</v>
      </c>
      <c r="M6951" t="s">
        <v>78</v>
      </c>
      <c r="N6951" t="s">
        <v>55</v>
      </c>
      <c r="O6951" t="s">
        <v>78</v>
      </c>
      <c r="P6951" t="s">
        <v>55</v>
      </c>
      <c r="Q6951" t="s">
        <v>78</v>
      </c>
      <c r="R6951" t="s">
        <v>55</v>
      </c>
      <c r="S6951" t="s">
        <v>78</v>
      </c>
      <c r="T6951" t="s">
        <v>55</v>
      </c>
      <c r="U6951" t="s">
        <v>78</v>
      </c>
      <c r="V6951" t="s">
        <v>55</v>
      </c>
      <c r="W6951" t="s">
        <v>78</v>
      </c>
      <c r="X6951" t="s">
        <v>55</v>
      </c>
      <c r="Y6951" t="s">
        <v>78</v>
      </c>
      <c r="Z6951" t="s">
        <v>55</v>
      </c>
      <c r="AA6951" t="s">
        <v>78</v>
      </c>
      <c r="AB6951" t="s">
        <v>55</v>
      </c>
      <c r="AC6951" t="s">
        <v>78</v>
      </c>
      <c r="AD6951" t="s">
        <v>55</v>
      </c>
      <c r="AE6951" t="s">
        <v>78</v>
      </c>
      <c r="AF6951" t="s">
        <v>55</v>
      </c>
      <c r="AG6951" t="s">
        <v>78</v>
      </c>
      <c r="AH6951" t="s">
        <v>55</v>
      </c>
      <c r="AI6951" t="s">
        <v>78</v>
      </c>
      <c r="AK6951" t="s">
        <v>364</v>
      </c>
    </row>
    <row r="6952" spans="1:37">
      <c r="B6952" t="s">
        <v>56</v>
      </c>
      <c r="C6952" t="s">
        <v>56</v>
      </c>
      <c r="D6952" t="s">
        <v>56</v>
      </c>
      <c r="E6952" t="s">
        <v>56</v>
      </c>
      <c r="F6952" t="s">
        <v>56</v>
      </c>
      <c r="G6952" t="s">
        <v>176</v>
      </c>
      <c r="H6952" t="s">
        <v>211</v>
      </c>
      <c r="I6952" t="s">
        <v>231</v>
      </c>
      <c r="J6952" t="s">
        <v>250</v>
      </c>
      <c r="K6952" t="s">
        <v>264</v>
      </c>
      <c r="L6952" t="s">
        <v>276</v>
      </c>
      <c r="M6952" t="s">
        <v>285</v>
      </c>
      <c r="N6952" t="s">
        <v>295</v>
      </c>
      <c r="O6952" t="s">
        <v>303</v>
      </c>
      <c r="P6952" t="s">
        <v>56</v>
      </c>
      <c r="Q6952" t="s">
        <v>317</v>
      </c>
      <c r="R6952" t="s">
        <v>324</v>
      </c>
      <c r="S6952" t="s">
        <v>331</v>
      </c>
      <c r="T6952" t="s">
        <v>334</v>
      </c>
      <c r="U6952" t="s">
        <v>338</v>
      </c>
      <c r="V6952" t="s">
        <v>342</v>
      </c>
      <c r="W6952" t="s">
        <v>346</v>
      </c>
      <c r="X6952" t="s">
        <v>351</v>
      </c>
      <c r="AK6952" t="s">
        <v>364</v>
      </c>
    </row>
    <row r="6953" spans="1:37">
      <c r="B6953" t="s">
        <v>57</v>
      </c>
      <c r="C6953" t="s">
        <v>79</v>
      </c>
      <c r="D6953" t="s">
        <v>98</v>
      </c>
      <c r="E6953" t="s">
        <v>117</v>
      </c>
      <c r="F6953" t="s">
        <v>151</v>
      </c>
      <c r="G6953" t="s">
        <v>177</v>
      </c>
      <c r="H6953" t="s">
        <v>212</v>
      </c>
      <c r="I6953" t="s">
        <v>232</v>
      </c>
      <c r="J6953" t="s">
        <v>251</v>
      </c>
      <c r="K6953" t="s">
        <v>265</v>
      </c>
      <c r="L6953" t="s">
        <v>277</v>
      </c>
      <c r="M6953" t="s">
        <v>286</v>
      </c>
      <c r="N6953" t="s">
        <v>296</v>
      </c>
      <c r="O6953" t="s">
        <v>304</v>
      </c>
      <c r="P6953" t="s">
        <v>311</v>
      </c>
      <c r="Q6953" t="s">
        <v>318</v>
      </c>
      <c r="R6953" t="s">
        <v>185</v>
      </c>
      <c r="S6953" t="s">
        <v>159</v>
      </c>
      <c r="T6953" t="s">
        <v>185</v>
      </c>
      <c r="U6953" t="s">
        <v>339</v>
      </c>
      <c r="V6953" t="s">
        <v>72</v>
      </c>
      <c r="W6953" t="s">
        <v>347</v>
      </c>
      <c r="X6953" t="s">
        <v>72</v>
      </c>
      <c r="Y6953" t="s">
        <v>96</v>
      </c>
      <c r="AK6953" t="s">
        <v>364</v>
      </c>
    </row>
    <row r="6954" spans="1:37">
      <c r="B6954" t="s">
        <v>58</v>
      </c>
      <c r="C6954" t="s">
        <v>80</v>
      </c>
      <c r="D6954" t="s">
        <v>99</v>
      </c>
      <c r="E6954" t="s">
        <v>118</v>
      </c>
      <c r="F6954" t="s">
        <v>152</v>
      </c>
      <c r="G6954" t="s">
        <v>178</v>
      </c>
      <c r="H6954" t="s">
        <v>213</v>
      </c>
      <c r="I6954" t="s">
        <v>233</v>
      </c>
      <c r="J6954" t="s">
        <v>252</v>
      </c>
      <c r="K6954" t="s">
        <v>266</v>
      </c>
      <c r="L6954" t="s">
        <v>278</v>
      </c>
      <c r="M6954" t="s">
        <v>287</v>
      </c>
      <c r="N6954" t="s">
        <v>297</v>
      </c>
      <c r="O6954" t="s">
        <v>305</v>
      </c>
      <c r="P6954" t="s">
        <v>312</v>
      </c>
      <c r="Q6954" t="s">
        <v>319</v>
      </c>
      <c r="R6954">
        <f>&gt;10       ветра      1.8     20  12 15</f>
        <v>0</v>
      </c>
      <c r="AK6954" t="s">
        <v>364</v>
      </c>
    </row>
    <row r="6955" spans="1:37">
      <c r="A6955" t="s">
        <v>40</v>
      </c>
      <c r="B6955" t="s">
        <v>59</v>
      </c>
      <c r="C6955" t="s">
        <v>81</v>
      </c>
      <c r="D6955" t="s">
        <v>100</v>
      </c>
      <c r="E6955" t="s">
        <v>119</v>
      </c>
      <c r="F6955" t="s">
        <v>153</v>
      </c>
      <c r="G6955" t="s">
        <v>179</v>
      </c>
      <c r="H6955" t="s">
        <v>214</v>
      </c>
      <c r="I6955" t="s">
        <v>234</v>
      </c>
      <c r="AK6955" t="s">
        <v>364</v>
      </c>
    </row>
    <row r="6956" spans="1:37">
      <c r="A6956" t="s">
        <v>40</v>
      </c>
      <c r="B6956" t="s">
        <v>60</v>
      </c>
      <c r="C6956" t="s">
        <v>82</v>
      </c>
      <c r="D6956" t="s">
        <v>101</v>
      </c>
      <c r="E6956" t="s">
        <v>120</v>
      </c>
      <c r="F6956" t="s">
        <v>154</v>
      </c>
      <c r="G6956" t="s">
        <v>180</v>
      </c>
      <c r="H6956" t="s">
        <v>215</v>
      </c>
      <c r="I6956" t="s">
        <v>235</v>
      </c>
      <c r="J6956" t="s">
        <v>253</v>
      </c>
      <c r="K6956" t="s">
        <v>267</v>
      </c>
      <c r="L6956" t="s">
        <v>279</v>
      </c>
      <c r="M6956" t="s">
        <v>288</v>
      </c>
      <c r="N6956" t="s">
        <v>100</v>
      </c>
      <c r="O6956" t="s">
        <v>306</v>
      </c>
      <c r="P6956" t="s">
        <v>313</v>
      </c>
      <c r="Q6956" t="s">
        <v>320</v>
      </c>
      <c r="R6956" t="s">
        <v>325</v>
      </c>
      <c r="S6956" t="s">
        <v>332</v>
      </c>
      <c r="T6956" t="s">
        <v>119</v>
      </c>
      <c r="U6956" t="s">
        <v>234</v>
      </c>
      <c r="V6956" t="s">
        <v>343</v>
      </c>
      <c r="W6956" t="s">
        <v>348</v>
      </c>
      <c r="X6956" t="s">
        <v>352</v>
      </c>
      <c r="Y6956" t="s">
        <v>354</v>
      </c>
      <c r="AK6956" t="s">
        <v>364</v>
      </c>
    </row>
    <row r="6957" spans="1:37">
      <c r="A6957" t="s">
        <v>41</v>
      </c>
      <c r="B6957" t="s">
        <v>61</v>
      </c>
      <c r="C6957" t="s">
        <v>83</v>
      </c>
      <c r="D6957" t="s">
        <v>102</v>
      </c>
      <c r="E6957" t="s">
        <v>121</v>
      </c>
      <c r="F6957" t="s">
        <v>155</v>
      </c>
      <c r="G6957" t="s">
        <v>181</v>
      </c>
      <c r="H6957" t="s">
        <v>216</v>
      </c>
      <c r="I6957" t="s">
        <v>236</v>
      </c>
      <c r="AK6957" t="s">
        <v>364</v>
      </c>
    </row>
    <row r="6958" spans="1:37">
      <c r="A6958" t="s">
        <v>42</v>
      </c>
      <c r="B6958" t="s">
        <v>62</v>
      </c>
      <c r="C6958" t="s">
        <v>84</v>
      </c>
      <c r="D6958" t="s">
        <v>103</v>
      </c>
      <c r="E6958" t="s">
        <v>122</v>
      </c>
      <c r="F6958" t="s">
        <v>156</v>
      </c>
      <c r="G6958" t="s">
        <v>182</v>
      </c>
      <c r="H6958" t="s">
        <v>83</v>
      </c>
      <c r="I6958" t="s">
        <v>237</v>
      </c>
      <c r="J6958" t="s">
        <v>254</v>
      </c>
      <c r="K6958" t="s">
        <v>268</v>
      </c>
      <c r="L6958" t="s">
        <v>280</v>
      </c>
      <c r="M6958" t="s">
        <v>289</v>
      </c>
      <c r="N6958" t="s">
        <v>298</v>
      </c>
      <c r="O6958" t="s">
        <v>307</v>
      </c>
      <c r="P6958" t="s">
        <v>314</v>
      </c>
      <c r="Q6958" t="s">
        <v>216</v>
      </c>
      <c r="R6958" t="s">
        <v>326</v>
      </c>
      <c r="S6958" t="s">
        <v>333</v>
      </c>
      <c r="T6958" t="s">
        <v>335</v>
      </c>
      <c r="U6958" t="s">
        <v>340</v>
      </c>
      <c r="V6958" t="s">
        <v>344</v>
      </c>
      <c r="W6958" t="s">
        <v>349</v>
      </c>
      <c r="AK6958" t="s">
        <v>364</v>
      </c>
    </row>
    <row r="6959" spans="1:37">
      <c r="A6959" t="s">
        <v>43</v>
      </c>
      <c r="B6959" t="s">
        <v>63</v>
      </c>
      <c r="C6959" t="s">
        <v>85</v>
      </c>
      <c r="D6959" t="s">
        <v>104</v>
      </c>
      <c r="E6959" t="s">
        <v>123</v>
      </c>
      <c r="F6959" t="s">
        <v>157</v>
      </c>
      <c r="G6959" t="s">
        <v>183</v>
      </c>
      <c r="AK6959" t="s">
        <v>364</v>
      </c>
    </row>
    <row r="6960" spans="1:37">
      <c r="A6960" t="s">
        <v>44</v>
      </c>
      <c r="B6960" t="s">
        <v>64</v>
      </c>
      <c r="C6960" t="s">
        <v>86</v>
      </c>
      <c r="D6960" t="s">
        <v>105</v>
      </c>
      <c r="E6960" t="s">
        <v>124</v>
      </c>
      <c r="F6960" t="s">
        <v>158</v>
      </c>
      <c r="G6960" t="s">
        <v>184</v>
      </c>
      <c r="AK6960" t="s">
        <v>364</v>
      </c>
    </row>
    <row r="6961" spans="1:37">
      <c r="A6961" t="s">
        <v>45</v>
      </c>
      <c r="B6961" t="s">
        <v>65</v>
      </c>
      <c r="C6961" t="s">
        <v>87</v>
      </c>
      <c r="D6961" t="s">
        <v>106</v>
      </c>
      <c r="E6961" t="s">
        <v>125</v>
      </c>
      <c r="F6961" t="s">
        <v>159</v>
      </c>
      <c r="G6961" t="s">
        <v>185</v>
      </c>
      <c r="H6961" t="s">
        <v>159</v>
      </c>
      <c r="I6961" t="s">
        <v>185</v>
      </c>
      <c r="J6961" t="s">
        <v>255</v>
      </c>
      <c r="AK6961" t="s">
        <v>364</v>
      </c>
    </row>
    <row r="6962" spans="1:37">
      <c r="A6962" t="s">
        <v>46</v>
      </c>
      <c r="B6962" t="s">
        <v>66</v>
      </c>
      <c r="C6962" t="s">
        <v>88</v>
      </c>
      <c r="D6962" t="s">
        <v>76</v>
      </c>
      <c r="E6962" t="s">
        <v>126</v>
      </c>
      <c r="F6962" t="s">
        <v>160</v>
      </c>
      <c r="G6962" t="s">
        <v>186</v>
      </c>
      <c r="H6962" t="s">
        <v>217</v>
      </c>
      <c r="I6962" t="s">
        <v>238</v>
      </c>
      <c r="J6962" t="s">
        <v>256</v>
      </c>
      <c r="K6962" t="s">
        <v>265</v>
      </c>
      <c r="L6962" t="s">
        <v>281</v>
      </c>
      <c r="M6962" t="s">
        <v>290</v>
      </c>
      <c r="N6962" t="s">
        <v>299</v>
      </c>
      <c r="O6962" t="s">
        <v>308</v>
      </c>
      <c r="P6962" t="s">
        <v>228</v>
      </c>
      <c r="Q6962" t="s">
        <v>72</v>
      </c>
      <c r="R6962" t="s">
        <v>327</v>
      </c>
      <c r="S6962" t="s">
        <v>327</v>
      </c>
      <c r="T6962" t="s">
        <v>336</v>
      </c>
      <c r="U6962" t="s">
        <v>336</v>
      </c>
      <c r="V6962" t="s">
        <v>336</v>
      </c>
      <c r="W6962" t="s">
        <v>336</v>
      </c>
      <c r="X6962" t="s">
        <v>353</v>
      </c>
      <c r="AK6962" t="s">
        <v>364</v>
      </c>
    </row>
    <row r="6963" spans="1:37">
      <c r="A6963" t="s">
        <v>37</v>
      </c>
      <c r="B6963" t="s">
        <v>49</v>
      </c>
      <c r="C6963" t="s">
        <v>73</v>
      </c>
      <c r="D6963" t="s">
        <v>94</v>
      </c>
      <c r="E6963" t="s">
        <v>112</v>
      </c>
      <c r="F6963" t="s">
        <v>146</v>
      </c>
      <c r="G6963" t="s">
        <v>172</v>
      </c>
      <c r="H6963" t="s">
        <v>207</v>
      </c>
      <c r="I6963" t="s">
        <v>226</v>
      </c>
      <c r="J6963" t="s">
        <v>246</v>
      </c>
      <c r="K6963" t="s">
        <v>259</v>
      </c>
      <c r="AK6963" t="s">
        <v>364</v>
      </c>
    </row>
    <row r="6964" spans="1:37">
      <c r="A6964" t="s">
        <v>38</v>
      </c>
      <c r="B6964" t="s">
        <v>50</v>
      </c>
      <c r="C6964" t="s">
        <v>74</v>
      </c>
      <c r="D6964" t="s">
        <v>95</v>
      </c>
      <c r="E6964" t="s">
        <v>113</v>
      </c>
      <c r="F6964" t="s">
        <v>147</v>
      </c>
      <c r="G6964" t="s">
        <v>173</v>
      </c>
      <c r="H6964" t="s">
        <v>208</v>
      </c>
      <c r="I6964" t="s">
        <v>227</v>
      </c>
      <c r="J6964" t="s">
        <v>115</v>
      </c>
      <c r="K6964" t="s">
        <v>260</v>
      </c>
      <c r="L6964" t="s">
        <v>273</v>
      </c>
      <c r="M6964" t="s">
        <v>282</v>
      </c>
      <c r="N6964" t="s">
        <v>291</v>
      </c>
      <c r="AK6964" t="s">
        <v>364</v>
      </c>
    </row>
    <row r="6965" spans="1:37">
      <c r="B6965" t="s">
        <v>51</v>
      </c>
      <c r="C6965" t="s">
        <v>75</v>
      </c>
      <c r="D6965" t="s">
        <v>52</v>
      </c>
      <c r="E6965" t="s">
        <v>114</v>
      </c>
      <c r="F6965" t="s">
        <v>148</v>
      </c>
      <c r="G6965" t="s">
        <v>148</v>
      </c>
      <c r="H6965" t="s">
        <v>209</v>
      </c>
      <c r="I6965" t="s">
        <v>228</v>
      </c>
      <c r="J6965" t="s">
        <v>247</v>
      </c>
      <c r="K6965" t="s">
        <v>261</v>
      </c>
      <c r="L6965" t="s">
        <v>274</v>
      </c>
      <c r="M6965" t="s">
        <v>283</v>
      </c>
      <c r="N6965" t="s">
        <v>292</v>
      </c>
      <c r="O6965" t="s">
        <v>300</v>
      </c>
      <c r="AK6965" t="s">
        <v>364</v>
      </c>
    </row>
    <row r="6966" spans="1:37">
      <c r="B6966" t="s">
        <v>52</v>
      </c>
      <c r="C6966" t="s">
        <v>76</v>
      </c>
      <c r="D6966" t="s">
        <v>96</v>
      </c>
      <c r="E6966" t="s">
        <v>115</v>
      </c>
      <c r="F6966" t="s">
        <v>149</v>
      </c>
      <c r="G6966" t="s">
        <v>174</v>
      </c>
      <c r="H6966" t="s">
        <v>96</v>
      </c>
      <c r="I6966" t="s">
        <v>229</v>
      </c>
      <c r="J6966" t="s">
        <v>248</v>
      </c>
      <c r="K6966" t="s">
        <v>262</v>
      </c>
      <c r="L6966" t="s">
        <v>52</v>
      </c>
      <c r="M6966" t="s">
        <v>76</v>
      </c>
      <c r="N6966" t="s">
        <v>293</v>
      </c>
      <c r="O6966" t="s">
        <v>301</v>
      </c>
      <c r="P6966" t="s">
        <v>309</v>
      </c>
      <c r="Q6966" t="s">
        <v>315</v>
      </c>
      <c r="R6966" t="s">
        <v>228</v>
      </c>
      <c r="S6966" t="s">
        <v>328</v>
      </c>
      <c r="T6966" t="s">
        <v>149</v>
      </c>
      <c r="U6966" t="s">
        <v>337</v>
      </c>
      <c r="V6966" t="s">
        <v>341</v>
      </c>
      <c r="W6966" t="s">
        <v>345</v>
      </c>
      <c r="X6966" t="s">
        <v>350</v>
      </c>
      <c r="AK6966" t="s">
        <v>364</v>
      </c>
    </row>
    <row r="6967" spans="1:37">
      <c r="B6967" t="s">
        <v>53</v>
      </c>
      <c r="C6967" t="s">
        <v>77</v>
      </c>
      <c r="D6967" t="s">
        <v>97</v>
      </c>
      <c r="E6967" t="s">
        <v>116</v>
      </c>
      <c r="F6967" t="s">
        <v>150</v>
      </c>
      <c r="G6967" t="s">
        <v>175</v>
      </c>
      <c r="H6967" t="s">
        <v>210</v>
      </c>
      <c r="I6967" t="s">
        <v>230</v>
      </c>
      <c r="J6967" t="s">
        <v>249</v>
      </c>
      <c r="K6967" t="s">
        <v>263</v>
      </c>
      <c r="L6967" t="s">
        <v>275</v>
      </c>
      <c r="M6967" t="s">
        <v>284</v>
      </c>
      <c r="N6967" t="s">
        <v>294</v>
      </c>
      <c r="O6967" t="s">
        <v>302</v>
      </c>
      <c r="P6967" t="s">
        <v>310</v>
      </c>
      <c r="Q6967" t="s">
        <v>316</v>
      </c>
      <c r="R6967" t="s">
        <v>322</v>
      </c>
      <c r="S6967" t="s">
        <v>329</v>
      </c>
      <c r="AK6967" t="s">
        <v>364</v>
      </c>
    </row>
    <row r="6968" spans="1:37">
      <c r="A6968" t="s">
        <v>39</v>
      </c>
      <c r="B6968" t="s">
        <v>54</v>
      </c>
      <c r="C6968" t="s">
        <v>54</v>
      </c>
      <c r="D6968" t="s">
        <v>54</v>
      </c>
      <c r="E6968" t="s">
        <v>54</v>
      </c>
      <c r="F6968" t="s">
        <v>54</v>
      </c>
      <c r="G6968" t="s">
        <v>54</v>
      </c>
      <c r="H6968" t="s">
        <v>54</v>
      </c>
      <c r="I6968" t="s">
        <v>54</v>
      </c>
      <c r="J6968" t="s">
        <v>54</v>
      </c>
      <c r="K6968" t="s">
        <v>54</v>
      </c>
      <c r="L6968" t="s">
        <v>54</v>
      </c>
      <c r="M6968" t="s">
        <v>54</v>
      </c>
      <c r="N6968" t="s">
        <v>54</v>
      </c>
      <c r="O6968" t="s">
        <v>54</v>
      </c>
      <c r="P6968" t="s">
        <v>54</v>
      </c>
      <c r="Q6968" t="s">
        <v>54</v>
      </c>
      <c r="R6968" t="s">
        <v>323</v>
      </c>
      <c r="S6968" t="s">
        <v>330</v>
      </c>
      <c r="AK6968" t="s">
        <v>364</v>
      </c>
    </row>
    <row r="6969" spans="1:37">
      <c r="B6969" t="s">
        <v>55</v>
      </c>
      <c r="C6969" t="s">
        <v>78</v>
      </c>
      <c r="D6969" t="s">
        <v>55</v>
      </c>
      <c r="E6969" t="s">
        <v>78</v>
      </c>
      <c r="F6969" t="s">
        <v>55</v>
      </c>
      <c r="G6969" t="s">
        <v>78</v>
      </c>
      <c r="H6969" t="s">
        <v>55</v>
      </c>
      <c r="I6969" t="s">
        <v>78</v>
      </c>
      <c r="J6969" t="s">
        <v>55</v>
      </c>
      <c r="K6969" t="s">
        <v>78</v>
      </c>
      <c r="L6969" t="s">
        <v>55</v>
      </c>
      <c r="M6969" t="s">
        <v>78</v>
      </c>
      <c r="N6969" t="s">
        <v>55</v>
      </c>
      <c r="O6969" t="s">
        <v>78</v>
      </c>
      <c r="P6969" t="s">
        <v>55</v>
      </c>
      <c r="Q6969" t="s">
        <v>78</v>
      </c>
      <c r="R6969" t="s">
        <v>55</v>
      </c>
      <c r="S6969" t="s">
        <v>78</v>
      </c>
      <c r="T6969" t="s">
        <v>55</v>
      </c>
      <c r="U6969" t="s">
        <v>78</v>
      </c>
      <c r="V6969" t="s">
        <v>55</v>
      </c>
      <c r="W6969" t="s">
        <v>78</v>
      </c>
      <c r="X6969" t="s">
        <v>55</v>
      </c>
      <c r="Y6969" t="s">
        <v>78</v>
      </c>
      <c r="Z6969" t="s">
        <v>55</v>
      </c>
      <c r="AA6969" t="s">
        <v>78</v>
      </c>
      <c r="AB6969" t="s">
        <v>55</v>
      </c>
      <c r="AC6969" t="s">
        <v>78</v>
      </c>
      <c r="AD6969" t="s">
        <v>55</v>
      </c>
      <c r="AE6969" t="s">
        <v>78</v>
      </c>
      <c r="AF6969" t="s">
        <v>55</v>
      </c>
      <c r="AG6969" t="s">
        <v>78</v>
      </c>
      <c r="AH6969" t="s">
        <v>55</v>
      </c>
      <c r="AI6969" t="s">
        <v>78</v>
      </c>
      <c r="AK6969" t="s">
        <v>364</v>
      </c>
    </row>
    <row r="6970" spans="1:37">
      <c r="B6970" t="s">
        <v>56</v>
      </c>
      <c r="C6970" t="s">
        <v>56</v>
      </c>
      <c r="D6970" t="s">
        <v>56</v>
      </c>
      <c r="E6970" t="s">
        <v>56</v>
      </c>
      <c r="F6970" t="s">
        <v>56</v>
      </c>
      <c r="G6970" t="s">
        <v>176</v>
      </c>
      <c r="H6970" t="s">
        <v>211</v>
      </c>
      <c r="I6970" t="s">
        <v>231</v>
      </c>
      <c r="J6970" t="s">
        <v>250</v>
      </c>
      <c r="K6970" t="s">
        <v>264</v>
      </c>
      <c r="L6970" t="s">
        <v>276</v>
      </c>
      <c r="M6970" t="s">
        <v>285</v>
      </c>
      <c r="N6970" t="s">
        <v>295</v>
      </c>
      <c r="O6970" t="s">
        <v>303</v>
      </c>
      <c r="P6970" t="s">
        <v>56</v>
      </c>
      <c r="Q6970" t="s">
        <v>317</v>
      </c>
      <c r="R6970" t="s">
        <v>324</v>
      </c>
      <c r="S6970" t="s">
        <v>331</v>
      </c>
      <c r="T6970" t="s">
        <v>334</v>
      </c>
      <c r="U6970" t="s">
        <v>338</v>
      </c>
      <c r="V6970" t="s">
        <v>342</v>
      </c>
      <c r="W6970" t="s">
        <v>346</v>
      </c>
      <c r="X6970" t="s">
        <v>351</v>
      </c>
      <c r="AK6970" t="s">
        <v>364</v>
      </c>
    </row>
    <row r="6971" spans="1:37">
      <c r="B6971" t="s">
        <v>57</v>
      </c>
      <c r="C6971" t="s">
        <v>79</v>
      </c>
      <c r="D6971" t="s">
        <v>98</v>
      </c>
      <c r="E6971" t="s">
        <v>117</v>
      </c>
      <c r="F6971" t="s">
        <v>151</v>
      </c>
      <c r="G6971" t="s">
        <v>177</v>
      </c>
      <c r="H6971" t="s">
        <v>212</v>
      </c>
      <c r="I6971" t="s">
        <v>232</v>
      </c>
      <c r="J6971" t="s">
        <v>251</v>
      </c>
      <c r="K6971" t="s">
        <v>265</v>
      </c>
      <c r="L6971" t="s">
        <v>277</v>
      </c>
      <c r="M6971" t="s">
        <v>286</v>
      </c>
      <c r="N6971" t="s">
        <v>296</v>
      </c>
      <c r="O6971" t="s">
        <v>304</v>
      </c>
      <c r="P6971" t="s">
        <v>311</v>
      </c>
      <c r="Q6971" t="s">
        <v>318</v>
      </c>
      <c r="R6971" t="s">
        <v>185</v>
      </c>
      <c r="S6971" t="s">
        <v>159</v>
      </c>
      <c r="T6971" t="s">
        <v>185</v>
      </c>
      <c r="U6971" t="s">
        <v>339</v>
      </c>
      <c r="V6971" t="s">
        <v>72</v>
      </c>
      <c r="W6971" t="s">
        <v>347</v>
      </c>
      <c r="X6971" t="s">
        <v>72</v>
      </c>
      <c r="Y6971" t="s">
        <v>96</v>
      </c>
      <c r="AK6971" t="s">
        <v>364</v>
      </c>
    </row>
    <row r="6972" spans="1:37">
      <c r="B6972" t="s">
        <v>58</v>
      </c>
      <c r="C6972" t="s">
        <v>80</v>
      </c>
      <c r="D6972" t="s">
        <v>99</v>
      </c>
      <c r="E6972" t="s">
        <v>118</v>
      </c>
      <c r="F6972" t="s">
        <v>152</v>
      </c>
      <c r="G6972" t="s">
        <v>178</v>
      </c>
      <c r="H6972" t="s">
        <v>213</v>
      </c>
      <c r="I6972" t="s">
        <v>233</v>
      </c>
      <c r="J6972" t="s">
        <v>252</v>
      </c>
      <c r="K6972" t="s">
        <v>266</v>
      </c>
      <c r="L6972" t="s">
        <v>278</v>
      </c>
      <c r="M6972" t="s">
        <v>287</v>
      </c>
      <c r="N6972" t="s">
        <v>297</v>
      </c>
      <c r="O6972" t="s">
        <v>305</v>
      </c>
      <c r="P6972" t="s">
        <v>312</v>
      </c>
      <c r="Q6972" t="s">
        <v>319</v>
      </c>
      <c r="R6972">
        <f>&gt;10       ветра      2.6     22  12 15</f>
        <v>0</v>
      </c>
      <c r="AK6972" t="s">
        <v>364</v>
      </c>
    </row>
    <row r="6973" spans="1:37">
      <c r="A6973" t="s">
        <v>40</v>
      </c>
      <c r="B6973" t="s">
        <v>59</v>
      </c>
      <c r="C6973" t="s">
        <v>81</v>
      </c>
      <c r="D6973" t="s">
        <v>100</v>
      </c>
      <c r="E6973" t="s">
        <v>119</v>
      </c>
      <c r="F6973" t="s">
        <v>153</v>
      </c>
      <c r="G6973" t="s">
        <v>179</v>
      </c>
      <c r="H6973" t="s">
        <v>214</v>
      </c>
      <c r="I6973" t="s">
        <v>234</v>
      </c>
      <c r="AK6973" t="s">
        <v>364</v>
      </c>
    </row>
    <row r="6974" spans="1:37">
      <c r="A6974" t="s">
        <v>40</v>
      </c>
      <c r="B6974" t="s">
        <v>60</v>
      </c>
      <c r="C6974" t="s">
        <v>82</v>
      </c>
      <c r="D6974" t="s">
        <v>101</v>
      </c>
      <c r="E6974" t="s">
        <v>120</v>
      </c>
      <c r="F6974" t="s">
        <v>154</v>
      </c>
      <c r="G6974" t="s">
        <v>180</v>
      </c>
      <c r="H6974" t="s">
        <v>215</v>
      </c>
      <c r="I6974" t="s">
        <v>235</v>
      </c>
      <c r="J6974" t="s">
        <v>253</v>
      </c>
      <c r="K6974" t="s">
        <v>267</v>
      </c>
      <c r="L6974" t="s">
        <v>279</v>
      </c>
      <c r="M6974" t="s">
        <v>288</v>
      </c>
      <c r="N6974" t="s">
        <v>100</v>
      </c>
      <c r="O6974" t="s">
        <v>306</v>
      </c>
      <c r="P6974" t="s">
        <v>313</v>
      </c>
      <c r="Q6974" t="s">
        <v>320</v>
      </c>
      <c r="R6974" t="s">
        <v>325</v>
      </c>
      <c r="S6974" t="s">
        <v>332</v>
      </c>
      <c r="T6974" t="s">
        <v>119</v>
      </c>
      <c r="U6974" t="s">
        <v>234</v>
      </c>
      <c r="V6974" t="s">
        <v>343</v>
      </c>
      <c r="W6974" t="s">
        <v>348</v>
      </c>
      <c r="X6974" t="s">
        <v>352</v>
      </c>
      <c r="Y6974" t="s">
        <v>354</v>
      </c>
      <c r="AK6974" t="s">
        <v>364</v>
      </c>
    </row>
    <row r="6975" spans="1:37">
      <c r="A6975" t="s">
        <v>41</v>
      </c>
      <c r="B6975" t="s">
        <v>61</v>
      </c>
      <c r="C6975" t="s">
        <v>83</v>
      </c>
      <c r="D6975" t="s">
        <v>102</v>
      </c>
      <c r="E6975" t="s">
        <v>121</v>
      </c>
      <c r="F6975" t="s">
        <v>155</v>
      </c>
      <c r="G6975" t="s">
        <v>181</v>
      </c>
      <c r="H6975" t="s">
        <v>216</v>
      </c>
      <c r="I6975" t="s">
        <v>236</v>
      </c>
      <c r="AK6975" t="s">
        <v>364</v>
      </c>
    </row>
    <row r="6976" spans="1:37">
      <c r="A6976" t="s">
        <v>42</v>
      </c>
      <c r="B6976" t="s">
        <v>62</v>
      </c>
      <c r="C6976" t="s">
        <v>84</v>
      </c>
      <c r="D6976" t="s">
        <v>103</v>
      </c>
      <c r="E6976" t="s">
        <v>122</v>
      </c>
      <c r="F6976" t="s">
        <v>156</v>
      </c>
      <c r="G6976" t="s">
        <v>182</v>
      </c>
      <c r="H6976" t="s">
        <v>83</v>
      </c>
      <c r="I6976" t="s">
        <v>237</v>
      </c>
      <c r="J6976" t="s">
        <v>254</v>
      </c>
      <c r="K6976" t="s">
        <v>268</v>
      </c>
      <c r="L6976" t="s">
        <v>280</v>
      </c>
      <c r="M6976" t="s">
        <v>289</v>
      </c>
      <c r="N6976" t="s">
        <v>298</v>
      </c>
      <c r="O6976" t="s">
        <v>307</v>
      </c>
      <c r="P6976" t="s">
        <v>314</v>
      </c>
      <c r="Q6976" t="s">
        <v>216</v>
      </c>
      <c r="R6976" t="s">
        <v>326</v>
      </c>
      <c r="S6976" t="s">
        <v>333</v>
      </c>
      <c r="T6976" t="s">
        <v>335</v>
      </c>
      <c r="U6976" t="s">
        <v>340</v>
      </c>
      <c r="V6976" t="s">
        <v>344</v>
      </c>
      <c r="W6976" t="s">
        <v>349</v>
      </c>
      <c r="AK6976" t="s">
        <v>364</v>
      </c>
    </row>
    <row r="6977" spans="1:37">
      <c r="A6977" t="s">
        <v>43</v>
      </c>
      <c r="B6977" t="s">
        <v>63</v>
      </c>
      <c r="C6977" t="s">
        <v>85</v>
      </c>
      <c r="D6977" t="s">
        <v>104</v>
      </c>
      <c r="E6977" t="s">
        <v>123</v>
      </c>
      <c r="F6977" t="s">
        <v>157</v>
      </c>
      <c r="G6977" t="s">
        <v>183</v>
      </c>
      <c r="AK6977" t="s">
        <v>364</v>
      </c>
    </row>
    <row r="6978" spans="1:37">
      <c r="A6978" t="s">
        <v>44</v>
      </c>
      <c r="B6978" t="s">
        <v>64</v>
      </c>
      <c r="C6978" t="s">
        <v>86</v>
      </c>
      <c r="D6978" t="s">
        <v>105</v>
      </c>
      <c r="E6978" t="s">
        <v>124</v>
      </c>
      <c r="F6978" t="s">
        <v>158</v>
      </c>
      <c r="G6978" t="s">
        <v>184</v>
      </c>
      <c r="AK6978" t="s">
        <v>364</v>
      </c>
    </row>
    <row r="6979" spans="1:37">
      <c r="A6979" t="s">
        <v>45</v>
      </c>
      <c r="B6979" t="s">
        <v>65</v>
      </c>
      <c r="C6979" t="s">
        <v>87</v>
      </c>
      <c r="D6979" t="s">
        <v>106</v>
      </c>
      <c r="E6979" t="s">
        <v>125</v>
      </c>
      <c r="F6979" t="s">
        <v>159</v>
      </c>
      <c r="G6979" t="s">
        <v>185</v>
      </c>
      <c r="H6979" t="s">
        <v>159</v>
      </c>
      <c r="I6979" t="s">
        <v>185</v>
      </c>
      <c r="J6979" t="s">
        <v>255</v>
      </c>
      <c r="AK6979" t="s">
        <v>364</v>
      </c>
    </row>
    <row r="6980" spans="1:37">
      <c r="A6980" t="s">
        <v>46</v>
      </c>
      <c r="B6980" t="s">
        <v>66</v>
      </c>
      <c r="C6980" t="s">
        <v>88</v>
      </c>
      <c r="D6980" t="s">
        <v>76</v>
      </c>
      <c r="E6980" t="s">
        <v>126</v>
      </c>
      <c r="F6980" t="s">
        <v>160</v>
      </c>
      <c r="G6980" t="s">
        <v>186</v>
      </c>
      <c r="H6980" t="s">
        <v>217</v>
      </c>
      <c r="I6980" t="s">
        <v>238</v>
      </c>
      <c r="J6980" t="s">
        <v>256</v>
      </c>
      <c r="K6980" t="s">
        <v>265</v>
      </c>
      <c r="L6980" t="s">
        <v>281</v>
      </c>
      <c r="M6980" t="s">
        <v>290</v>
      </c>
      <c r="N6980" t="s">
        <v>299</v>
      </c>
      <c r="O6980" t="s">
        <v>308</v>
      </c>
      <c r="P6980" t="s">
        <v>228</v>
      </c>
      <c r="Q6980" t="s">
        <v>72</v>
      </c>
      <c r="R6980" t="s">
        <v>327</v>
      </c>
      <c r="S6980" t="s">
        <v>327</v>
      </c>
      <c r="T6980" t="s">
        <v>336</v>
      </c>
      <c r="U6980" t="s">
        <v>336</v>
      </c>
      <c r="V6980" t="s">
        <v>336</v>
      </c>
      <c r="W6980" t="s">
        <v>336</v>
      </c>
      <c r="X6980" t="s">
        <v>353</v>
      </c>
      <c r="AK6980" t="s">
        <v>364</v>
      </c>
    </row>
    <row r="6981" spans="1:37">
      <c r="B6981" t="s">
        <v>67</v>
      </c>
      <c r="C6981" t="s">
        <v>89</v>
      </c>
      <c r="D6981" t="s">
        <v>107</v>
      </c>
      <c r="AK6981" t="s">
        <v>364</v>
      </c>
    </row>
    <row r="6982" spans="1:37">
      <c r="B6982" t="s">
        <v>68</v>
      </c>
      <c r="C6982" t="s">
        <v>90</v>
      </c>
      <c r="D6982" t="s">
        <v>108</v>
      </c>
      <c r="AK6982" t="s">
        <v>364</v>
      </c>
    </row>
    <row r="6983" spans="1:37">
      <c r="A6983" t="s">
        <v>47</v>
      </c>
      <c r="B6983" t="s">
        <v>69</v>
      </c>
      <c r="C6983" t="s">
        <v>91</v>
      </c>
      <c r="D6983" t="s">
        <v>109</v>
      </c>
      <c r="E6983" t="s">
        <v>109</v>
      </c>
      <c r="F6983" t="s">
        <v>109</v>
      </c>
      <c r="G6983" t="s">
        <v>109</v>
      </c>
      <c r="H6983" t="s">
        <v>109</v>
      </c>
      <c r="I6983" t="s">
        <v>239</v>
      </c>
      <c r="AK6983" t="s">
        <v>364</v>
      </c>
    </row>
    <row r="6984" spans="1:37">
      <c r="B6984" t="s">
        <v>70</v>
      </c>
      <c r="C6984" t="s">
        <v>92</v>
      </c>
      <c r="D6984" t="s">
        <v>110</v>
      </c>
      <c r="E6984" t="s">
        <v>127</v>
      </c>
      <c r="F6984" t="s">
        <v>161</v>
      </c>
      <c r="G6984" t="s">
        <v>187</v>
      </c>
      <c r="H6984" t="s">
        <v>218</v>
      </c>
      <c r="AK6984" t="s">
        <v>364</v>
      </c>
    </row>
    <row r="6985" spans="1:37">
      <c r="B6985" t="s">
        <v>71</v>
      </c>
      <c r="C6985" t="s">
        <v>93</v>
      </c>
      <c r="D6985" t="s">
        <v>111</v>
      </c>
      <c r="E6985" t="s">
        <v>128</v>
      </c>
      <c r="F6985" t="s">
        <v>162</v>
      </c>
      <c r="G6985" t="s">
        <v>188</v>
      </c>
      <c r="H6985" t="s">
        <v>219</v>
      </c>
      <c r="I6985" t="s">
        <v>240</v>
      </c>
      <c r="J6985" t="s">
        <v>257</v>
      </c>
      <c r="K6985" t="s">
        <v>269</v>
      </c>
      <c r="L6985" t="s">
        <v>109</v>
      </c>
      <c r="M6985" t="s">
        <v>109</v>
      </c>
      <c r="N6985" t="s">
        <v>109</v>
      </c>
      <c r="O6985" t="s">
        <v>109</v>
      </c>
      <c r="P6985" t="s">
        <v>109</v>
      </c>
      <c r="Q6985" t="s">
        <v>321</v>
      </c>
      <c r="AK6985" t="s">
        <v>364</v>
      </c>
    </row>
    <row r="6986" spans="1:37">
      <c r="A6986" t="s">
        <v>48</v>
      </c>
      <c r="B6986" t="s">
        <v>71</v>
      </c>
      <c r="C6986" t="s">
        <v>93</v>
      </c>
      <c r="D6986" t="s">
        <v>111</v>
      </c>
      <c r="E6986" t="s">
        <v>128</v>
      </c>
      <c r="F6986" t="s">
        <v>163</v>
      </c>
      <c r="G6986" t="s">
        <v>189</v>
      </c>
      <c r="H6986" t="s">
        <v>220</v>
      </c>
      <c r="I6986" t="s">
        <v>241</v>
      </c>
      <c r="J6986" t="s">
        <v>258</v>
      </c>
      <c r="K6986" t="s">
        <v>270</v>
      </c>
      <c r="AK6986" t="s">
        <v>364</v>
      </c>
    </row>
    <row r="6987" spans="1:37">
      <c r="B6987" t="s">
        <v>72</v>
      </c>
      <c r="C6987" t="s">
        <v>72</v>
      </c>
      <c r="D6987" t="s">
        <v>72</v>
      </c>
      <c r="E6987" t="s">
        <v>72</v>
      </c>
      <c r="F6987" t="s">
        <v>72</v>
      </c>
      <c r="G6987" t="s">
        <v>72</v>
      </c>
      <c r="H6987" t="s">
        <v>72</v>
      </c>
      <c r="I6987" t="s">
        <v>72</v>
      </c>
      <c r="J6987" t="s">
        <v>72</v>
      </c>
      <c r="K6987" t="s">
        <v>272</v>
      </c>
      <c r="AK6987" t="s">
        <v>364</v>
      </c>
    </row>
    <row r="6988" spans="1:37">
      <c r="A6988" t="s">
        <v>37</v>
      </c>
      <c r="B6988" t="s">
        <v>49</v>
      </c>
      <c r="C6988" t="s">
        <v>73</v>
      </c>
      <c r="D6988" t="s">
        <v>94</v>
      </c>
      <c r="E6988" t="s">
        <v>112</v>
      </c>
      <c r="F6988" t="s">
        <v>146</v>
      </c>
      <c r="G6988" t="s">
        <v>172</v>
      </c>
      <c r="H6988" t="s">
        <v>207</v>
      </c>
      <c r="I6988" t="s">
        <v>226</v>
      </c>
      <c r="J6988" t="s">
        <v>246</v>
      </c>
      <c r="K6988" t="s">
        <v>259</v>
      </c>
      <c r="AK6988" t="s">
        <v>364</v>
      </c>
    </row>
    <row r="6989" spans="1:37">
      <c r="A6989" t="s">
        <v>38</v>
      </c>
      <c r="B6989" t="s">
        <v>50</v>
      </c>
      <c r="C6989" t="s">
        <v>74</v>
      </c>
      <c r="D6989" t="s">
        <v>95</v>
      </c>
      <c r="E6989" t="s">
        <v>113</v>
      </c>
      <c r="F6989" t="s">
        <v>147</v>
      </c>
      <c r="G6989" t="s">
        <v>173</v>
      </c>
      <c r="H6989" t="s">
        <v>208</v>
      </c>
      <c r="I6989" t="s">
        <v>227</v>
      </c>
      <c r="J6989" t="s">
        <v>115</v>
      </c>
      <c r="K6989" t="s">
        <v>260</v>
      </c>
      <c r="L6989" t="s">
        <v>273</v>
      </c>
      <c r="M6989" t="s">
        <v>282</v>
      </c>
      <c r="N6989" t="s">
        <v>291</v>
      </c>
      <c r="AK6989" t="s">
        <v>364</v>
      </c>
    </row>
    <row r="6990" spans="1:37">
      <c r="B6990" t="s">
        <v>51</v>
      </c>
      <c r="C6990" t="s">
        <v>75</v>
      </c>
      <c r="D6990" t="s">
        <v>52</v>
      </c>
      <c r="E6990" t="s">
        <v>114</v>
      </c>
      <c r="F6990" t="s">
        <v>148</v>
      </c>
      <c r="G6990" t="s">
        <v>148</v>
      </c>
      <c r="H6990" t="s">
        <v>209</v>
      </c>
      <c r="I6990" t="s">
        <v>228</v>
      </c>
      <c r="J6990" t="s">
        <v>247</v>
      </c>
      <c r="K6990" t="s">
        <v>261</v>
      </c>
      <c r="L6990" t="s">
        <v>274</v>
      </c>
      <c r="M6990" t="s">
        <v>283</v>
      </c>
      <c r="N6990" t="s">
        <v>292</v>
      </c>
      <c r="O6990" t="s">
        <v>300</v>
      </c>
      <c r="AK6990" t="s">
        <v>364</v>
      </c>
    </row>
    <row r="6991" spans="1:37">
      <c r="B6991" t="s">
        <v>52</v>
      </c>
      <c r="C6991" t="s">
        <v>76</v>
      </c>
      <c r="D6991" t="s">
        <v>96</v>
      </c>
      <c r="E6991" t="s">
        <v>115</v>
      </c>
      <c r="F6991" t="s">
        <v>149</v>
      </c>
      <c r="G6991" t="s">
        <v>174</v>
      </c>
      <c r="H6991" t="s">
        <v>96</v>
      </c>
      <c r="I6991" t="s">
        <v>229</v>
      </c>
      <c r="J6991" t="s">
        <v>248</v>
      </c>
      <c r="K6991" t="s">
        <v>262</v>
      </c>
      <c r="L6991" t="s">
        <v>52</v>
      </c>
      <c r="M6991" t="s">
        <v>76</v>
      </c>
      <c r="N6991" t="s">
        <v>293</v>
      </c>
      <c r="O6991" t="s">
        <v>301</v>
      </c>
      <c r="P6991" t="s">
        <v>309</v>
      </c>
      <c r="Q6991" t="s">
        <v>315</v>
      </c>
      <c r="R6991" t="s">
        <v>228</v>
      </c>
      <c r="S6991" t="s">
        <v>328</v>
      </c>
      <c r="T6991" t="s">
        <v>149</v>
      </c>
      <c r="U6991" t="s">
        <v>337</v>
      </c>
      <c r="V6991" t="s">
        <v>341</v>
      </c>
      <c r="W6991" t="s">
        <v>345</v>
      </c>
      <c r="X6991" t="s">
        <v>350</v>
      </c>
      <c r="AK6991" t="s">
        <v>364</v>
      </c>
    </row>
    <row r="6992" spans="1:37">
      <c r="B6992" t="s">
        <v>53</v>
      </c>
      <c r="C6992" t="s">
        <v>77</v>
      </c>
      <c r="D6992" t="s">
        <v>97</v>
      </c>
      <c r="E6992" t="s">
        <v>116</v>
      </c>
      <c r="F6992" t="s">
        <v>150</v>
      </c>
      <c r="G6992" t="s">
        <v>175</v>
      </c>
      <c r="H6992" t="s">
        <v>210</v>
      </c>
      <c r="I6992" t="s">
        <v>230</v>
      </c>
      <c r="J6992" t="s">
        <v>249</v>
      </c>
      <c r="K6992" t="s">
        <v>263</v>
      </c>
      <c r="L6992" t="s">
        <v>275</v>
      </c>
      <c r="M6992" t="s">
        <v>284</v>
      </c>
      <c r="N6992" t="s">
        <v>294</v>
      </c>
      <c r="O6992" t="s">
        <v>302</v>
      </c>
      <c r="P6992" t="s">
        <v>310</v>
      </c>
      <c r="Q6992" t="s">
        <v>316</v>
      </c>
      <c r="R6992" t="s">
        <v>322</v>
      </c>
      <c r="S6992" t="s">
        <v>329</v>
      </c>
      <c r="AK6992" t="s">
        <v>364</v>
      </c>
    </row>
    <row r="6993" spans="1:37">
      <c r="A6993" t="s">
        <v>39</v>
      </c>
      <c r="B6993" t="s">
        <v>54</v>
      </c>
      <c r="C6993" t="s">
        <v>54</v>
      </c>
      <c r="D6993" t="s">
        <v>54</v>
      </c>
      <c r="E6993" t="s">
        <v>54</v>
      </c>
      <c r="F6993" t="s">
        <v>54</v>
      </c>
      <c r="G6993" t="s">
        <v>54</v>
      </c>
      <c r="H6993" t="s">
        <v>54</v>
      </c>
      <c r="I6993" t="s">
        <v>54</v>
      </c>
      <c r="J6993" t="s">
        <v>54</v>
      </c>
      <c r="K6993" t="s">
        <v>54</v>
      </c>
      <c r="L6993" t="s">
        <v>54</v>
      </c>
      <c r="M6993" t="s">
        <v>54</v>
      </c>
      <c r="N6993" t="s">
        <v>54</v>
      </c>
      <c r="O6993" t="s">
        <v>54</v>
      </c>
      <c r="P6993" t="s">
        <v>54</v>
      </c>
      <c r="Q6993" t="s">
        <v>54</v>
      </c>
      <c r="R6993" t="s">
        <v>323</v>
      </c>
      <c r="S6993" t="s">
        <v>330</v>
      </c>
      <c r="AK6993" t="s">
        <v>364</v>
      </c>
    </row>
    <row r="6994" spans="1:37">
      <c r="B6994" t="s">
        <v>55</v>
      </c>
      <c r="C6994" t="s">
        <v>78</v>
      </c>
      <c r="D6994" t="s">
        <v>55</v>
      </c>
      <c r="E6994" t="s">
        <v>78</v>
      </c>
      <c r="F6994" t="s">
        <v>55</v>
      </c>
      <c r="G6994" t="s">
        <v>78</v>
      </c>
      <c r="H6994" t="s">
        <v>55</v>
      </c>
      <c r="I6994" t="s">
        <v>78</v>
      </c>
      <c r="J6994" t="s">
        <v>55</v>
      </c>
      <c r="K6994" t="s">
        <v>78</v>
      </c>
      <c r="L6994" t="s">
        <v>55</v>
      </c>
      <c r="M6994" t="s">
        <v>78</v>
      </c>
      <c r="N6994" t="s">
        <v>55</v>
      </c>
      <c r="O6994" t="s">
        <v>78</v>
      </c>
      <c r="P6994" t="s">
        <v>55</v>
      </c>
      <c r="Q6994" t="s">
        <v>78</v>
      </c>
      <c r="R6994" t="s">
        <v>55</v>
      </c>
      <c r="S6994" t="s">
        <v>78</v>
      </c>
      <c r="T6994" t="s">
        <v>55</v>
      </c>
      <c r="U6994" t="s">
        <v>78</v>
      </c>
      <c r="V6994" t="s">
        <v>55</v>
      </c>
      <c r="W6994" t="s">
        <v>78</v>
      </c>
      <c r="X6994" t="s">
        <v>55</v>
      </c>
      <c r="Y6994" t="s">
        <v>78</v>
      </c>
      <c r="Z6994" t="s">
        <v>55</v>
      </c>
      <c r="AA6994" t="s">
        <v>78</v>
      </c>
      <c r="AB6994" t="s">
        <v>55</v>
      </c>
      <c r="AC6994" t="s">
        <v>78</v>
      </c>
      <c r="AD6994" t="s">
        <v>55</v>
      </c>
      <c r="AE6994" t="s">
        <v>78</v>
      </c>
      <c r="AF6994" t="s">
        <v>55</v>
      </c>
      <c r="AG6994" t="s">
        <v>78</v>
      </c>
      <c r="AH6994" t="s">
        <v>55</v>
      </c>
      <c r="AI6994" t="s">
        <v>78</v>
      </c>
      <c r="AK6994" t="s">
        <v>364</v>
      </c>
    </row>
    <row r="6995" spans="1:37">
      <c r="B6995" t="s">
        <v>56</v>
      </c>
      <c r="C6995" t="s">
        <v>56</v>
      </c>
      <c r="D6995" t="s">
        <v>56</v>
      </c>
      <c r="E6995" t="s">
        <v>56</v>
      </c>
      <c r="F6995" t="s">
        <v>56</v>
      </c>
      <c r="G6995" t="s">
        <v>176</v>
      </c>
      <c r="H6995" t="s">
        <v>211</v>
      </c>
      <c r="I6995" t="s">
        <v>231</v>
      </c>
      <c r="J6995" t="s">
        <v>250</v>
      </c>
      <c r="K6995" t="s">
        <v>264</v>
      </c>
      <c r="L6995" t="s">
        <v>276</v>
      </c>
      <c r="M6995" t="s">
        <v>285</v>
      </c>
      <c r="N6995" t="s">
        <v>295</v>
      </c>
      <c r="O6995" t="s">
        <v>303</v>
      </c>
      <c r="P6995" t="s">
        <v>56</v>
      </c>
      <c r="Q6995" t="s">
        <v>317</v>
      </c>
      <c r="R6995" t="s">
        <v>324</v>
      </c>
      <c r="S6995" t="s">
        <v>331</v>
      </c>
      <c r="T6995" t="s">
        <v>334</v>
      </c>
      <c r="U6995" t="s">
        <v>338</v>
      </c>
      <c r="V6995" t="s">
        <v>342</v>
      </c>
      <c r="W6995" t="s">
        <v>346</v>
      </c>
      <c r="X6995" t="s">
        <v>351</v>
      </c>
      <c r="AK6995" t="s">
        <v>364</v>
      </c>
    </row>
    <row r="6996" spans="1:37">
      <c r="B6996" t="s">
        <v>57</v>
      </c>
      <c r="C6996" t="s">
        <v>79</v>
      </c>
      <c r="D6996" t="s">
        <v>98</v>
      </c>
      <c r="E6996" t="s">
        <v>117</v>
      </c>
      <c r="F6996" t="s">
        <v>151</v>
      </c>
      <c r="G6996" t="s">
        <v>177</v>
      </c>
      <c r="H6996" t="s">
        <v>212</v>
      </c>
      <c r="I6996" t="s">
        <v>232</v>
      </c>
      <c r="J6996" t="s">
        <v>251</v>
      </c>
      <c r="K6996" t="s">
        <v>265</v>
      </c>
      <c r="L6996" t="s">
        <v>277</v>
      </c>
      <c r="M6996" t="s">
        <v>286</v>
      </c>
      <c r="N6996" t="s">
        <v>296</v>
      </c>
      <c r="O6996" t="s">
        <v>304</v>
      </c>
      <c r="P6996" t="s">
        <v>311</v>
      </c>
      <c r="Q6996" t="s">
        <v>318</v>
      </c>
      <c r="R6996" t="s">
        <v>185</v>
      </c>
      <c r="S6996" t="s">
        <v>159</v>
      </c>
      <c r="T6996" t="s">
        <v>185</v>
      </c>
      <c r="U6996" t="s">
        <v>339</v>
      </c>
      <c r="V6996" t="s">
        <v>72</v>
      </c>
      <c r="W6996" t="s">
        <v>347</v>
      </c>
      <c r="X6996" t="s">
        <v>72</v>
      </c>
      <c r="Y6996" t="s">
        <v>96</v>
      </c>
      <c r="AK6996" t="s">
        <v>364</v>
      </c>
    </row>
    <row r="6997" spans="1:37">
      <c r="B6997" t="s">
        <v>58</v>
      </c>
      <c r="C6997" t="s">
        <v>80</v>
      </c>
      <c r="D6997" t="s">
        <v>99</v>
      </c>
      <c r="E6997" t="s">
        <v>118</v>
      </c>
      <c r="F6997" t="s">
        <v>152</v>
      </c>
      <c r="G6997" t="s">
        <v>178</v>
      </c>
      <c r="H6997" t="s">
        <v>213</v>
      </c>
      <c r="I6997" t="s">
        <v>233</v>
      </c>
      <c r="J6997" t="s">
        <v>252</v>
      </c>
      <c r="K6997" t="s">
        <v>266</v>
      </c>
      <c r="L6997" t="s">
        <v>278</v>
      </c>
      <c r="M6997" t="s">
        <v>287</v>
      </c>
      <c r="N6997" t="s">
        <v>297</v>
      </c>
      <c r="O6997" t="s">
        <v>305</v>
      </c>
      <c r="P6997" t="s">
        <v>312</v>
      </c>
      <c r="Q6997" t="s">
        <v>319</v>
      </c>
      <c r="R6997">
        <f>&gt;10       ветра      3.0     19  12</f>
        <v>0</v>
      </c>
      <c r="AK6997" t="s">
        <v>364</v>
      </c>
    </row>
    <row r="6998" spans="1:37">
      <c r="A6998" t="s">
        <v>40</v>
      </c>
      <c r="B6998" t="s">
        <v>59</v>
      </c>
      <c r="C6998" t="s">
        <v>81</v>
      </c>
      <c r="D6998" t="s">
        <v>100</v>
      </c>
      <c r="E6998" t="s">
        <v>119</v>
      </c>
      <c r="F6998" t="s">
        <v>153</v>
      </c>
      <c r="G6998" t="s">
        <v>179</v>
      </c>
      <c r="H6998" t="s">
        <v>214</v>
      </c>
      <c r="I6998" t="s">
        <v>234</v>
      </c>
      <c r="AK6998" t="s">
        <v>364</v>
      </c>
    </row>
    <row r="6999" spans="1:37">
      <c r="A6999" t="s">
        <v>40</v>
      </c>
      <c r="B6999" t="s">
        <v>60</v>
      </c>
      <c r="C6999" t="s">
        <v>82</v>
      </c>
      <c r="D6999" t="s">
        <v>101</v>
      </c>
      <c r="E6999" t="s">
        <v>120</v>
      </c>
      <c r="F6999" t="s">
        <v>154</v>
      </c>
      <c r="G6999" t="s">
        <v>180</v>
      </c>
      <c r="H6999" t="s">
        <v>215</v>
      </c>
      <c r="I6999" t="s">
        <v>235</v>
      </c>
      <c r="J6999" t="s">
        <v>253</v>
      </c>
      <c r="K6999" t="s">
        <v>267</v>
      </c>
      <c r="L6999" t="s">
        <v>279</v>
      </c>
      <c r="M6999" t="s">
        <v>288</v>
      </c>
      <c r="N6999" t="s">
        <v>100</v>
      </c>
      <c r="O6999" t="s">
        <v>306</v>
      </c>
      <c r="P6999" t="s">
        <v>313</v>
      </c>
      <c r="Q6999" t="s">
        <v>320</v>
      </c>
      <c r="R6999" t="s">
        <v>325</v>
      </c>
      <c r="S6999" t="s">
        <v>332</v>
      </c>
      <c r="T6999" t="s">
        <v>119</v>
      </c>
      <c r="U6999" t="s">
        <v>234</v>
      </c>
      <c r="V6999" t="s">
        <v>343</v>
      </c>
      <c r="W6999" t="s">
        <v>348</v>
      </c>
      <c r="X6999" t="s">
        <v>352</v>
      </c>
      <c r="Y6999" t="s">
        <v>354</v>
      </c>
      <c r="AK6999" t="s">
        <v>364</v>
      </c>
    </row>
    <row r="7000" spans="1:37">
      <c r="A7000" t="s">
        <v>41</v>
      </c>
      <c r="B7000" t="s">
        <v>61</v>
      </c>
      <c r="C7000" t="s">
        <v>83</v>
      </c>
      <c r="D7000" t="s">
        <v>102</v>
      </c>
      <c r="E7000" t="s">
        <v>121</v>
      </c>
      <c r="F7000" t="s">
        <v>155</v>
      </c>
      <c r="G7000" t="s">
        <v>181</v>
      </c>
      <c r="H7000" t="s">
        <v>216</v>
      </c>
      <c r="I7000" t="s">
        <v>236</v>
      </c>
      <c r="AK7000" t="s">
        <v>364</v>
      </c>
    </row>
    <row r="7001" spans="1:37">
      <c r="A7001" t="s">
        <v>42</v>
      </c>
      <c r="B7001" t="s">
        <v>62</v>
      </c>
      <c r="C7001" t="s">
        <v>84</v>
      </c>
      <c r="D7001" t="s">
        <v>103</v>
      </c>
      <c r="E7001" t="s">
        <v>122</v>
      </c>
      <c r="F7001" t="s">
        <v>156</v>
      </c>
      <c r="G7001" t="s">
        <v>182</v>
      </c>
      <c r="H7001" t="s">
        <v>83</v>
      </c>
      <c r="I7001" t="s">
        <v>237</v>
      </c>
      <c r="J7001" t="s">
        <v>254</v>
      </c>
      <c r="K7001" t="s">
        <v>268</v>
      </c>
      <c r="L7001" t="s">
        <v>280</v>
      </c>
      <c r="M7001" t="s">
        <v>289</v>
      </c>
      <c r="N7001" t="s">
        <v>298</v>
      </c>
      <c r="O7001" t="s">
        <v>307</v>
      </c>
      <c r="P7001" t="s">
        <v>314</v>
      </c>
      <c r="Q7001" t="s">
        <v>216</v>
      </c>
      <c r="R7001" t="s">
        <v>326</v>
      </c>
      <c r="S7001" t="s">
        <v>333</v>
      </c>
      <c r="T7001" t="s">
        <v>335</v>
      </c>
      <c r="U7001" t="s">
        <v>340</v>
      </c>
      <c r="V7001" t="s">
        <v>344</v>
      </c>
      <c r="W7001" t="s">
        <v>349</v>
      </c>
      <c r="AK7001" t="s">
        <v>364</v>
      </c>
    </row>
    <row r="7002" spans="1:37">
      <c r="A7002" t="s">
        <v>43</v>
      </c>
      <c r="B7002" t="s">
        <v>63</v>
      </c>
      <c r="C7002" t="s">
        <v>85</v>
      </c>
      <c r="D7002" t="s">
        <v>104</v>
      </c>
      <c r="E7002" t="s">
        <v>123</v>
      </c>
      <c r="F7002" t="s">
        <v>157</v>
      </c>
      <c r="G7002" t="s">
        <v>183</v>
      </c>
      <c r="AK7002" t="s">
        <v>364</v>
      </c>
    </row>
    <row r="7003" spans="1:37">
      <c r="A7003" t="s">
        <v>44</v>
      </c>
      <c r="B7003" t="s">
        <v>64</v>
      </c>
      <c r="C7003" t="s">
        <v>86</v>
      </c>
      <c r="D7003" t="s">
        <v>105</v>
      </c>
      <c r="E7003" t="s">
        <v>124</v>
      </c>
      <c r="F7003" t="s">
        <v>158</v>
      </c>
      <c r="G7003" t="s">
        <v>184</v>
      </c>
      <c r="AK7003" t="s">
        <v>364</v>
      </c>
    </row>
    <row r="7004" spans="1:37">
      <c r="A7004" t="s">
        <v>45</v>
      </c>
      <c r="B7004" t="s">
        <v>65</v>
      </c>
      <c r="C7004" t="s">
        <v>87</v>
      </c>
      <c r="D7004" t="s">
        <v>106</v>
      </c>
      <c r="E7004" t="s">
        <v>125</v>
      </c>
      <c r="F7004" t="s">
        <v>159</v>
      </c>
      <c r="G7004" t="s">
        <v>185</v>
      </c>
      <c r="H7004" t="s">
        <v>159</v>
      </c>
      <c r="I7004" t="s">
        <v>185</v>
      </c>
      <c r="J7004" t="s">
        <v>255</v>
      </c>
      <c r="AK7004" t="s">
        <v>364</v>
      </c>
    </row>
    <row r="7005" spans="1:37">
      <c r="A7005" t="s">
        <v>46</v>
      </c>
      <c r="B7005" t="s">
        <v>66</v>
      </c>
      <c r="C7005" t="s">
        <v>88</v>
      </c>
      <c r="D7005" t="s">
        <v>76</v>
      </c>
      <c r="E7005" t="s">
        <v>126</v>
      </c>
      <c r="F7005" t="s">
        <v>160</v>
      </c>
      <c r="G7005" t="s">
        <v>186</v>
      </c>
      <c r="H7005" t="s">
        <v>217</v>
      </c>
      <c r="I7005" t="s">
        <v>238</v>
      </c>
      <c r="J7005" t="s">
        <v>256</v>
      </c>
      <c r="K7005" t="s">
        <v>265</v>
      </c>
      <c r="L7005" t="s">
        <v>281</v>
      </c>
      <c r="M7005" t="s">
        <v>290</v>
      </c>
      <c r="N7005" t="s">
        <v>299</v>
      </c>
      <c r="O7005" t="s">
        <v>308</v>
      </c>
      <c r="P7005" t="s">
        <v>228</v>
      </c>
      <c r="Q7005" t="s">
        <v>72</v>
      </c>
      <c r="R7005" t="s">
        <v>327</v>
      </c>
      <c r="S7005" t="s">
        <v>327</v>
      </c>
      <c r="T7005" t="s">
        <v>336</v>
      </c>
      <c r="U7005" t="s">
        <v>336</v>
      </c>
      <c r="V7005" t="s">
        <v>336</v>
      </c>
      <c r="W7005" t="s">
        <v>336</v>
      </c>
      <c r="X7005" t="s">
        <v>353</v>
      </c>
      <c r="AK7005" t="s">
        <v>364</v>
      </c>
    </row>
    <row r="7006" spans="1:37">
      <c r="B7006" t="s">
        <v>67</v>
      </c>
      <c r="C7006" t="s">
        <v>89</v>
      </c>
      <c r="D7006" t="s">
        <v>107</v>
      </c>
      <c r="AK7006" t="s">
        <v>364</v>
      </c>
    </row>
    <row r="7007" spans="1:37">
      <c r="B7007" t="s">
        <v>68</v>
      </c>
      <c r="C7007" t="s">
        <v>90</v>
      </c>
      <c r="D7007" t="s">
        <v>108</v>
      </c>
      <c r="AK7007" t="s">
        <v>364</v>
      </c>
    </row>
    <row r="7008" spans="1:37">
      <c r="A7008" t="s">
        <v>47</v>
      </c>
      <c r="B7008" t="s">
        <v>69</v>
      </c>
      <c r="C7008" t="s">
        <v>91</v>
      </c>
      <c r="D7008" t="s">
        <v>109</v>
      </c>
      <c r="E7008" t="s">
        <v>109</v>
      </c>
      <c r="F7008" t="s">
        <v>109</v>
      </c>
      <c r="G7008" t="s">
        <v>109</v>
      </c>
      <c r="H7008" t="s">
        <v>109</v>
      </c>
      <c r="I7008" t="s">
        <v>239</v>
      </c>
      <c r="AK7008" t="s">
        <v>364</v>
      </c>
    </row>
    <row r="7009" spans="1:37">
      <c r="B7009" t="s">
        <v>70</v>
      </c>
      <c r="C7009" t="s">
        <v>92</v>
      </c>
      <c r="D7009" t="s">
        <v>110</v>
      </c>
      <c r="E7009" t="s">
        <v>127</v>
      </c>
      <c r="F7009" t="s">
        <v>161</v>
      </c>
      <c r="G7009" t="s">
        <v>187</v>
      </c>
      <c r="H7009" t="s">
        <v>218</v>
      </c>
      <c r="AK7009" t="s">
        <v>364</v>
      </c>
    </row>
    <row r="7010" spans="1:37">
      <c r="B7010" t="s">
        <v>71</v>
      </c>
      <c r="C7010" t="s">
        <v>93</v>
      </c>
      <c r="D7010" t="s">
        <v>111</v>
      </c>
      <c r="E7010" t="s">
        <v>128</v>
      </c>
      <c r="F7010" t="s">
        <v>162</v>
      </c>
      <c r="G7010" t="s">
        <v>188</v>
      </c>
      <c r="H7010" t="s">
        <v>219</v>
      </c>
      <c r="I7010" t="s">
        <v>240</v>
      </c>
      <c r="J7010" t="s">
        <v>257</v>
      </c>
      <c r="K7010" t="s">
        <v>269</v>
      </c>
      <c r="L7010" t="s">
        <v>109</v>
      </c>
      <c r="M7010" t="s">
        <v>109</v>
      </c>
      <c r="N7010" t="s">
        <v>109</v>
      </c>
      <c r="O7010" t="s">
        <v>109</v>
      </c>
      <c r="P7010" t="s">
        <v>109</v>
      </c>
      <c r="Q7010" t="s">
        <v>321</v>
      </c>
      <c r="AK7010" t="s">
        <v>364</v>
      </c>
    </row>
    <row r="7011" spans="1:37">
      <c r="A7011" t="s">
        <v>48</v>
      </c>
      <c r="B7011" t="s">
        <v>71</v>
      </c>
      <c r="C7011" t="s">
        <v>93</v>
      </c>
      <c r="D7011" t="s">
        <v>111</v>
      </c>
      <c r="E7011" t="s">
        <v>128</v>
      </c>
      <c r="F7011" t="s">
        <v>163</v>
      </c>
      <c r="G7011" t="s">
        <v>189</v>
      </c>
      <c r="H7011" t="s">
        <v>220</v>
      </c>
      <c r="I7011" t="s">
        <v>241</v>
      </c>
      <c r="J7011" t="s">
        <v>258</v>
      </c>
      <c r="K7011" t="s">
        <v>270</v>
      </c>
      <c r="AK7011" t="s">
        <v>364</v>
      </c>
    </row>
    <row r="7012" spans="1:37">
      <c r="B7012" t="s">
        <v>72</v>
      </c>
      <c r="C7012" t="s">
        <v>72</v>
      </c>
      <c r="D7012" t="s">
        <v>72</v>
      </c>
      <c r="E7012" t="s">
        <v>72</v>
      </c>
      <c r="F7012" t="s">
        <v>72</v>
      </c>
      <c r="G7012" t="s">
        <v>72</v>
      </c>
      <c r="H7012" t="s">
        <v>72</v>
      </c>
      <c r="I7012" t="s">
        <v>72</v>
      </c>
      <c r="J7012" t="s">
        <v>72</v>
      </c>
      <c r="K7012" t="s">
        <v>272</v>
      </c>
      <c r="AK7012" t="s">
        <v>364</v>
      </c>
    </row>
    <row r="7013" spans="1:37">
      <c r="A7013" t="s">
        <v>37</v>
      </c>
      <c r="B7013" t="s">
        <v>49</v>
      </c>
      <c r="C7013" t="s">
        <v>73</v>
      </c>
      <c r="D7013" t="s">
        <v>94</v>
      </c>
      <c r="E7013" t="s">
        <v>112</v>
      </c>
      <c r="F7013" t="s">
        <v>146</v>
      </c>
      <c r="G7013" t="s">
        <v>172</v>
      </c>
      <c r="H7013" t="s">
        <v>207</v>
      </c>
      <c r="I7013" t="s">
        <v>226</v>
      </c>
      <c r="J7013" t="s">
        <v>246</v>
      </c>
      <c r="K7013" t="s">
        <v>259</v>
      </c>
      <c r="AK7013" t="s">
        <v>364</v>
      </c>
    </row>
    <row r="7014" spans="1:37">
      <c r="A7014" t="s">
        <v>38</v>
      </c>
      <c r="B7014" t="s">
        <v>50</v>
      </c>
      <c r="C7014" t="s">
        <v>74</v>
      </c>
      <c r="D7014" t="s">
        <v>95</v>
      </c>
      <c r="E7014" t="s">
        <v>113</v>
      </c>
      <c r="F7014" t="s">
        <v>147</v>
      </c>
      <c r="G7014" t="s">
        <v>173</v>
      </c>
      <c r="H7014" t="s">
        <v>208</v>
      </c>
      <c r="I7014" t="s">
        <v>227</v>
      </c>
      <c r="J7014" t="s">
        <v>115</v>
      </c>
      <c r="K7014" t="s">
        <v>260</v>
      </c>
      <c r="L7014" t="s">
        <v>273</v>
      </c>
      <c r="M7014" t="s">
        <v>282</v>
      </c>
      <c r="N7014" t="s">
        <v>291</v>
      </c>
      <c r="AK7014" t="s">
        <v>364</v>
      </c>
    </row>
    <row r="7015" spans="1:37">
      <c r="B7015" t="s">
        <v>51</v>
      </c>
      <c r="C7015" t="s">
        <v>75</v>
      </c>
      <c r="D7015" t="s">
        <v>52</v>
      </c>
      <c r="E7015" t="s">
        <v>114</v>
      </c>
      <c r="F7015" t="s">
        <v>148</v>
      </c>
      <c r="G7015" t="s">
        <v>148</v>
      </c>
      <c r="H7015" t="s">
        <v>209</v>
      </c>
      <c r="I7015" t="s">
        <v>228</v>
      </c>
      <c r="J7015" t="s">
        <v>247</v>
      </c>
      <c r="K7015" t="s">
        <v>261</v>
      </c>
      <c r="L7015" t="s">
        <v>274</v>
      </c>
      <c r="M7015" t="s">
        <v>283</v>
      </c>
      <c r="N7015" t="s">
        <v>292</v>
      </c>
      <c r="O7015" t="s">
        <v>300</v>
      </c>
      <c r="AK7015" t="s">
        <v>364</v>
      </c>
    </row>
    <row r="7016" spans="1:37">
      <c r="B7016" t="s">
        <v>52</v>
      </c>
      <c r="C7016" t="s">
        <v>76</v>
      </c>
      <c r="D7016" t="s">
        <v>96</v>
      </c>
      <c r="E7016" t="s">
        <v>115</v>
      </c>
      <c r="F7016" t="s">
        <v>149</v>
      </c>
      <c r="G7016" t="s">
        <v>174</v>
      </c>
      <c r="H7016" t="s">
        <v>96</v>
      </c>
      <c r="I7016" t="s">
        <v>229</v>
      </c>
      <c r="J7016" t="s">
        <v>248</v>
      </c>
      <c r="K7016" t="s">
        <v>262</v>
      </c>
      <c r="L7016" t="s">
        <v>52</v>
      </c>
      <c r="M7016" t="s">
        <v>76</v>
      </c>
      <c r="N7016" t="s">
        <v>293</v>
      </c>
      <c r="O7016" t="s">
        <v>301</v>
      </c>
      <c r="P7016" t="s">
        <v>309</v>
      </c>
      <c r="Q7016" t="s">
        <v>315</v>
      </c>
      <c r="R7016" t="s">
        <v>228</v>
      </c>
      <c r="S7016" t="s">
        <v>328</v>
      </c>
      <c r="T7016" t="s">
        <v>149</v>
      </c>
      <c r="U7016" t="s">
        <v>337</v>
      </c>
      <c r="V7016" t="s">
        <v>341</v>
      </c>
      <c r="W7016" t="s">
        <v>345</v>
      </c>
      <c r="X7016" t="s">
        <v>350</v>
      </c>
      <c r="AK7016" t="s">
        <v>364</v>
      </c>
    </row>
    <row r="7017" spans="1:37">
      <c r="B7017" t="s">
        <v>53</v>
      </c>
      <c r="C7017" t="s">
        <v>77</v>
      </c>
      <c r="D7017" t="s">
        <v>97</v>
      </c>
      <c r="E7017" t="s">
        <v>116</v>
      </c>
      <c r="F7017" t="s">
        <v>150</v>
      </c>
      <c r="G7017" t="s">
        <v>175</v>
      </c>
      <c r="H7017" t="s">
        <v>210</v>
      </c>
      <c r="I7017" t="s">
        <v>230</v>
      </c>
      <c r="J7017" t="s">
        <v>249</v>
      </c>
      <c r="K7017" t="s">
        <v>263</v>
      </c>
      <c r="L7017" t="s">
        <v>275</v>
      </c>
      <c r="M7017" t="s">
        <v>284</v>
      </c>
      <c r="N7017" t="s">
        <v>294</v>
      </c>
      <c r="O7017" t="s">
        <v>302</v>
      </c>
      <c r="P7017" t="s">
        <v>310</v>
      </c>
      <c r="Q7017" t="s">
        <v>316</v>
      </c>
      <c r="R7017" t="s">
        <v>322</v>
      </c>
      <c r="S7017" t="s">
        <v>329</v>
      </c>
      <c r="AK7017" t="s">
        <v>364</v>
      </c>
    </row>
    <row r="7018" spans="1:37">
      <c r="A7018" t="s">
        <v>39</v>
      </c>
      <c r="B7018" t="s">
        <v>54</v>
      </c>
      <c r="C7018" t="s">
        <v>54</v>
      </c>
      <c r="D7018" t="s">
        <v>54</v>
      </c>
      <c r="E7018" t="s">
        <v>54</v>
      </c>
      <c r="F7018" t="s">
        <v>54</v>
      </c>
      <c r="G7018" t="s">
        <v>54</v>
      </c>
      <c r="H7018" t="s">
        <v>54</v>
      </c>
      <c r="I7018" t="s">
        <v>54</v>
      </c>
      <c r="J7018" t="s">
        <v>54</v>
      </c>
      <c r="K7018" t="s">
        <v>54</v>
      </c>
      <c r="L7018" t="s">
        <v>54</v>
      </c>
      <c r="M7018" t="s">
        <v>54</v>
      </c>
      <c r="N7018" t="s">
        <v>54</v>
      </c>
      <c r="O7018" t="s">
        <v>54</v>
      </c>
      <c r="P7018" t="s">
        <v>54</v>
      </c>
      <c r="Q7018" t="s">
        <v>54</v>
      </c>
      <c r="R7018" t="s">
        <v>323</v>
      </c>
      <c r="S7018" t="s">
        <v>330</v>
      </c>
      <c r="AK7018" t="s">
        <v>364</v>
      </c>
    </row>
    <row r="7019" spans="1:37">
      <c r="B7019" t="s">
        <v>55</v>
      </c>
      <c r="C7019" t="s">
        <v>78</v>
      </c>
      <c r="D7019" t="s">
        <v>55</v>
      </c>
      <c r="E7019" t="s">
        <v>78</v>
      </c>
      <c r="F7019" t="s">
        <v>55</v>
      </c>
      <c r="G7019" t="s">
        <v>78</v>
      </c>
      <c r="H7019" t="s">
        <v>55</v>
      </c>
      <c r="I7019" t="s">
        <v>78</v>
      </c>
      <c r="J7019" t="s">
        <v>55</v>
      </c>
      <c r="K7019" t="s">
        <v>78</v>
      </c>
      <c r="L7019" t="s">
        <v>55</v>
      </c>
      <c r="M7019" t="s">
        <v>78</v>
      </c>
      <c r="N7019" t="s">
        <v>55</v>
      </c>
      <c r="O7019" t="s">
        <v>78</v>
      </c>
      <c r="P7019" t="s">
        <v>55</v>
      </c>
      <c r="Q7019" t="s">
        <v>78</v>
      </c>
      <c r="R7019" t="s">
        <v>55</v>
      </c>
      <c r="S7019" t="s">
        <v>78</v>
      </c>
      <c r="T7019" t="s">
        <v>55</v>
      </c>
      <c r="U7019" t="s">
        <v>78</v>
      </c>
      <c r="V7019" t="s">
        <v>55</v>
      </c>
      <c r="W7019" t="s">
        <v>78</v>
      </c>
      <c r="X7019" t="s">
        <v>55</v>
      </c>
      <c r="Y7019" t="s">
        <v>78</v>
      </c>
      <c r="Z7019" t="s">
        <v>55</v>
      </c>
      <c r="AA7019" t="s">
        <v>78</v>
      </c>
      <c r="AB7019" t="s">
        <v>55</v>
      </c>
      <c r="AC7019" t="s">
        <v>78</v>
      </c>
      <c r="AD7019" t="s">
        <v>55</v>
      </c>
      <c r="AE7019" t="s">
        <v>78</v>
      </c>
      <c r="AF7019" t="s">
        <v>55</v>
      </c>
      <c r="AG7019" t="s">
        <v>78</v>
      </c>
      <c r="AH7019" t="s">
        <v>55</v>
      </c>
      <c r="AI7019" t="s">
        <v>78</v>
      </c>
      <c r="AK7019" t="s">
        <v>364</v>
      </c>
    </row>
    <row r="7020" spans="1:37">
      <c r="B7020" t="s">
        <v>56</v>
      </c>
      <c r="C7020" t="s">
        <v>56</v>
      </c>
      <c r="D7020" t="s">
        <v>56</v>
      </c>
      <c r="E7020" t="s">
        <v>56</v>
      </c>
      <c r="F7020" t="s">
        <v>56</v>
      </c>
      <c r="G7020" t="s">
        <v>176</v>
      </c>
      <c r="H7020" t="s">
        <v>211</v>
      </c>
      <c r="I7020" t="s">
        <v>231</v>
      </c>
      <c r="J7020" t="s">
        <v>250</v>
      </c>
      <c r="K7020" t="s">
        <v>264</v>
      </c>
      <c r="L7020" t="s">
        <v>276</v>
      </c>
      <c r="M7020" t="s">
        <v>285</v>
      </c>
      <c r="N7020" t="s">
        <v>295</v>
      </c>
      <c r="O7020" t="s">
        <v>303</v>
      </c>
      <c r="P7020" t="s">
        <v>56</v>
      </c>
      <c r="Q7020" t="s">
        <v>317</v>
      </c>
      <c r="R7020" t="s">
        <v>324</v>
      </c>
      <c r="S7020" t="s">
        <v>331</v>
      </c>
      <c r="T7020" t="s">
        <v>334</v>
      </c>
      <c r="U7020" t="s">
        <v>338</v>
      </c>
      <c r="V7020" t="s">
        <v>342</v>
      </c>
      <c r="W7020" t="s">
        <v>346</v>
      </c>
      <c r="X7020" t="s">
        <v>351</v>
      </c>
      <c r="AK7020" t="s">
        <v>364</v>
      </c>
    </row>
    <row r="7021" spans="1:37">
      <c r="B7021" t="s">
        <v>57</v>
      </c>
      <c r="C7021" t="s">
        <v>79</v>
      </c>
      <c r="D7021" t="s">
        <v>98</v>
      </c>
      <c r="E7021" t="s">
        <v>117</v>
      </c>
      <c r="F7021" t="s">
        <v>151</v>
      </c>
      <c r="G7021" t="s">
        <v>177</v>
      </c>
      <c r="H7021" t="s">
        <v>212</v>
      </c>
      <c r="I7021" t="s">
        <v>232</v>
      </c>
      <c r="J7021" t="s">
        <v>251</v>
      </c>
      <c r="K7021" t="s">
        <v>265</v>
      </c>
      <c r="L7021" t="s">
        <v>277</v>
      </c>
      <c r="M7021" t="s">
        <v>286</v>
      </c>
      <c r="N7021" t="s">
        <v>296</v>
      </c>
      <c r="O7021" t="s">
        <v>304</v>
      </c>
      <c r="P7021" t="s">
        <v>311</v>
      </c>
      <c r="Q7021" t="s">
        <v>318</v>
      </c>
      <c r="R7021" t="s">
        <v>185</v>
      </c>
      <c r="S7021" t="s">
        <v>159</v>
      </c>
      <c r="T7021" t="s">
        <v>185</v>
      </c>
      <c r="U7021" t="s">
        <v>339</v>
      </c>
      <c r="V7021" t="s">
        <v>72</v>
      </c>
      <c r="W7021" t="s">
        <v>347</v>
      </c>
      <c r="X7021" t="s">
        <v>72</v>
      </c>
      <c r="Y7021" t="s">
        <v>96</v>
      </c>
      <c r="AK7021" t="s">
        <v>364</v>
      </c>
    </row>
    <row r="7022" spans="1:37">
      <c r="B7022" t="s">
        <v>58</v>
      </c>
      <c r="C7022" t="s">
        <v>80</v>
      </c>
      <c r="D7022" t="s">
        <v>99</v>
      </c>
      <c r="E7022" t="s">
        <v>118</v>
      </c>
      <c r="F7022" t="s">
        <v>152</v>
      </c>
      <c r="G7022" t="s">
        <v>178</v>
      </c>
      <c r="H7022" t="s">
        <v>213</v>
      </c>
      <c r="I7022" t="s">
        <v>233</v>
      </c>
      <c r="J7022" t="s">
        <v>252</v>
      </c>
      <c r="K7022" t="s">
        <v>266</v>
      </c>
      <c r="L7022" t="s">
        <v>278</v>
      </c>
      <c r="M7022" t="s">
        <v>287</v>
      </c>
      <c r="N7022" t="s">
        <v>297</v>
      </c>
      <c r="O7022" t="s">
        <v>305</v>
      </c>
      <c r="P7022" t="s">
        <v>312</v>
      </c>
      <c r="Q7022" t="s">
        <v>319</v>
      </c>
      <c r="R7022">
        <f>&gt;10       ветра      2.2     21  15</f>
        <v>0</v>
      </c>
      <c r="AK7022" t="s">
        <v>364</v>
      </c>
    </row>
    <row r="7023" spans="1:37">
      <c r="A7023" t="s">
        <v>40</v>
      </c>
      <c r="B7023" t="s">
        <v>59</v>
      </c>
      <c r="C7023" t="s">
        <v>81</v>
      </c>
      <c r="D7023" t="s">
        <v>100</v>
      </c>
      <c r="E7023" t="s">
        <v>119</v>
      </c>
      <c r="F7023" t="s">
        <v>153</v>
      </c>
      <c r="G7023" t="s">
        <v>179</v>
      </c>
      <c r="H7023" t="s">
        <v>214</v>
      </c>
      <c r="I7023" t="s">
        <v>234</v>
      </c>
      <c r="AK7023" t="s">
        <v>364</v>
      </c>
    </row>
    <row r="7024" spans="1:37">
      <c r="A7024" t="s">
        <v>40</v>
      </c>
      <c r="B7024" t="s">
        <v>60</v>
      </c>
      <c r="C7024" t="s">
        <v>82</v>
      </c>
      <c r="D7024" t="s">
        <v>101</v>
      </c>
      <c r="E7024" t="s">
        <v>120</v>
      </c>
      <c r="F7024" t="s">
        <v>154</v>
      </c>
      <c r="G7024" t="s">
        <v>180</v>
      </c>
      <c r="H7024" t="s">
        <v>215</v>
      </c>
      <c r="I7024" t="s">
        <v>235</v>
      </c>
      <c r="J7024" t="s">
        <v>253</v>
      </c>
      <c r="K7024" t="s">
        <v>267</v>
      </c>
      <c r="L7024" t="s">
        <v>279</v>
      </c>
      <c r="M7024" t="s">
        <v>288</v>
      </c>
      <c r="N7024" t="s">
        <v>100</v>
      </c>
      <c r="O7024" t="s">
        <v>306</v>
      </c>
      <c r="P7024" t="s">
        <v>313</v>
      </c>
      <c r="Q7024" t="s">
        <v>320</v>
      </c>
      <c r="R7024" t="s">
        <v>325</v>
      </c>
      <c r="S7024" t="s">
        <v>332</v>
      </c>
      <c r="T7024" t="s">
        <v>119</v>
      </c>
      <c r="U7024" t="s">
        <v>234</v>
      </c>
      <c r="V7024" t="s">
        <v>343</v>
      </c>
      <c r="W7024" t="s">
        <v>348</v>
      </c>
      <c r="X7024" t="s">
        <v>352</v>
      </c>
      <c r="Y7024" t="s">
        <v>354</v>
      </c>
      <c r="AK7024" t="s">
        <v>364</v>
      </c>
    </row>
    <row r="7025" spans="1:37">
      <c r="A7025" t="s">
        <v>41</v>
      </c>
      <c r="B7025" t="s">
        <v>61</v>
      </c>
      <c r="C7025" t="s">
        <v>83</v>
      </c>
      <c r="D7025" t="s">
        <v>102</v>
      </c>
      <c r="E7025" t="s">
        <v>121</v>
      </c>
      <c r="F7025" t="s">
        <v>155</v>
      </c>
      <c r="G7025" t="s">
        <v>181</v>
      </c>
      <c r="H7025" t="s">
        <v>216</v>
      </c>
      <c r="I7025" t="s">
        <v>236</v>
      </c>
      <c r="AK7025" t="s">
        <v>364</v>
      </c>
    </row>
    <row r="7026" spans="1:37">
      <c r="A7026" t="s">
        <v>42</v>
      </c>
      <c r="B7026" t="s">
        <v>62</v>
      </c>
      <c r="C7026" t="s">
        <v>84</v>
      </c>
      <c r="D7026" t="s">
        <v>103</v>
      </c>
      <c r="E7026" t="s">
        <v>122</v>
      </c>
      <c r="F7026" t="s">
        <v>156</v>
      </c>
      <c r="G7026" t="s">
        <v>182</v>
      </c>
      <c r="H7026" t="s">
        <v>83</v>
      </c>
      <c r="I7026" t="s">
        <v>237</v>
      </c>
      <c r="J7026" t="s">
        <v>254</v>
      </c>
      <c r="K7026" t="s">
        <v>268</v>
      </c>
      <c r="L7026" t="s">
        <v>280</v>
      </c>
      <c r="M7026" t="s">
        <v>289</v>
      </c>
      <c r="N7026" t="s">
        <v>298</v>
      </c>
      <c r="O7026" t="s">
        <v>307</v>
      </c>
      <c r="P7026" t="s">
        <v>314</v>
      </c>
      <c r="Q7026" t="s">
        <v>216</v>
      </c>
      <c r="R7026" t="s">
        <v>326</v>
      </c>
      <c r="S7026" t="s">
        <v>333</v>
      </c>
      <c r="T7026" t="s">
        <v>335</v>
      </c>
      <c r="U7026" t="s">
        <v>340</v>
      </c>
      <c r="V7026" t="s">
        <v>344</v>
      </c>
      <c r="W7026" t="s">
        <v>349</v>
      </c>
      <c r="AK7026" t="s">
        <v>364</v>
      </c>
    </row>
    <row r="7027" spans="1:37">
      <c r="A7027" t="s">
        <v>43</v>
      </c>
      <c r="B7027" t="s">
        <v>63</v>
      </c>
      <c r="C7027" t="s">
        <v>85</v>
      </c>
      <c r="D7027" t="s">
        <v>104</v>
      </c>
      <c r="E7027" t="s">
        <v>123</v>
      </c>
      <c r="F7027" t="s">
        <v>157</v>
      </c>
      <c r="G7027" t="s">
        <v>183</v>
      </c>
      <c r="AK7027" t="s">
        <v>364</v>
      </c>
    </row>
    <row r="7028" spans="1:37">
      <c r="A7028" t="s">
        <v>44</v>
      </c>
      <c r="B7028" t="s">
        <v>64</v>
      </c>
      <c r="C7028" t="s">
        <v>86</v>
      </c>
      <c r="D7028" t="s">
        <v>105</v>
      </c>
      <c r="E7028" t="s">
        <v>124</v>
      </c>
      <c r="F7028" t="s">
        <v>158</v>
      </c>
      <c r="G7028" t="s">
        <v>184</v>
      </c>
      <c r="AK7028" t="s">
        <v>364</v>
      </c>
    </row>
    <row r="7029" spans="1:37">
      <c r="A7029" t="s">
        <v>45</v>
      </c>
      <c r="B7029" t="s">
        <v>65</v>
      </c>
      <c r="C7029" t="s">
        <v>87</v>
      </c>
      <c r="D7029" t="s">
        <v>106</v>
      </c>
      <c r="E7029" t="s">
        <v>125</v>
      </c>
      <c r="F7029" t="s">
        <v>159</v>
      </c>
      <c r="G7029" t="s">
        <v>185</v>
      </c>
      <c r="H7029" t="s">
        <v>159</v>
      </c>
      <c r="I7029" t="s">
        <v>185</v>
      </c>
      <c r="J7029" t="s">
        <v>255</v>
      </c>
      <c r="AK7029" t="s">
        <v>364</v>
      </c>
    </row>
    <row r="7030" spans="1:37">
      <c r="A7030" t="s">
        <v>46</v>
      </c>
      <c r="B7030" t="s">
        <v>66</v>
      </c>
      <c r="C7030" t="s">
        <v>88</v>
      </c>
      <c r="D7030" t="s">
        <v>76</v>
      </c>
      <c r="E7030" t="s">
        <v>126</v>
      </c>
      <c r="F7030" t="s">
        <v>160</v>
      </c>
      <c r="G7030" t="s">
        <v>186</v>
      </c>
      <c r="H7030" t="s">
        <v>217</v>
      </c>
      <c r="I7030" t="s">
        <v>238</v>
      </c>
      <c r="J7030" t="s">
        <v>256</v>
      </c>
      <c r="K7030" t="s">
        <v>265</v>
      </c>
      <c r="L7030" t="s">
        <v>281</v>
      </c>
      <c r="M7030" t="s">
        <v>290</v>
      </c>
      <c r="N7030" t="s">
        <v>299</v>
      </c>
      <c r="O7030" t="s">
        <v>308</v>
      </c>
      <c r="P7030" t="s">
        <v>228</v>
      </c>
      <c r="Q7030" t="s">
        <v>72</v>
      </c>
      <c r="R7030" t="s">
        <v>327</v>
      </c>
      <c r="S7030" t="s">
        <v>327</v>
      </c>
      <c r="T7030" t="s">
        <v>336</v>
      </c>
      <c r="U7030" t="s">
        <v>336</v>
      </c>
      <c r="V7030" t="s">
        <v>336</v>
      </c>
      <c r="W7030" t="s">
        <v>336</v>
      </c>
      <c r="X7030" t="s">
        <v>353</v>
      </c>
      <c r="AK7030" t="s">
        <v>364</v>
      </c>
    </row>
    <row r="7031" spans="1:37">
      <c r="A7031" t="s">
        <v>37</v>
      </c>
      <c r="B7031" t="s">
        <v>49</v>
      </c>
      <c r="C7031" t="s">
        <v>73</v>
      </c>
      <c r="D7031" t="s">
        <v>94</v>
      </c>
      <c r="E7031" t="s">
        <v>112</v>
      </c>
      <c r="F7031" t="s">
        <v>146</v>
      </c>
      <c r="G7031" t="s">
        <v>172</v>
      </c>
      <c r="H7031" t="s">
        <v>207</v>
      </c>
      <c r="I7031" t="s">
        <v>226</v>
      </c>
      <c r="J7031" t="s">
        <v>246</v>
      </c>
      <c r="K7031" t="s">
        <v>259</v>
      </c>
      <c r="AK7031" t="s">
        <v>364</v>
      </c>
    </row>
    <row r="7032" spans="1:37">
      <c r="A7032" t="s">
        <v>38</v>
      </c>
      <c r="B7032" t="s">
        <v>50</v>
      </c>
      <c r="C7032" t="s">
        <v>74</v>
      </c>
      <c r="D7032" t="s">
        <v>95</v>
      </c>
      <c r="E7032" t="s">
        <v>113</v>
      </c>
      <c r="F7032" t="s">
        <v>147</v>
      </c>
      <c r="G7032" t="s">
        <v>173</v>
      </c>
      <c r="H7032" t="s">
        <v>208</v>
      </c>
      <c r="I7032" t="s">
        <v>227</v>
      </c>
      <c r="J7032" t="s">
        <v>115</v>
      </c>
      <c r="K7032" t="s">
        <v>260</v>
      </c>
      <c r="L7032" t="s">
        <v>273</v>
      </c>
      <c r="M7032" t="s">
        <v>282</v>
      </c>
      <c r="N7032" t="s">
        <v>291</v>
      </c>
      <c r="AK7032" t="s">
        <v>364</v>
      </c>
    </row>
    <row r="7033" spans="1:37">
      <c r="B7033" t="s">
        <v>51</v>
      </c>
      <c r="C7033" t="s">
        <v>75</v>
      </c>
      <c r="D7033" t="s">
        <v>52</v>
      </c>
      <c r="E7033" t="s">
        <v>114</v>
      </c>
      <c r="F7033" t="s">
        <v>148</v>
      </c>
      <c r="G7033" t="s">
        <v>148</v>
      </c>
      <c r="H7033" t="s">
        <v>209</v>
      </c>
      <c r="I7033" t="s">
        <v>228</v>
      </c>
      <c r="J7033" t="s">
        <v>247</v>
      </c>
      <c r="K7033" t="s">
        <v>261</v>
      </c>
      <c r="L7033" t="s">
        <v>274</v>
      </c>
      <c r="M7033" t="s">
        <v>283</v>
      </c>
      <c r="N7033" t="s">
        <v>292</v>
      </c>
      <c r="O7033" t="s">
        <v>300</v>
      </c>
      <c r="AK7033" t="s">
        <v>364</v>
      </c>
    </row>
    <row r="7034" spans="1:37">
      <c r="B7034" t="s">
        <v>52</v>
      </c>
      <c r="C7034" t="s">
        <v>76</v>
      </c>
      <c r="D7034" t="s">
        <v>96</v>
      </c>
      <c r="E7034" t="s">
        <v>115</v>
      </c>
      <c r="F7034" t="s">
        <v>149</v>
      </c>
      <c r="G7034" t="s">
        <v>174</v>
      </c>
      <c r="H7034" t="s">
        <v>96</v>
      </c>
      <c r="I7034" t="s">
        <v>229</v>
      </c>
      <c r="J7034" t="s">
        <v>248</v>
      </c>
      <c r="K7034" t="s">
        <v>262</v>
      </c>
      <c r="L7034" t="s">
        <v>52</v>
      </c>
      <c r="M7034" t="s">
        <v>76</v>
      </c>
      <c r="N7034" t="s">
        <v>293</v>
      </c>
      <c r="O7034" t="s">
        <v>301</v>
      </c>
      <c r="P7034" t="s">
        <v>309</v>
      </c>
      <c r="Q7034" t="s">
        <v>315</v>
      </c>
      <c r="R7034" t="s">
        <v>228</v>
      </c>
      <c r="S7034" t="s">
        <v>328</v>
      </c>
      <c r="T7034" t="s">
        <v>149</v>
      </c>
      <c r="U7034" t="s">
        <v>337</v>
      </c>
      <c r="V7034" t="s">
        <v>341</v>
      </c>
      <c r="W7034" t="s">
        <v>345</v>
      </c>
      <c r="X7034" t="s">
        <v>350</v>
      </c>
      <c r="AK7034" t="s">
        <v>364</v>
      </c>
    </row>
    <row r="7035" spans="1:37">
      <c r="B7035" t="s">
        <v>53</v>
      </c>
      <c r="C7035" t="s">
        <v>77</v>
      </c>
      <c r="D7035" t="s">
        <v>97</v>
      </c>
      <c r="E7035" t="s">
        <v>116</v>
      </c>
      <c r="F7035" t="s">
        <v>150</v>
      </c>
      <c r="G7035" t="s">
        <v>175</v>
      </c>
      <c r="H7035" t="s">
        <v>210</v>
      </c>
      <c r="I7035" t="s">
        <v>230</v>
      </c>
      <c r="J7035" t="s">
        <v>249</v>
      </c>
      <c r="K7035" t="s">
        <v>263</v>
      </c>
      <c r="L7035" t="s">
        <v>275</v>
      </c>
      <c r="M7035" t="s">
        <v>284</v>
      </c>
      <c r="N7035" t="s">
        <v>294</v>
      </c>
      <c r="O7035" t="s">
        <v>302</v>
      </c>
      <c r="P7035" t="s">
        <v>310</v>
      </c>
      <c r="Q7035" t="s">
        <v>316</v>
      </c>
      <c r="R7035" t="s">
        <v>322</v>
      </c>
      <c r="S7035" t="s">
        <v>329</v>
      </c>
      <c r="AK7035" t="s">
        <v>364</v>
      </c>
    </row>
    <row r="7036" spans="1:37">
      <c r="A7036" t="s">
        <v>39</v>
      </c>
      <c r="B7036" t="s">
        <v>54</v>
      </c>
      <c r="C7036" t="s">
        <v>54</v>
      </c>
      <c r="D7036" t="s">
        <v>54</v>
      </c>
      <c r="E7036" t="s">
        <v>54</v>
      </c>
      <c r="F7036" t="s">
        <v>54</v>
      </c>
      <c r="G7036" t="s">
        <v>54</v>
      </c>
      <c r="H7036" t="s">
        <v>54</v>
      </c>
      <c r="I7036" t="s">
        <v>54</v>
      </c>
      <c r="J7036" t="s">
        <v>54</v>
      </c>
      <c r="K7036" t="s">
        <v>54</v>
      </c>
      <c r="L7036" t="s">
        <v>54</v>
      </c>
      <c r="M7036" t="s">
        <v>54</v>
      </c>
      <c r="N7036" t="s">
        <v>54</v>
      </c>
      <c r="O7036" t="s">
        <v>54</v>
      </c>
      <c r="P7036" t="s">
        <v>54</v>
      </c>
      <c r="Q7036" t="s">
        <v>54</v>
      </c>
      <c r="R7036" t="s">
        <v>323</v>
      </c>
      <c r="S7036" t="s">
        <v>330</v>
      </c>
      <c r="AK7036" t="s">
        <v>364</v>
      </c>
    </row>
    <row r="7037" spans="1:37">
      <c r="B7037" t="s">
        <v>55</v>
      </c>
      <c r="C7037" t="s">
        <v>78</v>
      </c>
      <c r="D7037" t="s">
        <v>55</v>
      </c>
      <c r="E7037" t="s">
        <v>78</v>
      </c>
      <c r="F7037" t="s">
        <v>55</v>
      </c>
      <c r="G7037" t="s">
        <v>78</v>
      </c>
      <c r="H7037" t="s">
        <v>55</v>
      </c>
      <c r="I7037" t="s">
        <v>78</v>
      </c>
      <c r="J7037" t="s">
        <v>55</v>
      </c>
      <c r="K7037" t="s">
        <v>78</v>
      </c>
      <c r="L7037" t="s">
        <v>55</v>
      </c>
      <c r="M7037" t="s">
        <v>78</v>
      </c>
      <c r="N7037" t="s">
        <v>55</v>
      </c>
      <c r="O7037" t="s">
        <v>78</v>
      </c>
      <c r="P7037" t="s">
        <v>55</v>
      </c>
      <c r="Q7037" t="s">
        <v>78</v>
      </c>
      <c r="R7037" t="s">
        <v>55</v>
      </c>
      <c r="S7037" t="s">
        <v>78</v>
      </c>
      <c r="T7037" t="s">
        <v>55</v>
      </c>
      <c r="U7037" t="s">
        <v>78</v>
      </c>
      <c r="V7037" t="s">
        <v>55</v>
      </c>
      <c r="W7037" t="s">
        <v>78</v>
      </c>
      <c r="X7037" t="s">
        <v>55</v>
      </c>
      <c r="Y7037" t="s">
        <v>78</v>
      </c>
      <c r="Z7037" t="s">
        <v>55</v>
      </c>
      <c r="AA7037" t="s">
        <v>78</v>
      </c>
      <c r="AB7037" t="s">
        <v>55</v>
      </c>
      <c r="AC7037" t="s">
        <v>78</v>
      </c>
      <c r="AD7037" t="s">
        <v>55</v>
      </c>
      <c r="AE7037" t="s">
        <v>78</v>
      </c>
      <c r="AF7037" t="s">
        <v>55</v>
      </c>
      <c r="AG7037" t="s">
        <v>78</v>
      </c>
      <c r="AH7037" t="s">
        <v>55</v>
      </c>
      <c r="AI7037" t="s">
        <v>78</v>
      </c>
      <c r="AK7037" t="s">
        <v>364</v>
      </c>
    </row>
    <row r="7038" spans="1:37">
      <c r="B7038" t="s">
        <v>56</v>
      </c>
      <c r="C7038" t="s">
        <v>56</v>
      </c>
      <c r="D7038" t="s">
        <v>56</v>
      </c>
      <c r="E7038" t="s">
        <v>56</v>
      </c>
      <c r="F7038" t="s">
        <v>56</v>
      </c>
      <c r="G7038" t="s">
        <v>176</v>
      </c>
      <c r="H7038" t="s">
        <v>211</v>
      </c>
      <c r="I7038" t="s">
        <v>231</v>
      </c>
      <c r="J7038" t="s">
        <v>250</v>
      </c>
      <c r="K7038" t="s">
        <v>264</v>
      </c>
      <c r="L7038" t="s">
        <v>276</v>
      </c>
      <c r="M7038" t="s">
        <v>285</v>
      </c>
      <c r="N7038" t="s">
        <v>295</v>
      </c>
      <c r="O7038" t="s">
        <v>303</v>
      </c>
      <c r="P7038" t="s">
        <v>56</v>
      </c>
      <c r="Q7038" t="s">
        <v>317</v>
      </c>
      <c r="R7038" t="s">
        <v>324</v>
      </c>
      <c r="S7038" t="s">
        <v>331</v>
      </c>
      <c r="T7038" t="s">
        <v>334</v>
      </c>
      <c r="U7038" t="s">
        <v>338</v>
      </c>
      <c r="V7038" t="s">
        <v>342</v>
      </c>
      <c r="W7038" t="s">
        <v>346</v>
      </c>
      <c r="X7038" t="s">
        <v>351</v>
      </c>
      <c r="AK7038" t="s">
        <v>364</v>
      </c>
    </row>
    <row r="7039" spans="1:37">
      <c r="B7039" t="s">
        <v>57</v>
      </c>
      <c r="C7039" t="s">
        <v>79</v>
      </c>
      <c r="D7039" t="s">
        <v>98</v>
      </c>
      <c r="E7039" t="s">
        <v>117</v>
      </c>
      <c r="F7039" t="s">
        <v>151</v>
      </c>
      <c r="G7039" t="s">
        <v>177</v>
      </c>
      <c r="H7039" t="s">
        <v>212</v>
      </c>
      <c r="I7039" t="s">
        <v>232</v>
      </c>
      <c r="J7039" t="s">
        <v>251</v>
      </c>
      <c r="K7039" t="s">
        <v>265</v>
      </c>
      <c r="L7039" t="s">
        <v>277</v>
      </c>
      <c r="M7039" t="s">
        <v>286</v>
      </c>
      <c r="N7039" t="s">
        <v>296</v>
      </c>
      <c r="O7039" t="s">
        <v>304</v>
      </c>
      <c r="P7039" t="s">
        <v>311</v>
      </c>
      <c r="Q7039" t="s">
        <v>318</v>
      </c>
      <c r="R7039" t="s">
        <v>185</v>
      </c>
      <c r="S7039" t="s">
        <v>159</v>
      </c>
      <c r="T7039" t="s">
        <v>185</v>
      </c>
      <c r="U7039" t="s">
        <v>339</v>
      </c>
      <c r="V7039" t="s">
        <v>72</v>
      </c>
      <c r="W7039" t="s">
        <v>347</v>
      </c>
      <c r="X7039" t="s">
        <v>72</v>
      </c>
      <c r="Y7039" t="s">
        <v>96</v>
      </c>
      <c r="AK7039" t="s">
        <v>364</v>
      </c>
    </row>
    <row r="7040" spans="1:37">
      <c r="B7040" t="s">
        <v>58</v>
      </c>
      <c r="C7040" t="s">
        <v>80</v>
      </c>
      <c r="D7040" t="s">
        <v>99</v>
      </c>
      <c r="E7040" t="s">
        <v>118</v>
      </c>
      <c r="F7040" t="s">
        <v>152</v>
      </c>
      <c r="G7040" t="s">
        <v>178</v>
      </c>
      <c r="H7040" t="s">
        <v>213</v>
      </c>
      <c r="I7040" t="s">
        <v>233</v>
      </c>
      <c r="J7040" t="s">
        <v>252</v>
      </c>
      <c r="K7040" t="s">
        <v>266</v>
      </c>
      <c r="L7040" t="s">
        <v>278</v>
      </c>
      <c r="M7040" t="s">
        <v>287</v>
      </c>
      <c r="N7040" t="s">
        <v>297</v>
      </c>
      <c r="O7040" t="s">
        <v>305</v>
      </c>
      <c r="P7040" t="s">
        <v>312</v>
      </c>
      <c r="Q7040" t="s">
        <v>319</v>
      </c>
      <c r="R7040">
        <f>&gt;10       ветра      0.9     18  16</f>
        <v>0</v>
      </c>
      <c r="AK7040" t="s">
        <v>364</v>
      </c>
    </row>
    <row r="7041" spans="1:37">
      <c r="A7041" t="s">
        <v>40</v>
      </c>
      <c r="B7041" t="s">
        <v>59</v>
      </c>
      <c r="C7041" t="s">
        <v>81</v>
      </c>
      <c r="D7041" t="s">
        <v>100</v>
      </c>
      <c r="E7041" t="s">
        <v>119</v>
      </c>
      <c r="F7041" t="s">
        <v>153</v>
      </c>
      <c r="G7041" t="s">
        <v>179</v>
      </c>
      <c r="H7041" t="s">
        <v>214</v>
      </c>
      <c r="I7041" t="s">
        <v>234</v>
      </c>
      <c r="AK7041" t="s">
        <v>364</v>
      </c>
    </row>
    <row r="7042" spans="1:37">
      <c r="A7042" t="s">
        <v>40</v>
      </c>
      <c r="B7042" t="s">
        <v>60</v>
      </c>
      <c r="C7042" t="s">
        <v>82</v>
      </c>
      <c r="D7042" t="s">
        <v>101</v>
      </c>
      <c r="E7042" t="s">
        <v>120</v>
      </c>
      <c r="F7042" t="s">
        <v>154</v>
      </c>
      <c r="G7042" t="s">
        <v>180</v>
      </c>
      <c r="H7042" t="s">
        <v>215</v>
      </c>
      <c r="I7042" t="s">
        <v>235</v>
      </c>
      <c r="J7042" t="s">
        <v>253</v>
      </c>
      <c r="K7042" t="s">
        <v>267</v>
      </c>
      <c r="L7042" t="s">
        <v>279</v>
      </c>
      <c r="M7042" t="s">
        <v>288</v>
      </c>
      <c r="N7042" t="s">
        <v>100</v>
      </c>
      <c r="O7042" t="s">
        <v>306</v>
      </c>
      <c r="P7042" t="s">
        <v>313</v>
      </c>
      <c r="Q7042" t="s">
        <v>320</v>
      </c>
      <c r="R7042" t="s">
        <v>325</v>
      </c>
      <c r="S7042" t="s">
        <v>332</v>
      </c>
      <c r="T7042" t="s">
        <v>119</v>
      </c>
      <c r="U7042" t="s">
        <v>234</v>
      </c>
      <c r="V7042" t="s">
        <v>343</v>
      </c>
      <c r="W7042" t="s">
        <v>348</v>
      </c>
      <c r="X7042" t="s">
        <v>352</v>
      </c>
      <c r="Y7042" t="s">
        <v>354</v>
      </c>
      <c r="AK7042" t="s">
        <v>364</v>
      </c>
    </row>
    <row r="7043" spans="1:37">
      <c r="A7043" t="s">
        <v>41</v>
      </c>
      <c r="B7043" t="s">
        <v>61</v>
      </c>
      <c r="C7043" t="s">
        <v>83</v>
      </c>
      <c r="D7043" t="s">
        <v>102</v>
      </c>
      <c r="E7043" t="s">
        <v>121</v>
      </c>
      <c r="F7043" t="s">
        <v>155</v>
      </c>
      <c r="G7043" t="s">
        <v>181</v>
      </c>
      <c r="H7043" t="s">
        <v>216</v>
      </c>
      <c r="I7043" t="s">
        <v>236</v>
      </c>
      <c r="AK7043" t="s">
        <v>364</v>
      </c>
    </row>
    <row r="7044" spans="1:37">
      <c r="A7044" t="s">
        <v>42</v>
      </c>
      <c r="B7044" t="s">
        <v>62</v>
      </c>
      <c r="C7044" t="s">
        <v>84</v>
      </c>
      <c r="D7044" t="s">
        <v>103</v>
      </c>
      <c r="E7044" t="s">
        <v>122</v>
      </c>
      <c r="F7044" t="s">
        <v>156</v>
      </c>
      <c r="G7044" t="s">
        <v>182</v>
      </c>
      <c r="H7044" t="s">
        <v>83</v>
      </c>
      <c r="I7044" t="s">
        <v>237</v>
      </c>
      <c r="J7044" t="s">
        <v>254</v>
      </c>
      <c r="K7044" t="s">
        <v>268</v>
      </c>
      <c r="L7044" t="s">
        <v>280</v>
      </c>
      <c r="M7044" t="s">
        <v>289</v>
      </c>
      <c r="N7044" t="s">
        <v>298</v>
      </c>
      <c r="O7044" t="s">
        <v>307</v>
      </c>
      <c r="P7044" t="s">
        <v>314</v>
      </c>
      <c r="Q7044" t="s">
        <v>216</v>
      </c>
      <c r="R7044" t="s">
        <v>326</v>
      </c>
      <c r="S7044" t="s">
        <v>333</v>
      </c>
      <c r="T7044" t="s">
        <v>335</v>
      </c>
      <c r="U7044" t="s">
        <v>340</v>
      </c>
      <c r="V7044" t="s">
        <v>344</v>
      </c>
      <c r="W7044" t="s">
        <v>349</v>
      </c>
      <c r="AK7044" t="s">
        <v>364</v>
      </c>
    </row>
    <row r="7045" spans="1:37">
      <c r="A7045" t="s">
        <v>43</v>
      </c>
      <c r="B7045" t="s">
        <v>63</v>
      </c>
      <c r="C7045" t="s">
        <v>85</v>
      </c>
      <c r="D7045" t="s">
        <v>104</v>
      </c>
      <c r="E7045" t="s">
        <v>123</v>
      </c>
      <c r="F7045" t="s">
        <v>157</v>
      </c>
      <c r="G7045" t="s">
        <v>183</v>
      </c>
      <c r="AK7045" t="s">
        <v>364</v>
      </c>
    </row>
    <row r="7046" spans="1:37">
      <c r="A7046" t="s">
        <v>44</v>
      </c>
      <c r="B7046" t="s">
        <v>64</v>
      </c>
      <c r="C7046" t="s">
        <v>86</v>
      </c>
      <c r="D7046" t="s">
        <v>105</v>
      </c>
      <c r="E7046" t="s">
        <v>124</v>
      </c>
      <c r="F7046" t="s">
        <v>158</v>
      </c>
      <c r="G7046" t="s">
        <v>184</v>
      </c>
      <c r="AK7046" t="s">
        <v>364</v>
      </c>
    </row>
    <row r="7047" spans="1:37">
      <c r="A7047" t="s">
        <v>45</v>
      </c>
      <c r="B7047" t="s">
        <v>65</v>
      </c>
      <c r="C7047" t="s">
        <v>87</v>
      </c>
      <c r="D7047" t="s">
        <v>106</v>
      </c>
      <c r="E7047" t="s">
        <v>125</v>
      </c>
      <c r="F7047" t="s">
        <v>159</v>
      </c>
      <c r="G7047" t="s">
        <v>185</v>
      </c>
      <c r="H7047" t="s">
        <v>159</v>
      </c>
      <c r="I7047" t="s">
        <v>185</v>
      </c>
      <c r="J7047" t="s">
        <v>255</v>
      </c>
      <c r="AK7047" t="s">
        <v>364</v>
      </c>
    </row>
    <row r="7048" spans="1:37">
      <c r="A7048" t="s">
        <v>46</v>
      </c>
      <c r="B7048" t="s">
        <v>66</v>
      </c>
      <c r="C7048" t="s">
        <v>88</v>
      </c>
      <c r="D7048" t="s">
        <v>76</v>
      </c>
      <c r="E7048" t="s">
        <v>126</v>
      </c>
      <c r="F7048" t="s">
        <v>160</v>
      </c>
      <c r="G7048" t="s">
        <v>186</v>
      </c>
      <c r="H7048" t="s">
        <v>217</v>
      </c>
      <c r="I7048" t="s">
        <v>238</v>
      </c>
      <c r="J7048" t="s">
        <v>256</v>
      </c>
      <c r="K7048" t="s">
        <v>265</v>
      </c>
      <c r="L7048" t="s">
        <v>281</v>
      </c>
      <c r="M7048" t="s">
        <v>290</v>
      </c>
      <c r="N7048" t="s">
        <v>299</v>
      </c>
      <c r="O7048" t="s">
        <v>308</v>
      </c>
      <c r="P7048" t="s">
        <v>228</v>
      </c>
      <c r="Q7048" t="s">
        <v>72</v>
      </c>
      <c r="R7048" t="s">
        <v>327</v>
      </c>
      <c r="S7048" t="s">
        <v>327</v>
      </c>
      <c r="T7048" t="s">
        <v>336</v>
      </c>
      <c r="U7048" t="s">
        <v>336</v>
      </c>
      <c r="V7048" t="s">
        <v>336</v>
      </c>
      <c r="W7048" t="s">
        <v>336</v>
      </c>
      <c r="X7048" t="s">
        <v>353</v>
      </c>
      <c r="AK7048" t="s">
        <v>364</v>
      </c>
    </row>
    <row r="7049" spans="1:37">
      <c r="B7049" t="s">
        <v>67</v>
      </c>
      <c r="C7049" t="s">
        <v>89</v>
      </c>
      <c r="D7049" t="s">
        <v>107</v>
      </c>
      <c r="AK7049" t="s">
        <v>364</v>
      </c>
    </row>
    <row r="7050" spans="1:37">
      <c r="B7050" t="s">
        <v>68</v>
      </c>
      <c r="C7050" t="s">
        <v>90</v>
      </c>
      <c r="D7050" t="s">
        <v>108</v>
      </c>
      <c r="AK7050" t="s">
        <v>364</v>
      </c>
    </row>
    <row r="7051" spans="1:37">
      <c r="A7051" t="s">
        <v>47</v>
      </c>
      <c r="B7051" t="s">
        <v>69</v>
      </c>
      <c r="C7051" t="s">
        <v>91</v>
      </c>
      <c r="D7051" t="s">
        <v>109</v>
      </c>
      <c r="E7051" t="s">
        <v>109</v>
      </c>
      <c r="F7051" t="s">
        <v>109</v>
      </c>
      <c r="G7051" t="s">
        <v>109</v>
      </c>
      <c r="H7051" t="s">
        <v>109</v>
      </c>
      <c r="I7051" t="s">
        <v>239</v>
      </c>
      <c r="AK7051" t="s">
        <v>364</v>
      </c>
    </row>
    <row r="7052" spans="1:37">
      <c r="B7052" t="s">
        <v>70</v>
      </c>
      <c r="C7052" t="s">
        <v>92</v>
      </c>
      <c r="D7052" t="s">
        <v>110</v>
      </c>
      <c r="E7052" t="s">
        <v>127</v>
      </c>
      <c r="F7052" t="s">
        <v>161</v>
      </c>
      <c r="G7052" t="s">
        <v>187</v>
      </c>
      <c r="H7052" t="s">
        <v>218</v>
      </c>
      <c r="AK7052" t="s">
        <v>364</v>
      </c>
    </row>
    <row r="7053" spans="1:37">
      <c r="B7053" t="s">
        <v>71</v>
      </c>
      <c r="C7053" t="s">
        <v>93</v>
      </c>
      <c r="D7053" t="s">
        <v>111</v>
      </c>
      <c r="E7053" t="s">
        <v>128</v>
      </c>
      <c r="F7053" t="s">
        <v>162</v>
      </c>
      <c r="G7053" t="s">
        <v>188</v>
      </c>
      <c r="H7053" t="s">
        <v>219</v>
      </c>
      <c r="I7053" t="s">
        <v>240</v>
      </c>
      <c r="J7053" t="s">
        <v>257</v>
      </c>
      <c r="K7053" t="s">
        <v>269</v>
      </c>
      <c r="L7053" t="s">
        <v>109</v>
      </c>
      <c r="M7053" t="s">
        <v>109</v>
      </c>
      <c r="N7053" t="s">
        <v>109</v>
      </c>
      <c r="O7053" t="s">
        <v>109</v>
      </c>
      <c r="P7053" t="s">
        <v>109</v>
      </c>
      <c r="Q7053" t="s">
        <v>321</v>
      </c>
      <c r="AK7053" t="s">
        <v>364</v>
      </c>
    </row>
    <row r="7054" spans="1:37">
      <c r="A7054" t="s">
        <v>48</v>
      </c>
      <c r="B7054" t="s">
        <v>71</v>
      </c>
      <c r="C7054" t="s">
        <v>93</v>
      </c>
      <c r="D7054" t="s">
        <v>111</v>
      </c>
      <c r="E7054" t="s">
        <v>128</v>
      </c>
      <c r="F7054" t="s">
        <v>163</v>
      </c>
      <c r="G7054" t="s">
        <v>189</v>
      </c>
      <c r="H7054" t="s">
        <v>220</v>
      </c>
      <c r="I7054" t="s">
        <v>241</v>
      </c>
      <c r="J7054" t="s">
        <v>258</v>
      </c>
      <c r="K7054" t="s">
        <v>270</v>
      </c>
      <c r="AK7054" t="s">
        <v>364</v>
      </c>
    </row>
    <row r="7055" spans="1:37">
      <c r="B7055" t="s">
        <v>72</v>
      </c>
      <c r="C7055" t="s">
        <v>72</v>
      </c>
      <c r="D7055" t="s">
        <v>72</v>
      </c>
      <c r="E7055" t="s">
        <v>72</v>
      </c>
      <c r="F7055" t="s">
        <v>72</v>
      </c>
      <c r="G7055" t="s">
        <v>72</v>
      </c>
      <c r="H7055" t="s">
        <v>72</v>
      </c>
      <c r="I7055" t="s">
        <v>72</v>
      </c>
      <c r="J7055" t="s">
        <v>72</v>
      </c>
      <c r="K7055" t="s">
        <v>272</v>
      </c>
      <c r="AK7055" t="s">
        <v>364</v>
      </c>
    </row>
    <row r="7056" spans="1:37">
      <c r="A7056" t="s">
        <v>37</v>
      </c>
      <c r="B7056" t="s">
        <v>49</v>
      </c>
      <c r="C7056" t="s">
        <v>73</v>
      </c>
      <c r="D7056" t="s">
        <v>94</v>
      </c>
      <c r="E7056" t="s">
        <v>112</v>
      </c>
      <c r="F7056" t="s">
        <v>146</v>
      </c>
      <c r="G7056" t="s">
        <v>172</v>
      </c>
      <c r="H7056" t="s">
        <v>207</v>
      </c>
      <c r="I7056" t="s">
        <v>226</v>
      </c>
      <c r="J7056" t="s">
        <v>246</v>
      </c>
      <c r="K7056" t="s">
        <v>259</v>
      </c>
      <c r="AK7056" t="s">
        <v>364</v>
      </c>
    </row>
    <row r="7057" spans="1:37">
      <c r="A7057" t="s">
        <v>38</v>
      </c>
      <c r="B7057" t="s">
        <v>50</v>
      </c>
      <c r="C7057" t="s">
        <v>74</v>
      </c>
      <c r="D7057" t="s">
        <v>95</v>
      </c>
      <c r="E7057" t="s">
        <v>113</v>
      </c>
      <c r="F7057" t="s">
        <v>147</v>
      </c>
      <c r="G7057" t="s">
        <v>173</v>
      </c>
      <c r="H7057" t="s">
        <v>208</v>
      </c>
      <c r="I7057" t="s">
        <v>227</v>
      </c>
      <c r="J7057" t="s">
        <v>115</v>
      </c>
      <c r="K7057" t="s">
        <v>260</v>
      </c>
      <c r="L7057" t="s">
        <v>273</v>
      </c>
      <c r="M7057" t="s">
        <v>282</v>
      </c>
      <c r="N7057" t="s">
        <v>291</v>
      </c>
      <c r="AK7057" t="s">
        <v>364</v>
      </c>
    </row>
    <row r="7058" spans="1:37">
      <c r="B7058" t="s">
        <v>51</v>
      </c>
      <c r="C7058" t="s">
        <v>75</v>
      </c>
      <c r="D7058" t="s">
        <v>52</v>
      </c>
      <c r="E7058" t="s">
        <v>114</v>
      </c>
      <c r="F7058" t="s">
        <v>148</v>
      </c>
      <c r="G7058" t="s">
        <v>148</v>
      </c>
      <c r="H7058" t="s">
        <v>209</v>
      </c>
      <c r="I7058" t="s">
        <v>228</v>
      </c>
      <c r="J7058" t="s">
        <v>247</v>
      </c>
      <c r="K7058" t="s">
        <v>261</v>
      </c>
      <c r="L7058" t="s">
        <v>274</v>
      </c>
      <c r="M7058" t="s">
        <v>283</v>
      </c>
      <c r="N7058" t="s">
        <v>292</v>
      </c>
      <c r="O7058" t="s">
        <v>300</v>
      </c>
      <c r="AK7058" t="s">
        <v>364</v>
      </c>
    </row>
    <row r="7059" spans="1:37">
      <c r="B7059" t="s">
        <v>52</v>
      </c>
      <c r="C7059" t="s">
        <v>76</v>
      </c>
      <c r="D7059" t="s">
        <v>96</v>
      </c>
      <c r="E7059" t="s">
        <v>115</v>
      </c>
      <c r="F7059" t="s">
        <v>149</v>
      </c>
      <c r="G7059" t="s">
        <v>174</v>
      </c>
      <c r="H7059" t="s">
        <v>96</v>
      </c>
      <c r="I7059" t="s">
        <v>229</v>
      </c>
      <c r="J7059" t="s">
        <v>248</v>
      </c>
      <c r="K7059" t="s">
        <v>262</v>
      </c>
      <c r="L7059" t="s">
        <v>52</v>
      </c>
      <c r="M7059" t="s">
        <v>76</v>
      </c>
      <c r="N7059" t="s">
        <v>293</v>
      </c>
      <c r="O7059" t="s">
        <v>301</v>
      </c>
      <c r="P7059" t="s">
        <v>309</v>
      </c>
      <c r="Q7059" t="s">
        <v>315</v>
      </c>
      <c r="R7059" t="s">
        <v>228</v>
      </c>
      <c r="S7059" t="s">
        <v>328</v>
      </c>
      <c r="T7059" t="s">
        <v>149</v>
      </c>
      <c r="U7059" t="s">
        <v>337</v>
      </c>
      <c r="V7059" t="s">
        <v>341</v>
      </c>
      <c r="W7059" t="s">
        <v>345</v>
      </c>
      <c r="X7059" t="s">
        <v>350</v>
      </c>
      <c r="AK7059" t="s">
        <v>364</v>
      </c>
    </row>
    <row r="7060" spans="1:37">
      <c r="B7060" t="s">
        <v>53</v>
      </c>
      <c r="C7060" t="s">
        <v>77</v>
      </c>
      <c r="D7060" t="s">
        <v>97</v>
      </c>
      <c r="E7060" t="s">
        <v>116</v>
      </c>
      <c r="F7060" t="s">
        <v>150</v>
      </c>
      <c r="G7060" t="s">
        <v>175</v>
      </c>
      <c r="H7060" t="s">
        <v>210</v>
      </c>
      <c r="I7060" t="s">
        <v>230</v>
      </c>
      <c r="J7060" t="s">
        <v>249</v>
      </c>
      <c r="K7060" t="s">
        <v>263</v>
      </c>
      <c r="L7060" t="s">
        <v>275</v>
      </c>
      <c r="M7060" t="s">
        <v>284</v>
      </c>
      <c r="N7060" t="s">
        <v>294</v>
      </c>
      <c r="O7060" t="s">
        <v>302</v>
      </c>
      <c r="P7060" t="s">
        <v>310</v>
      </c>
      <c r="Q7060" t="s">
        <v>316</v>
      </c>
      <c r="R7060" t="s">
        <v>322</v>
      </c>
      <c r="S7060" t="s">
        <v>329</v>
      </c>
      <c r="AK7060" t="s">
        <v>364</v>
      </c>
    </row>
    <row r="7061" spans="1:37">
      <c r="A7061" t="s">
        <v>39</v>
      </c>
      <c r="B7061" t="s">
        <v>54</v>
      </c>
      <c r="C7061" t="s">
        <v>54</v>
      </c>
      <c r="D7061" t="s">
        <v>54</v>
      </c>
      <c r="E7061" t="s">
        <v>54</v>
      </c>
      <c r="F7061" t="s">
        <v>54</v>
      </c>
      <c r="G7061" t="s">
        <v>54</v>
      </c>
      <c r="H7061" t="s">
        <v>54</v>
      </c>
      <c r="I7061" t="s">
        <v>54</v>
      </c>
      <c r="J7061" t="s">
        <v>54</v>
      </c>
      <c r="K7061" t="s">
        <v>54</v>
      </c>
      <c r="L7061" t="s">
        <v>54</v>
      </c>
      <c r="M7061" t="s">
        <v>54</v>
      </c>
      <c r="N7061" t="s">
        <v>54</v>
      </c>
      <c r="O7061" t="s">
        <v>54</v>
      </c>
      <c r="P7061" t="s">
        <v>54</v>
      </c>
      <c r="Q7061" t="s">
        <v>54</v>
      </c>
      <c r="R7061" t="s">
        <v>323</v>
      </c>
      <c r="S7061" t="s">
        <v>330</v>
      </c>
      <c r="AK7061" t="s">
        <v>364</v>
      </c>
    </row>
    <row r="7062" spans="1:37">
      <c r="B7062" t="s">
        <v>55</v>
      </c>
      <c r="C7062" t="s">
        <v>78</v>
      </c>
      <c r="D7062" t="s">
        <v>55</v>
      </c>
      <c r="E7062" t="s">
        <v>78</v>
      </c>
      <c r="F7062" t="s">
        <v>55</v>
      </c>
      <c r="G7062" t="s">
        <v>78</v>
      </c>
      <c r="H7062" t="s">
        <v>55</v>
      </c>
      <c r="I7062" t="s">
        <v>78</v>
      </c>
      <c r="J7062" t="s">
        <v>55</v>
      </c>
      <c r="K7062" t="s">
        <v>78</v>
      </c>
      <c r="L7062" t="s">
        <v>55</v>
      </c>
      <c r="M7062" t="s">
        <v>78</v>
      </c>
      <c r="N7062" t="s">
        <v>55</v>
      </c>
      <c r="O7062" t="s">
        <v>78</v>
      </c>
      <c r="P7062" t="s">
        <v>55</v>
      </c>
      <c r="Q7062" t="s">
        <v>78</v>
      </c>
      <c r="R7062" t="s">
        <v>55</v>
      </c>
      <c r="S7062" t="s">
        <v>78</v>
      </c>
      <c r="T7062" t="s">
        <v>55</v>
      </c>
      <c r="U7062" t="s">
        <v>78</v>
      </c>
      <c r="V7062" t="s">
        <v>55</v>
      </c>
      <c r="W7062" t="s">
        <v>78</v>
      </c>
      <c r="X7062" t="s">
        <v>55</v>
      </c>
      <c r="Y7062" t="s">
        <v>78</v>
      </c>
      <c r="Z7062" t="s">
        <v>55</v>
      </c>
      <c r="AA7062" t="s">
        <v>78</v>
      </c>
      <c r="AB7062" t="s">
        <v>55</v>
      </c>
      <c r="AC7062" t="s">
        <v>78</v>
      </c>
      <c r="AD7062" t="s">
        <v>55</v>
      </c>
      <c r="AE7062" t="s">
        <v>78</v>
      </c>
      <c r="AF7062" t="s">
        <v>55</v>
      </c>
      <c r="AG7062" t="s">
        <v>78</v>
      </c>
      <c r="AH7062" t="s">
        <v>55</v>
      </c>
      <c r="AI7062" t="s">
        <v>78</v>
      </c>
      <c r="AK7062" t="s">
        <v>364</v>
      </c>
    </row>
    <row r="7063" spans="1:37">
      <c r="B7063" t="s">
        <v>56</v>
      </c>
      <c r="C7063" t="s">
        <v>56</v>
      </c>
      <c r="D7063" t="s">
        <v>56</v>
      </c>
      <c r="E7063" t="s">
        <v>56</v>
      </c>
      <c r="F7063" t="s">
        <v>56</v>
      </c>
      <c r="G7063" t="s">
        <v>176</v>
      </c>
      <c r="H7063" t="s">
        <v>211</v>
      </c>
      <c r="I7063" t="s">
        <v>231</v>
      </c>
      <c r="J7063" t="s">
        <v>250</v>
      </c>
      <c r="K7063" t="s">
        <v>264</v>
      </c>
      <c r="L7063" t="s">
        <v>276</v>
      </c>
      <c r="M7063" t="s">
        <v>285</v>
      </c>
      <c r="N7063" t="s">
        <v>295</v>
      </c>
      <c r="O7063" t="s">
        <v>303</v>
      </c>
      <c r="P7063" t="s">
        <v>56</v>
      </c>
      <c r="Q7063" t="s">
        <v>317</v>
      </c>
      <c r="R7063" t="s">
        <v>324</v>
      </c>
      <c r="S7063" t="s">
        <v>331</v>
      </c>
      <c r="T7063" t="s">
        <v>334</v>
      </c>
      <c r="U7063" t="s">
        <v>338</v>
      </c>
      <c r="V7063" t="s">
        <v>342</v>
      </c>
      <c r="W7063" t="s">
        <v>346</v>
      </c>
      <c r="X7063" t="s">
        <v>351</v>
      </c>
      <c r="AK7063" t="s">
        <v>364</v>
      </c>
    </row>
    <row r="7064" spans="1:37">
      <c r="B7064" t="s">
        <v>57</v>
      </c>
      <c r="C7064" t="s">
        <v>79</v>
      </c>
      <c r="D7064" t="s">
        <v>98</v>
      </c>
      <c r="E7064" t="s">
        <v>117</v>
      </c>
      <c r="F7064" t="s">
        <v>151</v>
      </c>
      <c r="G7064" t="s">
        <v>177</v>
      </c>
      <c r="H7064" t="s">
        <v>212</v>
      </c>
      <c r="I7064" t="s">
        <v>232</v>
      </c>
      <c r="J7064" t="s">
        <v>251</v>
      </c>
      <c r="K7064" t="s">
        <v>265</v>
      </c>
      <c r="L7064" t="s">
        <v>277</v>
      </c>
      <c r="M7064" t="s">
        <v>286</v>
      </c>
      <c r="N7064" t="s">
        <v>296</v>
      </c>
      <c r="O7064" t="s">
        <v>304</v>
      </c>
      <c r="P7064" t="s">
        <v>311</v>
      </c>
      <c r="Q7064" t="s">
        <v>318</v>
      </c>
      <c r="R7064" t="s">
        <v>185</v>
      </c>
      <c r="S7064" t="s">
        <v>159</v>
      </c>
      <c r="T7064" t="s">
        <v>185</v>
      </c>
      <c r="U7064" t="s">
        <v>339</v>
      </c>
      <c r="V7064" t="s">
        <v>72</v>
      </c>
      <c r="W7064" t="s">
        <v>347</v>
      </c>
      <c r="X7064" t="s">
        <v>72</v>
      </c>
      <c r="Y7064" t="s">
        <v>96</v>
      </c>
      <c r="AK7064" t="s">
        <v>364</v>
      </c>
    </row>
    <row r="7065" spans="1:37">
      <c r="B7065" t="s">
        <v>58</v>
      </c>
      <c r="C7065" t="s">
        <v>80</v>
      </c>
      <c r="D7065" t="s">
        <v>99</v>
      </c>
      <c r="E7065" t="s">
        <v>118</v>
      </c>
      <c r="F7065" t="s">
        <v>152</v>
      </c>
      <c r="G7065" t="s">
        <v>178</v>
      </c>
      <c r="H7065" t="s">
        <v>213</v>
      </c>
      <c r="I7065" t="s">
        <v>233</v>
      </c>
      <c r="J7065" t="s">
        <v>252</v>
      </c>
      <c r="K7065" t="s">
        <v>266</v>
      </c>
      <c r="L7065" t="s">
        <v>278</v>
      </c>
      <c r="M7065" t="s">
        <v>287</v>
      </c>
      <c r="N7065" t="s">
        <v>297</v>
      </c>
      <c r="O7065" t="s">
        <v>305</v>
      </c>
      <c r="P7065" t="s">
        <v>312</v>
      </c>
      <c r="Q7065" t="s">
        <v>319</v>
      </c>
      <c r="R7065">
        <f>&gt;10       ветра      2.1     22  12</f>
        <v>0</v>
      </c>
      <c r="AK7065" t="s">
        <v>364</v>
      </c>
    </row>
    <row r="7066" spans="1:37">
      <c r="A7066" t="s">
        <v>40</v>
      </c>
      <c r="B7066" t="s">
        <v>59</v>
      </c>
      <c r="C7066" t="s">
        <v>81</v>
      </c>
      <c r="D7066" t="s">
        <v>100</v>
      </c>
      <c r="E7066" t="s">
        <v>119</v>
      </c>
      <c r="F7066" t="s">
        <v>153</v>
      </c>
      <c r="G7066" t="s">
        <v>179</v>
      </c>
      <c r="H7066" t="s">
        <v>214</v>
      </c>
      <c r="I7066" t="s">
        <v>234</v>
      </c>
      <c r="AK7066" t="s">
        <v>364</v>
      </c>
    </row>
    <row r="7067" spans="1:37">
      <c r="A7067" t="s">
        <v>40</v>
      </c>
      <c r="B7067" t="s">
        <v>60</v>
      </c>
      <c r="C7067" t="s">
        <v>82</v>
      </c>
      <c r="D7067" t="s">
        <v>101</v>
      </c>
      <c r="E7067" t="s">
        <v>120</v>
      </c>
      <c r="F7067" t="s">
        <v>154</v>
      </c>
      <c r="G7067" t="s">
        <v>180</v>
      </c>
      <c r="H7067" t="s">
        <v>215</v>
      </c>
      <c r="I7067" t="s">
        <v>235</v>
      </c>
      <c r="J7067" t="s">
        <v>253</v>
      </c>
      <c r="K7067" t="s">
        <v>267</v>
      </c>
      <c r="L7067" t="s">
        <v>279</v>
      </c>
      <c r="M7067" t="s">
        <v>288</v>
      </c>
      <c r="N7067" t="s">
        <v>100</v>
      </c>
      <c r="O7067" t="s">
        <v>306</v>
      </c>
      <c r="P7067" t="s">
        <v>313</v>
      </c>
      <c r="Q7067" t="s">
        <v>320</v>
      </c>
      <c r="R7067" t="s">
        <v>325</v>
      </c>
      <c r="S7067" t="s">
        <v>332</v>
      </c>
      <c r="T7067" t="s">
        <v>119</v>
      </c>
      <c r="U7067" t="s">
        <v>234</v>
      </c>
      <c r="V7067" t="s">
        <v>343</v>
      </c>
      <c r="W7067" t="s">
        <v>348</v>
      </c>
      <c r="X7067" t="s">
        <v>352</v>
      </c>
      <c r="Y7067" t="s">
        <v>354</v>
      </c>
      <c r="AK7067" t="s">
        <v>364</v>
      </c>
    </row>
    <row r="7068" spans="1:37">
      <c r="A7068" t="s">
        <v>41</v>
      </c>
      <c r="B7068" t="s">
        <v>61</v>
      </c>
      <c r="C7068" t="s">
        <v>83</v>
      </c>
      <c r="D7068" t="s">
        <v>102</v>
      </c>
      <c r="E7068" t="s">
        <v>121</v>
      </c>
      <c r="F7068" t="s">
        <v>155</v>
      </c>
      <c r="G7068" t="s">
        <v>181</v>
      </c>
      <c r="H7068" t="s">
        <v>216</v>
      </c>
      <c r="I7068" t="s">
        <v>236</v>
      </c>
      <c r="AK7068" t="s">
        <v>364</v>
      </c>
    </row>
    <row r="7069" spans="1:37">
      <c r="A7069" t="s">
        <v>42</v>
      </c>
      <c r="B7069" t="s">
        <v>62</v>
      </c>
      <c r="C7069" t="s">
        <v>84</v>
      </c>
      <c r="D7069" t="s">
        <v>103</v>
      </c>
      <c r="E7069" t="s">
        <v>122</v>
      </c>
      <c r="F7069" t="s">
        <v>156</v>
      </c>
      <c r="G7069" t="s">
        <v>182</v>
      </c>
      <c r="H7069" t="s">
        <v>83</v>
      </c>
      <c r="I7069" t="s">
        <v>237</v>
      </c>
      <c r="J7069" t="s">
        <v>254</v>
      </c>
      <c r="K7069" t="s">
        <v>268</v>
      </c>
      <c r="L7069" t="s">
        <v>280</v>
      </c>
      <c r="M7069" t="s">
        <v>289</v>
      </c>
      <c r="N7069" t="s">
        <v>298</v>
      </c>
      <c r="O7069" t="s">
        <v>307</v>
      </c>
      <c r="P7069" t="s">
        <v>314</v>
      </c>
      <c r="Q7069" t="s">
        <v>216</v>
      </c>
      <c r="R7069" t="s">
        <v>326</v>
      </c>
      <c r="S7069" t="s">
        <v>333</v>
      </c>
      <c r="T7069" t="s">
        <v>335</v>
      </c>
      <c r="U7069" t="s">
        <v>340</v>
      </c>
      <c r="V7069" t="s">
        <v>344</v>
      </c>
      <c r="W7069" t="s">
        <v>349</v>
      </c>
      <c r="AK7069" t="s">
        <v>364</v>
      </c>
    </row>
    <row r="7070" spans="1:37">
      <c r="A7070" t="s">
        <v>43</v>
      </c>
      <c r="B7070" t="s">
        <v>63</v>
      </c>
      <c r="C7070" t="s">
        <v>85</v>
      </c>
      <c r="D7070" t="s">
        <v>104</v>
      </c>
      <c r="E7070" t="s">
        <v>123</v>
      </c>
      <c r="F7070" t="s">
        <v>157</v>
      </c>
      <c r="G7070" t="s">
        <v>183</v>
      </c>
      <c r="AK7070" t="s">
        <v>364</v>
      </c>
    </row>
    <row r="7071" spans="1:37">
      <c r="A7071" t="s">
        <v>44</v>
      </c>
      <c r="B7071" t="s">
        <v>64</v>
      </c>
      <c r="C7071" t="s">
        <v>86</v>
      </c>
      <c r="D7071" t="s">
        <v>105</v>
      </c>
      <c r="E7071" t="s">
        <v>124</v>
      </c>
      <c r="F7071" t="s">
        <v>158</v>
      </c>
      <c r="G7071" t="s">
        <v>184</v>
      </c>
      <c r="AK7071" t="s">
        <v>364</v>
      </c>
    </row>
    <row r="7072" spans="1:37">
      <c r="A7072" t="s">
        <v>45</v>
      </c>
      <c r="B7072" t="s">
        <v>65</v>
      </c>
      <c r="C7072" t="s">
        <v>87</v>
      </c>
      <c r="D7072" t="s">
        <v>106</v>
      </c>
      <c r="E7072" t="s">
        <v>125</v>
      </c>
      <c r="F7072" t="s">
        <v>159</v>
      </c>
      <c r="G7072" t="s">
        <v>185</v>
      </c>
      <c r="H7072" t="s">
        <v>159</v>
      </c>
      <c r="I7072" t="s">
        <v>185</v>
      </c>
      <c r="J7072" t="s">
        <v>255</v>
      </c>
      <c r="AK7072" t="s">
        <v>364</v>
      </c>
    </row>
    <row r="7073" spans="1:37">
      <c r="A7073" t="s">
        <v>46</v>
      </c>
      <c r="B7073" t="s">
        <v>66</v>
      </c>
      <c r="C7073" t="s">
        <v>88</v>
      </c>
      <c r="D7073" t="s">
        <v>76</v>
      </c>
      <c r="E7073" t="s">
        <v>126</v>
      </c>
      <c r="F7073" t="s">
        <v>160</v>
      </c>
      <c r="G7073" t="s">
        <v>186</v>
      </c>
      <c r="H7073" t="s">
        <v>217</v>
      </c>
      <c r="I7073" t="s">
        <v>238</v>
      </c>
      <c r="J7073" t="s">
        <v>256</v>
      </c>
      <c r="K7073" t="s">
        <v>265</v>
      </c>
      <c r="L7073" t="s">
        <v>281</v>
      </c>
      <c r="M7073" t="s">
        <v>290</v>
      </c>
      <c r="N7073" t="s">
        <v>299</v>
      </c>
      <c r="O7073" t="s">
        <v>308</v>
      </c>
      <c r="P7073" t="s">
        <v>228</v>
      </c>
      <c r="Q7073" t="s">
        <v>72</v>
      </c>
      <c r="R7073" t="s">
        <v>327</v>
      </c>
      <c r="S7073" t="s">
        <v>327</v>
      </c>
      <c r="T7073" t="s">
        <v>336</v>
      </c>
      <c r="U7073" t="s">
        <v>336</v>
      </c>
      <c r="V7073" t="s">
        <v>336</v>
      </c>
      <c r="W7073" t="s">
        <v>336</v>
      </c>
      <c r="X7073" t="s">
        <v>353</v>
      </c>
      <c r="AK7073" t="s">
        <v>364</v>
      </c>
    </row>
    <row r="7074" spans="1:37">
      <c r="B7074" t="s">
        <v>67</v>
      </c>
      <c r="C7074" t="s">
        <v>89</v>
      </c>
      <c r="D7074" t="s">
        <v>107</v>
      </c>
      <c r="AK7074" t="s">
        <v>364</v>
      </c>
    </row>
    <row r="7075" spans="1:37">
      <c r="B7075" t="s">
        <v>68</v>
      </c>
      <c r="C7075" t="s">
        <v>90</v>
      </c>
      <c r="D7075" t="s">
        <v>108</v>
      </c>
      <c r="AK7075" t="s">
        <v>364</v>
      </c>
    </row>
    <row r="7076" spans="1:37">
      <c r="A7076" t="s">
        <v>47</v>
      </c>
      <c r="B7076" t="s">
        <v>69</v>
      </c>
      <c r="C7076" t="s">
        <v>91</v>
      </c>
      <c r="D7076" t="s">
        <v>109</v>
      </c>
      <c r="E7076" t="s">
        <v>109</v>
      </c>
      <c r="F7076" t="s">
        <v>109</v>
      </c>
      <c r="G7076" t="s">
        <v>109</v>
      </c>
      <c r="H7076" t="s">
        <v>109</v>
      </c>
      <c r="I7076" t="s">
        <v>239</v>
      </c>
      <c r="AK7076" t="s">
        <v>364</v>
      </c>
    </row>
    <row r="7077" spans="1:37">
      <c r="B7077" t="s">
        <v>70</v>
      </c>
      <c r="C7077" t="s">
        <v>92</v>
      </c>
      <c r="D7077" t="s">
        <v>110</v>
      </c>
      <c r="E7077" t="s">
        <v>127</v>
      </c>
      <c r="F7077" t="s">
        <v>161</v>
      </c>
      <c r="G7077" t="s">
        <v>187</v>
      </c>
      <c r="H7077" t="s">
        <v>218</v>
      </c>
      <c r="AK7077" t="s">
        <v>364</v>
      </c>
    </row>
    <row r="7078" spans="1:37">
      <c r="B7078" t="s">
        <v>71</v>
      </c>
      <c r="C7078" t="s">
        <v>93</v>
      </c>
      <c r="D7078" t="s">
        <v>111</v>
      </c>
      <c r="E7078" t="s">
        <v>128</v>
      </c>
      <c r="F7078" t="s">
        <v>162</v>
      </c>
      <c r="G7078" t="s">
        <v>188</v>
      </c>
      <c r="H7078" t="s">
        <v>219</v>
      </c>
      <c r="I7078" t="s">
        <v>240</v>
      </c>
      <c r="J7078" t="s">
        <v>257</v>
      </c>
      <c r="K7078" t="s">
        <v>269</v>
      </c>
      <c r="L7078" t="s">
        <v>109</v>
      </c>
      <c r="M7078" t="s">
        <v>109</v>
      </c>
      <c r="N7078" t="s">
        <v>109</v>
      </c>
      <c r="O7078" t="s">
        <v>109</v>
      </c>
      <c r="P7078" t="s">
        <v>109</v>
      </c>
      <c r="Q7078" t="s">
        <v>321</v>
      </c>
      <c r="AK7078" t="s">
        <v>364</v>
      </c>
    </row>
    <row r="7079" spans="1:37">
      <c r="A7079" t="s">
        <v>48</v>
      </c>
      <c r="B7079" t="s">
        <v>71</v>
      </c>
      <c r="C7079" t="s">
        <v>93</v>
      </c>
      <c r="D7079" t="s">
        <v>111</v>
      </c>
      <c r="E7079" t="s">
        <v>128</v>
      </c>
      <c r="F7079" t="s">
        <v>163</v>
      </c>
      <c r="G7079" t="s">
        <v>189</v>
      </c>
      <c r="H7079" t="s">
        <v>220</v>
      </c>
      <c r="I7079" t="s">
        <v>241</v>
      </c>
      <c r="J7079" t="s">
        <v>258</v>
      </c>
      <c r="K7079" t="s">
        <v>270</v>
      </c>
      <c r="AK7079" t="s">
        <v>364</v>
      </c>
    </row>
    <row r="7080" spans="1:37">
      <c r="B7080" t="s">
        <v>72</v>
      </c>
      <c r="C7080" t="s">
        <v>72</v>
      </c>
      <c r="D7080" t="s">
        <v>72</v>
      </c>
      <c r="E7080" t="s">
        <v>139</v>
      </c>
      <c r="F7080" t="s">
        <v>139</v>
      </c>
      <c r="G7080" t="s">
        <v>192</v>
      </c>
      <c r="H7080" t="s">
        <v>192</v>
      </c>
      <c r="I7080" t="s">
        <v>192</v>
      </c>
      <c r="J7080" t="s">
        <v>192</v>
      </c>
      <c r="K7080" t="s">
        <v>271</v>
      </c>
      <c r="AK7080" t="s">
        <v>364</v>
      </c>
    </row>
    <row r="7081" spans="1:37">
      <c r="A7081" t="s">
        <v>37</v>
      </c>
      <c r="B7081" t="s">
        <v>49</v>
      </c>
      <c r="C7081" t="s">
        <v>73</v>
      </c>
      <c r="D7081" t="s">
        <v>94</v>
      </c>
      <c r="E7081" t="s">
        <v>112</v>
      </c>
      <c r="F7081" t="s">
        <v>146</v>
      </c>
      <c r="G7081" t="s">
        <v>172</v>
      </c>
      <c r="H7081" t="s">
        <v>207</v>
      </c>
      <c r="I7081" t="s">
        <v>226</v>
      </c>
      <c r="J7081" t="s">
        <v>246</v>
      </c>
      <c r="K7081" t="s">
        <v>259</v>
      </c>
      <c r="AK7081" t="s">
        <v>364</v>
      </c>
    </row>
    <row r="7082" spans="1:37">
      <c r="A7082" t="s">
        <v>38</v>
      </c>
      <c r="B7082" t="s">
        <v>50</v>
      </c>
      <c r="C7082" t="s">
        <v>74</v>
      </c>
      <c r="D7082" t="s">
        <v>95</v>
      </c>
      <c r="E7082" t="s">
        <v>113</v>
      </c>
      <c r="F7082" t="s">
        <v>147</v>
      </c>
      <c r="G7082" t="s">
        <v>173</v>
      </c>
      <c r="H7082" t="s">
        <v>208</v>
      </c>
      <c r="I7082" t="s">
        <v>227</v>
      </c>
      <c r="J7082" t="s">
        <v>115</v>
      </c>
      <c r="K7082" t="s">
        <v>260</v>
      </c>
      <c r="L7082" t="s">
        <v>273</v>
      </c>
      <c r="M7082" t="s">
        <v>282</v>
      </c>
      <c r="N7082" t="s">
        <v>291</v>
      </c>
      <c r="AK7082" t="s">
        <v>364</v>
      </c>
    </row>
    <row r="7083" spans="1:37">
      <c r="B7083" t="s">
        <v>51</v>
      </c>
      <c r="C7083" t="s">
        <v>75</v>
      </c>
      <c r="D7083" t="s">
        <v>52</v>
      </c>
      <c r="E7083" t="s">
        <v>114</v>
      </c>
      <c r="F7083" t="s">
        <v>148</v>
      </c>
      <c r="G7083" t="s">
        <v>148</v>
      </c>
      <c r="H7083" t="s">
        <v>209</v>
      </c>
      <c r="I7083" t="s">
        <v>228</v>
      </c>
      <c r="J7083" t="s">
        <v>247</v>
      </c>
      <c r="K7083" t="s">
        <v>261</v>
      </c>
      <c r="L7083" t="s">
        <v>274</v>
      </c>
      <c r="M7083" t="s">
        <v>283</v>
      </c>
      <c r="N7083" t="s">
        <v>292</v>
      </c>
      <c r="O7083" t="s">
        <v>300</v>
      </c>
      <c r="AK7083" t="s">
        <v>364</v>
      </c>
    </row>
    <row r="7084" spans="1:37">
      <c r="B7084" t="s">
        <v>52</v>
      </c>
      <c r="C7084" t="s">
        <v>76</v>
      </c>
      <c r="D7084" t="s">
        <v>96</v>
      </c>
      <c r="E7084" t="s">
        <v>115</v>
      </c>
      <c r="F7084" t="s">
        <v>149</v>
      </c>
      <c r="G7084" t="s">
        <v>174</v>
      </c>
      <c r="H7084" t="s">
        <v>96</v>
      </c>
      <c r="I7084" t="s">
        <v>229</v>
      </c>
      <c r="J7084" t="s">
        <v>248</v>
      </c>
      <c r="K7084" t="s">
        <v>262</v>
      </c>
      <c r="L7084" t="s">
        <v>52</v>
      </c>
      <c r="M7084" t="s">
        <v>76</v>
      </c>
      <c r="N7084" t="s">
        <v>293</v>
      </c>
      <c r="O7084" t="s">
        <v>301</v>
      </c>
      <c r="P7084" t="s">
        <v>309</v>
      </c>
      <c r="Q7084" t="s">
        <v>315</v>
      </c>
      <c r="R7084" t="s">
        <v>228</v>
      </c>
      <c r="S7084" t="s">
        <v>328</v>
      </c>
      <c r="T7084" t="s">
        <v>149</v>
      </c>
      <c r="U7084" t="s">
        <v>337</v>
      </c>
      <c r="V7084" t="s">
        <v>341</v>
      </c>
      <c r="W7084" t="s">
        <v>345</v>
      </c>
      <c r="X7084" t="s">
        <v>350</v>
      </c>
      <c r="AK7084" t="s">
        <v>364</v>
      </c>
    </row>
    <row r="7085" spans="1:37">
      <c r="B7085" t="s">
        <v>53</v>
      </c>
      <c r="C7085" t="s">
        <v>77</v>
      </c>
      <c r="D7085" t="s">
        <v>97</v>
      </c>
      <c r="E7085" t="s">
        <v>116</v>
      </c>
      <c r="F7085" t="s">
        <v>150</v>
      </c>
      <c r="G7085" t="s">
        <v>175</v>
      </c>
      <c r="H7085" t="s">
        <v>210</v>
      </c>
      <c r="I7085" t="s">
        <v>230</v>
      </c>
      <c r="J7085" t="s">
        <v>249</v>
      </c>
      <c r="K7085" t="s">
        <v>263</v>
      </c>
      <c r="L7085" t="s">
        <v>275</v>
      </c>
      <c r="M7085" t="s">
        <v>284</v>
      </c>
      <c r="N7085" t="s">
        <v>294</v>
      </c>
      <c r="O7085" t="s">
        <v>302</v>
      </c>
      <c r="P7085" t="s">
        <v>310</v>
      </c>
      <c r="Q7085" t="s">
        <v>316</v>
      </c>
      <c r="R7085" t="s">
        <v>322</v>
      </c>
      <c r="S7085" t="s">
        <v>329</v>
      </c>
      <c r="AK7085" t="s">
        <v>364</v>
      </c>
    </row>
    <row r="7086" spans="1:37">
      <c r="A7086" t="s">
        <v>39</v>
      </c>
      <c r="B7086" t="s">
        <v>54</v>
      </c>
      <c r="C7086" t="s">
        <v>54</v>
      </c>
      <c r="D7086" t="s">
        <v>54</v>
      </c>
      <c r="E7086" t="s">
        <v>54</v>
      </c>
      <c r="F7086" t="s">
        <v>54</v>
      </c>
      <c r="G7086" t="s">
        <v>54</v>
      </c>
      <c r="H7086" t="s">
        <v>54</v>
      </c>
      <c r="I7086" t="s">
        <v>54</v>
      </c>
      <c r="J7086" t="s">
        <v>54</v>
      </c>
      <c r="K7086" t="s">
        <v>54</v>
      </c>
      <c r="L7086" t="s">
        <v>54</v>
      </c>
      <c r="M7086" t="s">
        <v>54</v>
      </c>
      <c r="N7086" t="s">
        <v>54</v>
      </c>
      <c r="O7086" t="s">
        <v>54</v>
      </c>
      <c r="P7086" t="s">
        <v>54</v>
      </c>
      <c r="Q7086" t="s">
        <v>54</v>
      </c>
      <c r="R7086" t="s">
        <v>323</v>
      </c>
      <c r="S7086" t="s">
        <v>330</v>
      </c>
      <c r="AK7086" t="s">
        <v>364</v>
      </c>
    </row>
    <row r="7087" spans="1:37">
      <c r="B7087" t="s">
        <v>55</v>
      </c>
      <c r="C7087" t="s">
        <v>78</v>
      </c>
      <c r="D7087" t="s">
        <v>55</v>
      </c>
      <c r="E7087" t="s">
        <v>78</v>
      </c>
      <c r="F7087" t="s">
        <v>55</v>
      </c>
      <c r="G7087" t="s">
        <v>78</v>
      </c>
      <c r="H7087" t="s">
        <v>55</v>
      </c>
      <c r="I7087" t="s">
        <v>78</v>
      </c>
      <c r="J7087" t="s">
        <v>55</v>
      </c>
      <c r="K7087" t="s">
        <v>78</v>
      </c>
      <c r="L7087" t="s">
        <v>55</v>
      </c>
      <c r="M7087" t="s">
        <v>78</v>
      </c>
      <c r="N7087" t="s">
        <v>55</v>
      </c>
      <c r="O7087" t="s">
        <v>78</v>
      </c>
      <c r="P7087" t="s">
        <v>55</v>
      </c>
      <c r="Q7087" t="s">
        <v>78</v>
      </c>
      <c r="R7087" t="s">
        <v>55</v>
      </c>
      <c r="S7087" t="s">
        <v>78</v>
      </c>
      <c r="T7087" t="s">
        <v>55</v>
      </c>
      <c r="U7087" t="s">
        <v>78</v>
      </c>
      <c r="V7087" t="s">
        <v>55</v>
      </c>
      <c r="W7087" t="s">
        <v>78</v>
      </c>
      <c r="X7087" t="s">
        <v>55</v>
      </c>
      <c r="Y7087" t="s">
        <v>78</v>
      </c>
      <c r="Z7087" t="s">
        <v>55</v>
      </c>
      <c r="AA7087" t="s">
        <v>78</v>
      </c>
      <c r="AB7087" t="s">
        <v>55</v>
      </c>
      <c r="AC7087" t="s">
        <v>78</v>
      </c>
      <c r="AD7087" t="s">
        <v>55</v>
      </c>
      <c r="AE7087" t="s">
        <v>78</v>
      </c>
      <c r="AF7087" t="s">
        <v>55</v>
      </c>
      <c r="AG7087" t="s">
        <v>78</v>
      </c>
      <c r="AH7087" t="s">
        <v>55</v>
      </c>
      <c r="AI7087" t="s">
        <v>78</v>
      </c>
      <c r="AK7087" t="s">
        <v>364</v>
      </c>
    </row>
    <row r="7088" spans="1:37">
      <c r="B7088" t="s">
        <v>56</v>
      </c>
      <c r="C7088" t="s">
        <v>56</v>
      </c>
      <c r="D7088" t="s">
        <v>56</v>
      </c>
      <c r="E7088" t="s">
        <v>56</v>
      </c>
      <c r="F7088" t="s">
        <v>56</v>
      </c>
      <c r="G7088" t="s">
        <v>176</v>
      </c>
      <c r="H7088" t="s">
        <v>211</v>
      </c>
      <c r="I7088" t="s">
        <v>231</v>
      </c>
      <c r="J7088" t="s">
        <v>250</v>
      </c>
      <c r="K7088" t="s">
        <v>264</v>
      </c>
      <c r="L7088" t="s">
        <v>276</v>
      </c>
      <c r="M7088" t="s">
        <v>285</v>
      </c>
      <c r="N7088" t="s">
        <v>295</v>
      </c>
      <c r="O7088" t="s">
        <v>303</v>
      </c>
      <c r="P7088" t="s">
        <v>56</v>
      </c>
      <c r="Q7088" t="s">
        <v>317</v>
      </c>
      <c r="R7088" t="s">
        <v>324</v>
      </c>
      <c r="S7088" t="s">
        <v>331</v>
      </c>
      <c r="T7088" t="s">
        <v>334</v>
      </c>
      <c r="U7088" t="s">
        <v>338</v>
      </c>
      <c r="V7088" t="s">
        <v>342</v>
      </c>
      <c r="W7088" t="s">
        <v>346</v>
      </c>
      <c r="X7088" t="s">
        <v>351</v>
      </c>
      <c r="AK7088" t="s">
        <v>364</v>
      </c>
    </row>
    <row r="7089" spans="1:37">
      <c r="B7089" t="s">
        <v>57</v>
      </c>
      <c r="C7089" t="s">
        <v>79</v>
      </c>
      <c r="D7089" t="s">
        <v>98</v>
      </c>
      <c r="E7089" t="s">
        <v>117</v>
      </c>
      <c r="F7089" t="s">
        <v>151</v>
      </c>
      <c r="G7089" t="s">
        <v>177</v>
      </c>
      <c r="H7089" t="s">
        <v>212</v>
      </c>
      <c r="I7089" t="s">
        <v>232</v>
      </c>
      <c r="J7089" t="s">
        <v>251</v>
      </c>
      <c r="K7089" t="s">
        <v>265</v>
      </c>
      <c r="L7089" t="s">
        <v>277</v>
      </c>
      <c r="M7089" t="s">
        <v>286</v>
      </c>
      <c r="N7089" t="s">
        <v>296</v>
      </c>
      <c r="O7089" t="s">
        <v>304</v>
      </c>
      <c r="P7089" t="s">
        <v>311</v>
      </c>
      <c r="Q7089" t="s">
        <v>318</v>
      </c>
      <c r="R7089" t="s">
        <v>185</v>
      </c>
      <c r="S7089" t="s">
        <v>159</v>
      </c>
      <c r="T7089" t="s">
        <v>185</v>
      </c>
      <c r="U7089" t="s">
        <v>339</v>
      </c>
      <c r="V7089" t="s">
        <v>72</v>
      </c>
      <c r="W7089" t="s">
        <v>347</v>
      </c>
      <c r="X7089" t="s">
        <v>72</v>
      </c>
      <c r="Y7089" t="s">
        <v>96</v>
      </c>
      <c r="AK7089" t="s">
        <v>364</v>
      </c>
    </row>
    <row r="7090" spans="1:37">
      <c r="B7090" t="s">
        <v>58</v>
      </c>
      <c r="C7090" t="s">
        <v>80</v>
      </c>
      <c r="D7090" t="s">
        <v>99</v>
      </c>
      <c r="E7090" t="s">
        <v>118</v>
      </c>
      <c r="F7090" t="s">
        <v>152</v>
      </c>
      <c r="G7090" t="s">
        <v>178</v>
      </c>
      <c r="H7090" t="s">
        <v>213</v>
      </c>
      <c r="I7090" t="s">
        <v>233</v>
      </c>
      <c r="J7090" t="s">
        <v>252</v>
      </c>
      <c r="K7090" t="s">
        <v>266</v>
      </c>
      <c r="L7090" t="s">
        <v>278</v>
      </c>
      <c r="M7090" t="s">
        <v>287</v>
      </c>
      <c r="N7090" t="s">
        <v>297</v>
      </c>
      <c r="O7090" t="s">
        <v>305</v>
      </c>
      <c r="P7090" t="s">
        <v>312</v>
      </c>
      <c r="Q7090" t="s">
        <v>319</v>
      </c>
      <c r="R7090">
        <f>&gt;10       ветра      3.3     21  12</f>
        <v>0</v>
      </c>
      <c r="AK7090" t="s">
        <v>364</v>
      </c>
    </row>
    <row r="7091" spans="1:37">
      <c r="A7091" t="s">
        <v>40</v>
      </c>
      <c r="B7091" t="s">
        <v>59</v>
      </c>
      <c r="C7091" t="s">
        <v>81</v>
      </c>
      <c r="D7091" t="s">
        <v>100</v>
      </c>
      <c r="E7091" t="s">
        <v>119</v>
      </c>
      <c r="F7091" t="s">
        <v>153</v>
      </c>
      <c r="G7091" t="s">
        <v>179</v>
      </c>
      <c r="H7091" t="s">
        <v>214</v>
      </c>
      <c r="I7091" t="s">
        <v>234</v>
      </c>
      <c r="AK7091" t="s">
        <v>364</v>
      </c>
    </row>
    <row r="7092" spans="1:37">
      <c r="A7092" t="s">
        <v>40</v>
      </c>
      <c r="B7092" t="s">
        <v>60</v>
      </c>
      <c r="C7092" t="s">
        <v>82</v>
      </c>
      <c r="D7092" t="s">
        <v>101</v>
      </c>
      <c r="E7092" t="s">
        <v>120</v>
      </c>
      <c r="F7092" t="s">
        <v>154</v>
      </c>
      <c r="G7092" t="s">
        <v>180</v>
      </c>
      <c r="H7092" t="s">
        <v>215</v>
      </c>
      <c r="I7092" t="s">
        <v>235</v>
      </c>
      <c r="J7092" t="s">
        <v>253</v>
      </c>
      <c r="K7092" t="s">
        <v>267</v>
      </c>
      <c r="L7092" t="s">
        <v>279</v>
      </c>
      <c r="M7092" t="s">
        <v>288</v>
      </c>
      <c r="N7092" t="s">
        <v>100</v>
      </c>
      <c r="O7092" t="s">
        <v>306</v>
      </c>
      <c r="P7092" t="s">
        <v>313</v>
      </c>
      <c r="Q7092" t="s">
        <v>320</v>
      </c>
      <c r="R7092" t="s">
        <v>325</v>
      </c>
      <c r="S7092" t="s">
        <v>332</v>
      </c>
      <c r="T7092" t="s">
        <v>119</v>
      </c>
      <c r="U7092" t="s">
        <v>234</v>
      </c>
      <c r="V7092" t="s">
        <v>343</v>
      </c>
      <c r="W7092" t="s">
        <v>348</v>
      </c>
      <c r="X7092" t="s">
        <v>352</v>
      </c>
      <c r="Y7092" t="s">
        <v>354</v>
      </c>
      <c r="AK7092" t="s">
        <v>364</v>
      </c>
    </row>
    <row r="7093" spans="1:37">
      <c r="A7093" t="s">
        <v>41</v>
      </c>
      <c r="B7093" t="s">
        <v>61</v>
      </c>
      <c r="C7093" t="s">
        <v>83</v>
      </c>
      <c r="D7093" t="s">
        <v>102</v>
      </c>
      <c r="E7093" t="s">
        <v>121</v>
      </c>
      <c r="F7093" t="s">
        <v>155</v>
      </c>
      <c r="G7093" t="s">
        <v>181</v>
      </c>
      <c r="H7093" t="s">
        <v>216</v>
      </c>
      <c r="I7093" t="s">
        <v>236</v>
      </c>
      <c r="AK7093" t="s">
        <v>364</v>
      </c>
    </row>
    <row r="7094" spans="1:37">
      <c r="A7094" t="s">
        <v>42</v>
      </c>
      <c r="B7094" t="s">
        <v>62</v>
      </c>
      <c r="C7094" t="s">
        <v>84</v>
      </c>
      <c r="D7094" t="s">
        <v>103</v>
      </c>
      <c r="E7094" t="s">
        <v>122</v>
      </c>
      <c r="F7094" t="s">
        <v>156</v>
      </c>
      <c r="G7094" t="s">
        <v>182</v>
      </c>
      <c r="H7094" t="s">
        <v>83</v>
      </c>
      <c r="I7094" t="s">
        <v>237</v>
      </c>
      <c r="J7094" t="s">
        <v>254</v>
      </c>
      <c r="K7094" t="s">
        <v>268</v>
      </c>
      <c r="L7094" t="s">
        <v>280</v>
      </c>
      <c r="M7094" t="s">
        <v>289</v>
      </c>
      <c r="N7094" t="s">
        <v>298</v>
      </c>
      <c r="O7094" t="s">
        <v>307</v>
      </c>
      <c r="P7094" t="s">
        <v>314</v>
      </c>
      <c r="Q7094" t="s">
        <v>216</v>
      </c>
      <c r="R7094" t="s">
        <v>326</v>
      </c>
      <c r="S7094" t="s">
        <v>333</v>
      </c>
      <c r="T7094" t="s">
        <v>335</v>
      </c>
      <c r="U7094" t="s">
        <v>340</v>
      </c>
      <c r="V7094" t="s">
        <v>344</v>
      </c>
      <c r="W7094" t="s">
        <v>349</v>
      </c>
      <c r="AK7094" t="s">
        <v>364</v>
      </c>
    </row>
    <row r="7095" spans="1:37">
      <c r="A7095" t="s">
        <v>43</v>
      </c>
      <c r="B7095" t="s">
        <v>63</v>
      </c>
      <c r="C7095" t="s">
        <v>85</v>
      </c>
      <c r="D7095" t="s">
        <v>104</v>
      </c>
      <c r="E7095" t="s">
        <v>123</v>
      </c>
      <c r="F7095" t="s">
        <v>157</v>
      </c>
      <c r="G7095" t="s">
        <v>183</v>
      </c>
      <c r="AK7095" t="s">
        <v>364</v>
      </c>
    </row>
    <row r="7096" spans="1:37">
      <c r="A7096" t="s">
        <v>44</v>
      </c>
      <c r="B7096" t="s">
        <v>64</v>
      </c>
      <c r="C7096" t="s">
        <v>86</v>
      </c>
      <c r="D7096" t="s">
        <v>105</v>
      </c>
      <c r="E7096" t="s">
        <v>124</v>
      </c>
      <c r="F7096" t="s">
        <v>158</v>
      </c>
      <c r="G7096" t="s">
        <v>184</v>
      </c>
      <c r="AK7096" t="s">
        <v>364</v>
      </c>
    </row>
    <row r="7097" spans="1:37">
      <c r="A7097" t="s">
        <v>45</v>
      </c>
      <c r="B7097" t="s">
        <v>65</v>
      </c>
      <c r="C7097" t="s">
        <v>87</v>
      </c>
      <c r="D7097" t="s">
        <v>106</v>
      </c>
      <c r="E7097" t="s">
        <v>125</v>
      </c>
      <c r="F7097" t="s">
        <v>159</v>
      </c>
      <c r="G7097" t="s">
        <v>185</v>
      </c>
      <c r="H7097" t="s">
        <v>159</v>
      </c>
      <c r="I7097" t="s">
        <v>185</v>
      </c>
      <c r="J7097" t="s">
        <v>255</v>
      </c>
      <c r="AK7097" t="s">
        <v>364</v>
      </c>
    </row>
    <row r="7098" spans="1:37">
      <c r="A7098" t="s">
        <v>46</v>
      </c>
      <c r="B7098" t="s">
        <v>66</v>
      </c>
      <c r="C7098" t="s">
        <v>88</v>
      </c>
      <c r="D7098" t="s">
        <v>76</v>
      </c>
      <c r="E7098" t="s">
        <v>126</v>
      </c>
      <c r="F7098" t="s">
        <v>160</v>
      </c>
      <c r="G7098" t="s">
        <v>186</v>
      </c>
      <c r="H7098" t="s">
        <v>217</v>
      </c>
      <c r="I7098" t="s">
        <v>238</v>
      </c>
      <c r="J7098" t="s">
        <v>256</v>
      </c>
      <c r="K7098" t="s">
        <v>265</v>
      </c>
      <c r="L7098" t="s">
        <v>281</v>
      </c>
      <c r="M7098" t="s">
        <v>290</v>
      </c>
      <c r="N7098" t="s">
        <v>299</v>
      </c>
      <c r="O7098" t="s">
        <v>308</v>
      </c>
      <c r="P7098" t="s">
        <v>228</v>
      </c>
      <c r="Q7098" t="s">
        <v>72</v>
      </c>
      <c r="R7098" t="s">
        <v>327</v>
      </c>
      <c r="S7098" t="s">
        <v>327</v>
      </c>
      <c r="T7098" t="s">
        <v>336</v>
      </c>
      <c r="U7098" t="s">
        <v>336</v>
      </c>
      <c r="V7098" t="s">
        <v>336</v>
      </c>
      <c r="W7098" t="s">
        <v>336</v>
      </c>
      <c r="X7098" t="s">
        <v>353</v>
      </c>
      <c r="AK7098" t="s">
        <v>364</v>
      </c>
    </row>
    <row r="7099" spans="1:37">
      <c r="B7099" t="s">
        <v>67</v>
      </c>
      <c r="C7099" t="s">
        <v>89</v>
      </c>
      <c r="D7099" t="s">
        <v>107</v>
      </c>
      <c r="AK7099" t="s">
        <v>364</v>
      </c>
    </row>
    <row r="7100" spans="1:37">
      <c r="B7100" t="s">
        <v>68</v>
      </c>
      <c r="C7100" t="s">
        <v>90</v>
      </c>
      <c r="D7100" t="s">
        <v>108</v>
      </c>
      <c r="AK7100" t="s">
        <v>364</v>
      </c>
    </row>
    <row r="7101" spans="1:37">
      <c r="A7101" t="s">
        <v>47</v>
      </c>
      <c r="B7101" t="s">
        <v>69</v>
      </c>
      <c r="C7101" t="s">
        <v>91</v>
      </c>
      <c r="D7101" t="s">
        <v>109</v>
      </c>
      <c r="E7101" t="s">
        <v>109</v>
      </c>
      <c r="F7101" t="s">
        <v>109</v>
      </c>
      <c r="G7101" t="s">
        <v>109</v>
      </c>
      <c r="H7101" t="s">
        <v>109</v>
      </c>
      <c r="I7101" t="s">
        <v>239</v>
      </c>
      <c r="AK7101" t="s">
        <v>364</v>
      </c>
    </row>
    <row r="7102" spans="1:37">
      <c r="B7102" t="s">
        <v>70</v>
      </c>
      <c r="C7102" t="s">
        <v>92</v>
      </c>
      <c r="D7102" t="s">
        <v>110</v>
      </c>
      <c r="E7102" t="s">
        <v>127</v>
      </c>
      <c r="F7102" t="s">
        <v>161</v>
      </c>
      <c r="G7102" t="s">
        <v>187</v>
      </c>
      <c r="H7102" t="s">
        <v>218</v>
      </c>
      <c r="AK7102" t="s">
        <v>364</v>
      </c>
    </row>
    <row r="7103" spans="1:37">
      <c r="B7103" t="s">
        <v>71</v>
      </c>
      <c r="C7103" t="s">
        <v>93</v>
      </c>
      <c r="D7103" t="s">
        <v>111</v>
      </c>
      <c r="E7103" t="s">
        <v>128</v>
      </c>
      <c r="F7103" t="s">
        <v>162</v>
      </c>
      <c r="G7103" t="s">
        <v>188</v>
      </c>
      <c r="H7103" t="s">
        <v>219</v>
      </c>
      <c r="I7103" t="s">
        <v>240</v>
      </c>
      <c r="J7103" t="s">
        <v>257</v>
      </c>
      <c r="K7103" t="s">
        <v>269</v>
      </c>
      <c r="L7103" t="s">
        <v>109</v>
      </c>
      <c r="M7103" t="s">
        <v>109</v>
      </c>
      <c r="N7103" t="s">
        <v>109</v>
      </c>
      <c r="O7103" t="s">
        <v>109</v>
      </c>
      <c r="P7103" t="s">
        <v>109</v>
      </c>
      <c r="Q7103" t="s">
        <v>321</v>
      </c>
      <c r="AK7103" t="s">
        <v>364</v>
      </c>
    </row>
    <row r="7104" spans="1:37">
      <c r="A7104" t="s">
        <v>48</v>
      </c>
      <c r="B7104" t="s">
        <v>71</v>
      </c>
      <c r="C7104" t="s">
        <v>93</v>
      </c>
      <c r="D7104" t="s">
        <v>111</v>
      </c>
      <c r="E7104" t="s">
        <v>128</v>
      </c>
      <c r="F7104" t="s">
        <v>163</v>
      </c>
      <c r="G7104" t="s">
        <v>189</v>
      </c>
      <c r="H7104" t="s">
        <v>220</v>
      </c>
      <c r="I7104" t="s">
        <v>241</v>
      </c>
      <c r="J7104" t="s">
        <v>258</v>
      </c>
      <c r="K7104" t="s">
        <v>270</v>
      </c>
      <c r="AK7104" t="s">
        <v>364</v>
      </c>
    </row>
    <row r="7105" spans="1:37">
      <c r="B7105" t="s">
        <v>72</v>
      </c>
      <c r="C7105" t="s">
        <v>72</v>
      </c>
      <c r="D7105" t="s">
        <v>72</v>
      </c>
      <c r="E7105" t="s">
        <v>139</v>
      </c>
      <c r="F7105" t="s">
        <v>139</v>
      </c>
      <c r="G7105" t="s">
        <v>192</v>
      </c>
      <c r="H7105" t="s">
        <v>192</v>
      </c>
      <c r="I7105" t="s">
        <v>192</v>
      </c>
      <c r="J7105" t="s">
        <v>192</v>
      </c>
      <c r="K7105" t="s">
        <v>271</v>
      </c>
      <c r="AK7105" t="s">
        <v>364</v>
      </c>
    </row>
    <row r="7106" spans="1:37">
      <c r="A7106" t="s">
        <v>37</v>
      </c>
      <c r="B7106" t="s">
        <v>49</v>
      </c>
      <c r="C7106" t="s">
        <v>73</v>
      </c>
      <c r="D7106" t="s">
        <v>94</v>
      </c>
      <c r="E7106" t="s">
        <v>112</v>
      </c>
      <c r="F7106" t="s">
        <v>146</v>
      </c>
      <c r="G7106" t="s">
        <v>172</v>
      </c>
      <c r="H7106" t="s">
        <v>207</v>
      </c>
      <c r="I7106" t="s">
        <v>226</v>
      </c>
      <c r="J7106" t="s">
        <v>246</v>
      </c>
      <c r="K7106" t="s">
        <v>259</v>
      </c>
      <c r="AK7106" t="s">
        <v>364</v>
      </c>
    </row>
    <row r="7107" spans="1:37">
      <c r="A7107" t="s">
        <v>38</v>
      </c>
      <c r="B7107" t="s">
        <v>50</v>
      </c>
      <c r="C7107" t="s">
        <v>74</v>
      </c>
      <c r="D7107" t="s">
        <v>95</v>
      </c>
      <c r="E7107" t="s">
        <v>113</v>
      </c>
      <c r="F7107" t="s">
        <v>147</v>
      </c>
      <c r="G7107" t="s">
        <v>173</v>
      </c>
      <c r="H7107" t="s">
        <v>208</v>
      </c>
      <c r="I7107" t="s">
        <v>227</v>
      </c>
      <c r="J7107" t="s">
        <v>115</v>
      </c>
      <c r="K7107" t="s">
        <v>260</v>
      </c>
      <c r="L7107" t="s">
        <v>273</v>
      </c>
      <c r="M7107" t="s">
        <v>282</v>
      </c>
      <c r="N7107" t="s">
        <v>291</v>
      </c>
      <c r="AK7107" t="s">
        <v>364</v>
      </c>
    </row>
    <row r="7108" spans="1:37">
      <c r="B7108" t="s">
        <v>51</v>
      </c>
      <c r="C7108" t="s">
        <v>75</v>
      </c>
      <c r="D7108" t="s">
        <v>52</v>
      </c>
      <c r="E7108" t="s">
        <v>114</v>
      </c>
      <c r="F7108" t="s">
        <v>148</v>
      </c>
      <c r="G7108" t="s">
        <v>148</v>
      </c>
      <c r="H7108" t="s">
        <v>209</v>
      </c>
      <c r="I7108" t="s">
        <v>228</v>
      </c>
      <c r="J7108" t="s">
        <v>247</v>
      </c>
      <c r="K7108" t="s">
        <v>261</v>
      </c>
      <c r="L7108" t="s">
        <v>274</v>
      </c>
      <c r="M7108" t="s">
        <v>283</v>
      </c>
      <c r="N7108" t="s">
        <v>292</v>
      </c>
      <c r="O7108" t="s">
        <v>300</v>
      </c>
      <c r="AK7108" t="s">
        <v>364</v>
      </c>
    </row>
    <row r="7109" spans="1:37">
      <c r="B7109" t="s">
        <v>52</v>
      </c>
      <c r="C7109" t="s">
        <v>76</v>
      </c>
      <c r="D7109" t="s">
        <v>96</v>
      </c>
      <c r="E7109" t="s">
        <v>115</v>
      </c>
      <c r="F7109" t="s">
        <v>149</v>
      </c>
      <c r="G7109" t="s">
        <v>174</v>
      </c>
      <c r="H7109" t="s">
        <v>96</v>
      </c>
      <c r="I7109" t="s">
        <v>229</v>
      </c>
      <c r="J7109" t="s">
        <v>248</v>
      </c>
      <c r="K7109" t="s">
        <v>262</v>
      </c>
      <c r="L7109" t="s">
        <v>52</v>
      </c>
      <c r="M7109" t="s">
        <v>76</v>
      </c>
      <c r="N7109" t="s">
        <v>293</v>
      </c>
      <c r="O7109" t="s">
        <v>301</v>
      </c>
      <c r="P7109" t="s">
        <v>309</v>
      </c>
      <c r="Q7109" t="s">
        <v>315</v>
      </c>
      <c r="R7109" t="s">
        <v>228</v>
      </c>
      <c r="S7109" t="s">
        <v>328</v>
      </c>
      <c r="T7109" t="s">
        <v>149</v>
      </c>
      <c r="U7109" t="s">
        <v>337</v>
      </c>
      <c r="V7109" t="s">
        <v>341</v>
      </c>
      <c r="W7109" t="s">
        <v>345</v>
      </c>
      <c r="X7109" t="s">
        <v>350</v>
      </c>
      <c r="AK7109" t="s">
        <v>364</v>
      </c>
    </row>
    <row r="7110" spans="1:37">
      <c r="B7110" t="s">
        <v>53</v>
      </c>
      <c r="C7110" t="s">
        <v>77</v>
      </c>
      <c r="D7110" t="s">
        <v>97</v>
      </c>
      <c r="E7110" t="s">
        <v>116</v>
      </c>
      <c r="F7110" t="s">
        <v>150</v>
      </c>
      <c r="G7110" t="s">
        <v>175</v>
      </c>
      <c r="H7110" t="s">
        <v>210</v>
      </c>
      <c r="I7110" t="s">
        <v>230</v>
      </c>
      <c r="J7110" t="s">
        <v>249</v>
      </c>
      <c r="K7110" t="s">
        <v>263</v>
      </c>
      <c r="L7110" t="s">
        <v>275</v>
      </c>
      <c r="M7110" t="s">
        <v>284</v>
      </c>
      <c r="N7110" t="s">
        <v>294</v>
      </c>
      <c r="O7110" t="s">
        <v>302</v>
      </c>
      <c r="P7110" t="s">
        <v>310</v>
      </c>
      <c r="Q7110" t="s">
        <v>316</v>
      </c>
      <c r="R7110" t="s">
        <v>322</v>
      </c>
      <c r="S7110" t="s">
        <v>329</v>
      </c>
      <c r="AK7110" t="s">
        <v>364</v>
      </c>
    </row>
    <row r="7111" spans="1:37">
      <c r="A7111" t="s">
        <v>39</v>
      </c>
      <c r="B7111" t="s">
        <v>54</v>
      </c>
      <c r="C7111" t="s">
        <v>54</v>
      </c>
      <c r="D7111" t="s">
        <v>54</v>
      </c>
      <c r="E7111" t="s">
        <v>54</v>
      </c>
      <c r="F7111" t="s">
        <v>54</v>
      </c>
      <c r="G7111" t="s">
        <v>54</v>
      </c>
      <c r="H7111" t="s">
        <v>54</v>
      </c>
      <c r="I7111" t="s">
        <v>54</v>
      </c>
      <c r="J7111" t="s">
        <v>54</v>
      </c>
      <c r="K7111" t="s">
        <v>54</v>
      </c>
      <c r="L7111" t="s">
        <v>54</v>
      </c>
      <c r="M7111" t="s">
        <v>54</v>
      </c>
      <c r="N7111" t="s">
        <v>54</v>
      </c>
      <c r="O7111" t="s">
        <v>54</v>
      </c>
      <c r="P7111" t="s">
        <v>54</v>
      </c>
      <c r="Q7111" t="s">
        <v>54</v>
      </c>
      <c r="R7111" t="s">
        <v>323</v>
      </c>
      <c r="S7111" t="s">
        <v>330</v>
      </c>
      <c r="AK7111" t="s">
        <v>364</v>
      </c>
    </row>
    <row r="7112" spans="1:37">
      <c r="B7112" t="s">
        <v>55</v>
      </c>
      <c r="C7112" t="s">
        <v>78</v>
      </c>
      <c r="D7112" t="s">
        <v>55</v>
      </c>
      <c r="E7112" t="s">
        <v>78</v>
      </c>
      <c r="F7112" t="s">
        <v>55</v>
      </c>
      <c r="G7112" t="s">
        <v>78</v>
      </c>
      <c r="H7112" t="s">
        <v>55</v>
      </c>
      <c r="I7112" t="s">
        <v>78</v>
      </c>
      <c r="J7112" t="s">
        <v>55</v>
      </c>
      <c r="K7112" t="s">
        <v>78</v>
      </c>
      <c r="L7112" t="s">
        <v>55</v>
      </c>
      <c r="M7112" t="s">
        <v>78</v>
      </c>
      <c r="N7112" t="s">
        <v>55</v>
      </c>
      <c r="O7112" t="s">
        <v>78</v>
      </c>
      <c r="P7112" t="s">
        <v>55</v>
      </c>
      <c r="Q7112" t="s">
        <v>78</v>
      </c>
      <c r="R7112" t="s">
        <v>55</v>
      </c>
      <c r="S7112" t="s">
        <v>78</v>
      </c>
      <c r="T7112" t="s">
        <v>55</v>
      </c>
      <c r="U7112" t="s">
        <v>78</v>
      </c>
      <c r="V7112" t="s">
        <v>55</v>
      </c>
      <c r="W7112" t="s">
        <v>78</v>
      </c>
      <c r="X7112" t="s">
        <v>55</v>
      </c>
      <c r="Y7112" t="s">
        <v>78</v>
      </c>
      <c r="Z7112" t="s">
        <v>55</v>
      </c>
      <c r="AA7112" t="s">
        <v>78</v>
      </c>
      <c r="AB7112" t="s">
        <v>55</v>
      </c>
      <c r="AC7112" t="s">
        <v>78</v>
      </c>
      <c r="AD7112" t="s">
        <v>55</v>
      </c>
      <c r="AE7112" t="s">
        <v>78</v>
      </c>
      <c r="AF7112" t="s">
        <v>55</v>
      </c>
      <c r="AG7112" t="s">
        <v>78</v>
      </c>
      <c r="AH7112" t="s">
        <v>55</v>
      </c>
      <c r="AI7112" t="s">
        <v>78</v>
      </c>
      <c r="AK7112" t="s">
        <v>364</v>
      </c>
    </row>
    <row r="7113" spans="1:37">
      <c r="B7113" t="s">
        <v>56</v>
      </c>
      <c r="C7113" t="s">
        <v>56</v>
      </c>
      <c r="D7113" t="s">
        <v>56</v>
      </c>
      <c r="E7113" t="s">
        <v>56</v>
      </c>
      <c r="F7113" t="s">
        <v>56</v>
      </c>
      <c r="G7113" t="s">
        <v>176</v>
      </c>
      <c r="H7113" t="s">
        <v>211</v>
      </c>
      <c r="I7113" t="s">
        <v>231</v>
      </c>
      <c r="J7113" t="s">
        <v>250</v>
      </c>
      <c r="K7113" t="s">
        <v>264</v>
      </c>
      <c r="L7113" t="s">
        <v>276</v>
      </c>
      <c r="M7113" t="s">
        <v>285</v>
      </c>
      <c r="N7113" t="s">
        <v>295</v>
      </c>
      <c r="O7113" t="s">
        <v>303</v>
      </c>
      <c r="P7113" t="s">
        <v>56</v>
      </c>
      <c r="Q7113" t="s">
        <v>317</v>
      </c>
      <c r="R7113" t="s">
        <v>324</v>
      </c>
      <c r="S7113" t="s">
        <v>331</v>
      </c>
      <c r="T7113" t="s">
        <v>334</v>
      </c>
      <c r="U7113" t="s">
        <v>338</v>
      </c>
      <c r="V7113" t="s">
        <v>342</v>
      </c>
      <c r="W7113" t="s">
        <v>346</v>
      </c>
      <c r="X7113" t="s">
        <v>351</v>
      </c>
      <c r="AK7113" t="s">
        <v>364</v>
      </c>
    </row>
    <row r="7114" spans="1:37">
      <c r="B7114" t="s">
        <v>57</v>
      </c>
      <c r="C7114" t="s">
        <v>79</v>
      </c>
      <c r="D7114" t="s">
        <v>98</v>
      </c>
      <c r="E7114" t="s">
        <v>117</v>
      </c>
      <c r="F7114" t="s">
        <v>151</v>
      </c>
      <c r="G7114" t="s">
        <v>177</v>
      </c>
      <c r="H7114" t="s">
        <v>212</v>
      </c>
      <c r="I7114" t="s">
        <v>232</v>
      </c>
      <c r="J7114" t="s">
        <v>251</v>
      </c>
      <c r="K7114" t="s">
        <v>265</v>
      </c>
      <c r="L7114" t="s">
        <v>277</v>
      </c>
      <c r="M7114" t="s">
        <v>286</v>
      </c>
      <c r="N7114" t="s">
        <v>296</v>
      </c>
      <c r="O7114" t="s">
        <v>304</v>
      </c>
      <c r="P7114" t="s">
        <v>311</v>
      </c>
      <c r="Q7114" t="s">
        <v>318</v>
      </c>
      <c r="R7114" t="s">
        <v>185</v>
      </c>
      <c r="S7114" t="s">
        <v>159</v>
      </c>
      <c r="T7114" t="s">
        <v>185</v>
      </c>
      <c r="U7114" t="s">
        <v>339</v>
      </c>
      <c r="V7114" t="s">
        <v>72</v>
      </c>
      <c r="W7114" t="s">
        <v>347</v>
      </c>
      <c r="X7114" t="s">
        <v>72</v>
      </c>
      <c r="Y7114" t="s">
        <v>96</v>
      </c>
      <c r="AK7114" t="s">
        <v>364</v>
      </c>
    </row>
    <row r="7115" spans="1:37">
      <c r="B7115" t="s">
        <v>58</v>
      </c>
      <c r="C7115" t="s">
        <v>80</v>
      </c>
      <c r="D7115" t="s">
        <v>99</v>
      </c>
      <c r="E7115" t="s">
        <v>118</v>
      </c>
      <c r="F7115" t="s">
        <v>152</v>
      </c>
      <c r="G7115" t="s">
        <v>178</v>
      </c>
      <c r="H7115" t="s">
        <v>213</v>
      </c>
      <c r="I7115" t="s">
        <v>233</v>
      </c>
      <c r="J7115" t="s">
        <v>252</v>
      </c>
      <c r="K7115" t="s">
        <v>266</v>
      </c>
      <c r="L7115" t="s">
        <v>278</v>
      </c>
      <c r="M7115" t="s">
        <v>287</v>
      </c>
      <c r="N7115" t="s">
        <v>297</v>
      </c>
      <c r="O7115" t="s">
        <v>305</v>
      </c>
      <c r="P7115" t="s">
        <v>312</v>
      </c>
      <c r="Q7115" t="s">
        <v>319</v>
      </c>
      <c r="R7115">
        <f>&gt;10       ветра      2.6     26  12</f>
        <v>0</v>
      </c>
      <c r="AK7115" t="s">
        <v>364</v>
      </c>
    </row>
    <row r="7116" spans="1:37">
      <c r="A7116" t="s">
        <v>40</v>
      </c>
      <c r="B7116" t="s">
        <v>59</v>
      </c>
      <c r="C7116" t="s">
        <v>81</v>
      </c>
      <c r="D7116" t="s">
        <v>100</v>
      </c>
      <c r="E7116" t="s">
        <v>119</v>
      </c>
      <c r="F7116" t="s">
        <v>153</v>
      </c>
      <c r="G7116" t="s">
        <v>179</v>
      </c>
      <c r="H7116" t="s">
        <v>214</v>
      </c>
      <c r="I7116" t="s">
        <v>234</v>
      </c>
      <c r="AK7116" t="s">
        <v>364</v>
      </c>
    </row>
    <row r="7117" spans="1:37">
      <c r="A7117" t="s">
        <v>40</v>
      </c>
      <c r="B7117" t="s">
        <v>60</v>
      </c>
      <c r="C7117" t="s">
        <v>82</v>
      </c>
      <c r="D7117" t="s">
        <v>101</v>
      </c>
      <c r="E7117" t="s">
        <v>120</v>
      </c>
      <c r="F7117" t="s">
        <v>154</v>
      </c>
      <c r="G7117" t="s">
        <v>180</v>
      </c>
      <c r="H7117" t="s">
        <v>215</v>
      </c>
      <c r="I7117" t="s">
        <v>235</v>
      </c>
      <c r="J7117" t="s">
        <v>253</v>
      </c>
      <c r="K7117" t="s">
        <v>267</v>
      </c>
      <c r="L7117" t="s">
        <v>279</v>
      </c>
      <c r="M7117" t="s">
        <v>288</v>
      </c>
      <c r="N7117" t="s">
        <v>100</v>
      </c>
      <c r="O7117" t="s">
        <v>306</v>
      </c>
      <c r="P7117" t="s">
        <v>313</v>
      </c>
      <c r="Q7117" t="s">
        <v>320</v>
      </c>
      <c r="R7117" t="s">
        <v>325</v>
      </c>
      <c r="S7117" t="s">
        <v>332</v>
      </c>
      <c r="T7117" t="s">
        <v>119</v>
      </c>
      <c r="U7117" t="s">
        <v>234</v>
      </c>
      <c r="V7117" t="s">
        <v>343</v>
      </c>
      <c r="W7117" t="s">
        <v>348</v>
      </c>
      <c r="X7117" t="s">
        <v>352</v>
      </c>
      <c r="Y7117" t="s">
        <v>354</v>
      </c>
      <c r="AK7117" t="s">
        <v>364</v>
      </c>
    </row>
    <row r="7118" spans="1:37">
      <c r="A7118" t="s">
        <v>41</v>
      </c>
      <c r="B7118" t="s">
        <v>61</v>
      </c>
      <c r="C7118" t="s">
        <v>83</v>
      </c>
      <c r="D7118" t="s">
        <v>102</v>
      </c>
      <c r="E7118" t="s">
        <v>121</v>
      </c>
      <c r="F7118" t="s">
        <v>155</v>
      </c>
      <c r="G7118" t="s">
        <v>181</v>
      </c>
      <c r="H7118" t="s">
        <v>216</v>
      </c>
      <c r="I7118" t="s">
        <v>236</v>
      </c>
      <c r="AK7118" t="s">
        <v>364</v>
      </c>
    </row>
    <row r="7119" spans="1:37">
      <c r="A7119" t="s">
        <v>42</v>
      </c>
      <c r="B7119" t="s">
        <v>62</v>
      </c>
      <c r="C7119" t="s">
        <v>84</v>
      </c>
      <c r="D7119" t="s">
        <v>103</v>
      </c>
      <c r="E7119" t="s">
        <v>122</v>
      </c>
      <c r="F7119" t="s">
        <v>156</v>
      </c>
      <c r="G7119" t="s">
        <v>182</v>
      </c>
      <c r="H7119" t="s">
        <v>83</v>
      </c>
      <c r="I7119" t="s">
        <v>237</v>
      </c>
      <c r="J7119" t="s">
        <v>254</v>
      </c>
      <c r="K7119" t="s">
        <v>268</v>
      </c>
      <c r="L7119" t="s">
        <v>280</v>
      </c>
      <c r="M7119" t="s">
        <v>289</v>
      </c>
      <c r="N7119" t="s">
        <v>298</v>
      </c>
      <c r="O7119" t="s">
        <v>307</v>
      </c>
      <c r="P7119" t="s">
        <v>314</v>
      </c>
      <c r="Q7119" t="s">
        <v>216</v>
      </c>
      <c r="R7119" t="s">
        <v>326</v>
      </c>
      <c r="S7119" t="s">
        <v>333</v>
      </c>
      <c r="T7119" t="s">
        <v>335</v>
      </c>
      <c r="U7119" t="s">
        <v>340</v>
      </c>
      <c r="V7119" t="s">
        <v>344</v>
      </c>
      <c r="W7119" t="s">
        <v>349</v>
      </c>
      <c r="AK7119" t="s">
        <v>364</v>
      </c>
    </row>
    <row r="7120" spans="1:37">
      <c r="A7120" t="s">
        <v>43</v>
      </c>
      <c r="B7120" t="s">
        <v>63</v>
      </c>
      <c r="C7120" t="s">
        <v>85</v>
      </c>
      <c r="D7120" t="s">
        <v>104</v>
      </c>
      <c r="E7120" t="s">
        <v>123</v>
      </c>
      <c r="F7120" t="s">
        <v>157</v>
      </c>
      <c r="G7120" t="s">
        <v>183</v>
      </c>
      <c r="AK7120" t="s">
        <v>364</v>
      </c>
    </row>
    <row r="7121" spans="1:37">
      <c r="A7121" t="s">
        <v>44</v>
      </c>
      <c r="B7121" t="s">
        <v>64</v>
      </c>
      <c r="C7121" t="s">
        <v>86</v>
      </c>
      <c r="D7121" t="s">
        <v>105</v>
      </c>
      <c r="E7121" t="s">
        <v>124</v>
      </c>
      <c r="F7121" t="s">
        <v>158</v>
      </c>
      <c r="G7121" t="s">
        <v>184</v>
      </c>
      <c r="AK7121" t="s">
        <v>364</v>
      </c>
    </row>
    <row r="7122" spans="1:37">
      <c r="A7122" t="s">
        <v>45</v>
      </c>
      <c r="B7122" t="s">
        <v>65</v>
      </c>
      <c r="C7122" t="s">
        <v>87</v>
      </c>
      <c r="D7122" t="s">
        <v>106</v>
      </c>
      <c r="E7122" t="s">
        <v>125</v>
      </c>
      <c r="F7122" t="s">
        <v>159</v>
      </c>
      <c r="G7122" t="s">
        <v>185</v>
      </c>
      <c r="H7122" t="s">
        <v>159</v>
      </c>
      <c r="I7122" t="s">
        <v>185</v>
      </c>
      <c r="J7122" t="s">
        <v>255</v>
      </c>
      <c r="AK7122" t="s">
        <v>364</v>
      </c>
    </row>
    <row r="7123" spans="1:37">
      <c r="A7123" t="s">
        <v>46</v>
      </c>
      <c r="B7123" t="s">
        <v>66</v>
      </c>
      <c r="C7123" t="s">
        <v>88</v>
      </c>
      <c r="D7123" t="s">
        <v>76</v>
      </c>
      <c r="E7123" t="s">
        <v>126</v>
      </c>
      <c r="F7123" t="s">
        <v>160</v>
      </c>
      <c r="G7123" t="s">
        <v>186</v>
      </c>
      <c r="H7123" t="s">
        <v>217</v>
      </c>
      <c r="I7123" t="s">
        <v>238</v>
      </c>
      <c r="J7123" t="s">
        <v>256</v>
      </c>
      <c r="K7123" t="s">
        <v>265</v>
      </c>
      <c r="L7123" t="s">
        <v>281</v>
      </c>
      <c r="M7123" t="s">
        <v>290</v>
      </c>
      <c r="N7123" t="s">
        <v>299</v>
      </c>
      <c r="O7123" t="s">
        <v>308</v>
      </c>
      <c r="P7123" t="s">
        <v>228</v>
      </c>
      <c r="Q7123" t="s">
        <v>72</v>
      </c>
      <c r="R7123" t="s">
        <v>327</v>
      </c>
      <c r="S7123" t="s">
        <v>327</v>
      </c>
      <c r="T7123" t="s">
        <v>336</v>
      </c>
      <c r="U7123" t="s">
        <v>336</v>
      </c>
      <c r="V7123" t="s">
        <v>336</v>
      </c>
      <c r="W7123" t="s">
        <v>336</v>
      </c>
      <c r="X7123" t="s">
        <v>353</v>
      </c>
      <c r="AK7123" t="s">
        <v>364</v>
      </c>
    </row>
    <row r="7124" spans="1:37">
      <c r="A7124" t="s">
        <v>37</v>
      </c>
      <c r="B7124" t="s">
        <v>49</v>
      </c>
      <c r="C7124" t="s">
        <v>73</v>
      </c>
      <c r="D7124" t="s">
        <v>94</v>
      </c>
      <c r="E7124" t="s">
        <v>112</v>
      </c>
      <c r="F7124" t="s">
        <v>146</v>
      </c>
      <c r="G7124" t="s">
        <v>172</v>
      </c>
      <c r="H7124" t="s">
        <v>207</v>
      </c>
      <c r="I7124" t="s">
        <v>226</v>
      </c>
      <c r="J7124" t="s">
        <v>246</v>
      </c>
      <c r="K7124" t="s">
        <v>259</v>
      </c>
      <c r="AK7124" t="s">
        <v>364</v>
      </c>
    </row>
    <row r="7125" spans="1:37">
      <c r="A7125" t="s">
        <v>38</v>
      </c>
      <c r="B7125" t="s">
        <v>50</v>
      </c>
      <c r="C7125" t="s">
        <v>74</v>
      </c>
      <c r="D7125" t="s">
        <v>95</v>
      </c>
      <c r="E7125" t="s">
        <v>113</v>
      </c>
      <c r="F7125" t="s">
        <v>147</v>
      </c>
      <c r="G7125" t="s">
        <v>173</v>
      </c>
      <c r="H7125" t="s">
        <v>208</v>
      </c>
      <c r="I7125" t="s">
        <v>227</v>
      </c>
      <c r="J7125" t="s">
        <v>115</v>
      </c>
      <c r="K7125" t="s">
        <v>260</v>
      </c>
      <c r="L7125" t="s">
        <v>273</v>
      </c>
      <c r="M7125" t="s">
        <v>282</v>
      </c>
      <c r="N7125" t="s">
        <v>291</v>
      </c>
      <c r="AK7125" t="s">
        <v>364</v>
      </c>
    </row>
    <row r="7126" spans="1:37">
      <c r="B7126" t="s">
        <v>51</v>
      </c>
      <c r="C7126" t="s">
        <v>75</v>
      </c>
      <c r="D7126" t="s">
        <v>52</v>
      </c>
      <c r="E7126" t="s">
        <v>114</v>
      </c>
      <c r="F7126" t="s">
        <v>148</v>
      </c>
      <c r="G7126" t="s">
        <v>148</v>
      </c>
      <c r="H7126" t="s">
        <v>209</v>
      </c>
      <c r="I7126" t="s">
        <v>228</v>
      </c>
      <c r="J7126" t="s">
        <v>247</v>
      </c>
      <c r="K7126" t="s">
        <v>261</v>
      </c>
      <c r="L7126" t="s">
        <v>274</v>
      </c>
      <c r="M7126" t="s">
        <v>283</v>
      </c>
      <c r="N7126" t="s">
        <v>292</v>
      </c>
      <c r="O7126" t="s">
        <v>300</v>
      </c>
      <c r="AK7126" t="s">
        <v>364</v>
      </c>
    </row>
    <row r="7127" spans="1:37">
      <c r="B7127" t="s">
        <v>52</v>
      </c>
      <c r="C7127" t="s">
        <v>76</v>
      </c>
      <c r="D7127" t="s">
        <v>96</v>
      </c>
      <c r="E7127" t="s">
        <v>115</v>
      </c>
      <c r="F7127" t="s">
        <v>149</v>
      </c>
      <c r="G7127" t="s">
        <v>174</v>
      </c>
      <c r="H7127" t="s">
        <v>96</v>
      </c>
      <c r="I7127" t="s">
        <v>229</v>
      </c>
      <c r="J7127" t="s">
        <v>248</v>
      </c>
      <c r="K7127" t="s">
        <v>262</v>
      </c>
      <c r="L7127" t="s">
        <v>52</v>
      </c>
      <c r="M7127" t="s">
        <v>76</v>
      </c>
      <c r="N7127" t="s">
        <v>293</v>
      </c>
      <c r="O7127" t="s">
        <v>301</v>
      </c>
      <c r="P7127" t="s">
        <v>309</v>
      </c>
      <c r="Q7127" t="s">
        <v>315</v>
      </c>
      <c r="R7127" t="s">
        <v>228</v>
      </c>
      <c r="S7127" t="s">
        <v>328</v>
      </c>
      <c r="T7127" t="s">
        <v>149</v>
      </c>
      <c r="U7127" t="s">
        <v>337</v>
      </c>
      <c r="V7127" t="s">
        <v>341</v>
      </c>
      <c r="W7127" t="s">
        <v>345</v>
      </c>
      <c r="X7127" t="s">
        <v>350</v>
      </c>
      <c r="AK7127" t="s">
        <v>364</v>
      </c>
    </row>
    <row r="7128" spans="1:37">
      <c r="B7128" t="s">
        <v>53</v>
      </c>
      <c r="C7128" t="s">
        <v>77</v>
      </c>
      <c r="D7128" t="s">
        <v>97</v>
      </c>
      <c r="E7128" t="s">
        <v>116</v>
      </c>
      <c r="F7128" t="s">
        <v>150</v>
      </c>
      <c r="G7128" t="s">
        <v>175</v>
      </c>
      <c r="H7128" t="s">
        <v>210</v>
      </c>
      <c r="I7128" t="s">
        <v>230</v>
      </c>
      <c r="J7128" t="s">
        <v>249</v>
      </c>
      <c r="K7128" t="s">
        <v>263</v>
      </c>
      <c r="L7128" t="s">
        <v>275</v>
      </c>
      <c r="M7128" t="s">
        <v>284</v>
      </c>
      <c r="N7128" t="s">
        <v>294</v>
      </c>
      <c r="O7128" t="s">
        <v>302</v>
      </c>
      <c r="P7128" t="s">
        <v>310</v>
      </c>
      <c r="Q7128" t="s">
        <v>316</v>
      </c>
      <c r="R7128" t="s">
        <v>322</v>
      </c>
      <c r="S7128" t="s">
        <v>329</v>
      </c>
      <c r="AK7128" t="s">
        <v>364</v>
      </c>
    </row>
    <row r="7129" spans="1:37">
      <c r="A7129" t="s">
        <v>39</v>
      </c>
      <c r="B7129" t="s">
        <v>54</v>
      </c>
      <c r="C7129" t="s">
        <v>54</v>
      </c>
      <c r="D7129" t="s">
        <v>54</v>
      </c>
      <c r="E7129" t="s">
        <v>54</v>
      </c>
      <c r="F7129" t="s">
        <v>54</v>
      </c>
      <c r="G7129" t="s">
        <v>54</v>
      </c>
      <c r="H7129" t="s">
        <v>54</v>
      </c>
      <c r="I7129" t="s">
        <v>54</v>
      </c>
      <c r="J7129" t="s">
        <v>54</v>
      </c>
      <c r="K7129" t="s">
        <v>54</v>
      </c>
      <c r="L7129" t="s">
        <v>54</v>
      </c>
      <c r="M7129" t="s">
        <v>54</v>
      </c>
      <c r="N7129" t="s">
        <v>54</v>
      </c>
      <c r="O7129" t="s">
        <v>54</v>
      </c>
      <c r="P7129" t="s">
        <v>54</v>
      </c>
      <c r="Q7129" t="s">
        <v>54</v>
      </c>
      <c r="R7129" t="s">
        <v>323</v>
      </c>
      <c r="S7129" t="s">
        <v>330</v>
      </c>
      <c r="AK7129" t="s">
        <v>364</v>
      </c>
    </row>
    <row r="7130" spans="1:37">
      <c r="B7130" t="s">
        <v>55</v>
      </c>
      <c r="C7130" t="s">
        <v>78</v>
      </c>
      <c r="D7130" t="s">
        <v>55</v>
      </c>
      <c r="E7130" t="s">
        <v>78</v>
      </c>
      <c r="F7130" t="s">
        <v>55</v>
      </c>
      <c r="G7130" t="s">
        <v>78</v>
      </c>
      <c r="H7130" t="s">
        <v>55</v>
      </c>
      <c r="I7130" t="s">
        <v>78</v>
      </c>
      <c r="J7130" t="s">
        <v>55</v>
      </c>
      <c r="K7130" t="s">
        <v>78</v>
      </c>
      <c r="L7130" t="s">
        <v>55</v>
      </c>
      <c r="M7130" t="s">
        <v>78</v>
      </c>
      <c r="N7130" t="s">
        <v>55</v>
      </c>
      <c r="O7130" t="s">
        <v>78</v>
      </c>
      <c r="P7130" t="s">
        <v>55</v>
      </c>
      <c r="Q7130" t="s">
        <v>78</v>
      </c>
      <c r="R7130" t="s">
        <v>55</v>
      </c>
      <c r="S7130" t="s">
        <v>78</v>
      </c>
      <c r="T7130" t="s">
        <v>55</v>
      </c>
      <c r="U7130" t="s">
        <v>78</v>
      </c>
      <c r="V7130" t="s">
        <v>55</v>
      </c>
      <c r="W7130" t="s">
        <v>78</v>
      </c>
      <c r="X7130" t="s">
        <v>55</v>
      </c>
      <c r="Y7130" t="s">
        <v>78</v>
      </c>
      <c r="Z7130" t="s">
        <v>55</v>
      </c>
      <c r="AA7130" t="s">
        <v>78</v>
      </c>
      <c r="AB7130" t="s">
        <v>55</v>
      </c>
      <c r="AC7130" t="s">
        <v>78</v>
      </c>
      <c r="AD7130" t="s">
        <v>55</v>
      </c>
      <c r="AE7130" t="s">
        <v>78</v>
      </c>
      <c r="AF7130" t="s">
        <v>55</v>
      </c>
      <c r="AG7130" t="s">
        <v>78</v>
      </c>
      <c r="AH7130" t="s">
        <v>55</v>
      </c>
      <c r="AI7130" t="s">
        <v>78</v>
      </c>
      <c r="AK7130" t="s">
        <v>364</v>
      </c>
    </row>
    <row r="7131" spans="1:37">
      <c r="B7131" t="s">
        <v>56</v>
      </c>
      <c r="C7131" t="s">
        <v>56</v>
      </c>
      <c r="D7131" t="s">
        <v>56</v>
      </c>
      <c r="E7131" t="s">
        <v>56</v>
      </c>
      <c r="F7131" t="s">
        <v>56</v>
      </c>
      <c r="G7131" t="s">
        <v>176</v>
      </c>
      <c r="H7131" t="s">
        <v>211</v>
      </c>
      <c r="I7131" t="s">
        <v>231</v>
      </c>
      <c r="J7131" t="s">
        <v>250</v>
      </c>
      <c r="K7131" t="s">
        <v>264</v>
      </c>
      <c r="L7131" t="s">
        <v>276</v>
      </c>
      <c r="M7131" t="s">
        <v>285</v>
      </c>
      <c r="N7131" t="s">
        <v>295</v>
      </c>
      <c r="O7131" t="s">
        <v>303</v>
      </c>
      <c r="P7131" t="s">
        <v>56</v>
      </c>
      <c r="Q7131" t="s">
        <v>317</v>
      </c>
      <c r="R7131" t="s">
        <v>324</v>
      </c>
      <c r="S7131" t="s">
        <v>331</v>
      </c>
      <c r="T7131" t="s">
        <v>334</v>
      </c>
      <c r="U7131" t="s">
        <v>338</v>
      </c>
      <c r="V7131" t="s">
        <v>342</v>
      </c>
      <c r="W7131" t="s">
        <v>346</v>
      </c>
      <c r="X7131" t="s">
        <v>351</v>
      </c>
      <c r="AK7131" t="s">
        <v>364</v>
      </c>
    </row>
    <row r="7132" spans="1:37">
      <c r="B7132" t="s">
        <v>57</v>
      </c>
      <c r="C7132" t="s">
        <v>79</v>
      </c>
      <c r="D7132" t="s">
        <v>98</v>
      </c>
      <c r="E7132" t="s">
        <v>117</v>
      </c>
      <c r="F7132" t="s">
        <v>151</v>
      </c>
      <c r="G7132" t="s">
        <v>177</v>
      </c>
      <c r="H7132" t="s">
        <v>212</v>
      </c>
      <c r="I7132" t="s">
        <v>232</v>
      </c>
      <c r="J7132" t="s">
        <v>251</v>
      </c>
      <c r="K7132" t="s">
        <v>265</v>
      </c>
      <c r="L7132" t="s">
        <v>277</v>
      </c>
      <c r="M7132" t="s">
        <v>286</v>
      </c>
      <c r="N7132" t="s">
        <v>296</v>
      </c>
      <c r="O7132" t="s">
        <v>304</v>
      </c>
      <c r="P7132" t="s">
        <v>311</v>
      </c>
      <c r="Q7132" t="s">
        <v>318</v>
      </c>
      <c r="R7132" t="s">
        <v>185</v>
      </c>
      <c r="S7132" t="s">
        <v>159</v>
      </c>
      <c r="T7132" t="s">
        <v>185</v>
      </c>
      <c r="U7132" t="s">
        <v>339</v>
      </c>
      <c r="V7132" t="s">
        <v>72</v>
      </c>
      <c r="W7132" t="s">
        <v>347</v>
      </c>
      <c r="X7132" t="s">
        <v>72</v>
      </c>
      <c r="Y7132" t="s">
        <v>96</v>
      </c>
      <c r="AK7132" t="s">
        <v>364</v>
      </c>
    </row>
    <row r="7133" spans="1:37">
      <c r="B7133" t="s">
        <v>58</v>
      </c>
      <c r="C7133" t="s">
        <v>80</v>
      </c>
      <c r="D7133" t="s">
        <v>99</v>
      </c>
      <c r="E7133" t="s">
        <v>118</v>
      </c>
      <c r="F7133" t="s">
        <v>152</v>
      </c>
      <c r="G7133" t="s">
        <v>178</v>
      </c>
      <c r="H7133" t="s">
        <v>213</v>
      </c>
      <c r="I7133" t="s">
        <v>233</v>
      </c>
      <c r="J7133" t="s">
        <v>252</v>
      </c>
      <c r="K7133" t="s">
        <v>266</v>
      </c>
      <c r="L7133" t="s">
        <v>278</v>
      </c>
      <c r="M7133" t="s">
        <v>287</v>
      </c>
      <c r="N7133" t="s">
        <v>297</v>
      </c>
      <c r="O7133" t="s">
        <v>305</v>
      </c>
      <c r="P7133" t="s">
        <v>312</v>
      </c>
      <c r="Q7133" t="s">
        <v>319</v>
      </c>
      <c r="R7133">
        <f>&gt;10       ветра      0.9     17  17</f>
        <v>0</v>
      </c>
      <c r="AK7133" t="s">
        <v>364</v>
      </c>
    </row>
    <row r="7134" spans="1:37">
      <c r="A7134" t="s">
        <v>40</v>
      </c>
      <c r="B7134" t="s">
        <v>59</v>
      </c>
      <c r="C7134" t="s">
        <v>81</v>
      </c>
      <c r="D7134" t="s">
        <v>100</v>
      </c>
      <c r="E7134" t="s">
        <v>119</v>
      </c>
      <c r="F7134" t="s">
        <v>153</v>
      </c>
      <c r="G7134" t="s">
        <v>179</v>
      </c>
      <c r="H7134" t="s">
        <v>214</v>
      </c>
      <c r="I7134" t="s">
        <v>234</v>
      </c>
      <c r="AK7134" t="s">
        <v>364</v>
      </c>
    </row>
    <row r="7135" spans="1:37">
      <c r="A7135" t="s">
        <v>40</v>
      </c>
      <c r="B7135" t="s">
        <v>60</v>
      </c>
      <c r="C7135" t="s">
        <v>82</v>
      </c>
      <c r="D7135" t="s">
        <v>101</v>
      </c>
      <c r="E7135" t="s">
        <v>120</v>
      </c>
      <c r="F7135" t="s">
        <v>154</v>
      </c>
      <c r="G7135" t="s">
        <v>180</v>
      </c>
      <c r="H7135" t="s">
        <v>215</v>
      </c>
      <c r="I7135" t="s">
        <v>235</v>
      </c>
      <c r="J7135" t="s">
        <v>253</v>
      </c>
      <c r="K7135" t="s">
        <v>267</v>
      </c>
      <c r="L7135" t="s">
        <v>279</v>
      </c>
      <c r="M7135" t="s">
        <v>288</v>
      </c>
      <c r="N7135" t="s">
        <v>100</v>
      </c>
      <c r="O7135" t="s">
        <v>306</v>
      </c>
      <c r="P7135" t="s">
        <v>313</v>
      </c>
      <c r="Q7135" t="s">
        <v>320</v>
      </c>
      <c r="R7135" t="s">
        <v>325</v>
      </c>
      <c r="S7135" t="s">
        <v>332</v>
      </c>
      <c r="T7135" t="s">
        <v>119</v>
      </c>
      <c r="U7135" t="s">
        <v>234</v>
      </c>
      <c r="V7135" t="s">
        <v>343</v>
      </c>
      <c r="W7135" t="s">
        <v>348</v>
      </c>
      <c r="X7135" t="s">
        <v>352</v>
      </c>
      <c r="Y7135" t="s">
        <v>354</v>
      </c>
      <c r="AK7135" t="s">
        <v>364</v>
      </c>
    </row>
    <row r="7136" spans="1:37">
      <c r="A7136" t="s">
        <v>41</v>
      </c>
      <c r="B7136" t="s">
        <v>61</v>
      </c>
      <c r="C7136" t="s">
        <v>83</v>
      </c>
      <c r="D7136" t="s">
        <v>102</v>
      </c>
      <c r="E7136" t="s">
        <v>121</v>
      </c>
      <c r="F7136" t="s">
        <v>155</v>
      </c>
      <c r="G7136" t="s">
        <v>181</v>
      </c>
      <c r="H7136" t="s">
        <v>216</v>
      </c>
      <c r="I7136" t="s">
        <v>236</v>
      </c>
      <c r="AK7136" t="s">
        <v>364</v>
      </c>
    </row>
    <row r="7137" spans="1:37">
      <c r="A7137" t="s">
        <v>42</v>
      </c>
      <c r="B7137" t="s">
        <v>62</v>
      </c>
      <c r="C7137" t="s">
        <v>84</v>
      </c>
      <c r="D7137" t="s">
        <v>103</v>
      </c>
      <c r="E7137" t="s">
        <v>122</v>
      </c>
      <c r="F7137" t="s">
        <v>156</v>
      </c>
      <c r="G7137" t="s">
        <v>182</v>
      </c>
      <c r="H7137" t="s">
        <v>83</v>
      </c>
      <c r="I7137" t="s">
        <v>237</v>
      </c>
      <c r="J7137" t="s">
        <v>254</v>
      </c>
      <c r="K7137" t="s">
        <v>268</v>
      </c>
      <c r="L7137" t="s">
        <v>280</v>
      </c>
      <c r="M7137" t="s">
        <v>289</v>
      </c>
      <c r="N7137" t="s">
        <v>298</v>
      </c>
      <c r="O7137" t="s">
        <v>307</v>
      </c>
      <c r="P7137" t="s">
        <v>314</v>
      </c>
      <c r="Q7137" t="s">
        <v>216</v>
      </c>
      <c r="R7137" t="s">
        <v>326</v>
      </c>
      <c r="S7137" t="s">
        <v>333</v>
      </c>
      <c r="T7137" t="s">
        <v>335</v>
      </c>
      <c r="U7137" t="s">
        <v>340</v>
      </c>
      <c r="V7137" t="s">
        <v>344</v>
      </c>
      <c r="W7137" t="s">
        <v>349</v>
      </c>
      <c r="AK7137" t="s">
        <v>364</v>
      </c>
    </row>
    <row r="7138" spans="1:37">
      <c r="A7138" t="s">
        <v>43</v>
      </c>
      <c r="B7138" t="s">
        <v>63</v>
      </c>
      <c r="C7138" t="s">
        <v>85</v>
      </c>
      <c r="D7138" t="s">
        <v>104</v>
      </c>
      <c r="E7138" t="s">
        <v>123</v>
      </c>
      <c r="F7138" t="s">
        <v>157</v>
      </c>
      <c r="G7138" t="s">
        <v>183</v>
      </c>
      <c r="AK7138" t="s">
        <v>364</v>
      </c>
    </row>
    <row r="7139" spans="1:37">
      <c r="A7139" t="s">
        <v>44</v>
      </c>
      <c r="B7139" t="s">
        <v>64</v>
      </c>
      <c r="C7139" t="s">
        <v>86</v>
      </c>
      <c r="D7139" t="s">
        <v>105</v>
      </c>
      <c r="E7139" t="s">
        <v>124</v>
      </c>
      <c r="F7139" t="s">
        <v>158</v>
      </c>
      <c r="G7139" t="s">
        <v>184</v>
      </c>
      <c r="AK7139" t="s">
        <v>364</v>
      </c>
    </row>
    <row r="7140" spans="1:37">
      <c r="A7140" t="s">
        <v>45</v>
      </c>
      <c r="B7140" t="s">
        <v>65</v>
      </c>
      <c r="C7140" t="s">
        <v>87</v>
      </c>
      <c r="D7140" t="s">
        <v>106</v>
      </c>
      <c r="E7140" t="s">
        <v>125</v>
      </c>
      <c r="F7140" t="s">
        <v>159</v>
      </c>
      <c r="G7140" t="s">
        <v>185</v>
      </c>
      <c r="H7140" t="s">
        <v>159</v>
      </c>
      <c r="I7140" t="s">
        <v>185</v>
      </c>
      <c r="J7140" t="s">
        <v>255</v>
      </c>
      <c r="AK7140" t="s">
        <v>364</v>
      </c>
    </row>
    <row r="7141" spans="1:37">
      <c r="A7141" t="s">
        <v>46</v>
      </c>
      <c r="B7141" t="s">
        <v>66</v>
      </c>
      <c r="C7141" t="s">
        <v>88</v>
      </c>
      <c r="D7141" t="s">
        <v>76</v>
      </c>
      <c r="E7141" t="s">
        <v>126</v>
      </c>
      <c r="F7141" t="s">
        <v>160</v>
      </c>
      <c r="G7141" t="s">
        <v>186</v>
      </c>
      <c r="H7141" t="s">
        <v>217</v>
      </c>
      <c r="I7141" t="s">
        <v>238</v>
      </c>
      <c r="J7141" t="s">
        <v>256</v>
      </c>
      <c r="K7141" t="s">
        <v>265</v>
      </c>
      <c r="L7141" t="s">
        <v>281</v>
      </c>
      <c r="M7141" t="s">
        <v>290</v>
      </c>
      <c r="N7141" t="s">
        <v>299</v>
      </c>
      <c r="O7141" t="s">
        <v>308</v>
      </c>
      <c r="P7141" t="s">
        <v>228</v>
      </c>
      <c r="Q7141" t="s">
        <v>72</v>
      </c>
      <c r="R7141" t="s">
        <v>327</v>
      </c>
      <c r="S7141" t="s">
        <v>327</v>
      </c>
      <c r="T7141" t="s">
        <v>336</v>
      </c>
      <c r="U7141" t="s">
        <v>336</v>
      </c>
      <c r="V7141" t="s">
        <v>336</v>
      </c>
      <c r="W7141" t="s">
        <v>336</v>
      </c>
      <c r="X7141" t="s">
        <v>353</v>
      </c>
      <c r="AK7141" t="s">
        <v>364</v>
      </c>
    </row>
    <row r="7142" spans="1:37">
      <c r="B7142" t="s">
        <v>67</v>
      </c>
      <c r="C7142" t="s">
        <v>89</v>
      </c>
      <c r="D7142" t="s">
        <v>107</v>
      </c>
      <c r="AK7142" t="s">
        <v>364</v>
      </c>
    </row>
    <row r="7143" spans="1:37">
      <c r="B7143" t="s">
        <v>68</v>
      </c>
      <c r="C7143" t="s">
        <v>90</v>
      </c>
      <c r="D7143" t="s">
        <v>108</v>
      </c>
      <c r="AK7143" t="s">
        <v>364</v>
      </c>
    </row>
    <row r="7144" spans="1:37">
      <c r="A7144" t="s">
        <v>47</v>
      </c>
      <c r="B7144" t="s">
        <v>69</v>
      </c>
      <c r="C7144" t="s">
        <v>91</v>
      </c>
      <c r="D7144" t="s">
        <v>109</v>
      </c>
      <c r="E7144" t="s">
        <v>109</v>
      </c>
      <c r="F7144" t="s">
        <v>109</v>
      </c>
      <c r="G7144" t="s">
        <v>109</v>
      </c>
      <c r="H7144" t="s">
        <v>109</v>
      </c>
      <c r="I7144" t="s">
        <v>239</v>
      </c>
      <c r="AK7144" t="s">
        <v>364</v>
      </c>
    </row>
    <row r="7145" spans="1:37">
      <c r="B7145" t="s">
        <v>70</v>
      </c>
      <c r="C7145" t="s">
        <v>92</v>
      </c>
      <c r="D7145" t="s">
        <v>110</v>
      </c>
      <c r="E7145" t="s">
        <v>127</v>
      </c>
      <c r="F7145" t="s">
        <v>161</v>
      </c>
      <c r="G7145" t="s">
        <v>187</v>
      </c>
      <c r="H7145" t="s">
        <v>218</v>
      </c>
      <c r="AK7145" t="s">
        <v>364</v>
      </c>
    </row>
    <row r="7146" spans="1:37">
      <c r="B7146" t="s">
        <v>71</v>
      </c>
      <c r="C7146" t="s">
        <v>93</v>
      </c>
      <c r="D7146" t="s">
        <v>111</v>
      </c>
      <c r="E7146" t="s">
        <v>128</v>
      </c>
      <c r="F7146" t="s">
        <v>162</v>
      </c>
      <c r="G7146" t="s">
        <v>188</v>
      </c>
      <c r="H7146" t="s">
        <v>219</v>
      </c>
      <c r="I7146" t="s">
        <v>240</v>
      </c>
      <c r="J7146" t="s">
        <v>257</v>
      </c>
      <c r="K7146" t="s">
        <v>269</v>
      </c>
      <c r="L7146" t="s">
        <v>109</v>
      </c>
      <c r="M7146" t="s">
        <v>109</v>
      </c>
      <c r="N7146" t="s">
        <v>109</v>
      </c>
      <c r="O7146" t="s">
        <v>109</v>
      </c>
      <c r="P7146" t="s">
        <v>109</v>
      </c>
      <c r="Q7146" t="s">
        <v>321</v>
      </c>
      <c r="AK7146" t="s">
        <v>364</v>
      </c>
    </row>
    <row r="7147" spans="1:37">
      <c r="A7147" t="s">
        <v>48</v>
      </c>
      <c r="B7147" t="s">
        <v>71</v>
      </c>
      <c r="C7147" t="s">
        <v>93</v>
      </c>
      <c r="D7147" t="s">
        <v>111</v>
      </c>
      <c r="E7147" t="s">
        <v>128</v>
      </c>
      <c r="F7147" t="s">
        <v>163</v>
      </c>
      <c r="G7147" t="s">
        <v>189</v>
      </c>
      <c r="H7147" t="s">
        <v>220</v>
      </c>
      <c r="I7147" t="s">
        <v>241</v>
      </c>
      <c r="J7147" t="s">
        <v>258</v>
      </c>
      <c r="K7147" t="s">
        <v>270</v>
      </c>
      <c r="AK7147" t="s">
        <v>364</v>
      </c>
    </row>
    <row r="7148" spans="1:37">
      <c r="B7148" t="s">
        <v>72</v>
      </c>
      <c r="C7148" t="s">
        <v>72</v>
      </c>
      <c r="D7148" t="s">
        <v>72</v>
      </c>
      <c r="E7148" t="s">
        <v>72</v>
      </c>
      <c r="F7148" t="s">
        <v>72</v>
      </c>
      <c r="G7148" t="s">
        <v>72</v>
      </c>
      <c r="H7148" t="s">
        <v>72</v>
      </c>
      <c r="I7148" t="s">
        <v>72</v>
      </c>
      <c r="J7148" t="s">
        <v>72</v>
      </c>
      <c r="K7148" t="s">
        <v>272</v>
      </c>
      <c r="AK7148" t="s">
        <v>364</v>
      </c>
    </row>
    <row r="7149" spans="1:37">
      <c r="A7149" t="s">
        <v>37</v>
      </c>
      <c r="B7149" t="s">
        <v>49</v>
      </c>
      <c r="C7149" t="s">
        <v>73</v>
      </c>
      <c r="D7149" t="s">
        <v>94</v>
      </c>
      <c r="E7149" t="s">
        <v>112</v>
      </c>
      <c r="F7149" t="s">
        <v>146</v>
      </c>
      <c r="G7149" t="s">
        <v>172</v>
      </c>
      <c r="H7149" t="s">
        <v>207</v>
      </c>
      <c r="I7149" t="s">
        <v>226</v>
      </c>
      <c r="J7149" t="s">
        <v>246</v>
      </c>
      <c r="K7149" t="s">
        <v>259</v>
      </c>
      <c r="AK7149" t="s">
        <v>364</v>
      </c>
    </row>
    <row r="7150" spans="1:37">
      <c r="A7150" t="s">
        <v>38</v>
      </c>
      <c r="B7150" t="s">
        <v>50</v>
      </c>
      <c r="C7150" t="s">
        <v>74</v>
      </c>
      <c r="D7150" t="s">
        <v>95</v>
      </c>
      <c r="E7150" t="s">
        <v>113</v>
      </c>
      <c r="F7150" t="s">
        <v>147</v>
      </c>
      <c r="G7150" t="s">
        <v>173</v>
      </c>
      <c r="H7150" t="s">
        <v>208</v>
      </c>
      <c r="I7150" t="s">
        <v>227</v>
      </c>
      <c r="J7150" t="s">
        <v>115</v>
      </c>
      <c r="K7150" t="s">
        <v>260</v>
      </c>
      <c r="L7150" t="s">
        <v>273</v>
      </c>
      <c r="M7150" t="s">
        <v>282</v>
      </c>
      <c r="N7150" t="s">
        <v>291</v>
      </c>
      <c r="AK7150" t="s">
        <v>364</v>
      </c>
    </row>
    <row r="7151" spans="1:37">
      <c r="B7151" t="s">
        <v>51</v>
      </c>
      <c r="C7151" t="s">
        <v>75</v>
      </c>
      <c r="D7151" t="s">
        <v>52</v>
      </c>
      <c r="E7151" t="s">
        <v>114</v>
      </c>
      <c r="F7151" t="s">
        <v>148</v>
      </c>
      <c r="G7151" t="s">
        <v>148</v>
      </c>
      <c r="H7151" t="s">
        <v>209</v>
      </c>
      <c r="I7151" t="s">
        <v>228</v>
      </c>
      <c r="J7151" t="s">
        <v>247</v>
      </c>
      <c r="K7151" t="s">
        <v>261</v>
      </c>
      <c r="L7151" t="s">
        <v>274</v>
      </c>
      <c r="M7151" t="s">
        <v>283</v>
      </c>
      <c r="N7151" t="s">
        <v>292</v>
      </c>
      <c r="O7151" t="s">
        <v>300</v>
      </c>
      <c r="AK7151" t="s">
        <v>364</v>
      </c>
    </row>
    <row r="7152" spans="1:37">
      <c r="B7152" t="s">
        <v>52</v>
      </c>
      <c r="C7152" t="s">
        <v>76</v>
      </c>
      <c r="D7152" t="s">
        <v>96</v>
      </c>
      <c r="E7152" t="s">
        <v>115</v>
      </c>
      <c r="F7152" t="s">
        <v>149</v>
      </c>
      <c r="G7152" t="s">
        <v>174</v>
      </c>
      <c r="H7152" t="s">
        <v>96</v>
      </c>
      <c r="I7152" t="s">
        <v>229</v>
      </c>
      <c r="J7152" t="s">
        <v>248</v>
      </c>
      <c r="K7152" t="s">
        <v>262</v>
      </c>
      <c r="L7152" t="s">
        <v>52</v>
      </c>
      <c r="M7152" t="s">
        <v>76</v>
      </c>
      <c r="N7152" t="s">
        <v>293</v>
      </c>
      <c r="O7152" t="s">
        <v>301</v>
      </c>
      <c r="P7152" t="s">
        <v>309</v>
      </c>
      <c r="Q7152" t="s">
        <v>315</v>
      </c>
      <c r="R7152" t="s">
        <v>228</v>
      </c>
      <c r="S7152" t="s">
        <v>328</v>
      </c>
      <c r="T7152" t="s">
        <v>149</v>
      </c>
      <c r="U7152" t="s">
        <v>337</v>
      </c>
      <c r="V7152" t="s">
        <v>341</v>
      </c>
      <c r="W7152" t="s">
        <v>345</v>
      </c>
      <c r="X7152" t="s">
        <v>350</v>
      </c>
      <c r="AK7152" t="s">
        <v>364</v>
      </c>
    </row>
    <row r="7153" spans="1:37">
      <c r="B7153" t="s">
        <v>53</v>
      </c>
      <c r="C7153" t="s">
        <v>77</v>
      </c>
      <c r="D7153" t="s">
        <v>97</v>
      </c>
      <c r="E7153" t="s">
        <v>116</v>
      </c>
      <c r="F7153" t="s">
        <v>150</v>
      </c>
      <c r="G7153" t="s">
        <v>175</v>
      </c>
      <c r="H7153" t="s">
        <v>210</v>
      </c>
      <c r="I7153" t="s">
        <v>230</v>
      </c>
      <c r="J7153" t="s">
        <v>249</v>
      </c>
      <c r="K7153" t="s">
        <v>263</v>
      </c>
      <c r="L7153" t="s">
        <v>275</v>
      </c>
      <c r="M7153" t="s">
        <v>284</v>
      </c>
      <c r="N7153" t="s">
        <v>294</v>
      </c>
      <c r="O7153" t="s">
        <v>302</v>
      </c>
      <c r="P7153" t="s">
        <v>310</v>
      </c>
      <c r="Q7153" t="s">
        <v>316</v>
      </c>
      <c r="R7153" t="s">
        <v>322</v>
      </c>
      <c r="S7153" t="s">
        <v>329</v>
      </c>
      <c r="AK7153" t="s">
        <v>364</v>
      </c>
    </row>
    <row r="7154" spans="1:37">
      <c r="A7154" t="s">
        <v>39</v>
      </c>
      <c r="B7154" t="s">
        <v>54</v>
      </c>
      <c r="C7154" t="s">
        <v>54</v>
      </c>
      <c r="D7154" t="s">
        <v>54</v>
      </c>
      <c r="E7154" t="s">
        <v>54</v>
      </c>
      <c r="F7154" t="s">
        <v>54</v>
      </c>
      <c r="G7154" t="s">
        <v>54</v>
      </c>
      <c r="H7154" t="s">
        <v>54</v>
      </c>
      <c r="I7154" t="s">
        <v>54</v>
      </c>
      <c r="J7154" t="s">
        <v>54</v>
      </c>
      <c r="K7154" t="s">
        <v>54</v>
      </c>
      <c r="L7154" t="s">
        <v>54</v>
      </c>
      <c r="M7154" t="s">
        <v>54</v>
      </c>
      <c r="N7154" t="s">
        <v>54</v>
      </c>
      <c r="O7154" t="s">
        <v>54</v>
      </c>
      <c r="P7154" t="s">
        <v>54</v>
      </c>
      <c r="Q7154" t="s">
        <v>54</v>
      </c>
      <c r="R7154" t="s">
        <v>323</v>
      </c>
      <c r="S7154" t="s">
        <v>330</v>
      </c>
      <c r="AK7154" t="s">
        <v>364</v>
      </c>
    </row>
    <row r="7155" spans="1:37">
      <c r="B7155" t="s">
        <v>55</v>
      </c>
      <c r="C7155" t="s">
        <v>78</v>
      </c>
      <c r="D7155" t="s">
        <v>55</v>
      </c>
      <c r="E7155" t="s">
        <v>78</v>
      </c>
      <c r="F7155" t="s">
        <v>55</v>
      </c>
      <c r="G7155" t="s">
        <v>78</v>
      </c>
      <c r="H7155" t="s">
        <v>55</v>
      </c>
      <c r="I7155" t="s">
        <v>78</v>
      </c>
      <c r="J7155" t="s">
        <v>55</v>
      </c>
      <c r="K7155" t="s">
        <v>78</v>
      </c>
      <c r="L7155" t="s">
        <v>55</v>
      </c>
      <c r="M7155" t="s">
        <v>78</v>
      </c>
      <c r="N7155" t="s">
        <v>55</v>
      </c>
      <c r="O7155" t="s">
        <v>78</v>
      </c>
      <c r="P7155" t="s">
        <v>55</v>
      </c>
      <c r="Q7155" t="s">
        <v>78</v>
      </c>
      <c r="R7155" t="s">
        <v>55</v>
      </c>
      <c r="S7155" t="s">
        <v>78</v>
      </c>
      <c r="T7155" t="s">
        <v>55</v>
      </c>
      <c r="U7155" t="s">
        <v>78</v>
      </c>
      <c r="V7155" t="s">
        <v>55</v>
      </c>
      <c r="W7155" t="s">
        <v>78</v>
      </c>
      <c r="X7155" t="s">
        <v>55</v>
      </c>
      <c r="Y7155" t="s">
        <v>78</v>
      </c>
      <c r="Z7155" t="s">
        <v>55</v>
      </c>
      <c r="AA7155" t="s">
        <v>78</v>
      </c>
      <c r="AB7155" t="s">
        <v>55</v>
      </c>
      <c r="AC7155" t="s">
        <v>78</v>
      </c>
      <c r="AD7155" t="s">
        <v>55</v>
      </c>
      <c r="AE7155" t="s">
        <v>78</v>
      </c>
      <c r="AF7155" t="s">
        <v>55</v>
      </c>
      <c r="AG7155" t="s">
        <v>78</v>
      </c>
      <c r="AH7155" t="s">
        <v>55</v>
      </c>
      <c r="AI7155" t="s">
        <v>78</v>
      </c>
      <c r="AK7155" t="s">
        <v>364</v>
      </c>
    </row>
    <row r="7156" spans="1:37">
      <c r="B7156" t="s">
        <v>56</v>
      </c>
      <c r="C7156" t="s">
        <v>56</v>
      </c>
      <c r="D7156" t="s">
        <v>56</v>
      </c>
      <c r="E7156" t="s">
        <v>56</v>
      </c>
      <c r="F7156" t="s">
        <v>56</v>
      </c>
      <c r="G7156" t="s">
        <v>176</v>
      </c>
      <c r="H7156" t="s">
        <v>211</v>
      </c>
      <c r="I7156" t="s">
        <v>231</v>
      </c>
      <c r="J7156" t="s">
        <v>250</v>
      </c>
      <c r="K7156" t="s">
        <v>264</v>
      </c>
      <c r="L7156" t="s">
        <v>276</v>
      </c>
      <c r="M7156" t="s">
        <v>285</v>
      </c>
      <c r="N7156" t="s">
        <v>295</v>
      </c>
      <c r="O7156" t="s">
        <v>303</v>
      </c>
      <c r="P7156" t="s">
        <v>56</v>
      </c>
      <c r="Q7156" t="s">
        <v>317</v>
      </c>
      <c r="R7156" t="s">
        <v>324</v>
      </c>
      <c r="S7156" t="s">
        <v>331</v>
      </c>
      <c r="T7156" t="s">
        <v>334</v>
      </c>
      <c r="U7156" t="s">
        <v>338</v>
      </c>
      <c r="V7156" t="s">
        <v>342</v>
      </c>
      <c r="W7156" t="s">
        <v>346</v>
      </c>
      <c r="X7156" t="s">
        <v>351</v>
      </c>
      <c r="AK7156" t="s">
        <v>364</v>
      </c>
    </row>
    <row r="7157" spans="1:37">
      <c r="B7157" t="s">
        <v>57</v>
      </c>
      <c r="C7157" t="s">
        <v>79</v>
      </c>
      <c r="D7157" t="s">
        <v>98</v>
      </c>
      <c r="E7157" t="s">
        <v>117</v>
      </c>
      <c r="F7157" t="s">
        <v>151</v>
      </c>
      <c r="G7157" t="s">
        <v>177</v>
      </c>
      <c r="H7157" t="s">
        <v>212</v>
      </c>
      <c r="I7157" t="s">
        <v>232</v>
      </c>
      <c r="J7157" t="s">
        <v>251</v>
      </c>
      <c r="K7157" t="s">
        <v>265</v>
      </c>
      <c r="L7157" t="s">
        <v>277</v>
      </c>
      <c r="M7157" t="s">
        <v>286</v>
      </c>
      <c r="N7157" t="s">
        <v>296</v>
      </c>
      <c r="O7157" t="s">
        <v>304</v>
      </c>
      <c r="P7157" t="s">
        <v>311</v>
      </c>
      <c r="Q7157" t="s">
        <v>318</v>
      </c>
      <c r="R7157" t="s">
        <v>185</v>
      </c>
      <c r="S7157" t="s">
        <v>159</v>
      </c>
      <c r="T7157" t="s">
        <v>185</v>
      </c>
      <c r="U7157" t="s">
        <v>339</v>
      </c>
      <c r="V7157" t="s">
        <v>72</v>
      </c>
      <c r="W7157" t="s">
        <v>347</v>
      </c>
      <c r="X7157" t="s">
        <v>72</v>
      </c>
      <c r="Y7157" t="s">
        <v>96</v>
      </c>
      <c r="AK7157" t="s">
        <v>364</v>
      </c>
    </row>
    <row r="7158" spans="1:37">
      <c r="B7158" t="s">
        <v>58</v>
      </c>
      <c r="C7158" t="s">
        <v>80</v>
      </c>
      <c r="D7158" t="s">
        <v>99</v>
      </c>
      <c r="E7158" t="s">
        <v>118</v>
      </c>
      <c r="F7158" t="s">
        <v>152</v>
      </c>
      <c r="G7158" t="s">
        <v>178</v>
      </c>
      <c r="H7158" t="s">
        <v>213</v>
      </c>
      <c r="I7158" t="s">
        <v>233</v>
      </c>
      <c r="J7158" t="s">
        <v>252</v>
      </c>
      <c r="K7158" t="s">
        <v>266</v>
      </c>
      <c r="L7158" t="s">
        <v>278</v>
      </c>
      <c r="M7158" t="s">
        <v>287</v>
      </c>
      <c r="N7158" t="s">
        <v>297</v>
      </c>
      <c r="O7158" t="s">
        <v>305</v>
      </c>
      <c r="P7158" t="s">
        <v>312</v>
      </c>
      <c r="Q7158" t="s">
        <v>319</v>
      </c>
      <c r="R7158">
        <f>&gt;10       ветра      1.8     18  12</f>
        <v>0</v>
      </c>
      <c r="AK7158" t="s">
        <v>364</v>
      </c>
    </row>
    <row r="7159" spans="1:37">
      <c r="A7159" t="s">
        <v>40</v>
      </c>
      <c r="B7159" t="s">
        <v>59</v>
      </c>
      <c r="C7159" t="s">
        <v>81</v>
      </c>
      <c r="D7159" t="s">
        <v>100</v>
      </c>
      <c r="E7159" t="s">
        <v>119</v>
      </c>
      <c r="F7159" t="s">
        <v>153</v>
      </c>
      <c r="G7159" t="s">
        <v>179</v>
      </c>
      <c r="H7159" t="s">
        <v>214</v>
      </c>
      <c r="I7159" t="s">
        <v>234</v>
      </c>
      <c r="AK7159" t="s">
        <v>364</v>
      </c>
    </row>
    <row r="7160" spans="1:37">
      <c r="A7160" t="s">
        <v>40</v>
      </c>
      <c r="B7160" t="s">
        <v>60</v>
      </c>
      <c r="C7160" t="s">
        <v>82</v>
      </c>
      <c r="D7160" t="s">
        <v>101</v>
      </c>
      <c r="E7160" t="s">
        <v>120</v>
      </c>
      <c r="F7160" t="s">
        <v>154</v>
      </c>
      <c r="G7160" t="s">
        <v>180</v>
      </c>
      <c r="H7160" t="s">
        <v>215</v>
      </c>
      <c r="I7160" t="s">
        <v>235</v>
      </c>
      <c r="J7160" t="s">
        <v>253</v>
      </c>
      <c r="K7160" t="s">
        <v>267</v>
      </c>
      <c r="L7160" t="s">
        <v>279</v>
      </c>
      <c r="M7160" t="s">
        <v>288</v>
      </c>
      <c r="N7160" t="s">
        <v>100</v>
      </c>
      <c r="O7160" t="s">
        <v>306</v>
      </c>
      <c r="P7160" t="s">
        <v>313</v>
      </c>
      <c r="Q7160" t="s">
        <v>320</v>
      </c>
      <c r="R7160" t="s">
        <v>325</v>
      </c>
      <c r="S7160" t="s">
        <v>332</v>
      </c>
      <c r="T7160" t="s">
        <v>119</v>
      </c>
      <c r="U7160" t="s">
        <v>234</v>
      </c>
      <c r="V7160" t="s">
        <v>343</v>
      </c>
      <c r="W7160" t="s">
        <v>348</v>
      </c>
      <c r="X7160" t="s">
        <v>352</v>
      </c>
      <c r="Y7160" t="s">
        <v>354</v>
      </c>
      <c r="AK7160" t="s">
        <v>364</v>
      </c>
    </row>
    <row r="7161" spans="1:37">
      <c r="A7161" t="s">
        <v>41</v>
      </c>
      <c r="B7161" t="s">
        <v>61</v>
      </c>
      <c r="C7161" t="s">
        <v>83</v>
      </c>
      <c r="D7161" t="s">
        <v>102</v>
      </c>
      <c r="E7161" t="s">
        <v>121</v>
      </c>
      <c r="F7161" t="s">
        <v>155</v>
      </c>
      <c r="G7161" t="s">
        <v>181</v>
      </c>
      <c r="H7161" t="s">
        <v>216</v>
      </c>
      <c r="I7161" t="s">
        <v>236</v>
      </c>
      <c r="AK7161" t="s">
        <v>364</v>
      </c>
    </row>
    <row r="7162" spans="1:37">
      <c r="A7162" t="s">
        <v>42</v>
      </c>
      <c r="B7162" t="s">
        <v>62</v>
      </c>
      <c r="C7162" t="s">
        <v>84</v>
      </c>
      <c r="D7162" t="s">
        <v>103</v>
      </c>
      <c r="E7162" t="s">
        <v>122</v>
      </c>
      <c r="F7162" t="s">
        <v>156</v>
      </c>
      <c r="G7162" t="s">
        <v>182</v>
      </c>
      <c r="H7162" t="s">
        <v>83</v>
      </c>
      <c r="I7162" t="s">
        <v>237</v>
      </c>
      <c r="J7162" t="s">
        <v>254</v>
      </c>
      <c r="K7162" t="s">
        <v>268</v>
      </c>
      <c r="L7162" t="s">
        <v>280</v>
      </c>
      <c r="M7162" t="s">
        <v>289</v>
      </c>
      <c r="N7162" t="s">
        <v>298</v>
      </c>
      <c r="O7162" t="s">
        <v>307</v>
      </c>
      <c r="P7162" t="s">
        <v>314</v>
      </c>
      <c r="Q7162" t="s">
        <v>216</v>
      </c>
      <c r="R7162" t="s">
        <v>326</v>
      </c>
      <c r="S7162" t="s">
        <v>333</v>
      </c>
      <c r="T7162" t="s">
        <v>335</v>
      </c>
      <c r="U7162" t="s">
        <v>340</v>
      </c>
      <c r="V7162" t="s">
        <v>344</v>
      </c>
      <c r="W7162" t="s">
        <v>349</v>
      </c>
      <c r="AK7162" t="s">
        <v>364</v>
      </c>
    </row>
    <row r="7163" spans="1:37">
      <c r="A7163" t="s">
        <v>43</v>
      </c>
      <c r="B7163" t="s">
        <v>63</v>
      </c>
      <c r="C7163" t="s">
        <v>85</v>
      </c>
      <c r="D7163" t="s">
        <v>104</v>
      </c>
      <c r="E7163" t="s">
        <v>123</v>
      </c>
      <c r="F7163" t="s">
        <v>157</v>
      </c>
      <c r="G7163" t="s">
        <v>183</v>
      </c>
      <c r="AK7163" t="s">
        <v>364</v>
      </c>
    </row>
    <row r="7164" spans="1:37">
      <c r="A7164" t="s">
        <v>44</v>
      </c>
      <c r="B7164" t="s">
        <v>64</v>
      </c>
      <c r="C7164" t="s">
        <v>86</v>
      </c>
      <c r="D7164" t="s">
        <v>105</v>
      </c>
      <c r="E7164" t="s">
        <v>124</v>
      </c>
      <c r="F7164" t="s">
        <v>158</v>
      </c>
      <c r="G7164" t="s">
        <v>184</v>
      </c>
      <c r="AK7164" t="s">
        <v>364</v>
      </c>
    </row>
    <row r="7165" spans="1:37">
      <c r="A7165" t="s">
        <v>45</v>
      </c>
      <c r="B7165" t="s">
        <v>65</v>
      </c>
      <c r="C7165" t="s">
        <v>87</v>
      </c>
      <c r="D7165" t="s">
        <v>106</v>
      </c>
      <c r="E7165" t="s">
        <v>125</v>
      </c>
      <c r="F7165" t="s">
        <v>159</v>
      </c>
      <c r="G7165" t="s">
        <v>185</v>
      </c>
      <c r="H7165" t="s">
        <v>159</v>
      </c>
      <c r="I7165" t="s">
        <v>185</v>
      </c>
      <c r="J7165" t="s">
        <v>255</v>
      </c>
      <c r="AK7165" t="s">
        <v>364</v>
      </c>
    </row>
    <row r="7166" spans="1:37">
      <c r="A7166" t="s">
        <v>46</v>
      </c>
      <c r="B7166" t="s">
        <v>66</v>
      </c>
      <c r="C7166" t="s">
        <v>88</v>
      </c>
      <c r="D7166" t="s">
        <v>76</v>
      </c>
      <c r="E7166" t="s">
        <v>126</v>
      </c>
      <c r="F7166" t="s">
        <v>160</v>
      </c>
      <c r="G7166" t="s">
        <v>186</v>
      </c>
      <c r="H7166" t="s">
        <v>217</v>
      </c>
      <c r="I7166" t="s">
        <v>238</v>
      </c>
      <c r="J7166" t="s">
        <v>256</v>
      </c>
      <c r="K7166" t="s">
        <v>265</v>
      </c>
      <c r="L7166" t="s">
        <v>281</v>
      </c>
      <c r="M7166" t="s">
        <v>290</v>
      </c>
      <c r="N7166" t="s">
        <v>299</v>
      </c>
      <c r="O7166" t="s">
        <v>308</v>
      </c>
      <c r="P7166" t="s">
        <v>228</v>
      </c>
      <c r="Q7166" t="s">
        <v>72</v>
      </c>
      <c r="R7166" t="s">
        <v>327</v>
      </c>
      <c r="S7166" t="s">
        <v>327</v>
      </c>
      <c r="T7166" t="s">
        <v>336</v>
      </c>
      <c r="U7166" t="s">
        <v>336</v>
      </c>
      <c r="V7166" t="s">
        <v>336</v>
      </c>
      <c r="W7166" t="s">
        <v>336</v>
      </c>
      <c r="X7166" t="s">
        <v>353</v>
      </c>
      <c r="AK7166" t="s">
        <v>364</v>
      </c>
    </row>
    <row r="7167" spans="1:37">
      <c r="B7167" t="s">
        <v>67</v>
      </c>
      <c r="C7167" t="s">
        <v>89</v>
      </c>
      <c r="D7167" t="s">
        <v>107</v>
      </c>
      <c r="AK7167" t="s">
        <v>364</v>
      </c>
    </row>
    <row r="7168" spans="1:37">
      <c r="B7168" t="s">
        <v>68</v>
      </c>
      <c r="C7168" t="s">
        <v>90</v>
      </c>
      <c r="D7168" t="s">
        <v>108</v>
      </c>
      <c r="AK7168" t="s">
        <v>364</v>
      </c>
    </row>
    <row r="7169" spans="1:37">
      <c r="A7169" t="s">
        <v>47</v>
      </c>
      <c r="B7169" t="s">
        <v>69</v>
      </c>
      <c r="C7169" t="s">
        <v>91</v>
      </c>
      <c r="D7169" t="s">
        <v>109</v>
      </c>
      <c r="E7169" t="s">
        <v>109</v>
      </c>
      <c r="F7169" t="s">
        <v>109</v>
      </c>
      <c r="G7169" t="s">
        <v>109</v>
      </c>
      <c r="H7169" t="s">
        <v>109</v>
      </c>
      <c r="I7169" t="s">
        <v>239</v>
      </c>
      <c r="AK7169" t="s">
        <v>364</v>
      </c>
    </row>
    <row r="7170" spans="1:37">
      <c r="B7170" t="s">
        <v>70</v>
      </c>
      <c r="C7170" t="s">
        <v>92</v>
      </c>
      <c r="D7170" t="s">
        <v>110</v>
      </c>
      <c r="E7170" t="s">
        <v>127</v>
      </c>
      <c r="F7170" t="s">
        <v>161</v>
      </c>
      <c r="G7170" t="s">
        <v>187</v>
      </c>
      <c r="H7170" t="s">
        <v>218</v>
      </c>
      <c r="AK7170" t="s">
        <v>364</v>
      </c>
    </row>
    <row r="7171" spans="1:37">
      <c r="B7171" t="s">
        <v>71</v>
      </c>
      <c r="C7171" t="s">
        <v>93</v>
      </c>
      <c r="D7171" t="s">
        <v>111</v>
      </c>
      <c r="E7171" t="s">
        <v>128</v>
      </c>
      <c r="F7171" t="s">
        <v>162</v>
      </c>
      <c r="G7171" t="s">
        <v>188</v>
      </c>
      <c r="H7171" t="s">
        <v>219</v>
      </c>
      <c r="I7171" t="s">
        <v>240</v>
      </c>
      <c r="J7171" t="s">
        <v>257</v>
      </c>
      <c r="K7171" t="s">
        <v>269</v>
      </c>
      <c r="L7171" t="s">
        <v>109</v>
      </c>
      <c r="M7171" t="s">
        <v>109</v>
      </c>
      <c r="N7171" t="s">
        <v>109</v>
      </c>
      <c r="O7171" t="s">
        <v>109</v>
      </c>
      <c r="P7171" t="s">
        <v>109</v>
      </c>
      <c r="Q7171" t="s">
        <v>321</v>
      </c>
      <c r="AK7171" t="s">
        <v>364</v>
      </c>
    </row>
    <row r="7172" spans="1:37">
      <c r="A7172" t="s">
        <v>48</v>
      </c>
      <c r="B7172" t="s">
        <v>71</v>
      </c>
      <c r="C7172" t="s">
        <v>93</v>
      </c>
      <c r="D7172" t="s">
        <v>111</v>
      </c>
      <c r="E7172" t="s">
        <v>128</v>
      </c>
      <c r="F7172" t="s">
        <v>163</v>
      </c>
      <c r="G7172" t="s">
        <v>189</v>
      </c>
      <c r="H7172" t="s">
        <v>220</v>
      </c>
      <c r="I7172" t="s">
        <v>241</v>
      </c>
      <c r="J7172" t="s">
        <v>258</v>
      </c>
      <c r="K7172" t="s">
        <v>270</v>
      </c>
      <c r="AK7172" t="s">
        <v>364</v>
      </c>
    </row>
    <row r="7173" spans="1:37">
      <c r="B7173" t="s">
        <v>72</v>
      </c>
      <c r="C7173" t="s">
        <v>72</v>
      </c>
      <c r="D7173" t="s">
        <v>72</v>
      </c>
      <c r="E7173" t="s">
        <v>139</v>
      </c>
      <c r="F7173" t="s">
        <v>139</v>
      </c>
      <c r="G7173" t="s">
        <v>192</v>
      </c>
      <c r="H7173" t="s">
        <v>192</v>
      </c>
      <c r="I7173" t="s">
        <v>192</v>
      </c>
      <c r="J7173" t="s">
        <v>192</v>
      </c>
      <c r="K7173" t="s">
        <v>271</v>
      </c>
      <c r="AK7173" t="s">
        <v>364</v>
      </c>
    </row>
    <row r="7174" spans="1:37">
      <c r="A7174" t="s">
        <v>37</v>
      </c>
      <c r="B7174" t="s">
        <v>49</v>
      </c>
      <c r="C7174" t="s">
        <v>73</v>
      </c>
      <c r="D7174" t="s">
        <v>94</v>
      </c>
      <c r="E7174" t="s">
        <v>112</v>
      </c>
      <c r="F7174" t="s">
        <v>146</v>
      </c>
      <c r="G7174" t="s">
        <v>172</v>
      </c>
      <c r="H7174" t="s">
        <v>207</v>
      </c>
      <c r="I7174" t="s">
        <v>226</v>
      </c>
      <c r="J7174" t="s">
        <v>246</v>
      </c>
      <c r="K7174" t="s">
        <v>259</v>
      </c>
      <c r="AK7174" t="s">
        <v>364</v>
      </c>
    </row>
    <row r="7175" spans="1:37">
      <c r="A7175" t="s">
        <v>38</v>
      </c>
      <c r="B7175" t="s">
        <v>50</v>
      </c>
      <c r="C7175" t="s">
        <v>74</v>
      </c>
      <c r="D7175" t="s">
        <v>95</v>
      </c>
      <c r="E7175" t="s">
        <v>113</v>
      </c>
      <c r="F7175" t="s">
        <v>147</v>
      </c>
      <c r="G7175" t="s">
        <v>173</v>
      </c>
      <c r="H7175" t="s">
        <v>208</v>
      </c>
      <c r="I7175" t="s">
        <v>227</v>
      </c>
      <c r="J7175" t="s">
        <v>115</v>
      </c>
      <c r="K7175" t="s">
        <v>260</v>
      </c>
      <c r="L7175" t="s">
        <v>273</v>
      </c>
      <c r="M7175" t="s">
        <v>282</v>
      </c>
      <c r="N7175" t="s">
        <v>291</v>
      </c>
      <c r="AK7175" t="s">
        <v>364</v>
      </c>
    </row>
    <row r="7176" spans="1:37">
      <c r="B7176" t="s">
        <v>51</v>
      </c>
      <c r="C7176" t="s">
        <v>75</v>
      </c>
      <c r="D7176" t="s">
        <v>52</v>
      </c>
      <c r="E7176" t="s">
        <v>114</v>
      </c>
      <c r="F7176" t="s">
        <v>148</v>
      </c>
      <c r="G7176" t="s">
        <v>148</v>
      </c>
      <c r="H7176" t="s">
        <v>209</v>
      </c>
      <c r="I7176" t="s">
        <v>228</v>
      </c>
      <c r="J7176" t="s">
        <v>247</v>
      </c>
      <c r="K7176" t="s">
        <v>261</v>
      </c>
      <c r="L7176" t="s">
        <v>274</v>
      </c>
      <c r="M7176" t="s">
        <v>283</v>
      </c>
      <c r="N7176" t="s">
        <v>292</v>
      </c>
      <c r="O7176" t="s">
        <v>300</v>
      </c>
      <c r="AK7176" t="s">
        <v>364</v>
      </c>
    </row>
    <row r="7177" spans="1:37">
      <c r="B7177" t="s">
        <v>52</v>
      </c>
      <c r="C7177" t="s">
        <v>76</v>
      </c>
      <c r="D7177" t="s">
        <v>96</v>
      </c>
      <c r="E7177" t="s">
        <v>115</v>
      </c>
      <c r="F7177" t="s">
        <v>149</v>
      </c>
      <c r="G7177" t="s">
        <v>174</v>
      </c>
      <c r="H7177" t="s">
        <v>96</v>
      </c>
      <c r="I7177" t="s">
        <v>229</v>
      </c>
      <c r="J7177" t="s">
        <v>248</v>
      </c>
      <c r="K7177" t="s">
        <v>262</v>
      </c>
      <c r="L7177" t="s">
        <v>52</v>
      </c>
      <c r="M7177" t="s">
        <v>76</v>
      </c>
      <c r="N7177" t="s">
        <v>293</v>
      </c>
      <c r="O7177" t="s">
        <v>301</v>
      </c>
      <c r="P7177" t="s">
        <v>309</v>
      </c>
      <c r="Q7177" t="s">
        <v>315</v>
      </c>
      <c r="R7177" t="s">
        <v>228</v>
      </c>
      <c r="S7177" t="s">
        <v>328</v>
      </c>
      <c r="T7177" t="s">
        <v>149</v>
      </c>
      <c r="U7177" t="s">
        <v>337</v>
      </c>
      <c r="V7177" t="s">
        <v>341</v>
      </c>
      <c r="W7177" t="s">
        <v>345</v>
      </c>
      <c r="X7177" t="s">
        <v>350</v>
      </c>
      <c r="AK7177" t="s">
        <v>364</v>
      </c>
    </row>
    <row r="7178" spans="1:37">
      <c r="B7178" t="s">
        <v>53</v>
      </c>
      <c r="C7178" t="s">
        <v>77</v>
      </c>
      <c r="D7178" t="s">
        <v>97</v>
      </c>
      <c r="E7178" t="s">
        <v>116</v>
      </c>
      <c r="F7178" t="s">
        <v>150</v>
      </c>
      <c r="G7178" t="s">
        <v>175</v>
      </c>
      <c r="H7178" t="s">
        <v>210</v>
      </c>
      <c r="I7178" t="s">
        <v>230</v>
      </c>
      <c r="J7178" t="s">
        <v>249</v>
      </c>
      <c r="K7178" t="s">
        <v>263</v>
      </c>
      <c r="L7178" t="s">
        <v>275</v>
      </c>
      <c r="M7178" t="s">
        <v>284</v>
      </c>
      <c r="N7178" t="s">
        <v>294</v>
      </c>
      <c r="O7178" t="s">
        <v>302</v>
      </c>
      <c r="P7178" t="s">
        <v>310</v>
      </c>
      <c r="Q7178" t="s">
        <v>316</v>
      </c>
      <c r="R7178" t="s">
        <v>322</v>
      </c>
      <c r="S7178" t="s">
        <v>329</v>
      </c>
      <c r="AK7178" t="s">
        <v>364</v>
      </c>
    </row>
    <row r="7179" spans="1:37">
      <c r="A7179" t="s">
        <v>39</v>
      </c>
      <c r="B7179" t="s">
        <v>54</v>
      </c>
      <c r="C7179" t="s">
        <v>54</v>
      </c>
      <c r="D7179" t="s">
        <v>54</v>
      </c>
      <c r="E7179" t="s">
        <v>54</v>
      </c>
      <c r="F7179" t="s">
        <v>54</v>
      </c>
      <c r="G7179" t="s">
        <v>54</v>
      </c>
      <c r="H7179" t="s">
        <v>54</v>
      </c>
      <c r="I7179" t="s">
        <v>54</v>
      </c>
      <c r="J7179" t="s">
        <v>54</v>
      </c>
      <c r="K7179" t="s">
        <v>54</v>
      </c>
      <c r="L7179" t="s">
        <v>54</v>
      </c>
      <c r="M7179" t="s">
        <v>54</v>
      </c>
      <c r="N7179" t="s">
        <v>54</v>
      </c>
      <c r="O7179" t="s">
        <v>54</v>
      </c>
      <c r="P7179" t="s">
        <v>54</v>
      </c>
      <c r="Q7179" t="s">
        <v>54</v>
      </c>
      <c r="R7179" t="s">
        <v>323</v>
      </c>
      <c r="S7179" t="s">
        <v>330</v>
      </c>
      <c r="AK7179" t="s">
        <v>364</v>
      </c>
    </row>
    <row r="7180" spans="1:37">
      <c r="B7180" t="s">
        <v>55</v>
      </c>
      <c r="C7180" t="s">
        <v>78</v>
      </c>
      <c r="D7180" t="s">
        <v>55</v>
      </c>
      <c r="E7180" t="s">
        <v>78</v>
      </c>
      <c r="F7180" t="s">
        <v>55</v>
      </c>
      <c r="G7180" t="s">
        <v>78</v>
      </c>
      <c r="H7180" t="s">
        <v>55</v>
      </c>
      <c r="I7180" t="s">
        <v>78</v>
      </c>
      <c r="J7180" t="s">
        <v>55</v>
      </c>
      <c r="K7180" t="s">
        <v>78</v>
      </c>
      <c r="L7180" t="s">
        <v>55</v>
      </c>
      <c r="M7180" t="s">
        <v>78</v>
      </c>
      <c r="N7180" t="s">
        <v>55</v>
      </c>
      <c r="O7180" t="s">
        <v>78</v>
      </c>
      <c r="P7180" t="s">
        <v>55</v>
      </c>
      <c r="Q7180" t="s">
        <v>78</v>
      </c>
      <c r="R7180" t="s">
        <v>55</v>
      </c>
      <c r="S7180" t="s">
        <v>78</v>
      </c>
      <c r="T7180" t="s">
        <v>55</v>
      </c>
      <c r="U7180" t="s">
        <v>78</v>
      </c>
      <c r="V7180" t="s">
        <v>55</v>
      </c>
      <c r="W7180" t="s">
        <v>78</v>
      </c>
      <c r="X7180" t="s">
        <v>55</v>
      </c>
      <c r="Y7180" t="s">
        <v>78</v>
      </c>
      <c r="Z7180" t="s">
        <v>55</v>
      </c>
      <c r="AA7180" t="s">
        <v>78</v>
      </c>
      <c r="AB7180" t="s">
        <v>55</v>
      </c>
      <c r="AC7180" t="s">
        <v>78</v>
      </c>
      <c r="AD7180" t="s">
        <v>55</v>
      </c>
      <c r="AE7180" t="s">
        <v>78</v>
      </c>
      <c r="AF7180" t="s">
        <v>55</v>
      </c>
      <c r="AG7180" t="s">
        <v>78</v>
      </c>
      <c r="AH7180" t="s">
        <v>55</v>
      </c>
      <c r="AI7180" t="s">
        <v>78</v>
      </c>
      <c r="AK7180" t="s">
        <v>364</v>
      </c>
    </row>
    <row r="7181" spans="1:37">
      <c r="B7181" t="s">
        <v>56</v>
      </c>
      <c r="C7181" t="s">
        <v>56</v>
      </c>
      <c r="D7181" t="s">
        <v>56</v>
      </c>
      <c r="E7181" t="s">
        <v>56</v>
      </c>
      <c r="F7181" t="s">
        <v>56</v>
      </c>
      <c r="G7181" t="s">
        <v>176</v>
      </c>
      <c r="H7181" t="s">
        <v>211</v>
      </c>
      <c r="I7181" t="s">
        <v>231</v>
      </c>
      <c r="J7181" t="s">
        <v>250</v>
      </c>
      <c r="K7181" t="s">
        <v>264</v>
      </c>
      <c r="L7181" t="s">
        <v>276</v>
      </c>
      <c r="M7181" t="s">
        <v>285</v>
      </c>
      <c r="N7181" t="s">
        <v>295</v>
      </c>
      <c r="O7181" t="s">
        <v>303</v>
      </c>
      <c r="P7181" t="s">
        <v>56</v>
      </c>
      <c r="Q7181" t="s">
        <v>317</v>
      </c>
      <c r="R7181" t="s">
        <v>324</v>
      </c>
      <c r="S7181" t="s">
        <v>331</v>
      </c>
      <c r="T7181" t="s">
        <v>334</v>
      </c>
      <c r="U7181" t="s">
        <v>338</v>
      </c>
      <c r="V7181" t="s">
        <v>342</v>
      </c>
      <c r="W7181" t="s">
        <v>346</v>
      </c>
      <c r="X7181" t="s">
        <v>351</v>
      </c>
      <c r="AK7181" t="s">
        <v>364</v>
      </c>
    </row>
    <row r="7182" spans="1:37">
      <c r="B7182" t="s">
        <v>57</v>
      </c>
      <c r="C7182" t="s">
        <v>79</v>
      </c>
      <c r="D7182" t="s">
        <v>98</v>
      </c>
      <c r="E7182" t="s">
        <v>117</v>
      </c>
      <c r="F7182" t="s">
        <v>151</v>
      </c>
      <c r="G7182" t="s">
        <v>177</v>
      </c>
      <c r="H7182" t="s">
        <v>212</v>
      </c>
      <c r="I7182" t="s">
        <v>232</v>
      </c>
      <c r="J7182" t="s">
        <v>251</v>
      </c>
      <c r="K7182" t="s">
        <v>265</v>
      </c>
      <c r="L7182" t="s">
        <v>277</v>
      </c>
      <c r="M7182" t="s">
        <v>286</v>
      </c>
      <c r="N7182" t="s">
        <v>296</v>
      </c>
      <c r="O7182" t="s">
        <v>304</v>
      </c>
      <c r="P7182" t="s">
        <v>311</v>
      </c>
      <c r="Q7182" t="s">
        <v>318</v>
      </c>
      <c r="R7182" t="s">
        <v>185</v>
      </c>
      <c r="S7182" t="s">
        <v>159</v>
      </c>
      <c r="T7182" t="s">
        <v>185</v>
      </c>
      <c r="U7182" t="s">
        <v>339</v>
      </c>
      <c r="V7182" t="s">
        <v>72</v>
      </c>
      <c r="W7182" t="s">
        <v>347</v>
      </c>
      <c r="X7182" t="s">
        <v>72</v>
      </c>
      <c r="Y7182" t="s">
        <v>96</v>
      </c>
      <c r="AK7182" t="s">
        <v>364</v>
      </c>
    </row>
    <row r="7183" spans="1:37">
      <c r="B7183" t="s">
        <v>58</v>
      </c>
      <c r="C7183" t="s">
        <v>80</v>
      </c>
      <c r="D7183" t="s">
        <v>99</v>
      </c>
      <c r="E7183" t="s">
        <v>118</v>
      </c>
      <c r="F7183" t="s">
        <v>152</v>
      </c>
      <c r="G7183" t="s">
        <v>178</v>
      </c>
      <c r="H7183" t="s">
        <v>213</v>
      </c>
      <c r="I7183" t="s">
        <v>233</v>
      </c>
      <c r="J7183" t="s">
        <v>252</v>
      </c>
      <c r="K7183" t="s">
        <v>266</v>
      </c>
      <c r="L7183" t="s">
        <v>278</v>
      </c>
      <c r="M7183" t="s">
        <v>287</v>
      </c>
      <c r="N7183" t="s">
        <v>297</v>
      </c>
      <c r="O7183" t="s">
        <v>305</v>
      </c>
      <c r="P7183" t="s">
        <v>312</v>
      </c>
      <c r="Q7183" t="s">
        <v>319</v>
      </c>
      <c r="R7183">
        <f>&gt;10       ветра      2.3     18  12</f>
        <v>0</v>
      </c>
      <c r="AK7183" t="s">
        <v>364</v>
      </c>
    </row>
    <row r="7184" spans="1:37">
      <c r="A7184" t="s">
        <v>40</v>
      </c>
      <c r="B7184" t="s">
        <v>59</v>
      </c>
      <c r="C7184" t="s">
        <v>81</v>
      </c>
      <c r="D7184" t="s">
        <v>100</v>
      </c>
      <c r="E7184" t="s">
        <v>119</v>
      </c>
      <c r="F7184" t="s">
        <v>153</v>
      </c>
      <c r="G7184" t="s">
        <v>179</v>
      </c>
      <c r="H7184" t="s">
        <v>214</v>
      </c>
      <c r="I7184" t="s">
        <v>234</v>
      </c>
      <c r="AK7184" t="s">
        <v>364</v>
      </c>
    </row>
    <row r="7185" spans="1:37">
      <c r="A7185" t="s">
        <v>40</v>
      </c>
      <c r="B7185" t="s">
        <v>60</v>
      </c>
      <c r="C7185" t="s">
        <v>82</v>
      </c>
      <c r="D7185" t="s">
        <v>101</v>
      </c>
      <c r="E7185" t="s">
        <v>120</v>
      </c>
      <c r="F7185" t="s">
        <v>154</v>
      </c>
      <c r="G7185" t="s">
        <v>180</v>
      </c>
      <c r="H7185" t="s">
        <v>215</v>
      </c>
      <c r="I7185" t="s">
        <v>235</v>
      </c>
      <c r="J7185" t="s">
        <v>253</v>
      </c>
      <c r="K7185" t="s">
        <v>267</v>
      </c>
      <c r="L7185" t="s">
        <v>279</v>
      </c>
      <c r="M7185" t="s">
        <v>288</v>
      </c>
      <c r="N7185" t="s">
        <v>100</v>
      </c>
      <c r="O7185" t="s">
        <v>306</v>
      </c>
      <c r="P7185" t="s">
        <v>313</v>
      </c>
      <c r="Q7185" t="s">
        <v>320</v>
      </c>
      <c r="R7185" t="s">
        <v>325</v>
      </c>
      <c r="S7185" t="s">
        <v>332</v>
      </c>
      <c r="T7185" t="s">
        <v>119</v>
      </c>
      <c r="U7185" t="s">
        <v>234</v>
      </c>
      <c r="V7185" t="s">
        <v>343</v>
      </c>
      <c r="W7185" t="s">
        <v>348</v>
      </c>
      <c r="X7185" t="s">
        <v>352</v>
      </c>
      <c r="Y7185" t="s">
        <v>354</v>
      </c>
      <c r="AK7185" t="s">
        <v>364</v>
      </c>
    </row>
    <row r="7186" spans="1:37">
      <c r="A7186" t="s">
        <v>41</v>
      </c>
      <c r="B7186" t="s">
        <v>61</v>
      </c>
      <c r="C7186" t="s">
        <v>83</v>
      </c>
      <c r="D7186" t="s">
        <v>102</v>
      </c>
      <c r="E7186" t="s">
        <v>121</v>
      </c>
      <c r="F7186" t="s">
        <v>155</v>
      </c>
      <c r="G7186" t="s">
        <v>181</v>
      </c>
      <c r="H7186" t="s">
        <v>216</v>
      </c>
      <c r="I7186" t="s">
        <v>236</v>
      </c>
      <c r="AK7186" t="s">
        <v>364</v>
      </c>
    </row>
    <row r="7187" spans="1:37">
      <c r="A7187" t="s">
        <v>42</v>
      </c>
      <c r="B7187" t="s">
        <v>62</v>
      </c>
      <c r="C7187" t="s">
        <v>84</v>
      </c>
      <c r="D7187" t="s">
        <v>103</v>
      </c>
      <c r="E7187" t="s">
        <v>122</v>
      </c>
      <c r="F7187" t="s">
        <v>156</v>
      </c>
      <c r="G7187" t="s">
        <v>182</v>
      </c>
      <c r="H7187" t="s">
        <v>83</v>
      </c>
      <c r="I7187" t="s">
        <v>237</v>
      </c>
      <c r="J7187" t="s">
        <v>254</v>
      </c>
      <c r="K7187" t="s">
        <v>268</v>
      </c>
      <c r="L7187" t="s">
        <v>280</v>
      </c>
      <c r="M7187" t="s">
        <v>289</v>
      </c>
      <c r="N7187" t="s">
        <v>298</v>
      </c>
      <c r="O7187" t="s">
        <v>307</v>
      </c>
      <c r="P7187" t="s">
        <v>314</v>
      </c>
      <c r="Q7187" t="s">
        <v>216</v>
      </c>
      <c r="R7187" t="s">
        <v>326</v>
      </c>
      <c r="S7187" t="s">
        <v>333</v>
      </c>
      <c r="T7187" t="s">
        <v>335</v>
      </c>
      <c r="U7187" t="s">
        <v>340</v>
      </c>
      <c r="V7187" t="s">
        <v>344</v>
      </c>
      <c r="W7187" t="s">
        <v>349</v>
      </c>
      <c r="AK7187" t="s">
        <v>364</v>
      </c>
    </row>
    <row r="7188" spans="1:37">
      <c r="A7188" t="s">
        <v>43</v>
      </c>
      <c r="B7188" t="s">
        <v>63</v>
      </c>
      <c r="C7188" t="s">
        <v>85</v>
      </c>
      <c r="D7188" t="s">
        <v>104</v>
      </c>
      <c r="E7188" t="s">
        <v>123</v>
      </c>
      <c r="F7188" t="s">
        <v>157</v>
      </c>
      <c r="G7188" t="s">
        <v>183</v>
      </c>
      <c r="AK7188" t="s">
        <v>364</v>
      </c>
    </row>
    <row r="7189" spans="1:37">
      <c r="A7189" t="s">
        <v>44</v>
      </c>
      <c r="B7189" t="s">
        <v>64</v>
      </c>
      <c r="C7189" t="s">
        <v>86</v>
      </c>
      <c r="D7189" t="s">
        <v>105</v>
      </c>
      <c r="E7189" t="s">
        <v>124</v>
      </c>
      <c r="F7189" t="s">
        <v>158</v>
      </c>
      <c r="G7189" t="s">
        <v>184</v>
      </c>
      <c r="AK7189" t="s">
        <v>364</v>
      </c>
    </row>
    <row r="7190" spans="1:37">
      <c r="A7190" t="s">
        <v>45</v>
      </c>
      <c r="B7190" t="s">
        <v>65</v>
      </c>
      <c r="C7190" t="s">
        <v>87</v>
      </c>
      <c r="D7190" t="s">
        <v>106</v>
      </c>
      <c r="E7190" t="s">
        <v>125</v>
      </c>
      <c r="F7190" t="s">
        <v>159</v>
      </c>
      <c r="G7190" t="s">
        <v>185</v>
      </c>
      <c r="H7190" t="s">
        <v>159</v>
      </c>
      <c r="I7190" t="s">
        <v>185</v>
      </c>
      <c r="J7190" t="s">
        <v>255</v>
      </c>
      <c r="AK7190" t="s">
        <v>364</v>
      </c>
    </row>
    <row r="7191" spans="1:37">
      <c r="A7191" t="s">
        <v>46</v>
      </c>
      <c r="B7191" t="s">
        <v>66</v>
      </c>
      <c r="C7191" t="s">
        <v>88</v>
      </c>
      <c r="D7191" t="s">
        <v>76</v>
      </c>
      <c r="E7191" t="s">
        <v>126</v>
      </c>
      <c r="F7191" t="s">
        <v>160</v>
      </c>
      <c r="G7191" t="s">
        <v>186</v>
      </c>
      <c r="H7191" t="s">
        <v>217</v>
      </c>
      <c r="I7191" t="s">
        <v>238</v>
      </c>
      <c r="J7191" t="s">
        <v>256</v>
      </c>
      <c r="K7191" t="s">
        <v>265</v>
      </c>
      <c r="L7191" t="s">
        <v>281</v>
      </c>
      <c r="M7191" t="s">
        <v>290</v>
      </c>
      <c r="N7191" t="s">
        <v>299</v>
      </c>
      <c r="O7191" t="s">
        <v>308</v>
      </c>
      <c r="P7191" t="s">
        <v>228</v>
      </c>
      <c r="Q7191" t="s">
        <v>72</v>
      </c>
      <c r="R7191" t="s">
        <v>327</v>
      </c>
      <c r="S7191" t="s">
        <v>327</v>
      </c>
      <c r="T7191" t="s">
        <v>336</v>
      </c>
      <c r="U7191" t="s">
        <v>336</v>
      </c>
      <c r="V7191" t="s">
        <v>336</v>
      </c>
      <c r="W7191" t="s">
        <v>336</v>
      </c>
      <c r="X7191" t="s">
        <v>353</v>
      </c>
      <c r="AK7191" t="s">
        <v>364</v>
      </c>
    </row>
    <row r="7192" spans="1:37">
      <c r="B7192" t="s">
        <v>67</v>
      </c>
      <c r="C7192" t="s">
        <v>89</v>
      </c>
      <c r="D7192" t="s">
        <v>107</v>
      </c>
      <c r="AK7192" t="s">
        <v>364</v>
      </c>
    </row>
    <row r="7193" spans="1:37">
      <c r="B7193" t="s">
        <v>68</v>
      </c>
      <c r="C7193" t="s">
        <v>90</v>
      </c>
      <c r="D7193" t="s">
        <v>108</v>
      </c>
      <c r="AK7193" t="s">
        <v>364</v>
      </c>
    </row>
    <row r="7194" spans="1:37">
      <c r="A7194" t="s">
        <v>47</v>
      </c>
      <c r="B7194" t="s">
        <v>69</v>
      </c>
      <c r="C7194" t="s">
        <v>91</v>
      </c>
      <c r="D7194" t="s">
        <v>109</v>
      </c>
      <c r="E7194" t="s">
        <v>109</v>
      </c>
      <c r="F7194" t="s">
        <v>109</v>
      </c>
      <c r="G7194" t="s">
        <v>109</v>
      </c>
      <c r="H7194" t="s">
        <v>109</v>
      </c>
      <c r="I7194" t="s">
        <v>239</v>
      </c>
      <c r="AK7194" t="s">
        <v>364</v>
      </c>
    </row>
    <row r="7195" spans="1:37">
      <c r="B7195" t="s">
        <v>70</v>
      </c>
      <c r="C7195" t="s">
        <v>92</v>
      </c>
      <c r="D7195" t="s">
        <v>110</v>
      </c>
      <c r="E7195" t="s">
        <v>127</v>
      </c>
      <c r="F7195" t="s">
        <v>161</v>
      </c>
      <c r="G7195" t="s">
        <v>187</v>
      </c>
      <c r="H7195" t="s">
        <v>218</v>
      </c>
      <c r="AK7195" t="s">
        <v>364</v>
      </c>
    </row>
    <row r="7196" spans="1:37">
      <c r="B7196" t="s">
        <v>71</v>
      </c>
      <c r="C7196" t="s">
        <v>93</v>
      </c>
      <c r="D7196" t="s">
        <v>111</v>
      </c>
      <c r="E7196" t="s">
        <v>128</v>
      </c>
      <c r="F7196" t="s">
        <v>162</v>
      </c>
      <c r="G7196" t="s">
        <v>188</v>
      </c>
      <c r="H7196" t="s">
        <v>219</v>
      </c>
      <c r="I7196" t="s">
        <v>240</v>
      </c>
      <c r="J7196" t="s">
        <v>257</v>
      </c>
      <c r="K7196" t="s">
        <v>269</v>
      </c>
      <c r="L7196" t="s">
        <v>109</v>
      </c>
      <c r="M7196" t="s">
        <v>109</v>
      </c>
      <c r="N7196" t="s">
        <v>109</v>
      </c>
      <c r="O7196" t="s">
        <v>109</v>
      </c>
      <c r="P7196" t="s">
        <v>109</v>
      </c>
      <c r="Q7196" t="s">
        <v>321</v>
      </c>
      <c r="AK7196" t="s">
        <v>364</v>
      </c>
    </row>
    <row r="7197" spans="1:37">
      <c r="A7197" t="s">
        <v>48</v>
      </c>
      <c r="B7197" t="s">
        <v>71</v>
      </c>
      <c r="C7197" t="s">
        <v>93</v>
      </c>
      <c r="D7197" t="s">
        <v>111</v>
      </c>
      <c r="E7197" t="s">
        <v>128</v>
      </c>
      <c r="F7197" t="s">
        <v>163</v>
      </c>
      <c r="G7197" t="s">
        <v>189</v>
      </c>
      <c r="H7197" t="s">
        <v>220</v>
      </c>
      <c r="I7197" t="s">
        <v>241</v>
      </c>
      <c r="J7197" t="s">
        <v>258</v>
      </c>
      <c r="K7197" t="s">
        <v>270</v>
      </c>
      <c r="AK7197" t="s">
        <v>364</v>
      </c>
    </row>
    <row r="7198" spans="1:37">
      <c r="B7198" t="s">
        <v>72</v>
      </c>
      <c r="C7198" t="s">
        <v>72</v>
      </c>
      <c r="D7198" t="s">
        <v>72</v>
      </c>
      <c r="E7198" t="s">
        <v>72</v>
      </c>
      <c r="F7198" t="s">
        <v>72</v>
      </c>
      <c r="G7198" t="s">
        <v>72</v>
      </c>
      <c r="H7198" t="s">
        <v>72</v>
      </c>
      <c r="I7198" t="s">
        <v>72</v>
      </c>
      <c r="J7198" t="s">
        <v>72</v>
      </c>
      <c r="K7198" t="s">
        <v>272</v>
      </c>
      <c r="AK7198" t="s">
        <v>364</v>
      </c>
    </row>
    <row r="7199" spans="1:37">
      <c r="A7199" t="s">
        <v>37</v>
      </c>
      <c r="B7199" t="s">
        <v>49</v>
      </c>
      <c r="C7199" t="s">
        <v>73</v>
      </c>
      <c r="D7199" t="s">
        <v>94</v>
      </c>
      <c r="E7199" t="s">
        <v>112</v>
      </c>
      <c r="F7199" t="s">
        <v>146</v>
      </c>
      <c r="G7199" t="s">
        <v>172</v>
      </c>
      <c r="H7199" t="s">
        <v>207</v>
      </c>
      <c r="I7199" t="s">
        <v>226</v>
      </c>
      <c r="J7199" t="s">
        <v>246</v>
      </c>
      <c r="K7199" t="s">
        <v>259</v>
      </c>
      <c r="AK7199" t="s">
        <v>365</v>
      </c>
    </row>
    <row r="7200" spans="1:37">
      <c r="A7200" t="s">
        <v>38</v>
      </c>
      <c r="B7200" t="s">
        <v>50</v>
      </c>
      <c r="C7200" t="s">
        <v>74</v>
      </c>
      <c r="D7200" t="s">
        <v>95</v>
      </c>
      <c r="E7200" t="s">
        <v>113</v>
      </c>
      <c r="F7200" t="s">
        <v>147</v>
      </c>
      <c r="G7200" t="s">
        <v>173</v>
      </c>
      <c r="H7200" t="s">
        <v>208</v>
      </c>
      <c r="I7200" t="s">
        <v>227</v>
      </c>
      <c r="J7200" t="s">
        <v>115</v>
      </c>
      <c r="K7200" t="s">
        <v>260</v>
      </c>
      <c r="L7200" t="s">
        <v>273</v>
      </c>
      <c r="M7200" t="s">
        <v>282</v>
      </c>
      <c r="N7200" t="s">
        <v>291</v>
      </c>
      <c r="AK7200" t="s">
        <v>365</v>
      </c>
    </row>
    <row r="7201" spans="1:37">
      <c r="B7201" t="s">
        <v>51</v>
      </c>
      <c r="C7201" t="s">
        <v>75</v>
      </c>
      <c r="D7201" t="s">
        <v>52</v>
      </c>
      <c r="E7201" t="s">
        <v>114</v>
      </c>
      <c r="F7201" t="s">
        <v>148</v>
      </c>
      <c r="G7201" t="s">
        <v>148</v>
      </c>
      <c r="H7201" t="s">
        <v>209</v>
      </c>
      <c r="I7201" t="s">
        <v>228</v>
      </c>
      <c r="J7201" t="s">
        <v>247</v>
      </c>
      <c r="K7201" t="s">
        <v>261</v>
      </c>
      <c r="L7201" t="s">
        <v>274</v>
      </c>
      <c r="M7201" t="s">
        <v>283</v>
      </c>
      <c r="N7201" t="s">
        <v>292</v>
      </c>
      <c r="O7201" t="s">
        <v>300</v>
      </c>
      <c r="AK7201" t="s">
        <v>365</v>
      </c>
    </row>
    <row r="7202" spans="1:37">
      <c r="B7202" t="s">
        <v>52</v>
      </c>
      <c r="C7202" t="s">
        <v>76</v>
      </c>
      <c r="D7202" t="s">
        <v>96</v>
      </c>
      <c r="E7202" t="s">
        <v>115</v>
      </c>
      <c r="F7202" t="s">
        <v>149</v>
      </c>
      <c r="G7202" t="s">
        <v>174</v>
      </c>
      <c r="H7202" t="s">
        <v>96</v>
      </c>
      <c r="I7202" t="s">
        <v>229</v>
      </c>
      <c r="J7202" t="s">
        <v>248</v>
      </c>
      <c r="K7202" t="s">
        <v>262</v>
      </c>
      <c r="L7202" t="s">
        <v>52</v>
      </c>
      <c r="M7202" t="s">
        <v>76</v>
      </c>
      <c r="N7202" t="s">
        <v>293</v>
      </c>
      <c r="O7202" t="s">
        <v>301</v>
      </c>
      <c r="P7202" t="s">
        <v>309</v>
      </c>
      <c r="Q7202" t="s">
        <v>315</v>
      </c>
      <c r="R7202" t="s">
        <v>228</v>
      </c>
      <c r="S7202" t="s">
        <v>328</v>
      </c>
      <c r="T7202" t="s">
        <v>149</v>
      </c>
      <c r="U7202" t="s">
        <v>337</v>
      </c>
      <c r="V7202" t="s">
        <v>341</v>
      </c>
      <c r="W7202" t="s">
        <v>345</v>
      </c>
      <c r="X7202" t="s">
        <v>350</v>
      </c>
      <c r="AK7202" t="s">
        <v>365</v>
      </c>
    </row>
    <row r="7203" spans="1:37">
      <c r="B7203" t="s">
        <v>53</v>
      </c>
      <c r="C7203" t="s">
        <v>77</v>
      </c>
      <c r="D7203" t="s">
        <v>97</v>
      </c>
      <c r="E7203" t="s">
        <v>116</v>
      </c>
      <c r="F7203" t="s">
        <v>150</v>
      </c>
      <c r="G7203" t="s">
        <v>175</v>
      </c>
      <c r="H7203" t="s">
        <v>210</v>
      </c>
      <c r="I7203" t="s">
        <v>230</v>
      </c>
      <c r="J7203" t="s">
        <v>249</v>
      </c>
      <c r="K7203" t="s">
        <v>263</v>
      </c>
      <c r="L7203" t="s">
        <v>275</v>
      </c>
      <c r="M7203" t="s">
        <v>284</v>
      </c>
      <c r="N7203" t="s">
        <v>294</v>
      </c>
      <c r="O7203" t="s">
        <v>302</v>
      </c>
      <c r="P7203" t="s">
        <v>310</v>
      </c>
      <c r="Q7203" t="s">
        <v>316</v>
      </c>
      <c r="R7203" t="s">
        <v>322</v>
      </c>
      <c r="S7203" t="s">
        <v>329</v>
      </c>
      <c r="AK7203" t="s">
        <v>365</v>
      </c>
    </row>
    <row r="7204" spans="1:37">
      <c r="A7204" t="s">
        <v>39</v>
      </c>
      <c r="B7204" t="s">
        <v>54</v>
      </c>
      <c r="C7204" t="s">
        <v>54</v>
      </c>
      <c r="D7204" t="s">
        <v>54</v>
      </c>
      <c r="E7204" t="s">
        <v>54</v>
      </c>
      <c r="F7204" t="s">
        <v>54</v>
      </c>
      <c r="G7204" t="s">
        <v>54</v>
      </c>
      <c r="H7204" t="s">
        <v>54</v>
      </c>
      <c r="I7204" t="s">
        <v>54</v>
      </c>
      <c r="J7204" t="s">
        <v>54</v>
      </c>
      <c r="K7204" t="s">
        <v>54</v>
      </c>
      <c r="L7204" t="s">
        <v>54</v>
      </c>
      <c r="M7204" t="s">
        <v>54</v>
      </c>
      <c r="N7204" t="s">
        <v>54</v>
      </c>
      <c r="O7204" t="s">
        <v>54</v>
      </c>
      <c r="P7204" t="s">
        <v>54</v>
      </c>
      <c r="Q7204" t="s">
        <v>54</v>
      </c>
      <c r="R7204" t="s">
        <v>323</v>
      </c>
      <c r="S7204" t="s">
        <v>330</v>
      </c>
      <c r="AK7204" t="s">
        <v>365</v>
      </c>
    </row>
    <row r="7205" spans="1:37">
      <c r="B7205" t="s">
        <v>55</v>
      </c>
      <c r="C7205" t="s">
        <v>78</v>
      </c>
      <c r="D7205" t="s">
        <v>55</v>
      </c>
      <c r="E7205" t="s">
        <v>78</v>
      </c>
      <c r="F7205" t="s">
        <v>55</v>
      </c>
      <c r="G7205" t="s">
        <v>78</v>
      </c>
      <c r="H7205" t="s">
        <v>55</v>
      </c>
      <c r="I7205" t="s">
        <v>78</v>
      </c>
      <c r="J7205" t="s">
        <v>55</v>
      </c>
      <c r="K7205" t="s">
        <v>78</v>
      </c>
      <c r="L7205" t="s">
        <v>55</v>
      </c>
      <c r="M7205" t="s">
        <v>78</v>
      </c>
      <c r="N7205" t="s">
        <v>55</v>
      </c>
      <c r="O7205" t="s">
        <v>78</v>
      </c>
      <c r="P7205" t="s">
        <v>55</v>
      </c>
      <c r="Q7205" t="s">
        <v>78</v>
      </c>
      <c r="R7205" t="s">
        <v>55</v>
      </c>
      <c r="S7205" t="s">
        <v>78</v>
      </c>
      <c r="T7205" t="s">
        <v>55</v>
      </c>
      <c r="U7205" t="s">
        <v>78</v>
      </c>
      <c r="V7205" t="s">
        <v>55</v>
      </c>
      <c r="W7205" t="s">
        <v>78</v>
      </c>
      <c r="X7205" t="s">
        <v>55</v>
      </c>
      <c r="Y7205" t="s">
        <v>78</v>
      </c>
      <c r="Z7205" t="s">
        <v>55</v>
      </c>
      <c r="AA7205" t="s">
        <v>78</v>
      </c>
      <c r="AB7205" t="s">
        <v>55</v>
      </c>
      <c r="AC7205" t="s">
        <v>78</v>
      </c>
      <c r="AD7205" t="s">
        <v>55</v>
      </c>
      <c r="AE7205" t="s">
        <v>78</v>
      </c>
      <c r="AF7205" t="s">
        <v>55</v>
      </c>
      <c r="AG7205" t="s">
        <v>78</v>
      </c>
      <c r="AH7205" t="s">
        <v>55</v>
      </c>
      <c r="AI7205" t="s">
        <v>78</v>
      </c>
      <c r="AK7205" t="s">
        <v>365</v>
      </c>
    </row>
    <row r="7206" spans="1:37">
      <c r="B7206" t="s">
        <v>56</v>
      </c>
      <c r="C7206" t="s">
        <v>56</v>
      </c>
      <c r="D7206" t="s">
        <v>56</v>
      </c>
      <c r="E7206" t="s">
        <v>56</v>
      </c>
      <c r="F7206" t="s">
        <v>56</v>
      </c>
      <c r="G7206" t="s">
        <v>176</v>
      </c>
      <c r="H7206" t="s">
        <v>211</v>
      </c>
      <c r="I7206" t="s">
        <v>231</v>
      </c>
      <c r="J7206" t="s">
        <v>250</v>
      </c>
      <c r="K7206" t="s">
        <v>264</v>
      </c>
      <c r="L7206" t="s">
        <v>276</v>
      </c>
      <c r="M7206" t="s">
        <v>285</v>
      </c>
      <c r="N7206" t="s">
        <v>295</v>
      </c>
      <c r="O7206" t="s">
        <v>303</v>
      </c>
      <c r="P7206" t="s">
        <v>56</v>
      </c>
      <c r="Q7206" t="s">
        <v>317</v>
      </c>
      <c r="R7206" t="s">
        <v>324</v>
      </c>
      <c r="S7206" t="s">
        <v>331</v>
      </c>
      <c r="T7206" t="s">
        <v>334</v>
      </c>
      <c r="U7206" t="s">
        <v>338</v>
      </c>
      <c r="V7206" t="s">
        <v>342</v>
      </c>
      <c r="W7206" t="s">
        <v>346</v>
      </c>
      <c r="X7206" t="s">
        <v>351</v>
      </c>
      <c r="AK7206" t="s">
        <v>365</v>
      </c>
    </row>
    <row r="7207" spans="1:37">
      <c r="B7207" t="s">
        <v>57</v>
      </c>
      <c r="C7207" t="s">
        <v>79</v>
      </c>
      <c r="D7207" t="s">
        <v>98</v>
      </c>
      <c r="E7207" t="s">
        <v>117</v>
      </c>
      <c r="F7207" t="s">
        <v>151</v>
      </c>
      <c r="G7207" t="s">
        <v>177</v>
      </c>
      <c r="H7207" t="s">
        <v>212</v>
      </c>
      <c r="I7207" t="s">
        <v>232</v>
      </c>
      <c r="J7207" t="s">
        <v>251</v>
      </c>
      <c r="K7207" t="s">
        <v>265</v>
      </c>
      <c r="L7207" t="s">
        <v>277</v>
      </c>
      <c r="M7207" t="s">
        <v>286</v>
      </c>
      <c r="N7207" t="s">
        <v>296</v>
      </c>
      <c r="O7207" t="s">
        <v>304</v>
      </c>
      <c r="P7207" t="s">
        <v>311</v>
      </c>
      <c r="Q7207" t="s">
        <v>318</v>
      </c>
      <c r="R7207" t="s">
        <v>185</v>
      </c>
      <c r="S7207" t="s">
        <v>159</v>
      </c>
      <c r="T7207" t="s">
        <v>185</v>
      </c>
      <c r="U7207" t="s">
        <v>339</v>
      </c>
      <c r="V7207" t="s">
        <v>72</v>
      </c>
      <c r="W7207" t="s">
        <v>347</v>
      </c>
      <c r="X7207" t="s">
        <v>72</v>
      </c>
      <c r="Y7207" t="s">
        <v>96</v>
      </c>
      <c r="AK7207" t="s">
        <v>365</v>
      </c>
    </row>
    <row r="7208" spans="1:37">
      <c r="B7208" t="s">
        <v>58</v>
      </c>
      <c r="C7208" t="s">
        <v>80</v>
      </c>
      <c r="D7208" t="s">
        <v>99</v>
      </c>
      <c r="E7208" t="s">
        <v>118</v>
      </c>
      <c r="F7208" t="s">
        <v>152</v>
      </c>
      <c r="G7208" t="s">
        <v>178</v>
      </c>
      <c r="H7208" t="s">
        <v>213</v>
      </c>
      <c r="I7208" t="s">
        <v>233</v>
      </c>
      <c r="J7208" t="s">
        <v>252</v>
      </c>
      <c r="K7208" t="s">
        <v>266</v>
      </c>
      <c r="L7208" t="s">
        <v>278</v>
      </c>
      <c r="M7208" t="s">
        <v>287</v>
      </c>
      <c r="N7208" t="s">
        <v>297</v>
      </c>
      <c r="O7208" t="s">
        <v>305</v>
      </c>
      <c r="P7208" t="s">
        <v>312</v>
      </c>
      <c r="Q7208" t="s">
        <v>319</v>
      </c>
      <c r="R7208">
        <f>&gt;10       ветра      1.6     16   2  7</f>
        <v>0</v>
      </c>
      <c r="AK7208" t="s">
        <v>365</v>
      </c>
    </row>
    <row r="7209" spans="1:37">
      <c r="A7209" t="s">
        <v>40</v>
      </c>
      <c r="B7209" t="s">
        <v>59</v>
      </c>
      <c r="C7209" t="s">
        <v>81</v>
      </c>
      <c r="D7209" t="s">
        <v>100</v>
      </c>
      <c r="E7209" t="s">
        <v>119</v>
      </c>
      <c r="F7209" t="s">
        <v>153</v>
      </c>
      <c r="G7209" t="s">
        <v>179</v>
      </c>
      <c r="H7209" t="s">
        <v>214</v>
      </c>
      <c r="I7209" t="s">
        <v>234</v>
      </c>
      <c r="AK7209" t="s">
        <v>365</v>
      </c>
    </row>
    <row r="7210" spans="1:37">
      <c r="A7210" t="s">
        <v>40</v>
      </c>
      <c r="B7210" t="s">
        <v>60</v>
      </c>
      <c r="C7210" t="s">
        <v>82</v>
      </c>
      <c r="D7210" t="s">
        <v>101</v>
      </c>
      <c r="E7210" t="s">
        <v>120</v>
      </c>
      <c r="F7210" t="s">
        <v>154</v>
      </c>
      <c r="G7210" t="s">
        <v>180</v>
      </c>
      <c r="H7210" t="s">
        <v>215</v>
      </c>
      <c r="I7210" t="s">
        <v>235</v>
      </c>
      <c r="J7210" t="s">
        <v>253</v>
      </c>
      <c r="K7210" t="s">
        <v>267</v>
      </c>
      <c r="L7210" t="s">
        <v>279</v>
      </c>
      <c r="M7210" t="s">
        <v>288</v>
      </c>
      <c r="N7210" t="s">
        <v>100</v>
      </c>
      <c r="O7210" t="s">
        <v>306</v>
      </c>
      <c r="P7210" t="s">
        <v>313</v>
      </c>
      <c r="Q7210" t="s">
        <v>320</v>
      </c>
      <c r="R7210" t="s">
        <v>325</v>
      </c>
      <c r="S7210" t="s">
        <v>332</v>
      </c>
      <c r="T7210" t="s">
        <v>119</v>
      </c>
      <c r="U7210" t="s">
        <v>234</v>
      </c>
      <c r="V7210" t="s">
        <v>343</v>
      </c>
      <c r="W7210" t="s">
        <v>348</v>
      </c>
      <c r="X7210" t="s">
        <v>352</v>
      </c>
      <c r="Y7210" t="s">
        <v>354</v>
      </c>
      <c r="AK7210" t="s">
        <v>365</v>
      </c>
    </row>
    <row r="7211" spans="1:37">
      <c r="A7211" t="s">
        <v>41</v>
      </c>
      <c r="B7211" t="s">
        <v>61</v>
      </c>
      <c r="C7211" t="s">
        <v>83</v>
      </c>
      <c r="D7211" t="s">
        <v>102</v>
      </c>
      <c r="E7211" t="s">
        <v>121</v>
      </c>
      <c r="F7211" t="s">
        <v>155</v>
      </c>
      <c r="G7211" t="s">
        <v>181</v>
      </c>
      <c r="H7211" t="s">
        <v>216</v>
      </c>
      <c r="I7211" t="s">
        <v>236</v>
      </c>
      <c r="AK7211" t="s">
        <v>365</v>
      </c>
    </row>
    <row r="7212" spans="1:37">
      <c r="A7212" t="s">
        <v>42</v>
      </c>
      <c r="B7212" t="s">
        <v>62</v>
      </c>
      <c r="C7212" t="s">
        <v>84</v>
      </c>
      <c r="D7212" t="s">
        <v>103</v>
      </c>
      <c r="E7212" t="s">
        <v>122</v>
      </c>
      <c r="F7212" t="s">
        <v>156</v>
      </c>
      <c r="G7212" t="s">
        <v>182</v>
      </c>
      <c r="H7212" t="s">
        <v>83</v>
      </c>
      <c r="I7212" t="s">
        <v>237</v>
      </c>
      <c r="J7212" t="s">
        <v>254</v>
      </c>
      <c r="K7212" t="s">
        <v>268</v>
      </c>
      <c r="L7212" t="s">
        <v>280</v>
      </c>
      <c r="M7212" t="s">
        <v>289</v>
      </c>
      <c r="N7212" t="s">
        <v>298</v>
      </c>
      <c r="O7212" t="s">
        <v>307</v>
      </c>
      <c r="P7212" t="s">
        <v>314</v>
      </c>
      <c r="Q7212" t="s">
        <v>216</v>
      </c>
      <c r="R7212" t="s">
        <v>326</v>
      </c>
      <c r="S7212" t="s">
        <v>333</v>
      </c>
      <c r="T7212" t="s">
        <v>335</v>
      </c>
      <c r="U7212" t="s">
        <v>340</v>
      </c>
      <c r="V7212" t="s">
        <v>344</v>
      </c>
      <c r="W7212" t="s">
        <v>349</v>
      </c>
      <c r="AK7212" t="s">
        <v>365</v>
      </c>
    </row>
    <row r="7213" spans="1:37">
      <c r="A7213" t="s">
        <v>43</v>
      </c>
      <c r="B7213" t="s">
        <v>63</v>
      </c>
      <c r="C7213" t="s">
        <v>85</v>
      </c>
      <c r="D7213" t="s">
        <v>104</v>
      </c>
      <c r="E7213" t="s">
        <v>123</v>
      </c>
      <c r="F7213" t="s">
        <v>157</v>
      </c>
      <c r="G7213" t="s">
        <v>183</v>
      </c>
      <c r="AK7213" t="s">
        <v>365</v>
      </c>
    </row>
    <row r="7214" spans="1:37">
      <c r="A7214" t="s">
        <v>44</v>
      </c>
      <c r="B7214" t="s">
        <v>64</v>
      </c>
      <c r="C7214" t="s">
        <v>86</v>
      </c>
      <c r="D7214" t="s">
        <v>105</v>
      </c>
      <c r="E7214" t="s">
        <v>124</v>
      </c>
      <c r="F7214" t="s">
        <v>158</v>
      </c>
      <c r="G7214" t="s">
        <v>184</v>
      </c>
      <c r="AK7214" t="s">
        <v>365</v>
      </c>
    </row>
    <row r="7215" spans="1:37">
      <c r="A7215" t="s">
        <v>45</v>
      </c>
      <c r="B7215" t="s">
        <v>65</v>
      </c>
      <c r="C7215" t="s">
        <v>87</v>
      </c>
      <c r="D7215" t="s">
        <v>106</v>
      </c>
      <c r="E7215" t="s">
        <v>125</v>
      </c>
      <c r="F7215" t="s">
        <v>159</v>
      </c>
      <c r="G7215" t="s">
        <v>185</v>
      </c>
      <c r="H7215" t="s">
        <v>159</v>
      </c>
      <c r="I7215" t="s">
        <v>185</v>
      </c>
      <c r="J7215" t="s">
        <v>255</v>
      </c>
      <c r="AK7215" t="s">
        <v>365</v>
      </c>
    </row>
    <row r="7216" spans="1:37">
      <c r="A7216" t="s">
        <v>46</v>
      </c>
      <c r="B7216" t="s">
        <v>66</v>
      </c>
      <c r="C7216" t="s">
        <v>88</v>
      </c>
      <c r="D7216" t="s">
        <v>76</v>
      </c>
      <c r="E7216" t="s">
        <v>126</v>
      </c>
      <c r="F7216" t="s">
        <v>160</v>
      </c>
      <c r="G7216" t="s">
        <v>186</v>
      </c>
      <c r="H7216" t="s">
        <v>217</v>
      </c>
      <c r="I7216" t="s">
        <v>238</v>
      </c>
      <c r="J7216" t="s">
        <v>256</v>
      </c>
      <c r="K7216" t="s">
        <v>265</v>
      </c>
      <c r="L7216" t="s">
        <v>281</v>
      </c>
      <c r="M7216" t="s">
        <v>290</v>
      </c>
      <c r="N7216" t="s">
        <v>299</v>
      </c>
      <c r="O7216" t="s">
        <v>308</v>
      </c>
      <c r="P7216" t="s">
        <v>228</v>
      </c>
      <c r="Q7216" t="s">
        <v>72</v>
      </c>
      <c r="R7216" t="s">
        <v>327</v>
      </c>
      <c r="S7216" t="s">
        <v>327</v>
      </c>
      <c r="T7216" t="s">
        <v>336</v>
      </c>
      <c r="U7216" t="s">
        <v>336</v>
      </c>
      <c r="V7216" t="s">
        <v>336</v>
      </c>
      <c r="W7216" t="s">
        <v>336</v>
      </c>
      <c r="X7216" t="s">
        <v>353</v>
      </c>
      <c r="AK7216" t="s">
        <v>365</v>
      </c>
    </row>
    <row r="7217" spans="1:37">
      <c r="A7217" t="s">
        <v>37</v>
      </c>
      <c r="B7217" t="s">
        <v>49</v>
      </c>
      <c r="C7217" t="s">
        <v>73</v>
      </c>
      <c r="D7217" t="s">
        <v>94</v>
      </c>
      <c r="E7217" t="s">
        <v>112</v>
      </c>
      <c r="F7217" t="s">
        <v>146</v>
      </c>
      <c r="G7217" t="s">
        <v>172</v>
      </c>
      <c r="H7217" t="s">
        <v>207</v>
      </c>
      <c r="I7217" t="s">
        <v>226</v>
      </c>
      <c r="J7217" t="s">
        <v>246</v>
      </c>
      <c r="K7217" t="s">
        <v>259</v>
      </c>
      <c r="AK7217" t="s">
        <v>365</v>
      </c>
    </row>
    <row r="7218" spans="1:37">
      <c r="A7218" t="s">
        <v>38</v>
      </c>
      <c r="B7218" t="s">
        <v>50</v>
      </c>
      <c r="C7218" t="s">
        <v>74</v>
      </c>
      <c r="D7218" t="s">
        <v>95</v>
      </c>
      <c r="E7218" t="s">
        <v>113</v>
      </c>
      <c r="F7218" t="s">
        <v>147</v>
      </c>
      <c r="G7218" t="s">
        <v>173</v>
      </c>
      <c r="H7218" t="s">
        <v>208</v>
      </c>
      <c r="I7218" t="s">
        <v>227</v>
      </c>
      <c r="J7218" t="s">
        <v>115</v>
      </c>
      <c r="K7218" t="s">
        <v>260</v>
      </c>
      <c r="L7218" t="s">
        <v>273</v>
      </c>
      <c r="M7218" t="s">
        <v>282</v>
      </c>
      <c r="N7218" t="s">
        <v>291</v>
      </c>
      <c r="AK7218" t="s">
        <v>365</v>
      </c>
    </row>
    <row r="7219" spans="1:37">
      <c r="B7219" t="s">
        <v>51</v>
      </c>
      <c r="C7219" t="s">
        <v>75</v>
      </c>
      <c r="D7219" t="s">
        <v>52</v>
      </c>
      <c r="E7219" t="s">
        <v>114</v>
      </c>
      <c r="F7219" t="s">
        <v>148</v>
      </c>
      <c r="G7219" t="s">
        <v>148</v>
      </c>
      <c r="H7219" t="s">
        <v>209</v>
      </c>
      <c r="I7219" t="s">
        <v>228</v>
      </c>
      <c r="J7219" t="s">
        <v>247</v>
      </c>
      <c r="K7219" t="s">
        <v>261</v>
      </c>
      <c r="L7219" t="s">
        <v>274</v>
      </c>
      <c r="M7219" t="s">
        <v>283</v>
      </c>
      <c r="N7219" t="s">
        <v>292</v>
      </c>
      <c r="O7219" t="s">
        <v>300</v>
      </c>
      <c r="AK7219" t="s">
        <v>365</v>
      </c>
    </row>
    <row r="7220" spans="1:37">
      <c r="B7220" t="s">
        <v>52</v>
      </c>
      <c r="C7220" t="s">
        <v>76</v>
      </c>
      <c r="D7220" t="s">
        <v>96</v>
      </c>
      <c r="E7220" t="s">
        <v>115</v>
      </c>
      <c r="F7220" t="s">
        <v>149</v>
      </c>
      <c r="G7220" t="s">
        <v>174</v>
      </c>
      <c r="H7220" t="s">
        <v>96</v>
      </c>
      <c r="I7220" t="s">
        <v>229</v>
      </c>
      <c r="J7220" t="s">
        <v>248</v>
      </c>
      <c r="K7220" t="s">
        <v>262</v>
      </c>
      <c r="L7220" t="s">
        <v>52</v>
      </c>
      <c r="M7220" t="s">
        <v>76</v>
      </c>
      <c r="N7220" t="s">
        <v>293</v>
      </c>
      <c r="O7220" t="s">
        <v>301</v>
      </c>
      <c r="P7220" t="s">
        <v>309</v>
      </c>
      <c r="Q7220" t="s">
        <v>315</v>
      </c>
      <c r="R7220" t="s">
        <v>228</v>
      </c>
      <c r="S7220" t="s">
        <v>328</v>
      </c>
      <c r="T7220" t="s">
        <v>149</v>
      </c>
      <c r="U7220" t="s">
        <v>337</v>
      </c>
      <c r="V7220" t="s">
        <v>341</v>
      </c>
      <c r="W7220" t="s">
        <v>345</v>
      </c>
      <c r="X7220" t="s">
        <v>350</v>
      </c>
      <c r="AK7220" t="s">
        <v>365</v>
      </c>
    </row>
    <row r="7221" spans="1:37">
      <c r="B7221" t="s">
        <v>53</v>
      </c>
      <c r="C7221" t="s">
        <v>77</v>
      </c>
      <c r="D7221" t="s">
        <v>97</v>
      </c>
      <c r="E7221" t="s">
        <v>116</v>
      </c>
      <c r="F7221" t="s">
        <v>150</v>
      </c>
      <c r="G7221" t="s">
        <v>175</v>
      </c>
      <c r="H7221" t="s">
        <v>210</v>
      </c>
      <c r="I7221" t="s">
        <v>230</v>
      </c>
      <c r="J7221" t="s">
        <v>249</v>
      </c>
      <c r="K7221" t="s">
        <v>263</v>
      </c>
      <c r="L7221" t="s">
        <v>275</v>
      </c>
      <c r="M7221" t="s">
        <v>284</v>
      </c>
      <c r="N7221" t="s">
        <v>294</v>
      </c>
      <c r="O7221" t="s">
        <v>302</v>
      </c>
      <c r="P7221" t="s">
        <v>310</v>
      </c>
      <c r="Q7221" t="s">
        <v>316</v>
      </c>
      <c r="R7221" t="s">
        <v>322</v>
      </c>
      <c r="S7221" t="s">
        <v>329</v>
      </c>
      <c r="AK7221" t="s">
        <v>365</v>
      </c>
    </row>
    <row r="7222" spans="1:37">
      <c r="A7222" t="s">
        <v>39</v>
      </c>
      <c r="B7222" t="s">
        <v>54</v>
      </c>
      <c r="C7222" t="s">
        <v>54</v>
      </c>
      <c r="D7222" t="s">
        <v>54</v>
      </c>
      <c r="E7222" t="s">
        <v>54</v>
      </c>
      <c r="F7222" t="s">
        <v>54</v>
      </c>
      <c r="G7222" t="s">
        <v>54</v>
      </c>
      <c r="H7222" t="s">
        <v>54</v>
      </c>
      <c r="I7222" t="s">
        <v>54</v>
      </c>
      <c r="J7222" t="s">
        <v>54</v>
      </c>
      <c r="K7222" t="s">
        <v>54</v>
      </c>
      <c r="L7222" t="s">
        <v>54</v>
      </c>
      <c r="M7222" t="s">
        <v>54</v>
      </c>
      <c r="N7222" t="s">
        <v>54</v>
      </c>
      <c r="O7222" t="s">
        <v>54</v>
      </c>
      <c r="P7222" t="s">
        <v>54</v>
      </c>
      <c r="Q7222" t="s">
        <v>54</v>
      </c>
      <c r="R7222" t="s">
        <v>323</v>
      </c>
      <c r="S7222" t="s">
        <v>330</v>
      </c>
      <c r="AK7222" t="s">
        <v>365</v>
      </c>
    </row>
    <row r="7223" spans="1:37">
      <c r="B7223" t="s">
        <v>55</v>
      </c>
      <c r="C7223" t="s">
        <v>78</v>
      </c>
      <c r="D7223" t="s">
        <v>55</v>
      </c>
      <c r="E7223" t="s">
        <v>78</v>
      </c>
      <c r="F7223" t="s">
        <v>55</v>
      </c>
      <c r="G7223" t="s">
        <v>78</v>
      </c>
      <c r="H7223" t="s">
        <v>55</v>
      </c>
      <c r="I7223" t="s">
        <v>78</v>
      </c>
      <c r="J7223" t="s">
        <v>55</v>
      </c>
      <c r="K7223" t="s">
        <v>78</v>
      </c>
      <c r="L7223" t="s">
        <v>55</v>
      </c>
      <c r="M7223" t="s">
        <v>78</v>
      </c>
      <c r="N7223" t="s">
        <v>55</v>
      </c>
      <c r="O7223" t="s">
        <v>78</v>
      </c>
      <c r="P7223" t="s">
        <v>55</v>
      </c>
      <c r="Q7223" t="s">
        <v>78</v>
      </c>
      <c r="R7223" t="s">
        <v>55</v>
      </c>
      <c r="S7223" t="s">
        <v>78</v>
      </c>
      <c r="T7223" t="s">
        <v>55</v>
      </c>
      <c r="U7223" t="s">
        <v>78</v>
      </c>
      <c r="V7223" t="s">
        <v>55</v>
      </c>
      <c r="W7223" t="s">
        <v>78</v>
      </c>
      <c r="X7223" t="s">
        <v>55</v>
      </c>
      <c r="Y7223" t="s">
        <v>78</v>
      </c>
      <c r="Z7223" t="s">
        <v>55</v>
      </c>
      <c r="AA7223" t="s">
        <v>78</v>
      </c>
      <c r="AB7223" t="s">
        <v>55</v>
      </c>
      <c r="AC7223" t="s">
        <v>78</v>
      </c>
      <c r="AD7223" t="s">
        <v>55</v>
      </c>
      <c r="AE7223" t="s">
        <v>78</v>
      </c>
      <c r="AF7223" t="s">
        <v>55</v>
      </c>
      <c r="AG7223" t="s">
        <v>78</v>
      </c>
      <c r="AH7223" t="s">
        <v>55</v>
      </c>
      <c r="AI7223" t="s">
        <v>78</v>
      </c>
      <c r="AK7223" t="s">
        <v>365</v>
      </c>
    </row>
    <row r="7224" spans="1:37">
      <c r="B7224" t="s">
        <v>56</v>
      </c>
      <c r="C7224" t="s">
        <v>56</v>
      </c>
      <c r="D7224" t="s">
        <v>56</v>
      </c>
      <c r="E7224" t="s">
        <v>56</v>
      </c>
      <c r="F7224" t="s">
        <v>56</v>
      </c>
      <c r="G7224" t="s">
        <v>176</v>
      </c>
      <c r="H7224" t="s">
        <v>211</v>
      </c>
      <c r="I7224" t="s">
        <v>231</v>
      </c>
      <c r="J7224" t="s">
        <v>250</v>
      </c>
      <c r="K7224" t="s">
        <v>264</v>
      </c>
      <c r="L7224" t="s">
        <v>276</v>
      </c>
      <c r="M7224" t="s">
        <v>285</v>
      </c>
      <c r="N7224" t="s">
        <v>295</v>
      </c>
      <c r="O7224" t="s">
        <v>303</v>
      </c>
      <c r="P7224" t="s">
        <v>56</v>
      </c>
      <c r="Q7224" t="s">
        <v>317</v>
      </c>
      <c r="R7224" t="s">
        <v>324</v>
      </c>
      <c r="S7224" t="s">
        <v>331</v>
      </c>
      <c r="T7224" t="s">
        <v>334</v>
      </c>
      <c r="U7224" t="s">
        <v>338</v>
      </c>
      <c r="V7224" t="s">
        <v>342</v>
      </c>
      <c r="W7224" t="s">
        <v>346</v>
      </c>
      <c r="X7224" t="s">
        <v>351</v>
      </c>
      <c r="AK7224" t="s">
        <v>365</v>
      </c>
    </row>
    <row r="7225" spans="1:37">
      <c r="B7225" t="s">
        <v>57</v>
      </c>
      <c r="C7225" t="s">
        <v>79</v>
      </c>
      <c r="D7225" t="s">
        <v>98</v>
      </c>
      <c r="E7225" t="s">
        <v>117</v>
      </c>
      <c r="F7225" t="s">
        <v>151</v>
      </c>
      <c r="G7225" t="s">
        <v>177</v>
      </c>
      <c r="H7225" t="s">
        <v>212</v>
      </c>
      <c r="I7225" t="s">
        <v>232</v>
      </c>
      <c r="J7225" t="s">
        <v>251</v>
      </c>
      <c r="K7225" t="s">
        <v>265</v>
      </c>
      <c r="L7225" t="s">
        <v>277</v>
      </c>
      <c r="M7225" t="s">
        <v>286</v>
      </c>
      <c r="N7225" t="s">
        <v>296</v>
      </c>
      <c r="O7225" t="s">
        <v>304</v>
      </c>
      <c r="P7225" t="s">
        <v>311</v>
      </c>
      <c r="Q7225" t="s">
        <v>318</v>
      </c>
      <c r="R7225" t="s">
        <v>185</v>
      </c>
      <c r="S7225" t="s">
        <v>159</v>
      </c>
      <c r="T7225" t="s">
        <v>185</v>
      </c>
      <c r="U7225" t="s">
        <v>339</v>
      </c>
      <c r="V7225" t="s">
        <v>72</v>
      </c>
      <c r="W7225" t="s">
        <v>347</v>
      </c>
      <c r="X7225" t="s">
        <v>72</v>
      </c>
      <c r="Y7225" t="s">
        <v>96</v>
      </c>
      <c r="AK7225" t="s">
        <v>365</v>
      </c>
    </row>
    <row r="7226" spans="1:37">
      <c r="B7226" t="s">
        <v>58</v>
      </c>
      <c r="C7226" t="s">
        <v>80</v>
      </c>
      <c r="D7226" t="s">
        <v>99</v>
      </c>
      <c r="E7226" t="s">
        <v>118</v>
      </c>
      <c r="F7226" t="s">
        <v>152</v>
      </c>
      <c r="G7226" t="s">
        <v>178</v>
      </c>
      <c r="H7226" t="s">
        <v>213</v>
      </c>
      <c r="I7226" t="s">
        <v>233</v>
      </c>
      <c r="J7226" t="s">
        <v>252</v>
      </c>
      <c r="K7226" t="s">
        <v>266</v>
      </c>
      <c r="L7226" t="s">
        <v>278</v>
      </c>
      <c r="M7226" t="s">
        <v>287</v>
      </c>
      <c r="N7226" t="s">
        <v>297</v>
      </c>
      <c r="O7226" t="s">
        <v>305</v>
      </c>
      <c r="P7226" t="s">
        <v>312</v>
      </c>
      <c r="Q7226" t="s">
        <v>319</v>
      </c>
      <c r="R7226">
        <f>&gt;10       ветра      3.4     18   6</f>
        <v>0</v>
      </c>
      <c r="AK7226" t="s">
        <v>365</v>
      </c>
    </row>
    <row r="7227" spans="1:37">
      <c r="A7227" t="s">
        <v>40</v>
      </c>
      <c r="B7227" t="s">
        <v>59</v>
      </c>
      <c r="C7227" t="s">
        <v>81</v>
      </c>
      <c r="D7227" t="s">
        <v>100</v>
      </c>
      <c r="E7227" t="s">
        <v>119</v>
      </c>
      <c r="F7227" t="s">
        <v>153</v>
      </c>
      <c r="G7227" t="s">
        <v>179</v>
      </c>
      <c r="H7227" t="s">
        <v>214</v>
      </c>
      <c r="I7227" t="s">
        <v>234</v>
      </c>
      <c r="AK7227" t="s">
        <v>365</v>
      </c>
    </row>
    <row r="7228" spans="1:37">
      <c r="A7228" t="s">
        <v>40</v>
      </c>
      <c r="B7228" t="s">
        <v>60</v>
      </c>
      <c r="C7228" t="s">
        <v>82</v>
      </c>
      <c r="D7228" t="s">
        <v>101</v>
      </c>
      <c r="E7228" t="s">
        <v>120</v>
      </c>
      <c r="F7228" t="s">
        <v>154</v>
      </c>
      <c r="G7228" t="s">
        <v>180</v>
      </c>
      <c r="H7228" t="s">
        <v>215</v>
      </c>
      <c r="I7228" t="s">
        <v>235</v>
      </c>
      <c r="J7228" t="s">
        <v>253</v>
      </c>
      <c r="K7228" t="s">
        <v>267</v>
      </c>
      <c r="L7228" t="s">
        <v>279</v>
      </c>
      <c r="M7228" t="s">
        <v>288</v>
      </c>
      <c r="N7228" t="s">
        <v>100</v>
      </c>
      <c r="O7228" t="s">
        <v>306</v>
      </c>
      <c r="P7228" t="s">
        <v>313</v>
      </c>
      <c r="Q7228" t="s">
        <v>320</v>
      </c>
      <c r="R7228" t="s">
        <v>325</v>
      </c>
      <c r="S7228" t="s">
        <v>332</v>
      </c>
      <c r="T7228" t="s">
        <v>119</v>
      </c>
      <c r="U7228" t="s">
        <v>234</v>
      </c>
      <c r="V7228" t="s">
        <v>343</v>
      </c>
      <c r="W7228" t="s">
        <v>348</v>
      </c>
      <c r="X7228" t="s">
        <v>352</v>
      </c>
      <c r="Y7228" t="s">
        <v>354</v>
      </c>
      <c r="AK7228" t="s">
        <v>365</v>
      </c>
    </row>
    <row r="7229" spans="1:37">
      <c r="A7229" t="s">
        <v>41</v>
      </c>
      <c r="B7229" t="s">
        <v>61</v>
      </c>
      <c r="C7229" t="s">
        <v>83</v>
      </c>
      <c r="D7229" t="s">
        <v>102</v>
      </c>
      <c r="E7229" t="s">
        <v>121</v>
      </c>
      <c r="F7229" t="s">
        <v>155</v>
      </c>
      <c r="G7229" t="s">
        <v>181</v>
      </c>
      <c r="H7229" t="s">
        <v>216</v>
      </c>
      <c r="I7229" t="s">
        <v>236</v>
      </c>
      <c r="AK7229" t="s">
        <v>365</v>
      </c>
    </row>
    <row r="7230" spans="1:37">
      <c r="A7230" t="s">
        <v>42</v>
      </c>
      <c r="B7230" t="s">
        <v>62</v>
      </c>
      <c r="C7230" t="s">
        <v>84</v>
      </c>
      <c r="D7230" t="s">
        <v>103</v>
      </c>
      <c r="E7230" t="s">
        <v>122</v>
      </c>
      <c r="F7230" t="s">
        <v>156</v>
      </c>
      <c r="G7230" t="s">
        <v>182</v>
      </c>
      <c r="H7230" t="s">
        <v>83</v>
      </c>
      <c r="I7230" t="s">
        <v>237</v>
      </c>
      <c r="J7230" t="s">
        <v>254</v>
      </c>
      <c r="K7230" t="s">
        <v>268</v>
      </c>
      <c r="L7230" t="s">
        <v>280</v>
      </c>
      <c r="M7230" t="s">
        <v>289</v>
      </c>
      <c r="N7230" t="s">
        <v>298</v>
      </c>
      <c r="O7230" t="s">
        <v>307</v>
      </c>
      <c r="P7230" t="s">
        <v>314</v>
      </c>
      <c r="Q7230" t="s">
        <v>216</v>
      </c>
      <c r="R7230" t="s">
        <v>326</v>
      </c>
      <c r="S7230" t="s">
        <v>333</v>
      </c>
      <c r="T7230" t="s">
        <v>335</v>
      </c>
      <c r="U7230" t="s">
        <v>340</v>
      </c>
      <c r="V7230" t="s">
        <v>344</v>
      </c>
      <c r="W7230" t="s">
        <v>349</v>
      </c>
      <c r="AK7230" t="s">
        <v>365</v>
      </c>
    </row>
    <row r="7231" spans="1:37">
      <c r="A7231" t="s">
        <v>43</v>
      </c>
      <c r="B7231" t="s">
        <v>63</v>
      </c>
      <c r="C7231" t="s">
        <v>85</v>
      </c>
      <c r="D7231" t="s">
        <v>104</v>
      </c>
      <c r="E7231" t="s">
        <v>123</v>
      </c>
      <c r="F7231" t="s">
        <v>157</v>
      </c>
      <c r="G7231" t="s">
        <v>183</v>
      </c>
      <c r="AK7231" t="s">
        <v>365</v>
      </c>
    </row>
    <row r="7232" spans="1:37">
      <c r="A7232" t="s">
        <v>44</v>
      </c>
      <c r="B7232" t="s">
        <v>64</v>
      </c>
      <c r="C7232" t="s">
        <v>86</v>
      </c>
      <c r="D7232" t="s">
        <v>105</v>
      </c>
      <c r="E7232" t="s">
        <v>124</v>
      </c>
      <c r="F7232" t="s">
        <v>158</v>
      </c>
      <c r="G7232" t="s">
        <v>184</v>
      </c>
      <c r="AK7232" t="s">
        <v>365</v>
      </c>
    </row>
    <row r="7233" spans="1:37">
      <c r="A7233" t="s">
        <v>45</v>
      </c>
      <c r="B7233" t="s">
        <v>65</v>
      </c>
      <c r="C7233" t="s">
        <v>87</v>
      </c>
      <c r="D7233" t="s">
        <v>106</v>
      </c>
      <c r="E7233" t="s">
        <v>125</v>
      </c>
      <c r="F7233" t="s">
        <v>159</v>
      </c>
      <c r="G7233" t="s">
        <v>185</v>
      </c>
      <c r="H7233" t="s">
        <v>159</v>
      </c>
      <c r="I7233" t="s">
        <v>185</v>
      </c>
      <c r="J7233" t="s">
        <v>255</v>
      </c>
      <c r="AK7233" t="s">
        <v>365</v>
      </c>
    </row>
    <row r="7234" spans="1:37">
      <c r="A7234" t="s">
        <v>46</v>
      </c>
      <c r="B7234" t="s">
        <v>66</v>
      </c>
      <c r="C7234" t="s">
        <v>88</v>
      </c>
      <c r="D7234" t="s">
        <v>76</v>
      </c>
      <c r="E7234" t="s">
        <v>126</v>
      </c>
      <c r="F7234" t="s">
        <v>160</v>
      </c>
      <c r="G7234" t="s">
        <v>186</v>
      </c>
      <c r="H7234" t="s">
        <v>217</v>
      </c>
      <c r="I7234" t="s">
        <v>238</v>
      </c>
      <c r="J7234" t="s">
        <v>256</v>
      </c>
      <c r="K7234" t="s">
        <v>265</v>
      </c>
      <c r="L7234" t="s">
        <v>281</v>
      </c>
      <c r="M7234" t="s">
        <v>290</v>
      </c>
      <c r="N7234" t="s">
        <v>299</v>
      </c>
      <c r="O7234" t="s">
        <v>308</v>
      </c>
      <c r="P7234" t="s">
        <v>228</v>
      </c>
      <c r="Q7234" t="s">
        <v>72</v>
      </c>
      <c r="R7234" t="s">
        <v>327</v>
      </c>
      <c r="S7234" t="s">
        <v>327</v>
      </c>
      <c r="T7234" t="s">
        <v>336</v>
      </c>
      <c r="U7234" t="s">
        <v>336</v>
      </c>
      <c r="V7234" t="s">
        <v>336</v>
      </c>
      <c r="W7234" t="s">
        <v>336</v>
      </c>
      <c r="X7234" t="s">
        <v>353</v>
      </c>
      <c r="AK7234" t="s">
        <v>365</v>
      </c>
    </row>
    <row r="7235" spans="1:37">
      <c r="B7235" t="s">
        <v>67</v>
      </c>
      <c r="C7235" t="s">
        <v>89</v>
      </c>
      <c r="D7235" t="s">
        <v>107</v>
      </c>
      <c r="AK7235" t="s">
        <v>365</v>
      </c>
    </row>
    <row r="7236" spans="1:37">
      <c r="B7236" t="s">
        <v>68</v>
      </c>
      <c r="C7236" t="s">
        <v>90</v>
      </c>
      <c r="D7236" t="s">
        <v>108</v>
      </c>
      <c r="AK7236" t="s">
        <v>365</v>
      </c>
    </row>
    <row r="7237" spans="1:37">
      <c r="A7237" t="s">
        <v>47</v>
      </c>
      <c r="B7237" t="s">
        <v>69</v>
      </c>
      <c r="C7237" t="s">
        <v>91</v>
      </c>
      <c r="D7237" t="s">
        <v>109</v>
      </c>
      <c r="E7237" t="s">
        <v>109</v>
      </c>
      <c r="F7237" t="s">
        <v>109</v>
      </c>
      <c r="G7237" t="s">
        <v>109</v>
      </c>
      <c r="H7237" t="s">
        <v>109</v>
      </c>
      <c r="I7237" t="s">
        <v>239</v>
      </c>
      <c r="AK7237" t="s">
        <v>365</v>
      </c>
    </row>
    <row r="7238" spans="1:37">
      <c r="B7238" t="s">
        <v>70</v>
      </c>
      <c r="C7238" t="s">
        <v>92</v>
      </c>
      <c r="D7238" t="s">
        <v>110</v>
      </c>
      <c r="E7238" t="s">
        <v>127</v>
      </c>
      <c r="F7238" t="s">
        <v>161</v>
      </c>
      <c r="G7238" t="s">
        <v>187</v>
      </c>
      <c r="H7238" t="s">
        <v>218</v>
      </c>
      <c r="AK7238" t="s">
        <v>365</v>
      </c>
    </row>
    <row r="7239" spans="1:37">
      <c r="B7239" t="s">
        <v>71</v>
      </c>
      <c r="C7239" t="s">
        <v>93</v>
      </c>
      <c r="D7239" t="s">
        <v>111</v>
      </c>
      <c r="E7239" t="s">
        <v>128</v>
      </c>
      <c r="F7239" t="s">
        <v>162</v>
      </c>
      <c r="G7239" t="s">
        <v>188</v>
      </c>
      <c r="H7239" t="s">
        <v>219</v>
      </c>
      <c r="I7239" t="s">
        <v>240</v>
      </c>
      <c r="J7239" t="s">
        <v>257</v>
      </c>
      <c r="K7239" t="s">
        <v>269</v>
      </c>
      <c r="L7239" t="s">
        <v>109</v>
      </c>
      <c r="M7239" t="s">
        <v>109</v>
      </c>
      <c r="N7239" t="s">
        <v>109</v>
      </c>
      <c r="O7239" t="s">
        <v>109</v>
      </c>
      <c r="P7239" t="s">
        <v>109</v>
      </c>
      <c r="Q7239" t="s">
        <v>321</v>
      </c>
      <c r="AK7239" t="s">
        <v>365</v>
      </c>
    </row>
    <row r="7240" spans="1:37">
      <c r="A7240" t="s">
        <v>48</v>
      </c>
      <c r="B7240" t="s">
        <v>71</v>
      </c>
      <c r="C7240" t="s">
        <v>93</v>
      </c>
      <c r="D7240" t="s">
        <v>111</v>
      </c>
      <c r="E7240" t="s">
        <v>128</v>
      </c>
      <c r="F7240" t="s">
        <v>163</v>
      </c>
      <c r="G7240" t="s">
        <v>189</v>
      </c>
      <c r="H7240" t="s">
        <v>220</v>
      </c>
      <c r="I7240" t="s">
        <v>241</v>
      </c>
      <c r="J7240" t="s">
        <v>258</v>
      </c>
      <c r="K7240" t="s">
        <v>270</v>
      </c>
      <c r="AK7240" t="s">
        <v>365</v>
      </c>
    </row>
    <row r="7241" spans="1:37">
      <c r="B7241" t="s">
        <v>72</v>
      </c>
      <c r="C7241" t="s">
        <v>72</v>
      </c>
      <c r="D7241" t="s">
        <v>72</v>
      </c>
      <c r="E7241" t="s">
        <v>140</v>
      </c>
      <c r="F7241" t="s">
        <v>139</v>
      </c>
      <c r="G7241" t="s">
        <v>192</v>
      </c>
      <c r="H7241" t="s">
        <v>192</v>
      </c>
      <c r="I7241" t="s">
        <v>192</v>
      </c>
      <c r="J7241" t="s">
        <v>192</v>
      </c>
      <c r="K7241" t="s">
        <v>271</v>
      </c>
      <c r="AK7241" t="s">
        <v>365</v>
      </c>
    </row>
    <row r="7242" spans="1:37">
      <c r="A7242" t="s">
        <v>37</v>
      </c>
      <c r="B7242" t="s">
        <v>49</v>
      </c>
      <c r="C7242" t="s">
        <v>73</v>
      </c>
      <c r="D7242" t="s">
        <v>94</v>
      </c>
      <c r="E7242" t="s">
        <v>112</v>
      </c>
      <c r="F7242" t="s">
        <v>146</v>
      </c>
      <c r="G7242" t="s">
        <v>172</v>
      </c>
      <c r="H7242" t="s">
        <v>207</v>
      </c>
      <c r="I7242" t="s">
        <v>226</v>
      </c>
      <c r="J7242" t="s">
        <v>246</v>
      </c>
      <c r="K7242" t="s">
        <v>259</v>
      </c>
      <c r="AK7242" t="s">
        <v>365</v>
      </c>
    </row>
    <row r="7243" spans="1:37">
      <c r="A7243" t="s">
        <v>38</v>
      </c>
      <c r="B7243" t="s">
        <v>50</v>
      </c>
      <c r="C7243" t="s">
        <v>74</v>
      </c>
      <c r="D7243" t="s">
        <v>95</v>
      </c>
      <c r="E7243" t="s">
        <v>113</v>
      </c>
      <c r="F7243" t="s">
        <v>147</v>
      </c>
      <c r="G7243" t="s">
        <v>173</v>
      </c>
      <c r="H7243" t="s">
        <v>208</v>
      </c>
      <c r="I7243" t="s">
        <v>227</v>
      </c>
      <c r="J7243" t="s">
        <v>115</v>
      </c>
      <c r="K7243" t="s">
        <v>260</v>
      </c>
      <c r="L7243" t="s">
        <v>273</v>
      </c>
      <c r="M7243" t="s">
        <v>282</v>
      </c>
      <c r="N7243" t="s">
        <v>291</v>
      </c>
      <c r="AK7243" t="s">
        <v>365</v>
      </c>
    </row>
    <row r="7244" spans="1:37">
      <c r="B7244" t="s">
        <v>51</v>
      </c>
      <c r="C7244" t="s">
        <v>75</v>
      </c>
      <c r="D7244" t="s">
        <v>52</v>
      </c>
      <c r="E7244" t="s">
        <v>114</v>
      </c>
      <c r="F7244" t="s">
        <v>148</v>
      </c>
      <c r="G7244" t="s">
        <v>148</v>
      </c>
      <c r="H7244" t="s">
        <v>209</v>
      </c>
      <c r="I7244" t="s">
        <v>228</v>
      </c>
      <c r="J7244" t="s">
        <v>247</v>
      </c>
      <c r="K7244" t="s">
        <v>261</v>
      </c>
      <c r="L7244" t="s">
        <v>274</v>
      </c>
      <c r="M7244" t="s">
        <v>283</v>
      </c>
      <c r="N7244" t="s">
        <v>292</v>
      </c>
      <c r="O7244" t="s">
        <v>300</v>
      </c>
      <c r="AK7244" t="s">
        <v>365</v>
      </c>
    </row>
    <row r="7245" spans="1:37">
      <c r="B7245" t="s">
        <v>52</v>
      </c>
      <c r="C7245" t="s">
        <v>76</v>
      </c>
      <c r="D7245" t="s">
        <v>96</v>
      </c>
      <c r="E7245" t="s">
        <v>115</v>
      </c>
      <c r="F7245" t="s">
        <v>149</v>
      </c>
      <c r="G7245" t="s">
        <v>174</v>
      </c>
      <c r="H7245" t="s">
        <v>96</v>
      </c>
      <c r="I7245" t="s">
        <v>229</v>
      </c>
      <c r="J7245" t="s">
        <v>248</v>
      </c>
      <c r="K7245" t="s">
        <v>262</v>
      </c>
      <c r="L7245" t="s">
        <v>52</v>
      </c>
      <c r="M7245" t="s">
        <v>76</v>
      </c>
      <c r="N7245" t="s">
        <v>293</v>
      </c>
      <c r="O7245" t="s">
        <v>301</v>
      </c>
      <c r="P7245" t="s">
        <v>309</v>
      </c>
      <c r="Q7245" t="s">
        <v>315</v>
      </c>
      <c r="R7245" t="s">
        <v>228</v>
      </c>
      <c r="S7245" t="s">
        <v>328</v>
      </c>
      <c r="T7245" t="s">
        <v>149</v>
      </c>
      <c r="U7245" t="s">
        <v>337</v>
      </c>
      <c r="V7245" t="s">
        <v>341</v>
      </c>
      <c r="W7245" t="s">
        <v>345</v>
      </c>
      <c r="X7245" t="s">
        <v>350</v>
      </c>
      <c r="AK7245" t="s">
        <v>365</v>
      </c>
    </row>
    <row r="7246" spans="1:37">
      <c r="B7246" t="s">
        <v>53</v>
      </c>
      <c r="C7246" t="s">
        <v>77</v>
      </c>
      <c r="D7246" t="s">
        <v>97</v>
      </c>
      <c r="E7246" t="s">
        <v>116</v>
      </c>
      <c r="F7246" t="s">
        <v>150</v>
      </c>
      <c r="G7246" t="s">
        <v>175</v>
      </c>
      <c r="H7246" t="s">
        <v>210</v>
      </c>
      <c r="I7246" t="s">
        <v>230</v>
      </c>
      <c r="J7246" t="s">
        <v>249</v>
      </c>
      <c r="K7246" t="s">
        <v>263</v>
      </c>
      <c r="L7246" t="s">
        <v>275</v>
      </c>
      <c r="M7246" t="s">
        <v>284</v>
      </c>
      <c r="N7246" t="s">
        <v>294</v>
      </c>
      <c r="O7246" t="s">
        <v>302</v>
      </c>
      <c r="P7246" t="s">
        <v>310</v>
      </c>
      <c r="Q7246" t="s">
        <v>316</v>
      </c>
      <c r="R7246" t="s">
        <v>322</v>
      </c>
      <c r="S7246" t="s">
        <v>329</v>
      </c>
      <c r="AK7246" t="s">
        <v>365</v>
      </c>
    </row>
    <row r="7247" spans="1:37">
      <c r="A7247" t="s">
        <v>39</v>
      </c>
      <c r="B7247" t="s">
        <v>54</v>
      </c>
      <c r="C7247" t="s">
        <v>54</v>
      </c>
      <c r="D7247" t="s">
        <v>54</v>
      </c>
      <c r="E7247" t="s">
        <v>54</v>
      </c>
      <c r="F7247" t="s">
        <v>54</v>
      </c>
      <c r="G7247" t="s">
        <v>54</v>
      </c>
      <c r="H7247" t="s">
        <v>54</v>
      </c>
      <c r="I7247" t="s">
        <v>54</v>
      </c>
      <c r="J7247" t="s">
        <v>54</v>
      </c>
      <c r="K7247" t="s">
        <v>54</v>
      </c>
      <c r="L7247" t="s">
        <v>54</v>
      </c>
      <c r="M7247" t="s">
        <v>54</v>
      </c>
      <c r="N7247" t="s">
        <v>54</v>
      </c>
      <c r="O7247" t="s">
        <v>54</v>
      </c>
      <c r="P7247" t="s">
        <v>54</v>
      </c>
      <c r="Q7247" t="s">
        <v>54</v>
      </c>
      <c r="R7247" t="s">
        <v>323</v>
      </c>
      <c r="S7247" t="s">
        <v>330</v>
      </c>
      <c r="AK7247" t="s">
        <v>365</v>
      </c>
    </row>
    <row r="7248" spans="1:37">
      <c r="B7248" t="s">
        <v>55</v>
      </c>
      <c r="C7248" t="s">
        <v>78</v>
      </c>
      <c r="D7248" t="s">
        <v>55</v>
      </c>
      <c r="E7248" t="s">
        <v>78</v>
      </c>
      <c r="F7248" t="s">
        <v>55</v>
      </c>
      <c r="G7248" t="s">
        <v>78</v>
      </c>
      <c r="H7248" t="s">
        <v>55</v>
      </c>
      <c r="I7248" t="s">
        <v>78</v>
      </c>
      <c r="J7248" t="s">
        <v>55</v>
      </c>
      <c r="K7248" t="s">
        <v>78</v>
      </c>
      <c r="L7248" t="s">
        <v>55</v>
      </c>
      <c r="M7248" t="s">
        <v>78</v>
      </c>
      <c r="N7248" t="s">
        <v>55</v>
      </c>
      <c r="O7248" t="s">
        <v>78</v>
      </c>
      <c r="P7248" t="s">
        <v>55</v>
      </c>
      <c r="Q7248" t="s">
        <v>78</v>
      </c>
      <c r="R7248" t="s">
        <v>55</v>
      </c>
      <c r="S7248" t="s">
        <v>78</v>
      </c>
      <c r="T7248" t="s">
        <v>55</v>
      </c>
      <c r="U7248" t="s">
        <v>78</v>
      </c>
      <c r="V7248" t="s">
        <v>55</v>
      </c>
      <c r="W7248" t="s">
        <v>78</v>
      </c>
      <c r="X7248" t="s">
        <v>55</v>
      </c>
      <c r="Y7248" t="s">
        <v>78</v>
      </c>
      <c r="Z7248" t="s">
        <v>55</v>
      </c>
      <c r="AA7248" t="s">
        <v>78</v>
      </c>
      <c r="AB7248" t="s">
        <v>55</v>
      </c>
      <c r="AC7248" t="s">
        <v>78</v>
      </c>
      <c r="AD7248" t="s">
        <v>55</v>
      </c>
      <c r="AE7248" t="s">
        <v>78</v>
      </c>
      <c r="AF7248" t="s">
        <v>55</v>
      </c>
      <c r="AG7248" t="s">
        <v>78</v>
      </c>
      <c r="AH7248" t="s">
        <v>55</v>
      </c>
      <c r="AI7248" t="s">
        <v>78</v>
      </c>
      <c r="AK7248" t="s">
        <v>365</v>
      </c>
    </row>
    <row r="7249" spans="1:37">
      <c r="B7249" t="s">
        <v>56</v>
      </c>
      <c r="C7249" t="s">
        <v>56</v>
      </c>
      <c r="D7249" t="s">
        <v>56</v>
      </c>
      <c r="E7249" t="s">
        <v>56</v>
      </c>
      <c r="F7249" t="s">
        <v>56</v>
      </c>
      <c r="G7249" t="s">
        <v>176</v>
      </c>
      <c r="H7249" t="s">
        <v>211</v>
      </c>
      <c r="I7249" t="s">
        <v>231</v>
      </c>
      <c r="J7249" t="s">
        <v>250</v>
      </c>
      <c r="K7249" t="s">
        <v>264</v>
      </c>
      <c r="L7249" t="s">
        <v>276</v>
      </c>
      <c r="M7249" t="s">
        <v>285</v>
      </c>
      <c r="N7249" t="s">
        <v>295</v>
      </c>
      <c r="O7249" t="s">
        <v>303</v>
      </c>
      <c r="P7249" t="s">
        <v>56</v>
      </c>
      <c r="Q7249" t="s">
        <v>317</v>
      </c>
      <c r="R7249" t="s">
        <v>324</v>
      </c>
      <c r="S7249" t="s">
        <v>331</v>
      </c>
      <c r="T7249" t="s">
        <v>334</v>
      </c>
      <c r="U7249" t="s">
        <v>338</v>
      </c>
      <c r="V7249" t="s">
        <v>342</v>
      </c>
      <c r="W7249" t="s">
        <v>346</v>
      </c>
      <c r="X7249" t="s">
        <v>351</v>
      </c>
      <c r="AK7249" t="s">
        <v>365</v>
      </c>
    </row>
    <row r="7250" spans="1:37">
      <c r="B7250" t="s">
        <v>57</v>
      </c>
      <c r="C7250" t="s">
        <v>79</v>
      </c>
      <c r="D7250" t="s">
        <v>98</v>
      </c>
      <c r="E7250" t="s">
        <v>117</v>
      </c>
      <c r="F7250" t="s">
        <v>151</v>
      </c>
      <c r="G7250" t="s">
        <v>177</v>
      </c>
      <c r="H7250" t="s">
        <v>212</v>
      </c>
      <c r="I7250" t="s">
        <v>232</v>
      </c>
      <c r="J7250" t="s">
        <v>251</v>
      </c>
      <c r="K7250" t="s">
        <v>265</v>
      </c>
      <c r="L7250" t="s">
        <v>277</v>
      </c>
      <c r="M7250" t="s">
        <v>286</v>
      </c>
      <c r="N7250" t="s">
        <v>296</v>
      </c>
      <c r="O7250" t="s">
        <v>304</v>
      </c>
      <c r="P7250" t="s">
        <v>311</v>
      </c>
      <c r="Q7250" t="s">
        <v>318</v>
      </c>
      <c r="R7250" t="s">
        <v>185</v>
      </c>
      <c r="S7250" t="s">
        <v>159</v>
      </c>
      <c r="T7250" t="s">
        <v>185</v>
      </c>
      <c r="U7250" t="s">
        <v>339</v>
      </c>
      <c r="V7250" t="s">
        <v>72</v>
      </c>
      <c r="W7250" t="s">
        <v>347</v>
      </c>
      <c r="X7250" t="s">
        <v>72</v>
      </c>
      <c r="Y7250" t="s">
        <v>96</v>
      </c>
      <c r="AK7250" t="s">
        <v>365</v>
      </c>
    </row>
    <row r="7251" spans="1:37">
      <c r="B7251" t="s">
        <v>58</v>
      </c>
      <c r="C7251" t="s">
        <v>80</v>
      </c>
      <c r="D7251" t="s">
        <v>99</v>
      </c>
      <c r="E7251" t="s">
        <v>118</v>
      </c>
      <c r="F7251" t="s">
        <v>152</v>
      </c>
      <c r="G7251" t="s">
        <v>178</v>
      </c>
      <c r="H7251" t="s">
        <v>213</v>
      </c>
      <c r="I7251" t="s">
        <v>233</v>
      </c>
      <c r="J7251" t="s">
        <v>252</v>
      </c>
      <c r="K7251" t="s">
        <v>266</v>
      </c>
      <c r="L7251" t="s">
        <v>278</v>
      </c>
      <c r="M7251" t="s">
        <v>287</v>
      </c>
      <c r="N7251" t="s">
        <v>297</v>
      </c>
      <c r="O7251" t="s">
        <v>305</v>
      </c>
      <c r="P7251" t="s">
        <v>312</v>
      </c>
      <c r="Q7251" t="s">
        <v>319</v>
      </c>
      <c r="R7251">
        <f>&gt;10       ветра      2.7     20   6 11</f>
        <v>0</v>
      </c>
      <c r="AK7251" t="s">
        <v>365</v>
      </c>
    </row>
    <row r="7252" spans="1:37">
      <c r="A7252" t="s">
        <v>40</v>
      </c>
      <c r="B7252" t="s">
        <v>59</v>
      </c>
      <c r="C7252" t="s">
        <v>81</v>
      </c>
      <c r="D7252" t="s">
        <v>100</v>
      </c>
      <c r="E7252" t="s">
        <v>119</v>
      </c>
      <c r="F7252" t="s">
        <v>153</v>
      </c>
      <c r="G7252" t="s">
        <v>179</v>
      </c>
      <c r="H7252" t="s">
        <v>214</v>
      </c>
      <c r="I7252" t="s">
        <v>234</v>
      </c>
      <c r="AK7252" t="s">
        <v>365</v>
      </c>
    </row>
    <row r="7253" spans="1:37">
      <c r="A7253" t="s">
        <v>40</v>
      </c>
      <c r="B7253" t="s">
        <v>60</v>
      </c>
      <c r="C7253" t="s">
        <v>82</v>
      </c>
      <c r="D7253" t="s">
        <v>101</v>
      </c>
      <c r="E7253" t="s">
        <v>120</v>
      </c>
      <c r="F7253" t="s">
        <v>154</v>
      </c>
      <c r="G7253" t="s">
        <v>180</v>
      </c>
      <c r="H7253" t="s">
        <v>215</v>
      </c>
      <c r="I7253" t="s">
        <v>235</v>
      </c>
      <c r="J7253" t="s">
        <v>253</v>
      </c>
      <c r="K7253" t="s">
        <v>267</v>
      </c>
      <c r="L7253" t="s">
        <v>279</v>
      </c>
      <c r="M7253" t="s">
        <v>288</v>
      </c>
      <c r="N7253" t="s">
        <v>100</v>
      </c>
      <c r="O7253" t="s">
        <v>306</v>
      </c>
      <c r="P7253" t="s">
        <v>313</v>
      </c>
      <c r="Q7253" t="s">
        <v>320</v>
      </c>
      <c r="R7253" t="s">
        <v>325</v>
      </c>
      <c r="S7253" t="s">
        <v>332</v>
      </c>
      <c r="T7253" t="s">
        <v>119</v>
      </c>
      <c r="U7253" t="s">
        <v>234</v>
      </c>
      <c r="V7253" t="s">
        <v>343</v>
      </c>
      <c r="W7253" t="s">
        <v>348</v>
      </c>
      <c r="X7253" t="s">
        <v>352</v>
      </c>
      <c r="Y7253" t="s">
        <v>354</v>
      </c>
      <c r="AK7253" t="s">
        <v>365</v>
      </c>
    </row>
    <row r="7254" spans="1:37">
      <c r="A7254" t="s">
        <v>41</v>
      </c>
      <c r="B7254" t="s">
        <v>61</v>
      </c>
      <c r="C7254" t="s">
        <v>83</v>
      </c>
      <c r="D7254" t="s">
        <v>102</v>
      </c>
      <c r="E7254" t="s">
        <v>121</v>
      </c>
      <c r="F7254" t="s">
        <v>155</v>
      </c>
      <c r="G7254" t="s">
        <v>181</v>
      </c>
      <c r="H7254" t="s">
        <v>216</v>
      </c>
      <c r="I7254" t="s">
        <v>236</v>
      </c>
      <c r="AK7254" t="s">
        <v>365</v>
      </c>
    </row>
    <row r="7255" spans="1:37">
      <c r="A7255" t="s">
        <v>42</v>
      </c>
      <c r="B7255" t="s">
        <v>62</v>
      </c>
      <c r="C7255" t="s">
        <v>84</v>
      </c>
      <c r="D7255" t="s">
        <v>103</v>
      </c>
      <c r="E7255" t="s">
        <v>122</v>
      </c>
      <c r="F7255" t="s">
        <v>156</v>
      </c>
      <c r="G7255" t="s">
        <v>182</v>
      </c>
      <c r="H7255" t="s">
        <v>83</v>
      </c>
      <c r="I7255" t="s">
        <v>237</v>
      </c>
      <c r="J7255" t="s">
        <v>254</v>
      </c>
      <c r="K7255" t="s">
        <v>268</v>
      </c>
      <c r="L7255" t="s">
        <v>280</v>
      </c>
      <c r="M7255" t="s">
        <v>289</v>
      </c>
      <c r="N7255" t="s">
        <v>298</v>
      </c>
      <c r="O7255" t="s">
        <v>307</v>
      </c>
      <c r="P7255" t="s">
        <v>314</v>
      </c>
      <c r="Q7255" t="s">
        <v>216</v>
      </c>
      <c r="R7255" t="s">
        <v>326</v>
      </c>
      <c r="S7255" t="s">
        <v>333</v>
      </c>
      <c r="T7255" t="s">
        <v>335</v>
      </c>
      <c r="U7255" t="s">
        <v>340</v>
      </c>
      <c r="V7255" t="s">
        <v>344</v>
      </c>
      <c r="W7255" t="s">
        <v>349</v>
      </c>
      <c r="AK7255" t="s">
        <v>365</v>
      </c>
    </row>
    <row r="7256" spans="1:37">
      <c r="A7256" t="s">
        <v>43</v>
      </c>
      <c r="B7256" t="s">
        <v>63</v>
      </c>
      <c r="C7256" t="s">
        <v>85</v>
      </c>
      <c r="D7256" t="s">
        <v>104</v>
      </c>
      <c r="E7256" t="s">
        <v>123</v>
      </c>
      <c r="F7256" t="s">
        <v>157</v>
      </c>
      <c r="G7256" t="s">
        <v>183</v>
      </c>
      <c r="AK7256" t="s">
        <v>365</v>
      </c>
    </row>
    <row r="7257" spans="1:37">
      <c r="A7257" t="s">
        <v>44</v>
      </c>
      <c r="B7257" t="s">
        <v>64</v>
      </c>
      <c r="C7257" t="s">
        <v>86</v>
      </c>
      <c r="D7257" t="s">
        <v>105</v>
      </c>
      <c r="E7257" t="s">
        <v>124</v>
      </c>
      <c r="F7257" t="s">
        <v>158</v>
      </c>
      <c r="G7257" t="s">
        <v>184</v>
      </c>
      <c r="AK7257" t="s">
        <v>365</v>
      </c>
    </row>
    <row r="7258" spans="1:37">
      <c r="A7258" t="s">
        <v>45</v>
      </c>
      <c r="B7258" t="s">
        <v>65</v>
      </c>
      <c r="C7258" t="s">
        <v>87</v>
      </c>
      <c r="D7258" t="s">
        <v>106</v>
      </c>
      <c r="E7258" t="s">
        <v>125</v>
      </c>
      <c r="F7258" t="s">
        <v>159</v>
      </c>
      <c r="G7258" t="s">
        <v>185</v>
      </c>
      <c r="H7258" t="s">
        <v>159</v>
      </c>
      <c r="I7258" t="s">
        <v>185</v>
      </c>
      <c r="J7258" t="s">
        <v>255</v>
      </c>
      <c r="AK7258" t="s">
        <v>365</v>
      </c>
    </row>
    <row r="7259" spans="1:37">
      <c r="A7259" t="s">
        <v>46</v>
      </c>
      <c r="B7259" t="s">
        <v>66</v>
      </c>
      <c r="C7259" t="s">
        <v>88</v>
      </c>
      <c r="D7259" t="s">
        <v>76</v>
      </c>
      <c r="E7259" t="s">
        <v>126</v>
      </c>
      <c r="F7259" t="s">
        <v>160</v>
      </c>
      <c r="G7259" t="s">
        <v>186</v>
      </c>
      <c r="H7259" t="s">
        <v>217</v>
      </c>
      <c r="I7259" t="s">
        <v>238</v>
      </c>
      <c r="J7259" t="s">
        <v>256</v>
      </c>
      <c r="K7259" t="s">
        <v>265</v>
      </c>
      <c r="L7259" t="s">
        <v>281</v>
      </c>
      <c r="M7259" t="s">
        <v>290</v>
      </c>
      <c r="N7259" t="s">
        <v>299</v>
      </c>
      <c r="O7259" t="s">
        <v>308</v>
      </c>
      <c r="P7259" t="s">
        <v>228</v>
      </c>
      <c r="Q7259" t="s">
        <v>72</v>
      </c>
      <c r="R7259" t="s">
        <v>327</v>
      </c>
      <c r="S7259" t="s">
        <v>327</v>
      </c>
      <c r="T7259" t="s">
        <v>336</v>
      </c>
      <c r="U7259" t="s">
        <v>336</v>
      </c>
      <c r="V7259" t="s">
        <v>336</v>
      </c>
      <c r="W7259" t="s">
        <v>336</v>
      </c>
      <c r="X7259" t="s">
        <v>353</v>
      </c>
      <c r="AK7259" t="s">
        <v>365</v>
      </c>
    </row>
    <row r="7260" spans="1:37">
      <c r="A7260" t="s">
        <v>37</v>
      </c>
      <c r="B7260" t="s">
        <v>49</v>
      </c>
      <c r="C7260" t="s">
        <v>73</v>
      </c>
      <c r="D7260" t="s">
        <v>94</v>
      </c>
      <c r="E7260" t="s">
        <v>112</v>
      </c>
      <c r="F7260" t="s">
        <v>146</v>
      </c>
      <c r="G7260" t="s">
        <v>172</v>
      </c>
      <c r="H7260" t="s">
        <v>207</v>
      </c>
      <c r="I7260" t="s">
        <v>226</v>
      </c>
      <c r="J7260" t="s">
        <v>246</v>
      </c>
      <c r="K7260" t="s">
        <v>259</v>
      </c>
      <c r="AK7260" t="s">
        <v>365</v>
      </c>
    </row>
    <row r="7261" spans="1:37">
      <c r="A7261" t="s">
        <v>38</v>
      </c>
      <c r="B7261" t="s">
        <v>50</v>
      </c>
      <c r="C7261" t="s">
        <v>74</v>
      </c>
      <c r="D7261" t="s">
        <v>95</v>
      </c>
      <c r="E7261" t="s">
        <v>113</v>
      </c>
      <c r="F7261" t="s">
        <v>147</v>
      </c>
      <c r="G7261" t="s">
        <v>173</v>
      </c>
      <c r="H7261" t="s">
        <v>208</v>
      </c>
      <c r="I7261" t="s">
        <v>227</v>
      </c>
      <c r="J7261" t="s">
        <v>115</v>
      </c>
      <c r="K7261" t="s">
        <v>260</v>
      </c>
      <c r="L7261" t="s">
        <v>273</v>
      </c>
      <c r="M7261" t="s">
        <v>282</v>
      </c>
      <c r="N7261" t="s">
        <v>291</v>
      </c>
      <c r="AK7261" t="s">
        <v>365</v>
      </c>
    </row>
    <row r="7262" spans="1:37">
      <c r="B7262" t="s">
        <v>51</v>
      </c>
      <c r="C7262" t="s">
        <v>75</v>
      </c>
      <c r="D7262" t="s">
        <v>52</v>
      </c>
      <c r="E7262" t="s">
        <v>114</v>
      </c>
      <c r="F7262" t="s">
        <v>148</v>
      </c>
      <c r="G7262" t="s">
        <v>148</v>
      </c>
      <c r="H7262" t="s">
        <v>209</v>
      </c>
      <c r="I7262" t="s">
        <v>228</v>
      </c>
      <c r="J7262" t="s">
        <v>247</v>
      </c>
      <c r="K7262" t="s">
        <v>261</v>
      </c>
      <c r="L7262" t="s">
        <v>274</v>
      </c>
      <c r="M7262" t="s">
        <v>283</v>
      </c>
      <c r="N7262" t="s">
        <v>292</v>
      </c>
      <c r="O7262" t="s">
        <v>300</v>
      </c>
      <c r="AK7262" t="s">
        <v>365</v>
      </c>
    </row>
    <row r="7263" spans="1:37">
      <c r="B7263" t="s">
        <v>52</v>
      </c>
      <c r="C7263" t="s">
        <v>76</v>
      </c>
      <c r="D7263" t="s">
        <v>96</v>
      </c>
      <c r="E7263" t="s">
        <v>115</v>
      </c>
      <c r="F7263" t="s">
        <v>149</v>
      </c>
      <c r="G7263" t="s">
        <v>174</v>
      </c>
      <c r="H7263" t="s">
        <v>96</v>
      </c>
      <c r="I7263" t="s">
        <v>229</v>
      </c>
      <c r="J7263" t="s">
        <v>248</v>
      </c>
      <c r="K7263" t="s">
        <v>262</v>
      </c>
      <c r="L7263" t="s">
        <v>52</v>
      </c>
      <c r="M7263" t="s">
        <v>76</v>
      </c>
      <c r="N7263" t="s">
        <v>293</v>
      </c>
      <c r="O7263" t="s">
        <v>301</v>
      </c>
      <c r="P7263" t="s">
        <v>309</v>
      </c>
      <c r="Q7263" t="s">
        <v>315</v>
      </c>
      <c r="R7263" t="s">
        <v>228</v>
      </c>
      <c r="S7263" t="s">
        <v>328</v>
      </c>
      <c r="T7263" t="s">
        <v>149</v>
      </c>
      <c r="U7263" t="s">
        <v>337</v>
      </c>
      <c r="V7263" t="s">
        <v>341</v>
      </c>
      <c r="W7263" t="s">
        <v>345</v>
      </c>
      <c r="X7263" t="s">
        <v>350</v>
      </c>
      <c r="AK7263" t="s">
        <v>365</v>
      </c>
    </row>
    <row r="7264" spans="1:37">
      <c r="B7264" t="s">
        <v>53</v>
      </c>
      <c r="C7264" t="s">
        <v>77</v>
      </c>
      <c r="D7264" t="s">
        <v>97</v>
      </c>
      <c r="E7264" t="s">
        <v>116</v>
      </c>
      <c r="F7264" t="s">
        <v>150</v>
      </c>
      <c r="G7264" t="s">
        <v>175</v>
      </c>
      <c r="H7264" t="s">
        <v>210</v>
      </c>
      <c r="I7264" t="s">
        <v>230</v>
      </c>
      <c r="J7264" t="s">
        <v>249</v>
      </c>
      <c r="K7264" t="s">
        <v>263</v>
      </c>
      <c r="L7264" t="s">
        <v>275</v>
      </c>
      <c r="M7264" t="s">
        <v>284</v>
      </c>
      <c r="N7264" t="s">
        <v>294</v>
      </c>
      <c r="O7264" t="s">
        <v>302</v>
      </c>
      <c r="P7264" t="s">
        <v>310</v>
      </c>
      <c r="Q7264" t="s">
        <v>316</v>
      </c>
      <c r="R7264" t="s">
        <v>322</v>
      </c>
      <c r="S7264" t="s">
        <v>329</v>
      </c>
      <c r="AK7264" t="s">
        <v>365</v>
      </c>
    </row>
    <row r="7265" spans="1:37">
      <c r="A7265" t="s">
        <v>39</v>
      </c>
      <c r="B7265" t="s">
        <v>54</v>
      </c>
      <c r="C7265" t="s">
        <v>54</v>
      </c>
      <c r="D7265" t="s">
        <v>54</v>
      </c>
      <c r="E7265" t="s">
        <v>54</v>
      </c>
      <c r="F7265" t="s">
        <v>54</v>
      </c>
      <c r="G7265" t="s">
        <v>54</v>
      </c>
      <c r="H7265" t="s">
        <v>54</v>
      </c>
      <c r="I7265" t="s">
        <v>54</v>
      </c>
      <c r="J7265" t="s">
        <v>54</v>
      </c>
      <c r="K7265" t="s">
        <v>54</v>
      </c>
      <c r="L7265" t="s">
        <v>54</v>
      </c>
      <c r="M7265" t="s">
        <v>54</v>
      </c>
      <c r="N7265" t="s">
        <v>54</v>
      </c>
      <c r="O7265" t="s">
        <v>54</v>
      </c>
      <c r="P7265" t="s">
        <v>54</v>
      </c>
      <c r="Q7265" t="s">
        <v>54</v>
      </c>
      <c r="R7265" t="s">
        <v>323</v>
      </c>
      <c r="S7265" t="s">
        <v>330</v>
      </c>
      <c r="AK7265" t="s">
        <v>365</v>
      </c>
    </row>
    <row r="7266" spans="1:37">
      <c r="B7266" t="s">
        <v>55</v>
      </c>
      <c r="C7266" t="s">
        <v>78</v>
      </c>
      <c r="D7266" t="s">
        <v>55</v>
      </c>
      <c r="E7266" t="s">
        <v>78</v>
      </c>
      <c r="F7266" t="s">
        <v>55</v>
      </c>
      <c r="G7266" t="s">
        <v>78</v>
      </c>
      <c r="H7266" t="s">
        <v>55</v>
      </c>
      <c r="I7266" t="s">
        <v>78</v>
      </c>
      <c r="J7266" t="s">
        <v>55</v>
      </c>
      <c r="K7266" t="s">
        <v>78</v>
      </c>
      <c r="L7266" t="s">
        <v>55</v>
      </c>
      <c r="M7266" t="s">
        <v>78</v>
      </c>
      <c r="N7266" t="s">
        <v>55</v>
      </c>
      <c r="O7266" t="s">
        <v>78</v>
      </c>
      <c r="P7266" t="s">
        <v>55</v>
      </c>
      <c r="Q7266" t="s">
        <v>78</v>
      </c>
      <c r="R7266" t="s">
        <v>55</v>
      </c>
      <c r="S7266" t="s">
        <v>78</v>
      </c>
      <c r="T7266" t="s">
        <v>55</v>
      </c>
      <c r="U7266" t="s">
        <v>78</v>
      </c>
      <c r="V7266" t="s">
        <v>55</v>
      </c>
      <c r="W7266" t="s">
        <v>78</v>
      </c>
      <c r="X7266" t="s">
        <v>55</v>
      </c>
      <c r="Y7266" t="s">
        <v>78</v>
      </c>
      <c r="Z7266" t="s">
        <v>55</v>
      </c>
      <c r="AA7266" t="s">
        <v>78</v>
      </c>
      <c r="AB7266" t="s">
        <v>55</v>
      </c>
      <c r="AC7266" t="s">
        <v>78</v>
      </c>
      <c r="AD7266" t="s">
        <v>55</v>
      </c>
      <c r="AE7266" t="s">
        <v>78</v>
      </c>
      <c r="AF7266" t="s">
        <v>55</v>
      </c>
      <c r="AG7266" t="s">
        <v>78</v>
      </c>
      <c r="AH7266" t="s">
        <v>55</v>
      </c>
      <c r="AI7266" t="s">
        <v>78</v>
      </c>
      <c r="AK7266" t="s">
        <v>365</v>
      </c>
    </row>
    <row r="7267" spans="1:37">
      <c r="B7267" t="s">
        <v>56</v>
      </c>
      <c r="C7267" t="s">
        <v>56</v>
      </c>
      <c r="D7267" t="s">
        <v>56</v>
      </c>
      <c r="E7267" t="s">
        <v>56</v>
      </c>
      <c r="F7267" t="s">
        <v>56</v>
      </c>
      <c r="G7267" t="s">
        <v>176</v>
      </c>
      <c r="H7267" t="s">
        <v>211</v>
      </c>
      <c r="I7267" t="s">
        <v>231</v>
      </c>
      <c r="J7267" t="s">
        <v>250</v>
      </c>
      <c r="K7267" t="s">
        <v>264</v>
      </c>
      <c r="L7267" t="s">
        <v>276</v>
      </c>
      <c r="M7267" t="s">
        <v>285</v>
      </c>
      <c r="N7267" t="s">
        <v>295</v>
      </c>
      <c r="O7267" t="s">
        <v>303</v>
      </c>
      <c r="P7267" t="s">
        <v>56</v>
      </c>
      <c r="Q7267" t="s">
        <v>317</v>
      </c>
      <c r="R7267" t="s">
        <v>324</v>
      </c>
      <c r="S7267" t="s">
        <v>331</v>
      </c>
      <c r="T7267" t="s">
        <v>334</v>
      </c>
      <c r="U7267" t="s">
        <v>338</v>
      </c>
      <c r="V7267" t="s">
        <v>342</v>
      </c>
      <c r="W7267" t="s">
        <v>346</v>
      </c>
      <c r="X7267" t="s">
        <v>351</v>
      </c>
      <c r="AK7267" t="s">
        <v>365</v>
      </c>
    </row>
    <row r="7268" spans="1:37">
      <c r="B7268" t="s">
        <v>57</v>
      </c>
      <c r="C7268" t="s">
        <v>79</v>
      </c>
      <c r="D7268" t="s">
        <v>98</v>
      </c>
      <c r="E7268" t="s">
        <v>117</v>
      </c>
      <c r="F7268" t="s">
        <v>151</v>
      </c>
      <c r="G7268" t="s">
        <v>177</v>
      </c>
      <c r="H7268" t="s">
        <v>212</v>
      </c>
      <c r="I7268" t="s">
        <v>232</v>
      </c>
      <c r="J7268" t="s">
        <v>251</v>
      </c>
      <c r="K7268" t="s">
        <v>265</v>
      </c>
      <c r="L7268" t="s">
        <v>277</v>
      </c>
      <c r="M7268" t="s">
        <v>286</v>
      </c>
      <c r="N7268" t="s">
        <v>296</v>
      </c>
      <c r="O7268" t="s">
        <v>304</v>
      </c>
      <c r="P7268" t="s">
        <v>311</v>
      </c>
      <c r="Q7268" t="s">
        <v>318</v>
      </c>
      <c r="R7268" t="s">
        <v>185</v>
      </c>
      <c r="S7268" t="s">
        <v>159</v>
      </c>
      <c r="T7268" t="s">
        <v>185</v>
      </c>
      <c r="U7268" t="s">
        <v>339</v>
      </c>
      <c r="V7268" t="s">
        <v>72</v>
      </c>
      <c r="W7268" t="s">
        <v>347</v>
      </c>
      <c r="X7268" t="s">
        <v>72</v>
      </c>
      <c r="Y7268" t="s">
        <v>96</v>
      </c>
      <c r="AK7268" t="s">
        <v>365</v>
      </c>
    </row>
    <row r="7269" spans="1:37">
      <c r="B7269" t="s">
        <v>58</v>
      </c>
      <c r="C7269" t="s">
        <v>80</v>
      </c>
      <c r="D7269" t="s">
        <v>99</v>
      </c>
      <c r="E7269" t="s">
        <v>118</v>
      </c>
      <c r="F7269" t="s">
        <v>152</v>
      </c>
      <c r="G7269" t="s">
        <v>178</v>
      </c>
      <c r="H7269" t="s">
        <v>213</v>
      </c>
      <c r="I7269" t="s">
        <v>233</v>
      </c>
      <c r="J7269" t="s">
        <v>252</v>
      </c>
      <c r="K7269" t="s">
        <v>266</v>
      </c>
      <c r="L7269" t="s">
        <v>278</v>
      </c>
      <c r="M7269" t="s">
        <v>287</v>
      </c>
      <c r="N7269" t="s">
        <v>297</v>
      </c>
      <c r="O7269" t="s">
        <v>305</v>
      </c>
      <c r="P7269" t="s">
        <v>312</v>
      </c>
      <c r="Q7269" t="s">
        <v>319</v>
      </c>
      <c r="R7269">
        <f>&gt;10       ветра      3.2     16   6</f>
        <v>0</v>
      </c>
      <c r="AK7269" t="s">
        <v>365</v>
      </c>
    </row>
    <row r="7270" spans="1:37">
      <c r="A7270" t="s">
        <v>40</v>
      </c>
      <c r="B7270" t="s">
        <v>59</v>
      </c>
      <c r="C7270" t="s">
        <v>81</v>
      </c>
      <c r="D7270" t="s">
        <v>100</v>
      </c>
      <c r="E7270" t="s">
        <v>119</v>
      </c>
      <c r="F7270" t="s">
        <v>153</v>
      </c>
      <c r="G7270" t="s">
        <v>179</v>
      </c>
      <c r="H7270" t="s">
        <v>214</v>
      </c>
      <c r="I7270" t="s">
        <v>234</v>
      </c>
      <c r="AK7270" t="s">
        <v>365</v>
      </c>
    </row>
    <row r="7271" spans="1:37">
      <c r="A7271" t="s">
        <v>40</v>
      </c>
      <c r="B7271" t="s">
        <v>60</v>
      </c>
      <c r="C7271" t="s">
        <v>82</v>
      </c>
      <c r="D7271" t="s">
        <v>101</v>
      </c>
      <c r="E7271" t="s">
        <v>120</v>
      </c>
      <c r="F7271" t="s">
        <v>154</v>
      </c>
      <c r="G7271" t="s">
        <v>180</v>
      </c>
      <c r="H7271" t="s">
        <v>215</v>
      </c>
      <c r="I7271" t="s">
        <v>235</v>
      </c>
      <c r="J7271" t="s">
        <v>253</v>
      </c>
      <c r="K7271" t="s">
        <v>267</v>
      </c>
      <c r="L7271" t="s">
        <v>279</v>
      </c>
      <c r="M7271" t="s">
        <v>288</v>
      </c>
      <c r="N7271" t="s">
        <v>100</v>
      </c>
      <c r="O7271" t="s">
        <v>306</v>
      </c>
      <c r="P7271" t="s">
        <v>313</v>
      </c>
      <c r="Q7271" t="s">
        <v>320</v>
      </c>
      <c r="R7271" t="s">
        <v>325</v>
      </c>
      <c r="S7271" t="s">
        <v>332</v>
      </c>
      <c r="T7271" t="s">
        <v>119</v>
      </c>
      <c r="U7271" t="s">
        <v>234</v>
      </c>
      <c r="V7271" t="s">
        <v>343</v>
      </c>
      <c r="W7271" t="s">
        <v>348</v>
      </c>
      <c r="X7271" t="s">
        <v>352</v>
      </c>
      <c r="Y7271" t="s">
        <v>354</v>
      </c>
      <c r="AK7271" t="s">
        <v>365</v>
      </c>
    </row>
    <row r="7272" spans="1:37">
      <c r="A7272" t="s">
        <v>41</v>
      </c>
      <c r="B7272" t="s">
        <v>61</v>
      </c>
      <c r="C7272" t="s">
        <v>83</v>
      </c>
      <c r="D7272" t="s">
        <v>102</v>
      </c>
      <c r="E7272" t="s">
        <v>121</v>
      </c>
      <c r="F7272" t="s">
        <v>155</v>
      </c>
      <c r="G7272" t="s">
        <v>181</v>
      </c>
      <c r="H7272" t="s">
        <v>216</v>
      </c>
      <c r="I7272" t="s">
        <v>236</v>
      </c>
      <c r="AK7272" t="s">
        <v>365</v>
      </c>
    </row>
    <row r="7273" spans="1:37">
      <c r="A7273" t="s">
        <v>42</v>
      </c>
      <c r="B7273" t="s">
        <v>62</v>
      </c>
      <c r="C7273" t="s">
        <v>84</v>
      </c>
      <c r="D7273" t="s">
        <v>103</v>
      </c>
      <c r="E7273" t="s">
        <v>122</v>
      </c>
      <c r="F7273" t="s">
        <v>156</v>
      </c>
      <c r="G7273" t="s">
        <v>182</v>
      </c>
      <c r="H7273" t="s">
        <v>83</v>
      </c>
      <c r="I7273" t="s">
        <v>237</v>
      </c>
      <c r="J7273" t="s">
        <v>254</v>
      </c>
      <c r="K7273" t="s">
        <v>268</v>
      </c>
      <c r="L7273" t="s">
        <v>280</v>
      </c>
      <c r="M7273" t="s">
        <v>289</v>
      </c>
      <c r="N7273" t="s">
        <v>298</v>
      </c>
      <c r="O7273" t="s">
        <v>307</v>
      </c>
      <c r="P7273" t="s">
        <v>314</v>
      </c>
      <c r="Q7273" t="s">
        <v>216</v>
      </c>
      <c r="R7273" t="s">
        <v>326</v>
      </c>
      <c r="S7273" t="s">
        <v>333</v>
      </c>
      <c r="T7273" t="s">
        <v>335</v>
      </c>
      <c r="U7273" t="s">
        <v>340</v>
      </c>
      <c r="V7273" t="s">
        <v>344</v>
      </c>
      <c r="W7273" t="s">
        <v>349</v>
      </c>
      <c r="AK7273" t="s">
        <v>365</v>
      </c>
    </row>
    <row r="7274" spans="1:37">
      <c r="A7274" t="s">
        <v>43</v>
      </c>
      <c r="B7274" t="s">
        <v>63</v>
      </c>
      <c r="C7274" t="s">
        <v>85</v>
      </c>
      <c r="D7274" t="s">
        <v>104</v>
      </c>
      <c r="E7274" t="s">
        <v>123</v>
      </c>
      <c r="F7274" t="s">
        <v>157</v>
      </c>
      <c r="G7274" t="s">
        <v>183</v>
      </c>
      <c r="AK7274" t="s">
        <v>365</v>
      </c>
    </row>
    <row r="7275" spans="1:37">
      <c r="A7275" t="s">
        <v>44</v>
      </c>
      <c r="B7275" t="s">
        <v>64</v>
      </c>
      <c r="C7275" t="s">
        <v>86</v>
      </c>
      <c r="D7275" t="s">
        <v>105</v>
      </c>
      <c r="E7275" t="s">
        <v>124</v>
      </c>
      <c r="F7275" t="s">
        <v>158</v>
      </c>
      <c r="G7275" t="s">
        <v>184</v>
      </c>
      <c r="AK7275" t="s">
        <v>365</v>
      </c>
    </row>
    <row r="7276" spans="1:37">
      <c r="A7276" t="s">
        <v>45</v>
      </c>
      <c r="B7276" t="s">
        <v>65</v>
      </c>
      <c r="C7276" t="s">
        <v>87</v>
      </c>
      <c r="D7276" t="s">
        <v>106</v>
      </c>
      <c r="E7276" t="s">
        <v>125</v>
      </c>
      <c r="F7276" t="s">
        <v>159</v>
      </c>
      <c r="G7276" t="s">
        <v>185</v>
      </c>
      <c r="H7276" t="s">
        <v>159</v>
      </c>
      <c r="I7276" t="s">
        <v>185</v>
      </c>
      <c r="J7276" t="s">
        <v>255</v>
      </c>
      <c r="AK7276" t="s">
        <v>365</v>
      </c>
    </row>
    <row r="7277" spans="1:37">
      <c r="A7277" t="s">
        <v>46</v>
      </c>
      <c r="B7277" t="s">
        <v>66</v>
      </c>
      <c r="C7277" t="s">
        <v>88</v>
      </c>
      <c r="D7277" t="s">
        <v>76</v>
      </c>
      <c r="E7277" t="s">
        <v>126</v>
      </c>
      <c r="F7277" t="s">
        <v>160</v>
      </c>
      <c r="G7277" t="s">
        <v>186</v>
      </c>
      <c r="H7277" t="s">
        <v>217</v>
      </c>
      <c r="I7277" t="s">
        <v>238</v>
      </c>
      <c r="J7277" t="s">
        <v>256</v>
      </c>
      <c r="K7277" t="s">
        <v>265</v>
      </c>
      <c r="L7277" t="s">
        <v>281</v>
      </c>
      <c r="M7277" t="s">
        <v>290</v>
      </c>
      <c r="N7277" t="s">
        <v>299</v>
      </c>
      <c r="O7277" t="s">
        <v>308</v>
      </c>
      <c r="P7277" t="s">
        <v>228</v>
      </c>
      <c r="Q7277" t="s">
        <v>72</v>
      </c>
      <c r="R7277" t="s">
        <v>327</v>
      </c>
      <c r="S7277" t="s">
        <v>327</v>
      </c>
      <c r="T7277" t="s">
        <v>336</v>
      </c>
      <c r="U7277" t="s">
        <v>336</v>
      </c>
      <c r="V7277" t="s">
        <v>336</v>
      </c>
      <c r="W7277" t="s">
        <v>336</v>
      </c>
      <c r="X7277" t="s">
        <v>353</v>
      </c>
      <c r="AK7277" t="s">
        <v>365</v>
      </c>
    </row>
    <row r="7278" spans="1:37">
      <c r="B7278" t="s">
        <v>67</v>
      </c>
      <c r="C7278" t="s">
        <v>89</v>
      </c>
      <c r="D7278" t="s">
        <v>107</v>
      </c>
      <c r="AK7278" t="s">
        <v>365</v>
      </c>
    </row>
    <row r="7279" spans="1:37">
      <c r="B7279" t="s">
        <v>68</v>
      </c>
      <c r="C7279" t="s">
        <v>90</v>
      </c>
      <c r="D7279" t="s">
        <v>108</v>
      </c>
      <c r="AK7279" t="s">
        <v>365</v>
      </c>
    </row>
    <row r="7280" spans="1:37">
      <c r="A7280" t="s">
        <v>47</v>
      </c>
      <c r="B7280" t="s">
        <v>69</v>
      </c>
      <c r="C7280" t="s">
        <v>91</v>
      </c>
      <c r="D7280" t="s">
        <v>109</v>
      </c>
      <c r="E7280" t="s">
        <v>109</v>
      </c>
      <c r="F7280" t="s">
        <v>109</v>
      </c>
      <c r="G7280" t="s">
        <v>109</v>
      </c>
      <c r="H7280" t="s">
        <v>109</v>
      </c>
      <c r="I7280" t="s">
        <v>239</v>
      </c>
      <c r="AK7280" t="s">
        <v>365</v>
      </c>
    </row>
    <row r="7281" spans="1:37">
      <c r="B7281" t="s">
        <v>70</v>
      </c>
      <c r="C7281" t="s">
        <v>92</v>
      </c>
      <c r="D7281" t="s">
        <v>110</v>
      </c>
      <c r="E7281" t="s">
        <v>127</v>
      </c>
      <c r="F7281" t="s">
        <v>161</v>
      </c>
      <c r="G7281" t="s">
        <v>187</v>
      </c>
      <c r="H7281" t="s">
        <v>218</v>
      </c>
      <c r="AK7281" t="s">
        <v>365</v>
      </c>
    </row>
    <row r="7282" spans="1:37">
      <c r="B7282" t="s">
        <v>71</v>
      </c>
      <c r="C7282" t="s">
        <v>93</v>
      </c>
      <c r="D7282" t="s">
        <v>111</v>
      </c>
      <c r="E7282" t="s">
        <v>128</v>
      </c>
      <c r="F7282" t="s">
        <v>162</v>
      </c>
      <c r="G7282" t="s">
        <v>188</v>
      </c>
      <c r="H7282" t="s">
        <v>219</v>
      </c>
      <c r="I7282" t="s">
        <v>240</v>
      </c>
      <c r="J7282" t="s">
        <v>257</v>
      </c>
      <c r="K7282" t="s">
        <v>269</v>
      </c>
      <c r="L7282" t="s">
        <v>109</v>
      </c>
      <c r="M7282" t="s">
        <v>109</v>
      </c>
      <c r="N7282" t="s">
        <v>109</v>
      </c>
      <c r="O7282" t="s">
        <v>109</v>
      </c>
      <c r="P7282" t="s">
        <v>109</v>
      </c>
      <c r="Q7282" t="s">
        <v>321</v>
      </c>
      <c r="AK7282" t="s">
        <v>365</v>
      </c>
    </row>
    <row r="7283" spans="1:37">
      <c r="A7283" t="s">
        <v>48</v>
      </c>
      <c r="B7283" t="s">
        <v>71</v>
      </c>
      <c r="C7283" t="s">
        <v>93</v>
      </c>
      <c r="D7283" t="s">
        <v>111</v>
      </c>
      <c r="E7283" t="s">
        <v>128</v>
      </c>
      <c r="F7283" t="s">
        <v>163</v>
      </c>
      <c r="G7283" t="s">
        <v>189</v>
      </c>
      <c r="H7283" t="s">
        <v>220</v>
      </c>
      <c r="I7283" t="s">
        <v>241</v>
      </c>
      <c r="J7283" t="s">
        <v>258</v>
      </c>
      <c r="K7283" t="s">
        <v>270</v>
      </c>
      <c r="AK7283" t="s">
        <v>365</v>
      </c>
    </row>
    <row r="7284" spans="1:37">
      <c r="B7284" t="s">
        <v>72</v>
      </c>
      <c r="C7284" t="s">
        <v>72</v>
      </c>
      <c r="D7284" t="s">
        <v>72</v>
      </c>
      <c r="E7284" t="s">
        <v>139</v>
      </c>
      <c r="F7284" t="s">
        <v>139</v>
      </c>
      <c r="G7284" t="s">
        <v>192</v>
      </c>
      <c r="H7284" t="s">
        <v>192</v>
      </c>
      <c r="I7284" t="s">
        <v>192</v>
      </c>
      <c r="J7284" t="s">
        <v>192</v>
      </c>
      <c r="K7284" t="s">
        <v>271</v>
      </c>
      <c r="AK7284" t="s">
        <v>365</v>
      </c>
    </row>
    <row r="7285" spans="1:37">
      <c r="A7285" t="s">
        <v>37</v>
      </c>
      <c r="B7285" t="s">
        <v>49</v>
      </c>
      <c r="C7285" t="s">
        <v>73</v>
      </c>
      <c r="D7285" t="s">
        <v>94</v>
      </c>
      <c r="E7285" t="s">
        <v>112</v>
      </c>
      <c r="F7285" t="s">
        <v>146</v>
      </c>
      <c r="G7285" t="s">
        <v>172</v>
      </c>
      <c r="H7285" t="s">
        <v>207</v>
      </c>
      <c r="I7285" t="s">
        <v>226</v>
      </c>
      <c r="J7285" t="s">
        <v>246</v>
      </c>
      <c r="K7285" t="s">
        <v>259</v>
      </c>
      <c r="AK7285" t="s">
        <v>365</v>
      </c>
    </row>
    <row r="7286" spans="1:37">
      <c r="A7286" t="s">
        <v>38</v>
      </c>
      <c r="B7286" t="s">
        <v>50</v>
      </c>
      <c r="C7286" t="s">
        <v>74</v>
      </c>
      <c r="D7286" t="s">
        <v>95</v>
      </c>
      <c r="E7286" t="s">
        <v>113</v>
      </c>
      <c r="F7286" t="s">
        <v>147</v>
      </c>
      <c r="G7286" t="s">
        <v>173</v>
      </c>
      <c r="H7286" t="s">
        <v>208</v>
      </c>
      <c r="I7286" t="s">
        <v>227</v>
      </c>
      <c r="J7286" t="s">
        <v>115</v>
      </c>
      <c r="K7286" t="s">
        <v>260</v>
      </c>
      <c r="L7286" t="s">
        <v>273</v>
      </c>
      <c r="M7286" t="s">
        <v>282</v>
      </c>
      <c r="N7286" t="s">
        <v>291</v>
      </c>
      <c r="AK7286" t="s">
        <v>365</v>
      </c>
    </row>
    <row r="7287" spans="1:37">
      <c r="B7287" t="s">
        <v>51</v>
      </c>
      <c r="C7287" t="s">
        <v>75</v>
      </c>
      <c r="D7287" t="s">
        <v>52</v>
      </c>
      <c r="E7287" t="s">
        <v>114</v>
      </c>
      <c r="F7287" t="s">
        <v>148</v>
      </c>
      <c r="G7287" t="s">
        <v>148</v>
      </c>
      <c r="H7287" t="s">
        <v>209</v>
      </c>
      <c r="I7287" t="s">
        <v>228</v>
      </c>
      <c r="J7287" t="s">
        <v>247</v>
      </c>
      <c r="K7287" t="s">
        <v>261</v>
      </c>
      <c r="L7287" t="s">
        <v>274</v>
      </c>
      <c r="M7287" t="s">
        <v>283</v>
      </c>
      <c r="N7287" t="s">
        <v>292</v>
      </c>
      <c r="O7287" t="s">
        <v>300</v>
      </c>
      <c r="AK7287" t="s">
        <v>365</v>
      </c>
    </row>
    <row r="7288" spans="1:37">
      <c r="B7288" t="s">
        <v>52</v>
      </c>
      <c r="C7288" t="s">
        <v>76</v>
      </c>
      <c r="D7288" t="s">
        <v>96</v>
      </c>
      <c r="E7288" t="s">
        <v>115</v>
      </c>
      <c r="F7288" t="s">
        <v>149</v>
      </c>
      <c r="G7288" t="s">
        <v>174</v>
      </c>
      <c r="H7288" t="s">
        <v>96</v>
      </c>
      <c r="I7288" t="s">
        <v>229</v>
      </c>
      <c r="J7288" t="s">
        <v>248</v>
      </c>
      <c r="K7288" t="s">
        <v>262</v>
      </c>
      <c r="L7288" t="s">
        <v>52</v>
      </c>
      <c r="M7288" t="s">
        <v>76</v>
      </c>
      <c r="N7288" t="s">
        <v>293</v>
      </c>
      <c r="O7288" t="s">
        <v>301</v>
      </c>
      <c r="P7288" t="s">
        <v>309</v>
      </c>
      <c r="Q7288" t="s">
        <v>315</v>
      </c>
      <c r="R7288" t="s">
        <v>228</v>
      </c>
      <c r="S7288" t="s">
        <v>328</v>
      </c>
      <c r="T7288" t="s">
        <v>149</v>
      </c>
      <c r="U7288" t="s">
        <v>337</v>
      </c>
      <c r="V7288" t="s">
        <v>341</v>
      </c>
      <c r="W7288" t="s">
        <v>345</v>
      </c>
      <c r="X7288" t="s">
        <v>350</v>
      </c>
      <c r="AK7288" t="s">
        <v>365</v>
      </c>
    </row>
    <row r="7289" spans="1:37">
      <c r="B7289" t="s">
        <v>53</v>
      </c>
      <c r="C7289" t="s">
        <v>77</v>
      </c>
      <c r="D7289" t="s">
        <v>97</v>
      </c>
      <c r="E7289" t="s">
        <v>116</v>
      </c>
      <c r="F7289" t="s">
        <v>150</v>
      </c>
      <c r="G7289" t="s">
        <v>175</v>
      </c>
      <c r="H7289" t="s">
        <v>210</v>
      </c>
      <c r="I7289" t="s">
        <v>230</v>
      </c>
      <c r="J7289" t="s">
        <v>249</v>
      </c>
      <c r="K7289" t="s">
        <v>263</v>
      </c>
      <c r="L7289" t="s">
        <v>275</v>
      </c>
      <c r="M7289" t="s">
        <v>284</v>
      </c>
      <c r="N7289" t="s">
        <v>294</v>
      </c>
      <c r="O7289" t="s">
        <v>302</v>
      </c>
      <c r="P7289" t="s">
        <v>310</v>
      </c>
      <c r="Q7289" t="s">
        <v>316</v>
      </c>
      <c r="R7289" t="s">
        <v>322</v>
      </c>
      <c r="S7289" t="s">
        <v>329</v>
      </c>
      <c r="AK7289" t="s">
        <v>365</v>
      </c>
    </row>
    <row r="7290" spans="1:37">
      <c r="A7290" t="s">
        <v>39</v>
      </c>
      <c r="B7290" t="s">
        <v>54</v>
      </c>
      <c r="C7290" t="s">
        <v>54</v>
      </c>
      <c r="D7290" t="s">
        <v>54</v>
      </c>
      <c r="E7290" t="s">
        <v>54</v>
      </c>
      <c r="F7290" t="s">
        <v>54</v>
      </c>
      <c r="G7290" t="s">
        <v>54</v>
      </c>
      <c r="H7290" t="s">
        <v>54</v>
      </c>
      <c r="I7290" t="s">
        <v>54</v>
      </c>
      <c r="J7290" t="s">
        <v>54</v>
      </c>
      <c r="K7290" t="s">
        <v>54</v>
      </c>
      <c r="L7290" t="s">
        <v>54</v>
      </c>
      <c r="M7290" t="s">
        <v>54</v>
      </c>
      <c r="N7290" t="s">
        <v>54</v>
      </c>
      <c r="O7290" t="s">
        <v>54</v>
      </c>
      <c r="P7290" t="s">
        <v>54</v>
      </c>
      <c r="Q7290" t="s">
        <v>54</v>
      </c>
      <c r="R7290" t="s">
        <v>323</v>
      </c>
      <c r="S7290" t="s">
        <v>330</v>
      </c>
      <c r="AK7290" t="s">
        <v>365</v>
      </c>
    </row>
    <row r="7291" spans="1:37">
      <c r="B7291" t="s">
        <v>55</v>
      </c>
      <c r="C7291" t="s">
        <v>78</v>
      </c>
      <c r="D7291" t="s">
        <v>55</v>
      </c>
      <c r="E7291" t="s">
        <v>78</v>
      </c>
      <c r="F7291" t="s">
        <v>55</v>
      </c>
      <c r="G7291" t="s">
        <v>78</v>
      </c>
      <c r="H7291" t="s">
        <v>55</v>
      </c>
      <c r="I7291" t="s">
        <v>78</v>
      </c>
      <c r="J7291" t="s">
        <v>55</v>
      </c>
      <c r="K7291" t="s">
        <v>78</v>
      </c>
      <c r="L7291" t="s">
        <v>55</v>
      </c>
      <c r="M7291" t="s">
        <v>78</v>
      </c>
      <c r="N7291" t="s">
        <v>55</v>
      </c>
      <c r="O7291" t="s">
        <v>78</v>
      </c>
      <c r="P7291" t="s">
        <v>55</v>
      </c>
      <c r="Q7291" t="s">
        <v>78</v>
      </c>
      <c r="R7291" t="s">
        <v>55</v>
      </c>
      <c r="S7291" t="s">
        <v>78</v>
      </c>
      <c r="T7291" t="s">
        <v>55</v>
      </c>
      <c r="U7291" t="s">
        <v>78</v>
      </c>
      <c r="V7291" t="s">
        <v>55</v>
      </c>
      <c r="W7291" t="s">
        <v>78</v>
      </c>
      <c r="X7291" t="s">
        <v>55</v>
      </c>
      <c r="Y7291" t="s">
        <v>78</v>
      </c>
      <c r="Z7291" t="s">
        <v>55</v>
      </c>
      <c r="AA7291" t="s">
        <v>78</v>
      </c>
      <c r="AB7291" t="s">
        <v>55</v>
      </c>
      <c r="AC7291" t="s">
        <v>78</v>
      </c>
      <c r="AD7291" t="s">
        <v>55</v>
      </c>
      <c r="AE7291" t="s">
        <v>78</v>
      </c>
      <c r="AF7291" t="s">
        <v>55</v>
      </c>
      <c r="AG7291" t="s">
        <v>78</v>
      </c>
      <c r="AH7291" t="s">
        <v>55</v>
      </c>
      <c r="AI7291" t="s">
        <v>78</v>
      </c>
      <c r="AK7291" t="s">
        <v>365</v>
      </c>
    </row>
    <row r="7292" spans="1:37">
      <c r="B7292" t="s">
        <v>56</v>
      </c>
      <c r="C7292" t="s">
        <v>56</v>
      </c>
      <c r="D7292" t="s">
        <v>56</v>
      </c>
      <c r="E7292" t="s">
        <v>56</v>
      </c>
      <c r="F7292" t="s">
        <v>56</v>
      </c>
      <c r="G7292" t="s">
        <v>176</v>
      </c>
      <c r="H7292" t="s">
        <v>211</v>
      </c>
      <c r="I7292" t="s">
        <v>231</v>
      </c>
      <c r="J7292" t="s">
        <v>250</v>
      </c>
      <c r="K7292" t="s">
        <v>264</v>
      </c>
      <c r="L7292" t="s">
        <v>276</v>
      </c>
      <c r="M7292" t="s">
        <v>285</v>
      </c>
      <c r="N7292" t="s">
        <v>295</v>
      </c>
      <c r="O7292" t="s">
        <v>303</v>
      </c>
      <c r="P7292" t="s">
        <v>56</v>
      </c>
      <c r="Q7292" t="s">
        <v>317</v>
      </c>
      <c r="R7292" t="s">
        <v>324</v>
      </c>
      <c r="S7292" t="s">
        <v>331</v>
      </c>
      <c r="T7292" t="s">
        <v>334</v>
      </c>
      <c r="U7292" t="s">
        <v>338</v>
      </c>
      <c r="V7292" t="s">
        <v>342</v>
      </c>
      <c r="W7292" t="s">
        <v>346</v>
      </c>
      <c r="X7292" t="s">
        <v>351</v>
      </c>
      <c r="AK7292" t="s">
        <v>365</v>
      </c>
    </row>
    <row r="7293" spans="1:37">
      <c r="B7293" t="s">
        <v>57</v>
      </c>
      <c r="C7293" t="s">
        <v>79</v>
      </c>
      <c r="D7293" t="s">
        <v>98</v>
      </c>
      <c r="E7293" t="s">
        <v>117</v>
      </c>
      <c r="F7293" t="s">
        <v>151</v>
      </c>
      <c r="G7293" t="s">
        <v>177</v>
      </c>
      <c r="H7293" t="s">
        <v>212</v>
      </c>
      <c r="I7293" t="s">
        <v>232</v>
      </c>
      <c r="J7293" t="s">
        <v>251</v>
      </c>
      <c r="K7293" t="s">
        <v>265</v>
      </c>
      <c r="L7293" t="s">
        <v>277</v>
      </c>
      <c r="M7293" t="s">
        <v>286</v>
      </c>
      <c r="N7293" t="s">
        <v>296</v>
      </c>
      <c r="O7293" t="s">
        <v>304</v>
      </c>
      <c r="P7293" t="s">
        <v>311</v>
      </c>
      <c r="Q7293" t="s">
        <v>318</v>
      </c>
      <c r="R7293" t="s">
        <v>185</v>
      </c>
      <c r="S7293" t="s">
        <v>159</v>
      </c>
      <c r="T7293" t="s">
        <v>185</v>
      </c>
      <c r="U7293" t="s">
        <v>339</v>
      </c>
      <c r="V7293" t="s">
        <v>72</v>
      </c>
      <c r="W7293" t="s">
        <v>347</v>
      </c>
      <c r="X7293" t="s">
        <v>72</v>
      </c>
      <c r="Y7293" t="s">
        <v>96</v>
      </c>
      <c r="AK7293" t="s">
        <v>365</v>
      </c>
    </row>
    <row r="7294" spans="1:37">
      <c r="B7294" t="s">
        <v>58</v>
      </c>
      <c r="C7294" t="s">
        <v>80</v>
      </c>
      <c r="D7294" t="s">
        <v>99</v>
      </c>
      <c r="E7294" t="s">
        <v>118</v>
      </c>
      <c r="F7294" t="s">
        <v>152</v>
      </c>
      <c r="G7294" t="s">
        <v>178</v>
      </c>
      <c r="H7294" t="s">
        <v>213</v>
      </c>
      <c r="I7294" t="s">
        <v>233</v>
      </c>
      <c r="J7294" t="s">
        <v>252</v>
      </c>
      <c r="K7294" t="s">
        <v>266</v>
      </c>
      <c r="L7294" t="s">
        <v>278</v>
      </c>
      <c r="M7294" t="s">
        <v>287</v>
      </c>
      <c r="N7294" t="s">
        <v>297</v>
      </c>
      <c r="O7294" t="s">
        <v>305</v>
      </c>
      <c r="P7294" t="s">
        <v>312</v>
      </c>
      <c r="Q7294" t="s">
        <v>319</v>
      </c>
      <c r="R7294">
        <f>&gt;10       ветра      3.3     16   4  6</f>
        <v>0</v>
      </c>
      <c r="AK7294" t="s">
        <v>365</v>
      </c>
    </row>
    <row r="7295" spans="1:37">
      <c r="A7295" t="s">
        <v>40</v>
      </c>
      <c r="B7295" t="s">
        <v>59</v>
      </c>
      <c r="C7295" t="s">
        <v>81</v>
      </c>
      <c r="D7295" t="s">
        <v>100</v>
      </c>
      <c r="E7295" t="s">
        <v>119</v>
      </c>
      <c r="F7295" t="s">
        <v>153</v>
      </c>
      <c r="G7295" t="s">
        <v>179</v>
      </c>
      <c r="H7295" t="s">
        <v>214</v>
      </c>
      <c r="I7295" t="s">
        <v>234</v>
      </c>
      <c r="AK7295" t="s">
        <v>365</v>
      </c>
    </row>
    <row r="7296" spans="1:37">
      <c r="A7296" t="s">
        <v>40</v>
      </c>
      <c r="B7296" t="s">
        <v>60</v>
      </c>
      <c r="C7296" t="s">
        <v>82</v>
      </c>
      <c r="D7296" t="s">
        <v>101</v>
      </c>
      <c r="E7296" t="s">
        <v>120</v>
      </c>
      <c r="F7296" t="s">
        <v>154</v>
      </c>
      <c r="G7296" t="s">
        <v>180</v>
      </c>
      <c r="H7296" t="s">
        <v>215</v>
      </c>
      <c r="I7296" t="s">
        <v>235</v>
      </c>
      <c r="J7296" t="s">
        <v>253</v>
      </c>
      <c r="K7296" t="s">
        <v>267</v>
      </c>
      <c r="L7296" t="s">
        <v>279</v>
      </c>
      <c r="M7296" t="s">
        <v>288</v>
      </c>
      <c r="N7296" t="s">
        <v>100</v>
      </c>
      <c r="O7296" t="s">
        <v>306</v>
      </c>
      <c r="P7296" t="s">
        <v>313</v>
      </c>
      <c r="Q7296" t="s">
        <v>320</v>
      </c>
      <c r="R7296" t="s">
        <v>325</v>
      </c>
      <c r="S7296" t="s">
        <v>332</v>
      </c>
      <c r="T7296" t="s">
        <v>119</v>
      </c>
      <c r="U7296" t="s">
        <v>234</v>
      </c>
      <c r="V7296" t="s">
        <v>343</v>
      </c>
      <c r="W7296" t="s">
        <v>348</v>
      </c>
      <c r="X7296" t="s">
        <v>352</v>
      </c>
      <c r="Y7296" t="s">
        <v>354</v>
      </c>
      <c r="AK7296" t="s">
        <v>365</v>
      </c>
    </row>
    <row r="7297" spans="1:37">
      <c r="A7297" t="s">
        <v>41</v>
      </c>
      <c r="B7297" t="s">
        <v>61</v>
      </c>
      <c r="C7297" t="s">
        <v>83</v>
      </c>
      <c r="D7297" t="s">
        <v>102</v>
      </c>
      <c r="E7297" t="s">
        <v>121</v>
      </c>
      <c r="F7297" t="s">
        <v>155</v>
      </c>
      <c r="G7297" t="s">
        <v>181</v>
      </c>
      <c r="H7297" t="s">
        <v>216</v>
      </c>
      <c r="I7297" t="s">
        <v>236</v>
      </c>
      <c r="AK7297" t="s">
        <v>365</v>
      </c>
    </row>
    <row r="7298" spans="1:37">
      <c r="A7298" t="s">
        <v>42</v>
      </c>
      <c r="B7298" t="s">
        <v>62</v>
      </c>
      <c r="C7298" t="s">
        <v>84</v>
      </c>
      <c r="D7298" t="s">
        <v>103</v>
      </c>
      <c r="E7298" t="s">
        <v>122</v>
      </c>
      <c r="F7298" t="s">
        <v>156</v>
      </c>
      <c r="G7298" t="s">
        <v>182</v>
      </c>
      <c r="H7298" t="s">
        <v>83</v>
      </c>
      <c r="I7298" t="s">
        <v>237</v>
      </c>
      <c r="J7298" t="s">
        <v>254</v>
      </c>
      <c r="K7298" t="s">
        <v>268</v>
      </c>
      <c r="L7298" t="s">
        <v>280</v>
      </c>
      <c r="M7298" t="s">
        <v>289</v>
      </c>
      <c r="N7298" t="s">
        <v>298</v>
      </c>
      <c r="O7298" t="s">
        <v>307</v>
      </c>
      <c r="P7298" t="s">
        <v>314</v>
      </c>
      <c r="Q7298" t="s">
        <v>216</v>
      </c>
      <c r="R7298" t="s">
        <v>326</v>
      </c>
      <c r="S7298" t="s">
        <v>333</v>
      </c>
      <c r="T7298" t="s">
        <v>335</v>
      </c>
      <c r="U7298" t="s">
        <v>340</v>
      </c>
      <c r="V7298" t="s">
        <v>344</v>
      </c>
      <c r="W7298" t="s">
        <v>349</v>
      </c>
      <c r="AK7298" t="s">
        <v>365</v>
      </c>
    </row>
    <row r="7299" spans="1:37">
      <c r="A7299" t="s">
        <v>43</v>
      </c>
      <c r="B7299" t="s">
        <v>63</v>
      </c>
      <c r="C7299" t="s">
        <v>85</v>
      </c>
      <c r="D7299" t="s">
        <v>104</v>
      </c>
      <c r="E7299" t="s">
        <v>123</v>
      </c>
      <c r="F7299" t="s">
        <v>157</v>
      </c>
      <c r="G7299" t="s">
        <v>183</v>
      </c>
      <c r="AK7299" t="s">
        <v>365</v>
      </c>
    </row>
    <row r="7300" spans="1:37">
      <c r="A7300" t="s">
        <v>44</v>
      </c>
      <c r="B7300" t="s">
        <v>64</v>
      </c>
      <c r="C7300" t="s">
        <v>86</v>
      </c>
      <c r="D7300" t="s">
        <v>105</v>
      </c>
      <c r="E7300" t="s">
        <v>124</v>
      </c>
      <c r="F7300" t="s">
        <v>158</v>
      </c>
      <c r="G7300" t="s">
        <v>184</v>
      </c>
      <c r="AK7300" t="s">
        <v>365</v>
      </c>
    </row>
    <row r="7301" spans="1:37">
      <c r="A7301" t="s">
        <v>45</v>
      </c>
      <c r="B7301" t="s">
        <v>65</v>
      </c>
      <c r="C7301" t="s">
        <v>87</v>
      </c>
      <c r="D7301" t="s">
        <v>106</v>
      </c>
      <c r="E7301" t="s">
        <v>125</v>
      </c>
      <c r="F7301" t="s">
        <v>159</v>
      </c>
      <c r="G7301" t="s">
        <v>185</v>
      </c>
      <c r="H7301" t="s">
        <v>159</v>
      </c>
      <c r="I7301" t="s">
        <v>185</v>
      </c>
      <c r="J7301" t="s">
        <v>255</v>
      </c>
      <c r="AK7301" t="s">
        <v>365</v>
      </c>
    </row>
    <row r="7302" spans="1:37">
      <c r="A7302" t="s">
        <v>46</v>
      </c>
      <c r="B7302" t="s">
        <v>66</v>
      </c>
      <c r="C7302" t="s">
        <v>88</v>
      </c>
      <c r="D7302" t="s">
        <v>76</v>
      </c>
      <c r="E7302" t="s">
        <v>126</v>
      </c>
      <c r="F7302" t="s">
        <v>160</v>
      </c>
      <c r="G7302" t="s">
        <v>186</v>
      </c>
      <c r="H7302" t="s">
        <v>217</v>
      </c>
      <c r="I7302" t="s">
        <v>238</v>
      </c>
      <c r="J7302" t="s">
        <v>256</v>
      </c>
      <c r="K7302" t="s">
        <v>265</v>
      </c>
      <c r="L7302" t="s">
        <v>281</v>
      </c>
      <c r="M7302" t="s">
        <v>290</v>
      </c>
      <c r="N7302" t="s">
        <v>299</v>
      </c>
      <c r="O7302" t="s">
        <v>308</v>
      </c>
      <c r="P7302" t="s">
        <v>228</v>
      </c>
      <c r="Q7302" t="s">
        <v>72</v>
      </c>
      <c r="R7302" t="s">
        <v>327</v>
      </c>
      <c r="S7302" t="s">
        <v>327</v>
      </c>
      <c r="T7302" t="s">
        <v>336</v>
      </c>
      <c r="U7302" t="s">
        <v>336</v>
      </c>
      <c r="V7302" t="s">
        <v>336</v>
      </c>
      <c r="W7302" t="s">
        <v>336</v>
      </c>
      <c r="X7302" t="s">
        <v>353</v>
      </c>
      <c r="AK7302" t="s">
        <v>365</v>
      </c>
    </row>
    <row r="7303" spans="1:37">
      <c r="A7303" t="s">
        <v>37</v>
      </c>
      <c r="B7303" t="s">
        <v>49</v>
      </c>
      <c r="C7303" t="s">
        <v>73</v>
      </c>
      <c r="D7303" t="s">
        <v>94</v>
      </c>
      <c r="E7303" t="s">
        <v>112</v>
      </c>
      <c r="F7303" t="s">
        <v>146</v>
      </c>
      <c r="G7303" t="s">
        <v>172</v>
      </c>
      <c r="H7303" t="s">
        <v>207</v>
      </c>
      <c r="I7303" t="s">
        <v>226</v>
      </c>
      <c r="J7303" t="s">
        <v>246</v>
      </c>
      <c r="K7303" t="s">
        <v>259</v>
      </c>
      <c r="AK7303" t="s">
        <v>365</v>
      </c>
    </row>
    <row r="7304" spans="1:37">
      <c r="A7304" t="s">
        <v>38</v>
      </c>
      <c r="B7304" t="s">
        <v>50</v>
      </c>
      <c r="C7304" t="s">
        <v>74</v>
      </c>
      <c r="D7304" t="s">
        <v>95</v>
      </c>
      <c r="E7304" t="s">
        <v>113</v>
      </c>
      <c r="F7304" t="s">
        <v>147</v>
      </c>
      <c r="G7304" t="s">
        <v>173</v>
      </c>
      <c r="H7304" t="s">
        <v>208</v>
      </c>
      <c r="I7304" t="s">
        <v>227</v>
      </c>
      <c r="J7304" t="s">
        <v>115</v>
      </c>
      <c r="K7304" t="s">
        <v>260</v>
      </c>
      <c r="L7304" t="s">
        <v>273</v>
      </c>
      <c r="M7304" t="s">
        <v>282</v>
      </c>
      <c r="N7304" t="s">
        <v>291</v>
      </c>
      <c r="AK7304" t="s">
        <v>365</v>
      </c>
    </row>
    <row r="7305" spans="1:37">
      <c r="B7305" t="s">
        <v>51</v>
      </c>
      <c r="C7305" t="s">
        <v>75</v>
      </c>
      <c r="D7305" t="s">
        <v>52</v>
      </c>
      <c r="E7305" t="s">
        <v>114</v>
      </c>
      <c r="F7305" t="s">
        <v>148</v>
      </c>
      <c r="G7305" t="s">
        <v>148</v>
      </c>
      <c r="H7305" t="s">
        <v>209</v>
      </c>
      <c r="I7305" t="s">
        <v>228</v>
      </c>
      <c r="J7305" t="s">
        <v>247</v>
      </c>
      <c r="K7305" t="s">
        <v>261</v>
      </c>
      <c r="L7305" t="s">
        <v>274</v>
      </c>
      <c r="M7305" t="s">
        <v>283</v>
      </c>
      <c r="N7305" t="s">
        <v>292</v>
      </c>
      <c r="O7305" t="s">
        <v>300</v>
      </c>
      <c r="AK7305" t="s">
        <v>365</v>
      </c>
    </row>
    <row r="7306" spans="1:37">
      <c r="B7306" t="s">
        <v>52</v>
      </c>
      <c r="C7306" t="s">
        <v>76</v>
      </c>
      <c r="D7306" t="s">
        <v>96</v>
      </c>
      <c r="E7306" t="s">
        <v>115</v>
      </c>
      <c r="F7306" t="s">
        <v>149</v>
      </c>
      <c r="G7306" t="s">
        <v>174</v>
      </c>
      <c r="H7306" t="s">
        <v>96</v>
      </c>
      <c r="I7306" t="s">
        <v>229</v>
      </c>
      <c r="J7306" t="s">
        <v>248</v>
      </c>
      <c r="K7306" t="s">
        <v>262</v>
      </c>
      <c r="L7306" t="s">
        <v>52</v>
      </c>
      <c r="M7306" t="s">
        <v>76</v>
      </c>
      <c r="N7306" t="s">
        <v>293</v>
      </c>
      <c r="O7306" t="s">
        <v>301</v>
      </c>
      <c r="P7306" t="s">
        <v>309</v>
      </c>
      <c r="Q7306" t="s">
        <v>315</v>
      </c>
      <c r="R7306" t="s">
        <v>228</v>
      </c>
      <c r="S7306" t="s">
        <v>328</v>
      </c>
      <c r="T7306" t="s">
        <v>149</v>
      </c>
      <c r="U7306" t="s">
        <v>337</v>
      </c>
      <c r="V7306" t="s">
        <v>341</v>
      </c>
      <c r="W7306" t="s">
        <v>345</v>
      </c>
      <c r="X7306" t="s">
        <v>350</v>
      </c>
      <c r="AK7306" t="s">
        <v>365</v>
      </c>
    </row>
    <row r="7307" spans="1:37">
      <c r="B7307" t="s">
        <v>53</v>
      </c>
      <c r="C7307" t="s">
        <v>77</v>
      </c>
      <c r="D7307" t="s">
        <v>97</v>
      </c>
      <c r="E7307" t="s">
        <v>116</v>
      </c>
      <c r="F7307" t="s">
        <v>150</v>
      </c>
      <c r="G7307" t="s">
        <v>175</v>
      </c>
      <c r="H7307" t="s">
        <v>210</v>
      </c>
      <c r="I7307" t="s">
        <v>230</v>
      </c>
      <c r="J7307" t="s">
        <v>249</v>
      </c>
      <c r="K7307" t="s">
        <v>263</v>
      </c>
      <c r="L7307" t="s">
        <v>275</v>
      </c>
      <c r="M7307" t="s">
        <v>284</v>
      </c>
      <c r="N7307" t="s">
        <v>294</v>
      </c>
      <c r="O7307" t="s">
        <v>302</v>
      </c>
      <c r="P7307" t="s">
        <v>310</v>
      </c>
      <c r="Q7307" t="s">
        <v>316</v>
      </c>
      <c r="R7307" t="s">
        <v>322</v>
      </c>
      <c r="S7307" t="s">
        <v>329</v>
      </c>
      <c r="AK7307" t="s">
        <v>365</v>
      </c>
    </row>
    <row r="7308" spans="1:37">
      <c r="A7308" t="s">
        <v>39</v>
      </c>
      <c r="B7308" t="s">
        <v>54</v>
      </c>
      <c r="C7308" t="s">
        <v>54</v>
      </c>
      <c r="D7308" t="s">
        <v>54</v>
      </c>
      <c r="E7308" t="s">
        <v>54</v>
      </c>
      <c r="F7308" t="s">
        <v>54</v>
      </c>
      <c r="G7308" t="s">
        <v>54</v>
      </c>
      <c r="H7308" t="s">
        <v>54</v>
      </c>
      <c r="I7308" t="s">
        <v>54</v>
      </c>
      <c r="J7308" t="s">
        <v>54</v>
      </c>
      <c r="K7308" t="s">
        <v>54</v>
      </c>
      <c r="L7308" t="s">
        <v>54</v>
      </c>
      <c r="M7308" t="s">
        <v>54</v>
      </c>
      <c r="N7308" t="s">
        <v>54</v>
      </c>
      <c r="O7308" t="s">
        <v>54</v>
      </c>
      <c r="P7308" t="s">
        <v>54</v>
      </c>
      <c r="Q7308" t="s">
        <v>54</v>
      </c>
      <c r="R7308" t="s">
        <v>323</v>
      </c>
      <c r="S7308" t="s">
        <v>330</v>
      </c>
      <c r="AK7308" t="s">
        <v>365</v>
      </c>
    </row>
    <row r="7309" spans="1:37">
      <c r="B7309" t="s">
        <v>55</v>
      </c>
      <c r="C7309" t="s">
        <v>78</v>
      </c>
      <c r="D7309" t="s">
        <v>55</v>
      </c>
      <c r="E7309" t="s">
        <v>78</v>
      </c>
      <c r="F7309" t="s">
        <v>55</v>
      </c>
      <c r="G7309" t="s">
        <v>78</v>
      </c>
      <c r="H7309" t="s">
        <v>55</v>
      </c>
      <c r="I7309" t="s">
        <v>78</v>
      </c>
      <c r="J7309" t="s">
        <v>55</v>
      </c>
      <c r="K7309" t="s">
        <v>78</v>
      </c>
      <c r="L7309" t="s">
        <v>55</v>
      </c>
      <c r="M7309" t="s">
        <v>78</v>
      </c>
      <c r="N7309" t="s">
        <v>55</v>
      </c>
      <c r="O7309" t="s">
        <v>78</v>
      </c>
      <c r="P7309" t="s">
        <v>55</v>
      </c>
      <c r="Q7309" t="s">
        <v>78</v>
      </c>
      <c r="R7309" t="s">
        <v>55</v>
      </c>
      <c r="S7309" t="s">
        <v>78</v>
      </c>
      <c r="T7309" t="s">
        <v>55</v>
      </c>
      <c r="U7309" t="s">
        <v>78</v>
      </c>
      <c r="V7309" t="s">
        <v>55</v>
      </c>
      <c r="W7309" t="s">
        <v>78</v>
      </c>
      <c r="X7309" t="s">
        <v>55</v>
      </c>
      <c r="Y7309" t="s">
        <v>78</v>
      </c>
      <c r="Z7309" t="s">
        <v>55</v>
      </c>
      <c r="AA7309" t="s">
        <v>78</v>
      </c>
      <c r="AB7309" t="s">
        <v>55</v>
      </c>
      <c r="AC7309" t="s">
        <v>78</v>
      </c>
      <c r="AD7309" t="s">
        <v>55</v>
      </c>
      <c r="AE7309" t="s">
        <v>78</v>
      </c>
      <c r="AF7309" t="s">
        <v>55</v>
      </c>
      <c r="AG7309" t="s">
        <v>78</v>
      </c>
      <c r="AH7309" t="s">
        <v>55</v>
      </c>
      <c r="AI7309" t="s">
        <v>78</v>
      </c>
      <c r="AK7309" t="s">
        <v>365</v>
      </c>
    </row>
    <row r="7310" spans="1:37">
      <c r="B7310" t="s">
        <v>56</v>
      </c>
      <c r="C7310" t="s">
        <v>56</v>
      </c>
      <c r="D7310" t="s">
        <v>56</v>
      </c>
      <c r="E7310" t="s">
        <v>56</v>
      </c>
      <c r="F7310" t="s">
        <v>56</v>
      </c>
      <c r="G7310" t="s">
        <v>176</v>
      </c>
      <c r="H7310" t="s">
        <v>211</v>
      </c>
      <c r="I7310" t="s">
        <v>231</v>
      </c>
      <c r="J7310" t="s">
        <v>250</v>
      </c>
      <c r="K7310" t="s">
        <v>264</v>
      </c>
      <c r="L7310" t="s">
        <v>276</v>
      </c>
      <c r="M7310" t="s">
        <v>285</v>
      </c>
      <c r="N7310" t="s">
        <v>295</v>
      </c>
      <c r="O7310" t="s">
        <v>303</v>
      </c>
      <c r="P7310" t="s">
        <v>56</v>
      </c>
      <c r="Q7310" t="s">
        <v>317</v>
      </c>
      <c r="R7310" t="s">
        <v>324</v>
      </c>
      <c r="S7310" t="s">
        <v>331</v>
      </c>
      <c r="T7310" t="s">
        <v>334</v>
      </c>
      <c r="U7310" t="s">
        <v>338</v>
      </c>
      <c r="V7310" t="s">
        <v>342</v>
      </c>
      <c r="W7310" t="s">
        <v>346</v>
      </c>
      <c r="X7310" t="s">
        <v>351</v>
      </c>
      <c r="AK7310" t="s">
        <v>365</v>
      </c>
    </row>
    <row r="7311" spans="1:37">
      <c r="B7311" t="s">
        <v>57</v>
      </c>
      <c r="C7311" t="s">
        <v>79</v>
      </c>
      <c r="D7311" t="s">
        <v>98</v>
      </c>
      <c r="E7311" t="s">
        <v>117</v>
      </c>
      <c r="F7311" t="s">
        <v>151</v>
      </c>
      <c r="G7311" t="s">
        <v>177</v>
      </c>
      <c r="H7311" t="s">
        <v>212</v>
      </c>
      <c r="I7311" t="s">
        <v>232</v>
      </c>
      <c r="J7311" t="s">
        <v>251</v>
      </c>
      <c r="K7311" t="s">
        <v>265</v>
      </c>
      <c r="L7311" t="s">
        <v>277</v>
      </c>
      <c r="M7311" t="s">
        <v>286</v>
      </c>
      <c r="N7311" t="s">
        <v>296</v>
      </c>
      <c r="O7311" t="s">
        <v>304</v>
      </c>
      <c r="P7311" t="s">
        <v>311</v>
      </c>
      <c r="Q7311" t="s">
        <v>318</v>
      </c>
      <c r="R7311" t="s">
        <v>185</v>
      </c>
      <c r="S7311" t="s">
        <v>159</v>
      </c>
      <c r="T7311" t="s">
        <v>185</v>
      </c>
      <c r="U7311" t="s">
        <v>339</v>
      </c>
      <c r="V7311" t="s">
        <v>72</v>
      </c>
      <c r="W7311" t="s">
        <v>347</v>
      </c>
      <c r="X7311" t="s">
        <v>72</v>
      </c>
      <c r="Y7311" t="s">
        <v>96</v>
      </c>
      <c r="AK7311" t="s">
        <v>365</v>
      </c>
    </row>
    <row r="7312" spans="1:37">
      <c r="B7312" t="s">
        <v>58</v>
      </c>
      <c r="C7312" t="s">
        <v>80</v>
      </c>
      <c r="D7312" t="s">
        <v>99</v>
      </c>
      <c r="E7312" t="s">
        <v>118</v>
      </c>
      <c r="F7312" t="s">
        <v>152</v>
      </c>
      <c r="G7312" t="s">
        <v>178</v>
      </c>
      <c r="H7312" t="s">
        <v>213</v>
      </c>
      <c r="I7312" t="s">
        <v>233</v>
      </c>
      <c r="J7312" t="s">
        <v>252</v>
      </c>
      <c r="K7312" t="s">
        <v>266</v>
      </c>
      <c r="L7312" t="s">
        <v>278</v>
      </c>
      <c r="M7312" t="s">
        <v>287</v>
      </c>
      <c r="N7312" t="s">
        <v>297</v>
      </c>
      <c r="O7312" t="s">
        <v>305</v>
      </c>
      <c r="P7312" t="s">
        <v>312</v>
      </c>
      <c r="Q7312" t="s">
        <v>319</v>
      </c>
      <c r="R7312">
        <f>&gt;10       ветра      3.2     18   7</f>
        <v>0</v>
      </c>
      <c r="AK7312" t="s">
        <v>365</v>
      </c>
    </row>
    <row r="7313" spans="1:37">
      <c r="A7313" t="s">
        <v>40</v>
      </c>
      <c r="B7313" t="s">
        <v>59</v>
      </c>
      <c r="C7313" t="s">
        <v>81</v>
      </c>
      <c r="D7313" t="s">
        <v>100</v>
      </c>
      <c r="E7313" t="s">
        <v>119</v>
      </c>
      <c r="F7313" t="s">
        <v>153</v>
      </c>
      <c r="G7313" t="s">
        <v>179</v>
      </c>
      <c r="H7313" t="s">
        <v>214</v>
      </c>
      <c r="I7313" t="s">
        <v>234</v>
      </c>
      <c r="AK7313" t="s">
        <v>365</v>
      </c>
    </row>
    <row r="7314" spans="1:37">
      <c r="A7314" t="s">
        <v>40</v>
      </c>
      <c r="B7314" t="s">
        <v>60</v>
      </c>
      <c r="C7314" t="s">
        <v>82</v>
      </c>
      <c r="D7314" t="s">
        <v>101</v>
      </c>
      <c r="E7314" t="s">
        <v>120</v>
      </c>
      <c r="F7314" t="s">
        <v>154</v>
      </c>
      <c r="G7314" t="s">
        <v>180</v>
      </c>
      <c r="H7314" t="s">
        <v>215</v>
      </c>
      <c r="I7314" t="s">
        <v>235</v>
      </c>
      <c r="J7314" t="s">
        <v>253</v>
      </c>
      <c r="K7314" t="s">
        <v>267</v>
      </c>
      <c r="L7314" t="s">
        <v>279</v>
      </c>
      <c r="M7314" t="s">
        <v>288</v>
      </c>
      <c r="N7314" t="s">
        <v>100</v>
      </c>
      <c r="O7314" t="s">
        <v>306</v>
      </c>
      <c r="P7314" t="s">
        <v>313</v>
      </c>
      <c r="Q7314" t="s">
        <v>320</v>
      </c>
      <c r="R7314" t="s">
        <v>325</v>
      </c>
      <c r="S7314" t="s">
        <v>332</v>
      </c>
      <c r="T7314" t="s">
        <v>119</v>
      </c>
      <c r="U7314" t="s">
        <v>234</v>
      </c>
      <c r="V7314" t="s">
        <v>343</v>
      </c>
      <c r="W7314" t="s">
        <v>348</v>
      </c>
      <c r="X7314" t="s">
        <v>352</v>
      </c>
      <c r="Y7314" t="s">
        <v>354</v>
      </c>
      <c r="AK7314" t="s">
        <v>365</v>
      </c>
    </row>
    <row r="7315" spans="1:37">
      <c r="A7315" t="s">
        <v>41</v>
      </c>
      <c r="B7315" t="s">
        <v>61</v>
      </c>
      <c r="C7315" t="s">
        <v>83</v>
      </c>
      <c r="D7315" t="s">
        <v>102</v>
      </c>
      <c r="E7315" t="s">
        <v>121</v>
      </c>
      <c r="F7315" t="s">
        <v>155</v>
      </c>
      <c r="G7315" t="s">
        <v>181</v>
      </c>
      <c r="H7315" t="s">
        <v>216</v>
      </c>
      <c r="I7315" t="s">
        <v>236</v>
      </c>
      <c r="AK7315" t="s">
        <v>365</v>
      </c>
    </row>
    <row r="7316" spans="1:37">
      <c r="A7316" t="s">
        <v>42</v>
      </c>
      <c r="B7316" t="s">
        <v>62</v>
      </c>
      <c r="C7316" t="s">
        <v>84</v>
      </c>
      <c r="D7316" t="s">
        <v>103</v>
      </c>
      <c r="E7316" t="s">
        <v>122</v>
      </c>
      <c r="F7316" t="s">
        <v>156</v>
      </c>
      <c r="G7316" t="s">
        <v>182</v>
      </c>
      <c r="H7316" t="s">
        <v>83</v>
      </c>
      <c r="I7316" t="s">
        <v>237</v>
      </c>
      <c r="J7316" t="s">
        <v>254</v>
      </c>
      <c r="K7316" t="s">
        <v>268</v>
      </c>
      <c r="L7316" t="s">
        <v>280</v>
      </c>
      <c r="M7316" t="s">
        <v>289</v>
      </c>
      <c r="N7316" t="s">
        <v>298</v>
      </c>
      <c r="O7316" t="s">
        <v>307</v>
      </c>
      <c r="P7316" t="s">
        <v>314</v>
      </c>
      <c r="Q7316" t="s">
        <v>216</v>
      </c>
      <c r="R7316" t="s">
        <v>326</v>
      </c>
      <c r="S7316" t="s">
        <v>333</v>
      </c>
      <c r="T7316" t="s">
        <v>335</v>
      </c>
      <c r="U7316" t="s">
        <v>340</v>
      </c>
      <c r="V7316" t="s">
        <v>344</v>
      </c>
      <c r="W7316" t="s">
        <v>349</v>
      </c>
      <c r="AK7316" t="s">
        <v>365</v>
      </c>
    </row>
    <row r="7317" spans="1:37">
      <c r="A7317" t="s">
        <v>43</v>
      </c>
      <c r="B7317" t="s">
        <v>63</v>
      </c>
      <c r="C7317" t="s">
        <v>85</v>
      </c>
      <c r="D7317" t="s">
        <v>104</v>
      </c>
      <c r="E7317" t="s">
        <v>123</v>
      </c>
      <c r="F7317" t="s">
        <v>157</v>
      </c>
      <c r="G7317" t="s">
        <v>183</v>
      </c>
      <c r="AK7317" t="s">
        <v>365</v>
      </c>
    </row>
    <row r="7318" spans="1:37">
      <c r="A7318" t="s">
        <v>44</v>
      </c>
      <c r="B7318" t="s">
        <v>64</v>
      </c>
      <c r="C7318" t="s">
        <v>86</v>
      </c>
      <c r="D7318" t="s">
        <v>105</v>
      </c>
      <c r="E7318" t="s">
        <v>124</v>
      </c>
      <c r="F7318" t="s">
        <v>158</v>
      </c>
      <c r="G7318" t="s">
        <v>184</v>
      </c>
      <c r="AK7318" t="s">
        <v>365</v>
      </c>
    </row>
    <row r="7319" spans="1:37">
      <c r="A7319" t="s">
        <v>45</v>
      </c>
      <c r="B7319" t="s">
        <v>65</v>
      </c>
      <c r="C7319" t="s">
        <v>87</v>
      </c>
      <c r="D7319" t="s">
        <v>106</v>
      </c>
      <c r="E7319" t="s">
        <v>125</v>
      </c>
      <c r="F7319" t="s">
        <v>159</v>
      </c>
      <c r="G7319" t="s">
        <v>185</v>
      </c>
      <c r="H7319" t="s">
        <v>159</v>
      </c>
      <c r="I7319" t="s">
        <v>185</v>
      </c>
      <c r="J7319" t="s">
        <v>255</v>
      </c>
      <c r="AK7319" t="s">
        <v>365</v>
      </c>
    </row>
    <row r="7320" spans="1:37">
      <c r="A7320" t="s">
        <v>46</v>
      </c>
      <c r="B7320" t="s">
        <v>66</v>
      </c>
      <c r="C7320" t="s">
        <v>88</v>
      </c>
      <c r="D7320" t="s">
        <v>76</v>
      </c>
      <c r="E7320" t="s">
        <v>126</v>
      </c>
      <c r="F7320" t="s">
        <v>160</v>
      </c>
      <c r="G7320" t="s">
        <v>186</v>
      </c>
      <c r="H7320" t="s">
        <v>217</v>
      </c>
      <c r="I7320" t="s">
        <v>238</v>
      </c>
      <c r="J7320" t="s">
        <v>256</v>
      </c>
      <c r="K7320" t="s">
        <v>265</v>
      </c>
      <c r="L7320" t="s">
        <v>281</v>
      </c>
      <c r="M7320" t="s">
        <v>290</v>
      </c>
      <c r="N7320" t="s">
        <v>299</v>
      </c>
      <c r="O7320" t="s">
        <v>308</v>
      </c>
      <c r="P7320" t="s">
        <v>228</v>
      </c>
      <c r="Q7320" t="s">
        <v>72</v>
      </c>
      <c r="R7320" t="s">
        <v>327</v>
      </c>
      <c r="S7320" t="s">
        <v>327</v>
      </c>
      <c r="T7320" t="s">
        <v>336</v>
      </c>
      <c r="U7320" t="s">
        <v>336</v>
      </c>
      <c r="V7320" t="s">
        <v>336</v>
      </c>
      <c r="W7320" t="s">
        <v>336</v>
      </c>
      <c r="X7320" t="s">
        <v>353</v>
      </c>
      <c r="AK7320" t="s">
        <v>365</v>
      </c>
    </row>
    <row r="7321" spans="1:37">
      <c r="A7321" t="s">
        <v>37</v>
      </c>
      <c r="B7321" t="s">
        <v>49</v>
      </c>
      <c r="C7321" t="s">
        <v>73</v>
      </c>
      <c r="D7321" t="s">
        <v>94</v>
      </c>
      <c r="E7321" t="s">
        <v>112</v>
      </c>
      <c r="F7321" t="s">
        <v>146</v>
      </c>
      <c r="G7321" t="s">
        <v>172</v>
      </c>
      <c r="H7321" t="s">
        <v>207</v>
      </c>
      <c r="I7321" t="s">
        <v>226</v>
      </c>
      <c r="J7321" t="s">
        <v>246</v>
      </c>
      <c r="K7321" t="s">
        <v>259</v>
      </c>
      <c r="AK7321" t="s">
        <v>365</v>
      </c>
    </row>
    <row r="7322" spans="1:37">
      <c r="A7322" t="s">
        <v>38</v>
      </c>
      <c r="B7322" t="s">
        <v>50</v>
      </c>
      <c r="C7322" t="s">
        <v>74</v>
      </c>
      <c r="D7322" t="s">
        <v>95</v>
      </c>
      <c r="E7322" t="s">
        <v>113</v>
      </c>
      <c r="F7322" t="s">
        <v>147</v>
      </c>
      <c r="G7322" t="s">
        <v>173</v>
      </c>
      <c r="H7322" t="s">
        <v>208</v>
      </c>
      <c r="I7322" t="s">
        <v>227</v>
      </c>
      <c r="J7322" t="s">
        <v>115</v>
      </c>
      <c r="K7322" t="s">
        <v>260</v>
      </c>
      <c r="L7322" t="s">
        <v>273</v>
      </c>
      <c r="M7322" t="s">
        <v>282</v>
      </c>
      <c r="N7322" t="s">
        <v>291</v>
      </c>
      <c r="AK7322" t="s">
        <v>365</v>
      </c>
    </row>
    <row r="7323" spans="1:37">
      <c r="B7323" t="s">
        <v>51</v>
      </c>
      <c r="C7323" t="s">
        <v>75</v>
      </c>
      <c r="D7323" t="s">
        <v>52</v>
      </c>
      <c r="E7323" t="s">
        <v>114</v>
      </c>
      <c r="F7323" t="s">
        <v>148</v>
      </c>
      <c r="G7323" t="s">
        <v>148</v>
      </c>
      <c r="H7323" t="s">
        <v>209</v>
      </c>
      <c r="I7323" t="s">
        <v>228</v>
      </c>
      <c r="J7323" t="s">
        <v>247</v>
      </c>
      <c r="K7323" t="s">
        <v>261</v>
      </c>
      <c r="L7323" t="s">
        <v>274</v>
      </c>
      <c r="M7323" t="s">
        <v>283</v>
      </c>
      <c r="N7323" t="s">
        <v>292</v>
      </c>
      <c r="O7323" t="s">
        <v>300</v>
      </c>
      <c r="AK7323" t="s">
        <v>365</v>
      </c>
    </row>
    <row r="7324" spans="1:37">
      <c r="B7324" t="s">
        <v>52</v>
      </c>
      <c r="C7324" t="s">
        <v>76</v>
      </c>
      <c r="D7324" t="s">
        <v>96</v>
      </c>
      <c r="E7324" t="s">
        <v>115</v>
      </c>
      <c r="F7324" t="s">
        <v>149</v>
      </c>
      <c r="G7324" t="s">
        <v>174</v>
      </c>
      <c r="H7324" t="s">
        <v>96</v>
      </c>
      <c r="I7324" t="s">
        <v>229</v>
      </c>
      <c r="J7324" t="s">
        <v>248</v>
      </c>
      <c r="K7324" t="s">
        <v>262</v>
      </c>
      <c r="L7324" t="s">
        <v>52</v>
      </c>
      <c r="M7324" t="s">
        <v>76</v>
      </c>
      <c r="N7324" t="s">
        <v>293</v>
      </c>
      <c r="O7324" t="s">
        <v>301</v>
      </c>
      <c r="P7324" t="s">
        <v>309</v>
      </c>
      <c r="Q7324" t="s">
        <v>315</v>
      </c>
      <c r="R7324" t="s">
        <v>228</v>
      </c>
      <c r="S7324" t="s">
        <v>328</v>
      </c>
      <c r="T7324" t="s">
        <v>149</v>
      </c>
      <c r="U7324" t="s">
        <v>337</v>
      </c>
      <c r="V7324" t="s">
        <v>341</v>
      </c>
      <c r="W7324" t="s">
        <v>345</v>
      </c>
      <c r="X7324" t="s">
        <v>350</v>
      </c>
      <c r="AK7324" t="s">
        <v>365</v>
      </c>
    </row>
    <row r="7325" spans="1:37">
      <c r="B7325" t="s">
        <v>53</v>
      </c>
      <c r="C7325" t="s">
        <v>77</v>
      </c>
      <c r="D7325" t="s">
        <v>97</v>
      </c>
      <c r="E7325" t="s">
        <v>116</v>
      </c>
      <c r="F7325" t="s">
        <v>150</v>
      </c>
      <c r="G7325" t="s">
        <v>175</v>
      </c>
      <c r="H7325" t="s">
        <v>210</v>
      </c>
      <c r="I7325" t="s">
        <v>230</v>
      </c>
      <c r="J7325" t="s">
        <v>249</v>
      </c>
      <c r="K7325" t="s">
        <v>263</v>
      </c>
      <c r="L7325" t="s">
        <v>275</v>
      </c>
      <c r="M7325" t="s">
        <v>284</v>
      </c>
      <c r="N7325" t="s">
        <v>294</v>
      </c>
      <c r="O7325" t="s">
        <v>302</v>
      </c>
      <c r="P7325" t="s">
        <v>310</v>
      </c>
      <c r="Q7325" t="s">
        <v>316</v>
      </c>
      <c r="R7325" t="s">
        <v>322</v>
      </c>
      <c r="S7325" t="s">
        <v>329</v>
      </c>
      <c r="AK7325" t="s">
        <v>365</v>
      </c>
    </row>
    <row r="7326" spans="1:37">
      <c r="A7326" t="s">
        <v>39</v>
      </c>
      <c r="B7326" t="s">
        <v>54</v>
      </c>
      <c r="C7326" t="s">
        <v>54</v>
      </c>
      <c r="D7326" t="s">
        <v>54</v>
      </c>
      <c r="E7326" t="s">
        <v>54</v>
      </c>
      <c r="F7326" t="s">
        <v>54</v>
      </c>
      <c r="G7326" t="s">
        <v>54</v>
      </c>
      <c r="H7326" t="s">
        <v>54</v>
      </c>
      <c r="I7326" t="s">
        <v>54</v>
      </c>
      <c r="J7326" t="s">
        <v>54</v>
      </c>
      <c r="K7326" t="s">
        <v>54</v>
      </c>
      <c r="L7326" t="s">
        <v>54</v>
      </c>
      <c r="M7326" t="s">
        <v>54</v>
      </c>
      <c r="N7326" t="s">
        <v>54</v>
      </c>
      <c r="O7326" t="s">
        <v>54</v>
      </c>
      <c r="P7326" t="s">
        <v>54</v>
      </c>
      <c r="Q7326" t="s">
        <v>54</v>
      </c>
      <c r="R7326" t="s">
        <v>323</v>
      </c>
      <c r="S7326" t="s">
        <v>330</v>
      </c>
      <c r="AK7326" t="s">
        <v>365</v>
      </c>
    </row>
    <row r="7327" spans="1:37">
      <c r="B7327" t="s">
        <v>55</v>
      </c>
      <c r="C7327" t="s">
        <v>78</v>
      </c>
      <c r="D7327" t="s">
        <v>55</v>
      </c>
      <c r="E7327" t="s">
        <v>78</v>
      </c>
      <c r="F7327" t="s">
        <v>55</v>
      </c>
      <c r="G7327" t="s">
        <v>78</v>
      </c>
      <c r="H7327" t="s">
        <v>55</v>
      </c>
      <c r="I7327" t="s">
        <v>78</v>
      </c>
      <c r="J7327" t="s">
        <v>55</v>
      </c>
      <c r="K7327" t="s">
        <v>78</v>
      </c>
      <c r="L7327" t="s">
        <v>55</v>
      </c>
      <c r="M7327" t="s">
        <v>78</v>
      </c>
      <c r="N7327" t="s">
        <v>55</v>
      </c>
      <c r="O7327" t="s">
        <v>78</v>
      </c>
      <c r="P7327" t="s">
        <v>55</v>
      </c>
      <c r="Q7327" t="s">
        <v>78</v>
      </c>
      <c r="R7327" t="s">
        <v>55</v>
      </c>
      <c r="S7327" t="s">
        <v>78</v>
      </c>
      <c r="T7327" t="s">
        <v>55</v>
      </c>
      <c r="U7327" t="s">
        <v>78</v>
      </c>
      <c r="V7327" t="s">
        <v>55</v>
      </c>
      <c r="W7327" t="s">
        <v>78</v>
      </c>
      <c r="X7327" t="s">
        <v>55</v>
      </c>
      <c r="Y7327" t="s">
        <v>78</v>
      </c>
      <c r="Z7327" t="s">
        <v>55</v>
      </c>
      <c r="AA7327" t="s">
        <v>78</v>
      </c>
      <c r="AB7327" t="s">
        <v>55</v>
      </c>
      <c r="AC7327" t="s">
        <v>78</v>
      </c>
      <c r="AD7327" t="s">
        <v>55</v>
      </c>
      <c r="AE7327" t="s">
        <v>78</v>
      </c>
      <c r="AF7327" t="s">
        <v>55</v>
      </c>
      <c r="AG7327" t="s">
        <v>78</v>
      </c>
      <c r="AH7327" t="s">
        <v>55</v>
      </c>
      <c r="AI7327" t="s">
        <v>78</v>
      </c>
      <c r="AK7327" t="s">
        <v>365</v>
      </c>
    </row>
    <row r="7328" spans="1:37">
      <c r="B7328" t="s">
        <v>56</v>
      </c>
      <c r="C7328" t="s">
        <v>56</v>
      </c>
      <c r="D7328" t="s">
        <v>56</v>
      </c>
      <c r="E7328" t="s">
        <v>56</v>
      </c>
      <c r="F7328" t="s">
        <v>56</v>
      </c>
      <c r="G7328" t="s">
        <v>176</v>
      </c>
      <c r="H7328" t="s">
        <v>211</v>
      </c>
      <c r="I7328" t="s">
        <v>231</v>
      </c>
      <c r="J7328" t="s">
        <v>250</v>
      </c>
      <c r="K7328" t="s">
        <v>264</v>
      </c>
      <c r="L7328" t="s">
        <v>276</v>
      </c>
      <c r="M7328" t="s">
        <v>285</v>
      </c>
      <c r="N7328" t="s">
        <v>295</v>
      </c>
      <c r="O7328" t="s">
        <v>303</v>
      </c>
      <c r="P7328" t="s">
        <v>56</v>
      </c>
      <c r="Q7328" t="s">
        <v>317</v>
      </c>
      <c r="R7328" t="s">
        <v>324</v>
      </c>
      <c r="S7328" t="s">
        <v>331</v>
      </c>
      <c r="T7328" t="s">
        <v>334</v>
      </c>
      <c r="U7328" t="s">
        <v>338</v>
      </c>
      <c r="V7328" t="s">
        <v>342</v>
      </c>
      <c r="W7328" t="s">
        <v>346</v>
      </c>
      <c r="X7328" t="s">
        <v>351</v>
      </c>
      <c r="AK7328" t="s">
        <v>365</v>
      </c>
    </row>
    <row r="7329" spans="1:37">
      <c r="B7329" t="s">
        <v>57</v>
      </c>
      <c r="C7329" t="s">
        <v>79</v>
      </c>
      <c r="D7329" t="s">
        <v>98</v>
      </c>
      <c r="E7329" t="s">
        <v>117</v>
      </c>
      <c r="F7329" t="s">
        <v>151</v>
      </c>
      <c r="G7329" t="s">
        <v>177</v>
      </c>
      <c r="H7329" t="s">
        <v>212</v>
      </c>
      <c r="I7329" t="s">
        <v>232</v>
      </c>
      <c r="J7329" t="s">
        <v>251</v>
      </c>
      <c r="K7329" t="s">
        <v>265</v>
      </c>
      <c r="L7329" t="s">
        <v>277</v>
      </c>
      <c r="M7329" t="s">
        <v>286</v>
      </c>
      <c r="N7329" t="s">
        <v>296</v>
      </c>
      <c r="O7329" t="s">
        <v>304</v>
      </c>
      <c r="P7329" t="s">
        <v>311</v>
      </c>
      <c r="Q7329" t="s">
        <v>318</v>
      </c>
      <c r="R7329" t="s">
        <v>185</v>
      </c>
      <c r="S7329" t="s">
        <v>159</v>
      </c>
      <c r="T7329" t="s">
        <v>185</v>
      </c>
      <c r="U7329" t="s">
        <v>339</v>
      </c>
      <c r="V7329" t="s">
        <v>72</v>
      </c>
      <c r="W7329" t="s">
        <v>347</v>
      </c>
      <c r="X7329" t="s">
        <v>72</v>
      </c>
      <c r="Y7329" t="s">
        <v>96</v>
      </c>
      <c r="AK7329" t="s">
        <v>365</v>
      </c>
    </row>
    <row r="7330" spans="1:37">
      <c r="B7330" t="s">
        <v>58</v>
      </c>
      <c r="C7330" t="s">
        <v>80</v>
      </c>
      <c r="D7330" t="s">
        <v>99</v>
      </c>
      <c r="E7330" t="s">
        <v>118</v>
      </c>
      <c r="F7330" t="s">
        <v>152</v>
      </c>
      <c r="G7330" t="s">
        <v>178</v>
      </c>
      <c r="H7330" t="s">
        <v>213</v>
      </c>
      <c r="I7330" t="s">
        <v>233</v>
      </c>
      <c r="J7330" t="s">
        <v>252</v>
      </c>
      <c r="K7330" t="s">
        <v>266</v>
      </c>
      <c r="L7330" t="s">
        <v>278</v>
      </c>
      <c r="M7330" t="s">
        <v>287</v>
      </c>
      <c r="N7330" t="s">
        <v>297</v>
      </c>
      <c r="O7330" t="s">
        <v>305</v>
      </c>
      <c r="P7330" t="s">
        <v>312</v>
      </c>
      <c r="Q7330" t="s">
        <v>319</v>
      </c>
      <c r="R7330">
        <f>&gt;10       ветра      2.7     14   6  9</f>
        <v>0</v>
      </c>
      <c r="AK7330" t="s">
        <v>365</v>
      </c>
    </row>
    <row r="7331" spans="1:37">
      <c r="A7331" t="s">
        <v>40</v>
      </c>
      <c r="B7331" t="s">
        <v>59</v>
      </c>
      <c r="C7331" t="s">
        <v>81</v>
      </c>
      <c r="D7331" t="s">
        <v>100</v>
      </c>
      <c r="E7331" t="s">
        <v>119</v>
      </c>
      <c r="F7331" t="s">
        <v>153</v>
      </c>
      <c r="G7331" t="s">
        <v>179</v>
      </c>
      <c r="H7331" t="s">
        <v>214</v>
      </c>
      <c r="I7331" t="s">
        <v>234</v>
      </c>
      <c r="AK7331" t="s">
        <v>365</v>
      </c>
    </row>
    <row r="7332" spans="1:37">
      <c r="A7332" t="s">
        <v>40</v>
      </c>
      <c r="B7332" t="s">
        <v>60</v>
      </c>
      <c r="C7332" t="s">
        <v>82</v>
      </c>
      <c r="D7332" t="s">
        <v>101</v>
      </c>
      <c r="E7332" t="s">
        <v>120</v>
      </c>
      <c r="F7332" t="s">
        <v>154</v>
      </c>
      <c r="G7332" t="s">
        <v>180</v>
      </c>
      <c r="H7332" t="s">
        <v>215</v>
      </c>
      <c r="I7332" t="s">
        <v>235</v>
      </c>
      <c r="J7332" t="s">
        <v>253</v>
      </c>
      <c r="K7332" t="s">
        <v>267</v>
      </c>
      <c r="L7332" t="s">
        <v>279</v>
      </c>
      <c r="M7332" t="s">
        <v>288</v>
      </c>
      <c r="N7332" t="s">
        <v>100</v>
      </c>
      <c r="O7332" t="s">
        <v>306</v>
      </c>
      <c r="P7332" t="s">
        <v>313</v>
      </c>
      <c r="Q7332" t="s">
        <v>320</v>
      </c>
      <c r="R7332" t="s">
        <v>325</v>
      </c>
      <c r="S7332" t="s">
        <v>332</v>
      </c>
      <c r="T7332" t="s">
        <v>119</v>
      </c>
      <c r="U7332" t="s">
        <v>234</v>
      </c>
      <c r="V7332" t="s">
        <v>343</v>
      </c>
      <c r="W7332" t="s">
        <v>348</v>
      </c>
      <c r="X7332" t="s">
        <v>352</v>
      </c>
      <c r="Y7332" t="s">
        <v>354</v>
      </c>
      <c r="AK7332" t="s">
        <v>365</v>
      </c>
    </row>
    <row r="7333" spans="1:37">
      <c r="A7333" t="s">
        <v>41</v>
      </c>
      <c r="B7333" t="s">
        <v>61</v>
      </c>
      <c r="C7333" t="s">
        <v>83</v>
      </c>
      <c r="D7333" t="s">
        <v>102</v>
      </c>
      <c r="E7333" t="s">
        <v>121</v>
      </c>
      <c r="F7333" t="s">
        <v>155</v>
      </c>
      <c r="G7333" t="s">
        <v>181</v>
      </c>
      <c r="H7333" t="s">
        <v>216</v>
      </c>
      <c r="I7333" t="s">
        <v>236</v>
      </c>
      <c r="AK7333" t="s">
        <v>365</v>
      </c>
    </row>
    <row r="7334" spans="1:37">
      <c r="A7334" t="s">
        <v>42</v>
      </c>
      <c r="B7334" t="s">
        <v>62</v>
      </c>
      <c r="C7334" t="s">
        <v>84</v>
      </c>
      <c r="D7334" t="s">
        <v>103</v>
      </c>
      <c r="E7334" t="s">
        <v>122</v>
      </c>
      <c r="F7334" t="s">
        <v>156</v>
      </c>
      <c r="G7334" t="s">
        <v>182</v>
      </c>
      <c r="H7334" t="s">
        <v>83</v>
      </c>
      <c r="I7334" t="s">
        <v>237</v>
      </c>
      <c r="J7334" t="s">
        <v>254</v>
      </c>
      <c r="K7334" t="s">
        <v>268</v>
      </c>
      <c r="L7334" t="s">
        <v>280</v>
      </c>
      <c r="M7334" t="s">
        <v>289</v>
      </c>
      <c r="N7334" t="s">
        <v>298</v>
      </c>
      <c r="O7334" t="s">
        <v>307</v>
      </c>
      <c r="P7334" t="s">
        <v>314</v>
      </c>
      <c r="Q7334" t="s">
        <v>216</v>
      </c>
      <c r="R7334" t="s">
        <v>326</v>
      </c>
      <c r="S7334" t="s">
        <v>333</v>
      </c>
      <c r="T7334" t="s">
        <v>335</v>
      </c>
      <c r="U7334" t="s">
        <v>340</v>
      </c>
      <c r="V7334" t="s">
        <v>344</v>
      </c>
      <c r="W7334" t="s">
        <v>349</v>
      </c>
      <c r="AK7334" t="s">
        <v>365</v>
      </c>
    </row>
    <row r="7335" spans="1:37">
      <c r="A7335" t="s">
        <v>43</v>
      </c>
      <c r="B7335" t="s">
        <v>63</v>
      </c>
      <c r="C7335" t="s">
        <v>85</v>
      </c>
      <c r="D7335" t="s">
        <v>104</v>
      </c>
      <c r="E7335" t="s">
        <v>123</v>
      </c>
      <c r="F7335" t="s">
        <v>157</v>
      </c>
      <c r="G7335" t="s">
        <v>183</v>
      </c>
      <c r="AK7335" t="s">
        <v>365</v>
      </c>
    </row>
    <row r="7336" spans="1:37">
      <c r="A7336" t="s">
        <v>44</v>
      </c>
      <c r="B7336" t="s">
        <v>64</v>
      </c>
      <c r="C7336" t="s">
        <v>86</v>
      </c>
      <c r="D7336" t="s">
        <v>105</v>
      </c>
      <c r="E7336" t="s">
        <v>124</v>
      </c>
      <c r="F7336" t="s">
        <v>158</v>
      </c>
      <c r="G7336" t="s">
        <v>184</v>
      </c>
      <c r="AK7336" t="s">
        <v>365</v>
      </c>
    </row>
    <row r="7337" spans="1:37">
      <c r="A7337" t="s">
        <v>45</v>
      </c>
      <c r="B7337" t="s">
        <v>65</v>
      </c>
      <c r="C7337" t="s">
        <v>87</v>
      </c>
      <c r="D7337" t="s">
        <v>106</v>
      </c>
      <c r="E7337" t="s">
        <v>125</v>
      </c>
      <c r="F7337" t="s">
        <v>159</v>
      </c>
      <c r="G7337" t="s">
        <v>185</v>
      </c>
      <c r="H7337" t="s">
        <v>159</v>
      </c>
      <c r="I7337" t="s">
        <v>185</v>
      </c>
      <c r="J7337" t="s">
        <v>255</v>
      </c>
      <c r="AK7337" t="s">
        <v>365</v>
      </c>
    </row>
    <row r="7338" spans="1:37">
      <c r="A7338" t="s">
        <v>46</v>
      </c>
      <c r="B7338" t="s">
        <v>66</v>
      </c>
      <c r="C7338" t="s">
        <v>88</v>
      </c>
      <c r="D7338" t="s">
        <v>76</v>
      </c>
      <c r="E7338" t="s">
        <v>126</v>
      </c>
      <c r="F7338" t="s">
        <v>160</v>
      </c>
      <c r="G7338" t="s">
        <v>186</v>
      </c>
      <c r="H7338" t="s">
        <v>217</v>
      </c>
      <c r="I7338" t="s">
        <v>238</v>
      </c>
      <c r="J7338" t="s">
        <v>256</v>
      </c>
      <c r="K7338" t="s">
        <v>265</v>
      </c>
      <c r="L7338" t="s">
        <v>281</v>
      </c>
      <c r="M7338" t="s">
        <v>290</v>
      </c>
      <c r="N7338" t="s">
        <v>299</v>
      </c>
      <c r="O7338" t="s">
        <v>308</v>
      </c>
      <c r="P7338" t="s">
        <v>228</v>
      </c>
      <c r="Q7338" t="s">
        <v>72</v>
      </c>
      <c r="R7338" t="s">
        <v>327</v>
      </c>
      <c r="S7338" t="s">
        <v>327</v>
      </c>
      <c r="T7338" t="s">
        <v>336</v>
      </c>
      <c r="U7338" t="s">
        <v>336</v>
      </c>
      <c r="V7338" t="s">
        <v>336</v>
      </c>
      <c r="W7338" t="s">
        <v>336</v>
      </c>
      <c r="X7338" t="s">
        <v>353</v>
      </c>
      <c r="AK7338" t="s">
        <v>365</v>
      </c>
    </row>
    <row r="7339" spans="1:37">
      <c r="B7339" t="s">
        <v>67</v>
      </c>
      <c r="C7339" t="s">
        <v>89</v>
      </c>
      <c r="D7339" t="s">
        <v>107</v>
      </c>
      <c r="AK7339" t="s">
        <v>365</v>
      </c>
    </row>
    <row r="7340" spans="1:37">
      <c r="B7340" t="s">
        <v>68</v>
      </c>
      <c r="C7340" t="s">
        <v>90</v>
      </c>
      <c r="D7340" t="s">
        <v>108</v>
      </c>
      <c r="AK7340" t="s">
        <v>365</v>
      </c>
    </row>
    <row r="7341" spans="1:37">
      <c r="A7341" t="s">
        <v>47</v>
      </c>
      <c r="B7341" t="s">
        <v>69</v>
      </c>
      <c r="C7341" t="s">
        <v>91</v>
      </c>
      <c r="D7341" t="s">
        <v>109</v>
      </c>
      <c r="E7341" t="s">
        <v>109</v>
      </c>
      <c r="F7341" t="s">
        <v>109</v>
      </c>
      <c r="G7341" t="s">
        <v>109</v>
      </c>
      <c r="H7341" t="s">
        <v>109</v>
      </c>
      <c r="I7341" t="s">
        <v>239</v>
      </c>
      <c r="AK7341" t="s">
        <v>365</v>
      </c>
    </row>
    <row r="7342" spans="1:37">
      <c r="B7342" t="s">
        <v>70</v>
      </c>
      <c r="C7342" t="s">
        <v>92</v>
      </c>
      <c r="D7342" t="s">
        <v>110</v>
      </c>
      <c r="E7342" t="s">
        <v>127</v>
      </c>
      <c r="F7342" t="s">
        <v>161</v>
      </c>
      <c r="G7342" t="s">
        <v>187</v>
      </c>
      <c r="H7342" t="s">
        <v>218</v>
      </c>
      <c r="AK7342" t="s">
        <v>365</v>
      </c>
    </row>
    <row r="7343" spans="1:37">
      <c r="B7343" t="s">
        <v>71</v>
      </c>
      <c r="C7343" t="s">
        <v>93</v>
      </c>
      <c r="D7343" t="s">
        <v>111</v>
      </c>
      <c r="E7343" t="s">
        <v>128</v>
      </c>
      <c r="F7343" t="s">
        <v>162</v>
      </c>
      <c r="G7343" t="s">
        <v>188</v>
      </c>
      <c r="H7343" t="s">
        <v>219</v>
      </c>
      <c r="I7343" t="s">
        <v>240</v>
      </c>
      <c r="J7343" t="s">
        <v>257</v>
      </c>
      <c r="K7343" t="s">
        <v>269</v>
      </c>
      <c r="L7343" t="s">
        <v>109</v>
      </c>
      <c r="M7343" t="s">
        <v>109</v>
      </c>
      <c r="N7343" t="s">
        <v>109</v>
      </c>
      <c r="O7343" t="s">
        <v>109</v>
      </c>
      <c r="P7343" t="s">
        <v>109</v>
      </c>
      <c r="Q7343" t="s">
        <v>321</v>
      </c>
      <c r="AK7343" t="s">
        <v>365</v>
      </c>
    </row>
    <row r="7344" spans="1:37">
      <c r="A7344" t="s">
        <v>48</v>
      </c>
      <c r="B7344" t="s">
        <v>71</v>
      </c>
      <c r="C7344" t="s">
        <v>93</v>
      </c>
      <c r="D7344" t="s">
        <v>111</v>
      </c>
      <c r="E7344" t="s">
        <v>128</v>
      </c>
      <c r="F7344" t="s">
        <v>163</v>
      </c>
      <c r="G7344" t="s">
        <v>189</v>
      </c>
      <c r="H7344" t="s">
        <v>220</v>
      </c>
      <c r="I7344" t="s">
        <v>241</v>
      </c>
      <c r="J7344" t="s">
        <v>258</v>
      </c>
      <c r="K7344" t="s">
        <v>270</v>
      </c>
      <c r="AK7344" t="s">
        <v>365</v>
      </c>
    </row>
    <row r="7345" spans="1:37">
      <c r="B7345" t="s">
        <v>72</v>
      </c>
      <c r="C7345" t="s">
        <v>72</v>
      </c>
      <c r="D7345" t="s">
        <v>72</v>
      </c>
      <c r="E7345" t="s">
        <v>139</v>
      </c>
      <c r="F7345" t="s">
        <v>139</v>
      </c>
      <c r="G7345" t="s">
        <v>192</v>
      </c>
      <c r="H7345" t="s">
        <v>192</v>
      </c>
      <c r="I7345" t="s">
        <v>192</v>
      </c>
      <c r="J7345" t="s">
        <v>192</v>
      </c>
      <c r="K7345" t="s">
        <v>271</v>
      </c>
      <c r="AK7345" t="s">
        <v>365</v>
      </c>
    </row>
    <row r="7346" spans="1:37">
      <c r="A7346" t="s">
        <v>37</v>
      </c>
      <c r="B7346" t="s">
        <v>49</v>
      </c>
      <c r="C7346" t="s">
        <v>73</v>
      </c>
      <c r="D7346" t="s">
        <v>94</v>
      </c>
      <c r="E7346" t="s">
        <v>112</v>
      </c>
      <c r="F7346" t="s">
        <v>146</v>
      </c>
      <c r="G7346" t="s">
        <v>172</v>
      </c>
      <c r="H7346" t="s">
        <v>207</v>
      </c>
      <c r="I7346" t="s">
        <v>226</v>
      </c>
      <c r="J7346" t="s">
        <v>246</v>
      </c>
      <c r="K7346" t="s">
        <v>259</v>
      </c>
      <c r="AK7346" t="s">
        <v>365</v>
      </c>
    </row>
    <row r="7347" spans="1:37">
      <c r="A7347" t="s">
        <v>38</v>
      </c>
      <c r="B7347" t="s">
        <v>50</v>
      </c>
      <c r="C7347" t="s">
        <v>74</v>
      </c>
      <c r="D7347" t="s">
        <v>95</v>
      </c>
      <c r="E7347" t="s">
        <v>113</v>
      </c>
      <c r="F7347" t="s">
        <v>147</v>
      </c>
      <c r="G7347" t="s">
        <v>173</v>
      </c>
      <c r="H7347" t="s">
        <v>208</v>
      </c>
      <c r="I7347" t="s">
        <v>227</v>
      </c>
      <c r="J7347" t="s">
        <v>115</v>
      </c>
      <c r="K7347" t="s">
        <v>260</v>
      </c>
      <c r="L7347" t="s">
        <v>273</v>
      </c>
      <c r="M7347" t="s">
        <v>282</v>
      </c>
      <c r="N7347" t="s">
        <v>291</v>
      </c>
      <c r="AK7347" t="s">
        <v>365</v>
      </c>
    </row>
    <row r="7348" spans="1:37">
      <c r="B7348" t="s">
        <v>51</v>
      </c>
      <c r="C7348" t="s">
        <v>75</v>
      </c>
      <c r="D7348" t="s">
        <v>52</v>
      </c>
      <c r="E7348" t="s">
        <v>114</v>
      </c>
      <c r="F7348" t="s">
        <v>148</v>
      </c>
      <c r="G7348" t="s">
        <v>148</v>
      </c>
      <c r="H7348" t="s">
        <v>209</v>
      </c>
      <c r="I7348" t="s">
        <v>228</v>
      </c>
      <c r="J7348" t="s">
        <v>247</v>
      </c>
      <c r="K7348" t="s">
        <v>261</v>
      </c>
      <c r="L7348" t="s">
        <v>274</v>
      </c>
      <c r="M7348" t="s">
        <v>283</v>
      </c>
      <c r="N7348" t="s">
        <v>292</v>
      </c>
      <c r="O7348" t="s">
        <v>300</v>
      </c>
      <c r="AK7348" t="s">
        <v>365</v>
      </c>
    </row>
    <row r="7349" spans="1:37">
      <c r="B7349" t="s">
        <v>52</v>
      </c>
      <c r="C7349" t="s">
        <v>76</v>
      </c>
      <c r="D7349" t="s">
        <v>96</v>
      </c>
      <c r="E7349" t="s">
        <v>115</v>
      </c>
      <c r="F7349" t="s">
        <v>149</v>
      </c>
      <c r="G7349" t="s">
        <v>174</v>
      </c>
      <c r="H7349" t="s">
        <v>96</v>
      </c>
      <c r="I7349" t="s">
        <v>229</v>
      </c>
      <c r="J7349" t="s">
        <v>248</v>
      </c>
      <c r="K7349" t="s">
        <v>262</v>
      </c>
      <c r="L7349" t="s">
        <v>52</v>
      </c>
      <c r="M7349" t="s">
        <v>76</v>
      </c>
      <c r="N7349" t="s">
        <v>293</v>
      </c>
      <c r="O7349" t="s">
        <v>301</v>
      </c>
      <c r="P7349" t="s">
        <v>309</v>
      </c>
      <c r="Q7349" t="s">
        <v>315</v>
      </c>
      <c r="R7349" t="s">
        <v>228</v>
      </c>
      <c r="S7349" t="s">
        <v>328</v>
      </c>
      <c r="T7349" t="s">
        <v>149</v>
      </c>
      <c r="U7349" t="s">
        <v>337</v>
      </c>
      <c r="V7349" t="s">
        <v>341</v>
      </c>
      <c r="W7349" t="s">
        <v>345</v>
      </c>
      <c r="X7349" t="s">
        <v>350</v>
      </c>
      <c r="AK7349" t="s">
        <v>365</v>
      </c>
    </row>
    <row r="7350" spans="1:37">
      <c r="B7350" t="s">
        <v>53</v>
      </c>
      <c r="C7350" t="s">
        <v>77</v>
      </c>
      <c r="D7350" t="s">
        <v>97</v>
      </c>
      <c r="E7350" t="s">
        <v>116</v>
      </c>
      <c r="F7350" t="s">
        <v>150</v>
      </c>
      <c r="G7350" t="s">
        <v>175</v>
      </c>
      <c r="H7350" t="s">
        <v>210</v>
      </c>
      <c r="I7350" t="s">
        <v>230</v>
      </c>
      <c r="J7350" t="s">
        <v>249</v>
      </c>
      <c r="K7350" t="s">
        <v>263</v>
      </c>
      <c r="L7350" t="s">
        <v>275</v>
      </c>
      <c r="M7350" t="s">
        <v>284</v>
      </c>
      <c r="N7350" t="s">
        <v>294</v>
      </c>
      <c r="O7350" t="s">
        <v>302</v>
      </c>
      <c r="P7350" t="s">
        <v>310</v>
      </c>
      <c r="Q7350" t="s">
        <v>316</v>
      </c>
      <c r="R7350" t="s">
        <v>322</v>
      </c>
      <c r="S7350" t="s">
        <v>329</v>
      </c>
      <c r="AK7350" t="s">
        <v>365</v>
      </c>
    </row>
    <row r="7351" spans="1:37">
      <c r="A7351" t="s">
        <v>39</v>
      </c>
      <c r="B7351" t="s">
        <v>54</v>
      </c>
      <c r="C7351" t="s">
        <v>54</v>
      </c>
      <c r="D7351" t="s">
        <v>54</v>
      </c>
      <c r="E7351" t="s">
        <v>54</v>
      </c>
      <c r="F7351" t="s">
        <v>54</v>
      </c>
      <c r="G7351" t="s">
        <v>54</v>
      </c>
      <c r="H7351" t="s">
        <v>54</v>
      </c>
      <c r="I7351" t="s">
        <v>54</v>
      </c>
      <c r="J7351" t="s">
        <v>54</v>
      </c>
      <c r="K7351" t="s">
        <v>54</v>
      </c>
      <c r="L7351" t="s">
        <v>54</v>
      </c>
      <c r="M7351" t="s">
        <v>54</v>
      </c>
      <c r="N7351" t="s">
        <v>54</v>
      </c>
      <c r="O7351" t="s">
        <v>54</v>
      </c>
      <c r="P7351" t="s">
        <v>54</v>
      </c>
      <c r="Q7351" t="s">
        <v>54</v>
      </c>
      <c r="R7351" t="s">
        <v>323</v>
      </c>
      <c r="S7351" t="s">
        <v>330</v>
      </c>
      <c r="AK7351" t="s">
        <v>365</v>
      </c>
    </row>
    <row r="7352" spans="1:37">
      <c r="B7352" t="s">
        <v>55</v>
      </c>
      <c r="C7352" t="s">
        <v>78</v>
      </c>
      <c r="D7352" t="s">
        <v>55</v>
      </c>
      <c r="E7352" t="s">
        <v>78</v>
      </c>
      <c r="F7352" t="s">
        <v>55</v>
      </c>
      <c r="G7352" t="s">
        <v>78</v>
      </c>
      <c r="H7352" t="s">
        <v>55</v>
      </c>
      <c r="I7352" t="s">
        <v>78</v>
      </c>
      <c r="J7352" t="s">
        <v>55</v>
      </c>
      <c r="K7352" t="s">
        <v>78</v>
      </c>
      <c r="L7352" t="s">
        <v>55</v>
      </c>
      <c r="M7352" t="s">
        <v>78</v>
      </c>
      <c r="N7352" t="s">
        <v>55</v>
      </c>
      <c r="O7352" t="s">
        <v>78</v>
      </c>
      <c r="P7352" t="s">
        <v>55</v>
      </c>
      <c r="Q7352" t="s">
        <v>78</v>
      </c>
      <c r="R7352" t="s">
        <v>55</v>
      </c>
      <c r="S7352" t="s">
        <v>78</v>
      </c>
      <c r="T7352" t="s">
        <v>55</v>
      </c>
      <c r="U7352" t="s">
        <v>78</v>
      </c>
      <c r="V7352" t="s">
        <v>55</v>
      </c>
      <c r="W7352" t="s">
        <v>78</v>
      </c>
      <c r="X7352" t="s">
        <v>55</v>
      </c>
      <c r="Y7352" t="s">
        <v>78</v>
      </c>
      <c r="Z7352" t="s">
        <v>55</v>
      </c>
      <c r="AA7352" t="s">
        <v>78</v>
      </c>
      <c r="AB7352" t="s">
        <v>55</v>
      </c>
      <c r="AC7352" t="s">
        <v>78</v>
      </c>
      <c r="AD7352" t="s">
        <v>55</v>
      </c>
      <c r="AE7352" t="s">
        <v>78</v>
      </c>
      <c r="AF7352" t="s">
        <v>55</v>
      </c>
      <c r="AG7352" t="s">
        <v>78</v>
      </c>
      <c r="AH7352" t="s">
        <v>55</v>
      </c>
      <c r="AI7352" t="s">
        <v>78</v>
      </c>
      <c r="AK7352" t="s">
        <v>365</v>
      </c>
    </row>
    <row r="7353" spans="1:37">
      <c r="B7353" t="s">
        <v>56</v>
      </c>
      <c r="C7353" t="s">
        <v>56</v>
      </c>
      <c r="D7353" t="s">
        <v>56</v>
      </c>
      <c r="E7353" t="s">
        <v>56</v>
      </c>
      <c r="F7353" t="s">
        <v>56</v>
      </c>
      <c r="G7353" t="s">
        <v>176</v>
      </c>
      <c r="H7353" t="s">
        <v>211</v>
      </c>
      <c r="I7353" t="s">
        <v>231</v>
      </c>
      <c r="J7353" t="s">
        <v>250</v>
      </c>
      <c r="K7353" t="s">
        <v>264</v>
      </c>
      <c r="L7353" t="s">
        <v>276</v>
      </c>
      <c r="M7353" t="s">
        <v>285</v>
      </c>
      <c r="N7353" t="s">
        <v>295</v>
      </c>
      <c r="O7353" t="s">
        <v>303</v>
      </c>
      <c r="P7353" t="s">
        <v>56</v>
      </c>
      <c r="Q7353" t="s">
        <v>317</v>
      </c>
      <c r="R7353" t="s">
        <v>324</v>
      </c>
      <c r="S7353" t="s">
        <v>331</v>
      </c>
      <c r="T7353" t="s">
        <v>334</v>
      </c>
      <c r="U7353" t="s">
        <v>338</v>
      </c>
      <c r="V7353" t="s">
        <v>342</v>
      </c>
      <c r="W7353" t="s">
        <v>346</v>
      </c>
      <c r="X7353" t="s">
        <v>351</v>
      </c>
      <c r="AK7353" t="s">
        <v>365</v>
      </c>
    </row>
    <row r="7354" spans="1:37">
      <c r="B7354" t="s">
        <v>57</v>
      </c>
      <c r="C7354" t="s">
        <v>79</v>
      </c>
      <c r="D7354" t="s">
        <v>98</v>
      </c>
      <c r="E7354" t="s">
        <v>117</v>
      </c>
      <c r="F7354" t="s">
        <v>151</v>
      </c>
      <c r="G7354" t="s">
        <v>177</v>
      </c>
      <c r="H7354" t="s">
        <v>212</v>
      </c>
      <c r="I7354" t="s">
        <v>232</v>
      </c>
      <c r="J7354" t="s">
        <v>251</v>
      </c>
      <c r="K7354" t="s">
        <v>265</v>
      </c>
      <c r="L7354" t="s">
        <v>277</v>
      </c>
      <c r="M7354" t="s">
        <v>286</v>
      </c>
      <c r="N7354" t="s">
        <v>296</v>
      </c>
      <c r="O7354" t="s">
        <v>304</v>
      </c>
      <c r="P7354" t="s">
        <v>311</v>
      </c>
      <c r="Q7354" t="s">
        <v>318</v>
      </c>
      <c r="R7354" t="s">
        <v>185</v>
      </c>
      <c r="S7354" t="s">
        <v>159</v>
      </c>
      <c r="T7354" t="s">
        <v>185</v>
      </c>
      <c r="U7354" t="s">
        <v>339</v>
      </c>
      <c r="V7354" t="s">
        <v>72</v>
      </c>
      <c r="W7354" t="s">
        <v>347</v>
      </c>
      <c r="X7354" t="s">
        <v>72</v>
      </c>
      <c r="Y7354" t="s">
        <v>96</v>
      </c>
      <c r="AK7354" t="s">
        <v>365</v>
      </c>
    </row>
    <row r="7355" spans="1:37">
      <c r="B7355" t="s">
        <v>58</v>
      </c>
      <c r="C7355" t="s">
        <v>80</v>
      </c>
      <c r="D7355" t="s">
        <v>99</v>
      </c>
      <c r="E7355" t="s">
        <v>118</v>
      </c>
      <c r="F7355" t="s">
        <v>152</v>
      </c>
      <c r="G7355" t="s">
        <v>178</v>
      </c>
      <c r="H7355" t="s">
        <v>213</v>
      </c>
      <c r="I7355" t="s">
        <v>233</v>
      </c>
      <c r="J7355" t="s">
        <v>252</v>
      </c>
      <c r="K7355" t="s">
        <v>266</v>
      </c>
      <c r="L7355" t="s">
        <v>278</v>
      </c>
      <c r="M7355" t="s">
        <v>287</v>
      </c>
      <c r="N7355" t="s">
        <v>297</v>
      </c>
      <c r="O7355" t="s">
        <v>305</v>
      </c>
      <c r="P7355" t="s">
        <v>312</v>
      </c>
      <c r="Q7355" t="s">
        <v>319</v>
      </c>
      <c r="R7355">
        <f>&gt;10       ветра      3.8     16   5  6</f>
        <v>0</v>
      </c>
      <c r="AK7355" t="s">
        <v>365</v>
      </c>
    </row>
    <row r="7356" spans="1:37">
      <c r="A7356" t="s">
        <v>40</v>
      </c>
      <c r="B7356" t="s">
        <v>59</v>
      </c>
      <c r="C7356" t="s">
        <v>81</v>
      </c>
      <c r="D7356" t="s">
        <v>100</v>
      </c>
      <c r="E7356" t="s">
        <v>119</v>
      </c>
      <c r="F7356" t="s">
        <v>153</v>
      </c>
      <c r="G7356" t="s">
        <v>179</v>
      </c>
      <c r="H7356" t="s">
        <v>214</v>
      </c>
      <c r="I7356" t="s">
        <v>234</v>
      </c>
      <c r="AK7356" t="s">
        <v>365</v>
      </c>
    </row>
    <row r="7357" spans="1:37">
      <c r="A7357" t="s">
        <v>40</v>
      </c>
      <c r="B7357" t="s">
        <v>60</v>
      </c>
      <c r="C7357" t="s">
        <v>82</v>
      </c>
      <c r="D7357" t="s">
        <v>101</v>
      </c>
      <c r="E7357" t="s">
        <v>120</v>
      </c>
      <c r="F7357" t="s">
        <v>154</v>
      </c>
      <c r="G7357" t="s">
        <v>180</v>
      </c>
      <c r="H7357" t="s">
        <v>215</v>
      </c>
      <c r="I7357" t="s">
        <v>235</v>
      </c>
      <c r="J7357" t="s">
        <v>253</v>
      </c>
      <c r="K7357" t="s">
        <v>267</v>
      </c>
      <c r="L7357" t="s">
        <v>279</v>
      </c>
      <c r="M7357" t="s">
        <v>288</v>
      </c>
      <c r="N7357" t="s">
        <v>100</v>
      </c>
      <c r="O7357" t="s">
        <v>306</v>
      </c>
      <c r="P7357" t="s">
        <v>313</v>
      </c>
      <c r="Q7357" t="s">
        <v>320</v>
      </c>
      <c r="R7357" t="s">
        <v>325</v>
      </c>
      <c r="S7357" t="s">
        <v>332</v>
      </c>
      <c r="T7357" t="s">
        <v>119</v>
      </c>
      <c r="U7357" t="s">
        <v>234</v>
      </c>
      <c r="V7357" t="s">
        <v>343</v>
      </c>
      <c r="W7357" t="s">
        <v>348</v>
      </c>
      <c r="X7357" t="s">
        <v>352</v>
      </c>
      <c r="Y7357" t="s">
        <v>354</v>
      </c>
      <c r="AK7357" t="s">
        <v>365</v>
      </c>
    </row>
    <row r="7358" spans="1:37">
      <c r="A7358" t="s">
        <v>41</v>
      </c>
      <c r="B7358" t="s">
        <v>61</v>
      </c>
      <c r="C7358" t="s">
        <v>83</v>
      </c>
      <c r="D7358" t="s">
        <v>102</v>
      </c>
      <c r="E7358" t="s">
        <v>121</v>
      </c>
      <c r="F7358" t="s">
        <v>155</v>
      </c>
      <c r="G7358" t="s">
        <v>181</v>
      </c>
      <c r="H7358" t="s">
        <v>216</v>
      </c>
      <c r="I7358" t="s">
        <v>236</v>
      </c>
      <c r="AK7358" t="s">
        <v>365</v>
      </c>
    </row>
    <row r="7359" spans="1:37">
      <c r="A7359" t="s">
        <v>42</v>
      </c>
      <c r="B7359" t="s">
        <v>62</v>
      </c>
      <c r="C7359" t="s">
        <v>84</v>
      </c>
      <c r="D7359" t="s">
        <v>103</v>
      </c>
      <c r="E7359" t="s">
        <v>122</v>
      </c>
      <c r="F7359" t="s">
        <v>156</v>
      </c>
      <c r="G7359" t="s">
        <v>182</v>
      </c>
      <c r="H7359" t="s">
        <v>83</v>
      </c>
      <c r="I7359" t="s">
        <v>237</v>
      </c>
      <c r="J7359" t="s">
        <v>254</v>
      </c>
      <c r="K7359" t="s">
        <v>268</v>
      </c>
      <c r="L7359" t="s">
        <v>280</v>
      </c>
      <c r="M7359" t="s">
        <v>289</v>
      </c>
      <c r="N7359" t="s">
        <v>298</v>
      </c>
      <c r="O7359" t="s">
        <v>307</v>
      </c>
      <c r="P7359" t="s">
        <v>314</v>
      </c>
      <c r="Q7359" t="s">
        <v>216</v>
      </c>
      <c r="R7359" t="s">
        <v>326</v>
      </c>
      <c r="S7359" t="s">
        <v>333</v>
      </c>
      <c r="T7359" t="s">
        <v>335</v>
      </c>
      <c r="U7359" t="s">
        <v>340</v>
      </c>
      <c r="V7359" t="s">
        <v>344</v>
      </c>
      <c r="W7359" t="s">
        <v>349</v>
      </c>
      <c r="AK7359" t="s">
        <v>365</v>
      </c>
    </row>
    <row r="7360" spans="1:37">
      <c r="A7360" t="s">
        <v>43</v>
      </c>
      <c r="B7360" t="s">
        <v>63</v>
      </c>
      <c r="C7360" t="s">
        <v>85</v>
      </c>
      <c r="D7360" t="s">
        <v>104</v>
      </c>
      <c r="E7360" t="s">
        <v>123</v>
      </c>
      <c r="F7360" t="s">
        <v>157</v>
      </c>
      <c r="G7360" t="s">
        <v>183</v>
      </c>
      <c r="AK7360" t="s">
        <v>365</v>
      </c>
    </row>
    <row r="7361" spans="1:37">
      <c r="A7361" t="s">
        <v>44</v>
      </c>
      <c r="B7361" t="s">
        <v>64</v>
      </c>
      <c r="C7361" t="s">
        <v>86</v>
      </c>
      <c r="D7361" t="s">
        <v>105</v>
      </c>
      <c r="E7361" t="s">
        <v>124</v>
      </c>
      <c r="F7361" t="s">
        <v>158</v>
      </c>
      <c r="G7361" t="s">
        <v>184</v>
      </c>
      <c r="AK7361" t="s">
        <v>365</v>
      </c>
    </row>
    <row r="7362" spans="1:37">
      <c r="A7362" t="s">
        <v>45</v>
      </c>
      <c r="B7362" t="s">
        <v>65</v>
      </c>
      <c r="C7362" t="s">
        <v>87</v>
      </c>
      <c r="D7362" t="s">
        <v>106</v>
      </c>
      <c r="E7362" t="s">
        <v>125</v>
      </c>
      <c r="F7362" t="s">
        <v>159</v>
      </c>
      <c r="G7362" t="s">
        <v>185</v>
      </c>
      <c r="H7362" t="s">
        <v>159</v>
      </c>
      <c r="I7362" t="s">
        <v>185</v>
      </c>
      <c r="J7362" t="s">
        <v>255</v>
      </c>
      <c r="AK7362" t="s">
        <v>365</v>
      </c>
    </row>
    <row r="7363" spans="1:37">
      <c r="A7363" t="s">
        <v>46</v>
      </c>
      <c r="B7363" t="s">
        <v>66</v>
      </c>
      <c r="C7363" t="s">
        <v>88</v>
      </c>
      <c r="D7363" t="s">
        <v>76</v>
      </c>
      <c r="E7363" t="s">
        <v>126</v>
      </c>
      <c r="F7363" t="s">
        <v>160</v>
      </c>
      <c r="G7363" t="s">
        <v>186</v>
      </c>
      <c r="H7363" t="s">
        <v>217</v>
      </c>
      <c r="I7363" t="s">
        <v>238</v>
      </c>
      <c r="J7363" t="s">
        <v>256</v>
      </c>
      <c r="K7363" t="s">
        <v>265</v>
      </c>
      <c r="L7363" t="s">
        <v>281</v>
      </c>
      <c r="M7363" t="s">
        <v>290</v>
      </c>
      <c r="N7363" t="s">
        <v>299</v>
      </c>
      <c r="O7363" t="s">
        <v>308</v>
      </c>
      <c r="P7363" t="s">
        <v>228</v>
      </c>
      <c r="Q7363" t="s">
        <v>72</v>
      </c>
      <c r="R7363" t="s">
        <v>327</v>
      </c>
      <c r="S7363" t="s">
        <v>327</v>
      </c>
      <c r="T7363" t="s">
        <v>336</v>
      </c>
      <c r="U7363" t="s">
        <v>336</v>
      </c>
      <c r="V7363" t="s">
        <v>336</v>
      </c>
      <c r="W7363" t="s">
        <v>336</v>
      </c>
      <c r="X7363" t="s">
        <v>353</v>
      </c>
      <c r="AK7363" t="s">
        <v>365</v>
      </c>
    </row>
    <row r="7364" spans="1:37">
      <c r="A7364" t="s">
        <v>37</v>
      </c>
      <c r="B7364" t="s">
        <v>49</v>
      </c>
      <c r="C7364" t="s">
        <v>73</v>
      </c>
      <c r="D7364" t="s">
        <v>94</v>
      </c>
      <c r="E7364" t="s">
        <v>112</v>
      </c>
      <c r="F7364" t="s">
        <v>146</v>
      </c>
      <c r="G7364" t="s">
        <v>172</v>
      </c>
      <c r="H7364" t="s">
        <v>207</v>
      </c>
      <c r="I7364" t="s">
        <v>226</v>
      </c>
      <c r="J7364" t="s">
        <v>246</v>
      </c>
      <c r="K7364" t="s">
        <v>259</v>
      </c>
      <c r="AK7364" t="s">
        <v>365</v>
      </c>
    </row>
    <row r="7365" spans="1:37">
      <c r="A7365" t="s">
        <v>38</v>
      </c>
      <c r="B7365" t="s">
        <v>50</v>
      </c>
      <c r="C7365" t="s">
        <v>74</v>
      </c>
      <c r="D7365" t="s">
        <v>95</v>
      </c>
      <c r="E7365" t="s">
        <v>113</v>
      </c>
      <c r="F7365" t="s">
        <v>147</v>
      </c>
      <c r="G7365" t="s">
        <v>173</v>
      </c>
      <c r="H7365" t="s">
        <v>208</v>
      </c>
      <c r="I7365" t="s">
        <v>227</v>
      </c>
      <c r="J7365" t="s">
        <v>115</v>
      </c>
      <c r="K7365" t="s">
        <v>260</v>
      </c>
      <c r="L7365" t="s">
        <v>273</v>
      </c>
      <c r="M7365" t="s">
        <v>282</v>
      </c>
      <c r="N7365" t="s">
        <v>291</v>
      </c>
      <c r="AK7365" t="s">
        <v>365</v>
      </c>
    </row>
    <row r="7366" spans="1:37">
      <c r="B7366" t="s">
        <v>51</v>
      </c>
      <c r="C7366" t="s">
        <v>75</v>
      </c>
      <c r="D7366" t="s">
        <v>52</v>
      </c>
      <c r="E7366" t="s">
        <v>114</v>
      </c>
      <c r="F7366" t="s">
        <v>148</v>
      </c>
      <c r="G7366" t="s">
        <v>148</v>
      </c>
      <c r="H7366" t="s">
        <v>209</v>
      </c>
      <c r="I7366" t="s">
        <v>228</v>
      </c>
      <c r="J7366" t="s">
        <v>247</v>
      </c>
      <c r="K7366" t="s">
        <v>261</v>
      </c>
      <c r="L7366" t="s">
        <v>274</v>
      </c>
      <c r="M7366" t="s">
        <v>283</v>
      </c>
      <c r="N7366" t="s">
        <v>292</v>
      </c>
      <c r="O7366" t="s">
        <v>300</v>
      </c>
      <c r="AK7366" t="s">
        <v>365</v>
      </c>
    </row>
    <row r="7367" spans="1:37">
      <c r="B7367" t="s">
        <v>52</v>
      </c>
      <c r="C7367" t="s">
        <v>76</v>
      </c>
      <c r="D7367" t="s">
        <v>96</v>
      </c>
      <c r="E7367" t="s">
        <v>115</v>
      </c>
      <c r="F7367" t="s">
        <v>149</v>
      </c>
      <c r="G7367" t="s">
        <v>174</v>
      </c>
      <c r="H7367" t="s">
        <v>96</v>
      </c>
      <c r="I7367" t="s">
        <v>229</v>
      </c>
      <c r="J7367" t="s">
        <v>248</v>
      </c>
      <c r="K7367" t="s">
        <v>262</v>
      </c>
      <c r="L7367" t="s">
        <v>52</v>
      </c>
      <c r="M7367" t="s">
        <v>76</v>
      </c>
      <c r="N7367" t="s">
        <v>293</v>
      </c>
      <c r="O7367" t="s">
        <v>301</v>
      </c>
      <c r="P7367" t="s">
        <v>309</v>
      </c>
      <c r="Q7367" t="s">
        <v>315</v>
      </c>
      <c r="R7367" t="s">
        <v>228</v>
      </c>
      <c r="S7367" t="s">
        <v>328</v>
      </c>
      <c r="T7367" t="s">
        <v>149</v>
      </c>
      <c r="U7367" t="s">
        <v>337</v>
      </c>
      <c r="V7367" t="s">
        <v>341</v>
      </c>
      <c r="W7367" t="s">
        <v>345</v>
      </c>
      <c r="X7367" t="s">
        <v>350</v>
      </c>
      <c r="AK7367" t="s">
        <v>365</v>
      </c>
    </row>
    <row r="7368" spans="1:37">
      <c r="B7368" t="s">
        <v>53</v>
      </c>
      <c r="C7368" t="s">
        <v>77</v>
      </c>
      <c r="D7368" t="s">
        <v>97</v>
      </c>
      <c r="E7368" t="s">
        <v>116</v>
      </c>
      <c r="F7368" t="s">
        <v>150</v>
      </c>
      <c r="G7368" t="s">
        <v>175</v>
      </c>
      <c r="H7368" t="s">
        <v>210</v>
      </c>
      <c r="I7368" t="s">
        <v>230</v>
      </c>
      <c r="J7368" t="s">
        <v>249</v>
      </c>
      <c r="K7368" t="s">
        <v>263</v>
      </c>
      <c r="L7368" t="s">
        <v>275</v>
      </c>
      <c r="M7368" t="s">
        <v>284</v>
      </c>
      <c r="N7368" t="s">
        <v>294</v>
      </c>
      <c r="O7368" t="s">
        <v>302</v>
      </c>
      <c r="P7368" t="s">
        <v>310</v>
      </c>
      <c r="Q7368" t="s">
        <v>316</v>
      </c>
      <c r="R7368" t="s">
        <v>322</v>
      </c>
      <c r="S7368" t="s">
        <v>329</v>
      </c>
      <c r="AK7368" t="s">
        <v>365</v>
      </c>
    </row>
    <row r="7369" spans="1:37">
      <c r="A7369" t="s">
        <v>39</v>
      </c>
      <c r="B7369" t="s">
        <v>54</v>
      </c>
      <c r="C7369" t="s">
        <v>54</v>
      </c>
      <c r="D7369" t="s">
        <v>54</v>
      </c>
      <c r="E7369" t="s">
        <v>54</v>
      </c>
      <c r="F7369" t="s">
        <v>54</v>
      </c>
      <c r="G7369" t="s">
        <v>54</v>
      </c>
      <c r="H7369" t="s">
        <v>54</v>
      </c>
      <c r="I7369" t="s">
        <v>54</v>
      </c>
      <c r="J7369" t="s">
        <v>54</v>
      </c>
      <c r="K7369" t="s">
        <v>54</v>
      </c>
      <c r="L7369" t="s">
        <v>54</v>
      </c>
      <c r="M7369" t="s">
        <v>54</v>
      </c>
      <c r="N7369" t="s">
        <v>54</v>
      </c>
      <c r="O7369" t="s">
        <v>54</v>
      </c>
      <c r="P7369" t="s">
        <v>54</v>
      </c>
      <c r="Q7369" t="s">
        <v>54</v>
      </c>
      <c r="R7369" t="s">
        <v>323</v>
      </c>
      <c r="S7369" t="s">
        <v>330</v>
      </c>
      <c r="AK7369" t="s">
        <v>365</v>
      </c>
    </row>
    <row r="7370" spans="1:37">
      <c r="B7370" t="s">
        <v>55</v>
      </c>
      <c r="C7370" t="s">
        <v>78</v>
      </c>
      <c r="D7370" t="s">
        <v>55</v>
      </c>
      <c r="E7370" t="s">
        <v>78</v>
      </c>
      <c r="F7370" t="s">
        <v>55</v>
      </c>
      <c r="G7370" t="s">
        <v>78</v>
      </c>
      <c r="H7370" t="s">
        <v>55</v>
      </c>
      <c r="I7370" t="s">
        <v>78</v>
      </c>
      <c r="J7370" t="s">
        <v>55</v>
      </c>
      <c r="K7370" t="s">
        <v>78</v>
      </c>
      <c r="L7370" t="s">
        <v>55</v>
      </c>
      <c r="M7370" t="s">
        <v>78</v>
      </c>
      <c r="N7370" t="s">
        <v>55</v>
      </c>
      <c r="O7370" t="s">
        <v>78</v>
      </c>
      <c r="P7370" t="s">
        <v>55</v>
      </c>
      <c r="Q7370" t="s">
        <v>78</v>
      </c>
      <c r="R7370" t="s">
        <v>55</v>
      </c>
      <c r="S7370" t="s">
        <v>78</v>
      </c>
      <c r="T7370" t="s">
        <v>55</v>
      </c>
      <c r="U7370" t="s">
        <v>78</v>
      </c>
      <c r="V7370" t="s">
        <v>55</v>
      </c>
      <c r="W7370" t="s">
        <v>78</v>
      </c>
      <c r="X7370" t="s">
        <v>55</v>
      </c>
      <c r="Y7370" t="s">
        <v>78</v>
      </c>
      <c r="Z7370" t="s">
        <v>55</v>
      </c>
      <c r="AA7370" t="s">
        <v>78</v>
      </c>
      <c r="AB7370" t="s">
        <v>55</v>
      </c>
      <c r="AC7370" t="s">
        <v>78</v>
      </c>
      <c r="AD7370" t="s">
        <v>55</v>
      </c>
      <c r="AE7370" t="s">
        <v>78</v>
      </c>
      <c r="AF7370" t="s">
        <v>55</v>
      </c>
      <c r="AG7370" t="s">
        <v>78</v>
      </c>
      <c r="AH7370" t="s">
        <v>55</v>
      </c>
      <c r="AI7370" t="s">
        <v>78</v>
      </c>
      <c r="AK7370" t="s">
        <v>365</v>
      </c>
    </row>
    <row r="7371" spans="1:37">
      <c r="B7371" t="s">
        <v>56</v>
      </c>
      <c r="C7371" t="s">
        <v>56</v>
      </c>
      <c r="D7371" t="s">
        <v>56</v>
      </c>
      <c r="E7371" t="s">
        <v>56</v>
      </c>
      <c r="F7371" t="s">
        <v>56</v>
      </c>
      <c r="G7371" t="s">
        <v>176</v>
      </c>
      <c r="H7371" t="s">
        <v>211</v>
      </c>
      <c r="I7371" t="s">
        <v>231</v>
      </c>
      <c r="J7371" t="s">
        <v>250</v>
      </c>
      <c r="K7371" t="s">
        <v>264</v>
      </c>
      <c r="L7371" t="s">
        <v>276</v>
      </c>
      <c r="M7371" t="s">
        <v>285</v>
      </c>
      <c r="N7371" t="s">
        <v>295</v>
      </c>
      <c r="O7371" t="s">
        <v>303</v>
      </c>
      <c r="P7371" t="s">
        <v>56</v>
      </c>
      <c r="Q7371" t="s">
        <v>317</v>
      </c>
      <c r="R7371" t="s">
        <v>324</v>
      </c>
      <c r="S7371" t="s">
        <v>331</v>
      </c>
      <c r="T7371" t="s">
        <v>334</v>
      </c>
      <c r="U7371" t="s">
        <v>338</v>
      </c>
      <c r="V7371" t="s">
        <v>342</v>
      </c>
      <c r="W7371" t="s">
        <v>346</v>
      </c>
      <c r="X7371" t="s">
        <v>351</v>
      </c>
      <c r="AK7371" t="s">
        <v>365</v>
      </c>
    </row>
    <row r="7372" spans="1:37">
      <c r="B7372" t="s">
        <v>57</v>
      </c>
      <c r="C7372" t="s">
        <v>79</v>
      </c>
      <c r="D7372" t="s">
        <v>98</v>
      </c>
      <c r="E7372" t="s">
        <v>117</v>
      </c>
      <c r="F7372" t="s">
        <v>151</v>
      </c>
      <c r="G7372" t="s">
        <v>177</v>
      </c>
      <c r="H7372" t="s">
        <v>212</v>
      </c>
      <c r="I7372" t="s">
        <v>232</v>
      </c>
      <c r="J7372" t="s">
        <v>251</v>
      </c>
      <c r="K7372" t="s">
        <v>265</v>
      </c>
      <c r="L7372" t="s">
        <v>277</v>
      </c>
      <c r="M7372" t="s">
        <v>286</v>
      </c>
      <c r="N7372" t="s">
        <v>296</v>
      </c>
      <c r="O7372" t="s">
        <v>304</v>
      </c>
      <c r="P7372" t="s">
        <v>311</v>
      </c>
      <c r="Q7372" t="s">
        <v>318</v>
      </c>
      <c r="R7372" t="s">
        <v>185</v>
      </c>
      <c r="S7372" t="s">
        <v>159</v>
      </c>
      <c r="T7372" t="s">
        <v>185</v>
      </c>
      <c r="U7372" t="s">
        <v>339</v>
      </c>
      <c r="V7372" t="s">
        <v>72</v>
      </c>
      <c r="W7372" t="s">
        <v>347</v>
      </c>
      <c r="X7372" t="s">
        <v>72</v>
      </c>
      <c r="Y7372" t="s">
        <v>96</v>
      </c>
      <c r="AK7372" t="s">
        <v>365</v>
      </c>
    </row>
    <row r="7373" spans="1:37">
      <c r="B7373" t="s">
        <v>58</v>
      </c>
      <c r="C7373" t="s">
        <v>80</v>
      </c>
      <c r="D7373" t="s">
        <v>99</v>
      </c>
      <c r="E7373" t="s">
        <v>118</v>
      </c>
      <c r="F7373" t="s">
        <v>152</v>
      </c>
      <c r="G7373" t="s">
        <v>178</v>
      </c>
      <c r="H7373" t="s">
        <v>213</v>
      </c>
      <c r="I7373" t="s">
        <v>233</v>
      </c>
      <c r="J7373" t="s">
        <v>252</v>
      </c>
      <c r="K7373" t="s">
        <v>266</v>
      </c>
      <c r="L7373" t="s">
        <v>278</v>
      </c>
      <c r="M7373" t="s">
        <v>287</v>
      </c>
      <c r="N7373" t="s">
        <v>297</v>
      </c>
      <c r="O7373" t="s">
        <v>305</v>
      </c>
      <c r="P7373" t="s">
        <v>312</v>
      </c>
      <c r="Q7373" t="s">
        <v>319</v>
      </c>
      <c r="R7373">
        <f>&gt;10       ветра      4.6     19  11</f>
        <v>0</v>
      </c>
      <c r="AK7373" t="s">
        <v>365</v>
      </c>
    </row>
    <row r="7374" spans="1:37">
      <c r="A7374" t="s">
        <v>40</v>
      </c>
      <c r="B7374" t="s">
        <v>59</v>
      </c>
      <c r="C7374" t="s">
        <v>81</v>
      </c>
      <c r="D7374" t="s">
        <v>100</v>
      </c>
      <c r="E7374" t="s">
        <v>119</v>
      </c>
      <c r="F7374" t="s">
        <v>153</v>
      </c>
      <c r="G7374" t="s">
        <v>179</v>
      </c>
      <c r="H7374" t="s">
        <v>214</v>
      </c>
      <c r="I7374" t="s">
        <v>234</v>
      </c>
      <c r="AK7374" t="s">
        <v>365</v>
      </c>
    </row>
    <row r="7375" spans="1:37">
      <c r="A7375" t="s">
        <v>40</v>
      </c>
      <c r="B7375" t="s">
        <v>60</v>
      </c>
      <c r="C7375" t="s">
        <v>82</v>
      </c>
      <c r="D7375" t="s">
        <v>101</v>
      </c>
      <c r="E7375" t="s">
        <v>120</v>
      </c>
      <c r="F7375" t="s">
        <v>154</v>
      </c>
      <c r="G7375" t="s">
        <v>180</v>
      </c>
      <c r="H7375" t="s">
        <v>215</v>
      </c>
      <c r="I7375" t="s">
        <v>235</v>
      </c>
      <c r="J7375" t="s">
        <v>253</v>
      </c>
      <c r="K7375" t="s">
        <v>267</v>
      </c>
      <c r="L7375" t="s">
        <v>279</v>
      </c>
      <c r="M7375" t="s">
        <v>288</v>
      </c>
      <c r="N7375" t="s">
        <v>100</v>
      </c>
      <c r="O7375" t="s">
        <v>306</v>
      </c>
      <c r="P7375" t="s">
        <v>313</v>
      </c>
      <c r="Q7375" t="s">
        <v>320</v>
      </c>
      <c r="R7375" t="s">
        <v>325</v>
      </c>
      <c r="S7375" t="s">
        <v>332</v>
      </c>
      <c r="T7375" t="s">
        <v>119</v>
      </c>
      <c r="U7375" t="s">
        <v>234</v>
      </c>
      <c r="V7375" t="s">
        <v>343</v>
      </c>
      <c r="W7375" t="s">
        <v>348</v>
      </c>
      <c r="X7375" t="s">
        <v>352</v>
      </c>
      <c r="Y7375" t="s">
        <v>354</v>
      </c>
      <c r="AK7375" t="s">
        <v>365</v>
      </c>
    </row>
    <row r="7376" spans="1:37">
      <c r="A7376" t="s">
        <v>41</v>
      </c>
      <c r="B7376" t="s">
        <v>61</v>
      </c>
      <c r="C7376" t="s">
        <v>83</v>
      </c>
      <c r="D7376" t="s">
        <v>102</v>
      </c>
      <c r="E7376" t="s">
        <v>121</v>
      </c>
      <c r="F7376" t="s">
        <v>155</v>
      </c>
      <c r="G7376" t="s">
        <v>181</v>
      </c>
      <c r="H7376" t="s">
        <v>216</v>
      </c>
      <c r="I7376" t="s">
        <v>236</v>
      </c>
      <c r="AK7376" t="s">
        <v>365</v>
      </c>
    </row>
    <row r="7377" spans="1:37">
      <c r="A7377" t="s">
        <v>42</v>
      </c>
      <c r="B7377" t="s">
        <v>62</v>
      </c>
      <c r="C7377" t="s">
        <v>84</v>
      </c>
      <c r="D7377" t="s">
        <v>103</v>
      </c>
      <c r="E7377" t="s">
        <v>122</v>
      </c>
      <c r="F7377" t="s">
        <v>156</v>
      </c>
      <c r="G7377" t="s">
        <v>182</v>
      </c>
      <c r="H7377" t="s">
        <v>83</v>
      </c>
      <c r="I7377" t="s">
        <v>237</v>
      </c>
      <c r="J7377" t="s">
        <v>254</v>
      </c>
      <c r="K7377" t="s">
        <v>268</v>
      </c>
      <c r="L7377" t="s">
        <v>280</v>
      </c>
      <c r="M7377" t="s">
        <v>289</v>
      </c>
      <c r="N7377" t="s">
        <v>298</v>
      </c>
      <c r="O7377" t="s">
        <v>307</v>
      </c>
      <c r="P7377" t="s">
        <v>314</v>
      </c>
      <c r="Q7377" t="s">
        <v>216</v>
      </c>
      <c r="R7377" t="s">
        <v>326</v>
      </c>
      <c r="S7377" t="s">
        <v>333</v>
      </c>
      <c r="T7377" t="s">
        <v>335</v>
      </c>
      <c r="U7377" t="s">
        <v>340</v>
      </c>
      <c r="V7377" t="s">
        <v>344</v>
      </c>
      <c r="W7377" t="s">
        <v>349</v>
      </c>
      <c r="AK7377" t="s">
        <v>365</v>
      </c>
    </row>
    <row r="7378" spans="1:37">
      <c r="A7378" t="s">
        <v>43</v>
      </c>
      <c r="B7378" t="s">
        <v>63</v>
      </c>
      <c r="C7378" t="s">
        <v>85</v>
      </c>
      <c r="D7378" t="s">
        <v>104</v>
      </c>
      <c r="E7378" t="s">
        <v>123</v>
      </c>
      <c r="F7378" t="s">
        <v>157</v>
      </c>
      <c r="G7378" t="s">
        <v>183</v>
      </c>
      <c r="AK7378" t="s">
        <v>365</v>
      </c>
    </row>
    <row r="7379" spans="1:37">
      <c r="A7379" t="s">
        <v>44</v>
      </c>
      <c r="B7379" t="s">
        <v>64</v>
      </c>
      <c r="C7379" t="s">
        <v>86</v>
      </c>
      <c r="D7379" t="s">
        <v>105</v>
      </c>
      <c r="E7379" t="s">
        <v>124</v>
      </c>
      <c r="F7379" t="s">
        <v>158</v>
      </c>
      <c r="G7379" t="s">
        <v>184</v>
      </c>
      <c r="AK7379" t="s">
        <v>365</v>
      </c>
    </row>
    <row r="7380" spans="1:37">
      <c r="A7380" t="s">
        <v>45</v>
      </c>
      <c r="B7380" t="s">
        <v>65</v>
      </c>
      <c r="C7380" t="s">
        <v>87</v>
      </c>
      <c r="D7380" t="s">
        <v>106</v>
      </c>
      <c r="E7380" t="s">
        <v>125</v>
      </c>
      <c r="F7380" t="s">
        <v>159</v>
      </c>
      <c r="G7380" t="s">
        <v>185</v>
      </c>
      <c r="H7380" t="s">
        <v>159</v>
      </c>
      <c r="I7380" t="s">
        <v>185</v>
      </c>
      <c r="J7380" t="s">
        <v>255</v>
      </c>
      <c r="AK7380" t="s">
        <v>365</v>
      </c>
    </row>
    <row r="7381" spans="1:37">
      <c r="A7381" t="s">
        <v>46</v>
      </c>
      <c r="B7381" t="s">
        <v>66</v>
      </c>
      <c r="C7381" t="s">
        <v>88</v>
      </c>
      <c r="D7381" t="s">
        <v>76</v>
      </c>
      <c r="E7381" t="s">
        <v>126</v>
      </c>
      <c r="F7381" t="s">
        <v>160</v>
      </c>
      <c r="G7381" t="s">
        <v>186</v>
      </c>
      <c r="H7381" t="s">
        <v>217</v>
      </c>
      <c r="I7381" t="s">
        <v>238</v>
      </c>
      <c r="J7381" t="s">
        <v>256</v>
      </c>
      <c r="K7381" t="s">
        <v>265</v>
      </c>
      <c r="L7381" t="s">
        <v>281</v>
      </c>
      <c r="M7381" t="s">
        <v>290</v>
      </c>
      <c r="N7381" t="s">
        <v>299</v>
      </c>
      <c r="O7381" t="s">
        <v>308</v>
      </c>
      <c r="P7381" t="s">
        <v>228</v>
      </c>
      <c r="Q7381" t="s">
        <v>72</v>
      </c>
      <c r="R7381" t="s">
        <v>327</v>
      </c>
      <c r="S7381" t="s">
        <v>327</v>
      </c>
      <c r="T7381" t="s">
        <v>336</v>
      </c>
      <c r="U7381" t="s">
        <v>336</v>
      </c>
      <c r="V7381" t="s">
        <v>336</v>
      </c>
      <c r="W7381" t="s">
        <v>336</v>
      </c>
      <c r="X7381" t="s">
        <v>353</v>
      </c>
      <c r="AK7381" t="s">
        <v>365</v>
      </c>
    </row>
    <row r="7382" spans="1:37">
      <c r="A7382" t="s">
        <v>37</v>
      </c>
      <c r="B7382" t="s">
        <v>49</v>
      </c>
      <c r="C7382" t="s">
        <v>73</v>
      </c>
      <c r="D7382" t="s">
        <v>94</v>
      </c>
      <c r="E7382" t="s">
        <v>112</v>
      </c>
      <c r="F7382" t="s">
        <v>146</v>
      </c>
      <c r="G7382" t="s">
        <v>172</v>
      </c>
      <c r="H7382" t="s">
        <v>207</v>
      </c>
      <c r="I7382" t="s">
        <v>226</v>
      </c>
      <c r="J7382" t="s">
        <v>246</v>
      </c>
      <c r="K7382" t="s">
        <v>259</v>
      </c>
      <c r="AK7382" t="s">
        <v>365</v>
      </c>
    </row>
    <row r="7383" spans="1:37">
      <c r="A7383" t="s">
        <v>38</v>
      </c>
      <c r="B7383" t="s">
        <v>50</v>
      </c>
      <c r="C7383" t="s">
        <v>74</v>
      </c>
      <c r="D7383" t="s">
        <v>95</v>
      </c>
      <c r="E7383" t="s">
        <v>113</v>
      </c>
      <c r="F7383" t="s">
        <v>147</v>
      </c>
      <c r="G7383" t="s">
        <v>173</v>
      </c>
      <c r="H7383" t="s">
        <v>208</v>
      </c>
      <c r="I7383" t="s">
        <v>227</v>
      </c>
      <c r="J7383" t="s">
        <v>115</v>
      </c>
      <c r="K7383" t="s">
        <v>260</v>
      </c>
      <c r="L7383" t="s">
        <v>273</v>
      </c>
      <c r="M7383" t="s">
        <v>282</v>
      </c>
      <c r="N7383" t="s">
        <v>291</v>
      </c>
      <c r="AK7383" t="s">
        <v>365</v>
      </c>
    </row>
    <row r="7384" spans="1:37">
      <c r="B7384" t="s">
        <v>51</v>
      </c>
      <c r="C7384" t="s">
        <v>75</v>
      </c>
      <c r="D7384" t="s">
        <v>52</v>
      </c>
      <c r="E7384" t="s">
        <v>114</v>
      </c>
      <c r="F7384" t="s">
        <v>148</v>
      </c>
      <c r="G7384" t="s">
        <v>148</v>
      </c>
      <c r="H7384" t="s">
        <v>209</v>
      </c>
      <c r="I7384" t="s">
        <v>228</v>
      </c>
      <c r="J7384" t="s">
        <v>247</v>
      </c>
      <c r="K7384" t="s">
        <v>261</v>
      </c>
      <c r="L7384" t="s">
        <v>274</v>
      </c>
      <c r="M7384" t="s">
        <v>283</v>
      </c>
      <c r="N7384" t="s">
        <v>292</v>
      </c>
      <c r="O7384" t="s">
        <v>300</v>
      </c>
      <c r="AK7384" t="s">
        <v>365</v>
      </c>
    </row>
    <row r="7385" spans="1:37">
      <c r="B7385" t="s">
        <v>52</v>
      </c>
      <c r="C7385" t="s">
        <v>76</v>
      </c>
      <c r="D7385" t="s">
        <v>96</v>
      </c>
      <c r="E7385" t="s">
        <v>115</v>
      </c>
      <c r="F7385" t="s">
        <v>149</v>
      </c>
      <c r="G7385" t="s">
        <v>174</v>
      </c>
      <c r="H7385" t="s">
        <v>96</v>
      </c>
      <c r="I7385" t="s">
        <v>229</v>
      </c>
      <c r="J7385" t="s">
        <v>248</v>
      </c>
      <c r="K7385" t="s">
        <v>262</v>
      </c>
      <c r="L7385" t="s">
        <v>52</v>
      </c>
      <c r="M7385" t="s">
        <v>76</v>
      </c>
      <c r="N7385" t="s">
        <v>293</v>
      </c>
      <c r="O7385" t="s">
        <v>301</v>
      </c>
      <c r="P7385" t="s">
        <v>309</v>
      </c>
      <c r="Q7385" t="s">
        <v>315</v>
      </c>
      <c r="R7385" t="s">
        <v>228</v>
      </c>
      <c r="S7385" t="s">
        <v>328</v>
      </c>
      <c r="T7385" t="s">
        <v>149</v>
      </c>
      <c r="U7385" t="s">
        <v>337</v>
      </c>
      <c r="V7385" t="s">
        <v>341</v>
      </c>
      <c r="W7385" t="s">
        <v>345</v>
      </c>
      <c r="X7385" t="s">
        <v>350</v>
      </c>
      <c r="AK7385" t="s">
        <v>365</v>
      </c>
    </row>
    <row r="7386" spans="1:37">
      <c r="B7386" t="s">
        <v>53</v>
      </c>
      <c r="C7386" t="s">
        <v>77</v>
      </c>
      <c r="D7386" t="s">
        <v>97</v>
      </c>
      <c r="E7386" t="s">
        <v>116</v>
      </c>
      <c r="F7386" t="s">
        <v>150</v>
      </c>
      <c r="G7386" t="s">
        <v>175</v>
      </c>
      <c r="H7386" t="s">
        <v>210</v>
      </c>
      <c r="I7386" t="s">
        <v>230</v>
      </c>
      <c r="J7386" t="s">
        <v>249</v>
      </c>
      <c r="K7386" t="s">
        <v>263</v>
      </c>
      <c r="L7386" t="s">
        <v>275</v>
      </c>
      <c r="M7386" t="s">
        <v>284</v>
      </c>
      <c r="N7386" t="s">
        <v>294</v>
      </c>
      <c r="O7386" t="s">
        <v>302</v>
      </c>
      <c r="P7386" t="s">
        <v>310</v>
      </c>
      <c r="Q7386" t="s">
        <v>316</v>
      </c>
      <c r="R7386" t="s">
        <v>322</v>
      </c>
      <c r="S7386" t="s">
        <v>329</v>
      </c>
      <c r="AK7386" t="s">
        <v>365</v>
      </c>
    </row>
    <row r="7387" spans="1:37">
      <c r="A7387" t="s">
        <v>39</v>
      </c>
      <c r="B7387" t="s">
        <v>54</v>
      </c>
      <c r="C7387" t="s">
        <v>54</v>
      </c>
      <c r="D7387" t="s">
        <v>54</v>
      </c>
      <c r="E7387" t="s">
        <v>54</v>
      </c>
      <c r="F7387" t="s">
        <v>54</v>
      </c>
      <c r="G7387" t="s">
        <v>54</v>
      </c>
      <c r="H7387" t="s">
        <v>54</v>
      </c>
      <c r="I7387" t="s">
        <v>54</v>
      </c>
      <c r="J7387" t="s">
        <v>54</v>
      </c>
      <c r="K7387" t="s">
        <v>54</v>
      </c>
      <c r="L7387" t="s">
        <v>54</v>
      </c>
      <c r="M7387" t="s">
        <v>54</v>
      </c>
      <c r="N7387" t="s">
        <v>54</v>
      </c>
      <c r="O7387" t="s">
        <v>54</v>
      </c>
      <c r="P7387" t="s">
        <v>54</v>
      </c>
      <c r="Q7387" t="s">
        <v>54</v>
      </c>
      <c r="R7387" t="s">
        <v>323</v>
      </c>
      <c r="S7387" t="s">
        <v>330</v>
      </c>
      <c r="AK7387" t="s">
        <v>365</v>
      </c>
    </row>
    <row r="7388" spans="1:37">
      <c r="B7388" t="s">
        <v>55</v>
      </c>
      <c r="C7388" t="s">
        <v>78</v>
      </c>
      <c r="D7388" t="s">
        <v>55</v>
      </c>
      <c r="E7388" t="s">
        <v>78</v>
      </c>
      <c r="F7388" t="s">
        <v>55</v>
      </c>
      <c r="G7388" t="s">
        <v>78</v>
      </c>
      <c r="H7388" t="s">
        <v>55</v>
      </c>
      <c r="I7388" t="s">
        <v>78</v>
      </c>
      <c r="J7388" t="s">
        <v>55</v>
      </c>
      <c r="K7388" t="s">
        <v>78</v>
      </c>
      <c r="L7388" t="s">
        <v>55</v>
      </c>
      <c r="M7388" t="s">
        <v>78</v>
      </c>
      <c r="N7388" t="s">
        <v>55</v>
      </c>
      <c r="O7388" t="s">
        <v>78</v>
      </c>
      <c r="P7388" t="s">
        <v>55</v>
      </c>
      <c r="Q7388" t="s">
        <v>78</v>
      </c>
      <c r="R7388" t="s">
        <v>55</v>
      </c>
      <c r="S7388" t="s">
        <v>78</v>
      </c>
      <c r="T7388" t="s">
        <v>55</v>
      </c>
      <c r="U7388" t="s">
        <v>78</v>
      </c>
      <c r="V7388" t="s">
        <v>55</v>
      </c>
      <c r="W7388" t="s">
        <v>78</v>
      </c>
      <c r="X7388" t="s">
        <v>55</v>
      </c>
      <c r="Y7388" t="s">
        <v>78</v>
      </c>
      <c r="Z7388" t="s">
        <v>55</v>
      </c>
      <c r="AA7388" t="s">
        <v>78</v>
      </c>
      <c r="AB7388" t="s">
        <v>55</v>
      </c>
      <c r="AC7388" t="s">
        <v>78</v>
      </c>
      <c r="AD7388" t="s">
        <v>55</v>
      </c>
      <c r="AE7388" t="s">
        <v>78</v>
      </c>
      <c r="AF7388" t="s">
        <v>55</v>
      </c>
      <c r="AG7388" t="s">
        <v>78</v>
      </c>
      <c r="AH7388" t="s">
        <v>55</v>
      </c>
      <c r="AI7388" t="s">
        <v>78</v>
      </c>
      <c r="AK7388" t="s">
        <v>365</v>
      </c>
    </row>
    <row r="7389" spans="1:37">
      <c r="B7389" t="s">
        <v>56</v>
      </c>
      <c r="C7389" t="s">
        <v>56</v>
      </c>
      <c r="D7389" t="s">
        <v>56</v>
      </c>
      <c r="E7389" t="s">
        <v>56</v>
      </c>
      <c r="F7389" t="s">
        <v>56</v>
      </c>
      <c r="G7389" t="s">
        <v>176</v>
      </c>
      <c r="H7389" t="s">
        <v>211</v>
      </c>
      <c r="I7389" t="s">
        <v>231</v>
      </c>
      <c r="J7389" t="s">
        <v>250</v>
      </c>
      <c r="K7389" t="s">
        <v>264</v>
      </c>
      <c r="L7389" t="s">
        <v>276</v>
      </c>
      <c r="M7389" t="s">
        <v>285</v>
      </c>
      <c r="N7389" t="s">
        <v>295</v>
      </c>
      <c r="O7389" t="s">
        <v>303</v>
      </c>
      <c r="P7389" t="s">
        <v>56</v>
      </c>
      <c r="Q7389" t="s">
        <v>317</v>
      </c>
      <c r="R7389" t="s">
        <v>324</v>
      </c>
      <c r="S7389" t="s">
        <v>331</v>
      </c>
      <c r="T7389" t="s">
        <v>334</v>
      </c>
      <c r="U7389" t="s">
        <v>338</v>
      </c>
      <c r="V7389" t="s">
        <v>342</v>
      </c>
      <c r="W7389" t="s">
        <v>346</v>
      </c>
      <c r="X7389" t="s">
        <v>351</v>
      </c>
      <c r="AK7389" t="s">
        <v>365</v>
      </c>
    </row>
    <row r="7390" spans="1:37">
      <c r="B7390" t="s">
        <v>57</v>
      </c>
      <c r="C7390" t="s">
        <v>79</v>
      </c>
      <c r="D7390" t="s">
        <v>98</v>
      </c>
      <c r="E7390" t="s">
        <v>117</v>
      </c>
      <c r="F7390" t="s">
        <v>151</v>
      </c>
      <c r="G7390" t="s">
        <v>177</v>
      </c>
      <c r="H7390" t="s">
        <v>212</v>
      </c>
      <c r="I7390" t="s">
        <v>232</v>
      </c>
      <c r="J7390" t="s">
        <v>251</v>
      </c>
      <c r="K7390" t="s">
        <v>265</v>
      </c>
      <c r="L7390" t="s">
        <v>277</v>
      </c>
      <c r="M7390" t="s">
        <v>286</v>
      </c>
      <c r="N7390" t="s">
        <v>296</v>
      </c>
      <c r="O7390" t="s">
        <v>304</v>
      </c>
      <c r="P7390" t="s">
        <v>311</v>
      </c>
      <c r="Q7390" t="s">
        <v>318</v>
      </c>
      <c r="R7390" t="s">
        <v>185</v>
      </c>
      <c r="S7390" t="s">
        <v>159</v>
      </c>
      <c r="T7390" t="s">
        <v>185</v>
      </c>
      <c r="U7390" t="s">
        <v>339</v>
      </c>
      <c r="V7390" t="s">
        <v>72</v>
      </c>
      <c r="W7390" t="s">
        <v>347</v>
      </c>
      <c r="X7390" t="s">
        <v>72</v>
      </c>
      <c r="Y7390" t="s">
        <v>96</v>
      </c>
      <c r="AK7390" t="s">
        <v>365</v>
      </c>
    </row>
    <row r="7391" spans="1:37">
      <c r="B7391" t="s">
        <v>58</v>
      </c>
      <c r="C7391" t="s">
        <v>80</v>
      </c>
      <c r="D7391" t="s">
        <v>99</v>
      </c>
      <c r="E7391" t="s">
        <v>118</v>
      </c>
      <c r="F7391" t="s">
        <v>152</v>
      </c>
      <c r="G7391" t="s">
        <v>178</v>
      </c>
      <c r="H7391" t="s">
        <v>213</v>
      </c>
      <c r="I7391" t="s">
        <v>233</v>
      </c>
      <c r="J7391" t="s">
        <v>252</v>
      </c>
      <c r="K7391" t="s">
        <v>266</v>
      </c>
      <c r="L7391" t="s">
        <v>278</v>
      </c>
      <c r="M7391" t="s">
        <v>287</v>
      </c>
      <c r="N7391" t="s">
        <v>297</v>
      </c>
      <c r="O7391" t="s">
        <v>305</v>
      </c>
      <c r="P7391" t="s">
        <v>312</v>
      </c>
      <c r="Q7391" t="s">
        <v>319</v>
      </c>
      <c r="R7391">
        <f>&gt;10       ветра      4.3     18   7</f>
        <v>0</v>
      </c>
      <c r="AK7391" t="s">
        <v>365</v>
      </c>
    </row>
    <row r="7392" spans="1:37">
      <c r="A7392" t="s">
        <v>40</v>
      </c>
      <c r="B7392" t="s">
        <v>59</v>
      </c>
      <c r="C7392" t="s">
        <v>81</v>
      </c>
      <c r="D7392" t="s">
        <v>100</v>
      </c>
      <c r="E7392" t="s">
        <v>119</v>
      </c>
      <c r="F7392" t="s">
        <v>153</v>
      </c>
      <c r="G7392" t="s">
        <v>179</v>
      </c>
      <c r="H7392" t="s">
        <v>214</v>
      </c>
      <c r="I7392" t="s">
        <v>234</v>
      </c>
      <c r="AK7392" t="s">
        <v>365</v>
      </c>
    </row>
    <row r="7393" spans="1:37">
      <c r="A7393" t="s">
        <v>40</v>
      </c>
      <c r="B7393" t="s">
        <v>60</v>
      </c>
      <c r="C7393" t="s">
        <v>82</v>
      </c>
      <c r="D7393" t="s">
        <v>101</v>
      </c>
      <c r="E7393" t="s">
        <v>120</v>
      </c>
      <c r="F7393" t="s">
        <v>154</v>
      </c>
      <c r="G7393" t="s">
        <v>180</v>
      </c>
      <c r="H7393" t="s">
        <v>215</v>
      </c>
      <c r="I7393" t="s">
        <v>235</v>
      </c>
      <c r="J7393" t="s">
        <v>253</v>
      </c>
      <c r="K7393" t="s">
        <v>267</v>
      </c>
      <c r="L7393" t="s">
        <v>279</v>
      </c>
      <c r="M7393" t="s">
        <v>288</v>
      </c>
      <c r="N7393" t="s">
        <v>100</v>
      </c>
      <c r="O7393" t="s">
        <v>306</v>
      </c>
      <c r="P7393" t="s">
        <v>313</v>
      </c>
      <c r="Q7393" t="s">
        <v>320</v>
      </c>
      <c r="R7393" t="s">
        <v>325</v>
      </c>
      <c r="S7393" t="s">
        <v>332</v>
      </c>
      <c r="T7393" t="s">
        <v>119</v>
      </c>
      <c r="U7393" t="s">
        <v>234</v>
      </c>
      <c r="V7393" t="s">
        <v>343</v>
      </c>
      <c r="W7393" t="s">
        <v>348</v>
      </c>
      <c r="X7393" t="s">
        <v>352</v>
      </c>
      <c r="Y7393" t="s">
        <v>354</v>
      </c>
      <c r="AK7393" t="s">
        <v>365</v>
      </c>
    </row>
    <row r="7394" spans="1:37">
      <c r="A7394" t="s">
        <v>41</v>
      </c>
      <c r="B7394" t="s">
        <v>61</v>
      </c>
      <c r="C7394" t="s">
        <v>83</v>
      </c>
      <c r="D7394" t="s">
        <v>102</v>
      </c>
      <c r="E7394" t="s">
        <v>121</v>
      </c>
      <c r="F7394" t="s">
        <v>155</v>
      </c>
      <c r="G7394" t="s">
        <v>181</v>
      </c>
      <c r="H7394" t="s">
        <v>216</v>
      </c>
      <c r="I7394" t="s">
        <v>236</v>
      </c>
      <c r="AK7394" t="s">
        <v>365</v>
      </c>
    </row>
    <row r="7395" spans="1:37">
      <c r="A7395" t="s">
        <v>42</v>
      </c>
      <c r="B7395" t="s">
        <v>62</v>
      </c>
      <c r="C7395" t="s">
        <v>84</v>
      </c>
      <c r="D7395" t="s">
        <v>103</v>
      </c>
      <c r="E7395" t="s">
        <v>122</v>
      </c>
      <c r="F7395" t="s">
        <v>156</v>
      </c>
      <c r="G7395" t="s">
        <v>182</v>
      </c>
      <c r="H7395" t="s">
        <v>83</v>
      </c>
      <c r="I7395" t="s">
        <v>237</v>
      </c>
      <c r="J7395" t="s">
        <v>254</v>
      </c>
      <c r="K7395" t="s">
        <v>268</v>
      </c>
      <c r="L7395" t="s">
        <v>280</v>
      </c>
      <c r="M7395" t="s">
        <v>289</v>
      </c>
      <c r="N7395" t="s">
        <v>298</v>
      </c>
      <c r="O7395" t="s">
        <v>307</v>
      </c>
      <c r="P7395" t="s">
        <v>314</v>
      </c>
      <c r="Q7395" t="s">
        <v>216</v>
      </c>
      <c r="R7395" t="s">
        <v>326</v>
      </c>
      <c r="S7395" t="s">
        <v>333</v>
      </c>
      <c r="T7395" t="s">
        <v>335</v>
      </c>
      <c r="U7395" t="s">
        <v>340</v>
      </c>
      <c r="V7395" t="s">
        <v>344</v>
      </c>
      <c r="W7395" t="s">
        <v>349</v>
      </c>
      <c r="AK7395" t="s">
        <v>365</v>
      </c>
    </row>
    <row r="7396" spans="1:37">
      <c r="A7396" t="s">
        <v>43</v>
      </c>
      <c r="B7396" t="s">
        <v>63</v>
      </c>
      <c r="C7396" t="s">
        <v>85</v>
      </c>
      <c r="D7396" t="s">
        <v>104</v>
      </c>
      <c r="E7396" t="s">
        <v>123</v>
      </c>
      <c r="F7396" t="s">
        <v>157</v>
      </c>
      <c r="G7396" t="s">
        <v>183</v>
      </c>
      <c r="AK7396" t="s">
        <v>365</v>
      </c>
    </row>
    <row r="7397" spans="1:37">
      <c r="A7397" t="s">
        <v>44</v>
      </c>
      <c r="B7397" t="s">
        <v>64</v>
      </c>
      <c r="C7397" t="s">
        <v>86</v>
      </c>
      <c r="D7397" t="s">
        <v>105</v>
      </c>
      <c r="E7397" t="s">
        <v>124</v>
      </c>
      <c r="F7397" t="s">
        <v>158</v>
      </c>
      <c r="G7397" t="s">
        <v>184</v>
      </c>
      <c r="AK7397" t="s">
        <v>365</v>
      </c>
    </row>
    <row r="7398" spans="1:37">
      <c r="A7398" t="s">
        <v>45</v>
      </c>
      <c r="B7398" t="s">
        <v>65</v>
      </c>
      <c r="C7398" t="s">
        <v>87</v>
      </c>
      <c r="D7398" t="s">
        <v>106</v>
      </c>
      <c r="E7398" t="s">
        <v>125</v>
      </c>
      <c r="F7398" t="s">
        <v>159</v>
      </c>
      <c r="G7398" t="s">
        <v>185</v>
      </c>
      <c r="H7398" t="s">
        <v>159</v>
      </c>
      <c r="I7398" t="s">
        <v>185</v>
      </c>
      <c r="J7398" t="s">
        <v>255</v>
      </c>
      <c r="AK7398" t="s">
        <v>365</v>
      </c>
    </row>
    <row r="7399" spans="1:37">
      <c r="A7399" t="s">
        <v>46</v>
      </c>
      <c r="B7399" t="s">
        <v>66</v>
      </c>
      <c r="C7399" t="s">
        <v>88</v>
      </c>
      <c r="D7399" t="s">
        <v>76</v>
      </c>
      <c r="E7399" t="s">
        <v>126</v>
      </c>
      <c r="F7399" t="s">
        <v>160</v>
      </c>
      <c r="G7399" t="s">
        <v>186</v>
      </c>
      <c r="H7399" t="s">
        <v>217</v>
      </c>
      <c r="I7399" t="s">
        <v>238</v>
      </c>
      <c r="J7399" t="s">
        <v>256</v>
      </c>
      <c r="K7399" t="s">
        <v>265</v>
      </c>
      <c r="L7399" t="s">
        <v>281</v>
      </c>
      <c r="M7399" t="s">
        <v>290</v>
      </c>
      <c r="N7399" t="s">
        <v>299</v>
      </c>
      <c r="O7399" t="s">
        <v>308</v>
      </c>
      <c r="P7399" t="s">
        <v>228</v>
      </c>
      <c r="Q7399" t="s">
        <v>72</v>
      </c>
      <c r="R7399" t="s">
        <v>327</v>
      </c>
      <c r="S7399" t="s">
        <v>327</v>
      </c>
      <c r="T7399" t="s">
        <v>336</v>
      </c>
      <c r="U7399" t="s">
        <v>336</v>
      </c>
      <c r="V7399" t="s">
        <v>336</v>
      </c>
      <c r="W7399" t="s">
        <v>336</v>
      </c>
      <c r="X7399" t="s">
        <v>353</v>
      </c>
      <c r="AK7399" t="s">
        <v>365</v>
      </c>
    </row>
    <row r="7400" spans="1:37">
      <c r="B7400" t="s">
        <v>67</v>
      </c>
      <c r="C7400" t="s">
        <v>89</v>
      </c>
      <c r="D7400" t="s">
        <v>107</v>
      </c>
      <c r="AK7400" t="s">
        <v>365</v>
      </c>
    </row>
    <row r="7401" spans="1:37">
      <c r="B7401" t="s">
        <v>68</v>
      </c>
      <c r="C7401" t="s">
        <v>90</v>
      </c>
      <c r="D7401" t="s">
        <v>108</v>
      </c>
      <c r="AK7401" t="s">
        <v>365</v>
      </c>
    </row>
    <row r="7402" spans="1:37">
      <c r="A7402" t="s">
        <v>47</v>
      </c>
      <c r="B7402" t="s">
        <v>69</v>
      </c>
      <c r="C7402" t="s">
        <v>91</v>
      </c>
      <c r="D7402" t="s">
        <v>109</v>
      </c>
      <c r="E7402" t="s">
        <v>109</v>
      </c>
      <c r="F7402" t="s">
        <v>109</v>
      </c>
      <c r="G7402" t="s">
        <v>109</v>
      </c>
      <c r="H7402" t="s">
        <v>109</v>
      </c>
      <c r="I7402" t="s">
        <v>239</v>
      </c>
      <c r="AK7402" t="s">
        <v>365</v>
      </c>
    </row>
    <row r="7403" spans="1:37">
      <c r="B7403" t="s">
        <v>70</v>
      </c>
      <c r="C7403" t="s">
        <v>92</v>
      </c>
      <c r="D7403" t="s">
        <v>110</v>
      </c>
      <c r="E7403" t="s">
        <v>127</v>
      </c>
      <c r="F7403" t="s">
        <v>161</v>
      </c>
      <c r="G7403" t="s">
        <v>187</v>
      </c>
      <c r="H7403" t="s">
        <v>218</v>
      </c>
      <c r="AK7403" t="s">
        <v>365</v>
      </c>
    </row>
    <row r="7404" spans="1:37">
      <c r="B7404" t="s">
        <v>71</v>
      </c>
      <c r="C7404" t="s">
        <v>93</v>
      </c>
      <c r="D7404" t="s">
        <v>111</v>
      </c>
      <c r="E7404" t="s">
        <v>128</v>
      </c>
      <c r="F7404" t="s">
        <v>162</v>
      </c>
      <c r="G7404" t="s">
        <v>188</v>
      </c>
      <c r="H7404" t="s">
        <v>219</v>
      </c>
      <c r="I7404" t="s">
        <v>240</v>
      </c>
      <c r="J7404" t="s">
        <v>257</v>
      </c>
      <c r="K7404" t="s">
        <v>269</v>
      </c>
      <c r="L7404" t="s">
        <v>109</v>
      </c>
      <c r="M7404" t="s">
        <v>109</v>
      </c>
      <c r="N7404" t="s">
        <v>109</v>
      </c>
      <c r="O7404" t="s">
        <v>109</v>
      </c>
      <c r="P7404" t="s">
        <v>109</v>
      </c>
      <c r="Q7404" t="s">
        <v>321</v>
      </c>
      <c r="AK7404" t="s">
        <v>365</v>
      </c>
    </row>
    <row r="7405" spans="1:37">
      <c r="A7405" t="s">
        <v>48</v>
      </c>
      <c r="B7405" t="s">
        <v>71</v>
      </c>
      <c r="C7405" t="s">
        <v>93</v>
      </c>
      <c r="D7405" t="s">
        <v>111</v>
      </c>
      <c r="E7405" t="s">
        <v>128</v>
      </c>
      <c r="F7405" t="s">
        <v>163</v>
      </c>
      <c r="G7405" t="s">
        <v>189</v>
      </c>
      <c r="H7405" t="s">
        <v>220</v>
      </c>
      <c r="I7405" t="s">
        <v>241</v>
      </c>
      <c r="J7405" t="s">
        <v>258</v>
      </c>
      <c r="K7405" t="s">
        <v>270</v>
      </c>
      <c r="AK7405" t="s">
        <v>365</v>
      </c>
    </row>
    <row r="7406" spans="1:37">
      <c r="B7406" t="s">
        <v>72</v>
      </c>
      <c r="C7406" t="s">
        <v>72</v>
      </c>
      <c r="D7406" t="s">
        <v>72</v>
      </c>
      <c r="E7406" t="s">
        <v>139</v>
      </c>
      <c r="F7406" t="s">
        <v>139</v>
      </c>
      <c r="G7406" t="s">
        <v>192</v>
      </c>
      <c r="H7406" t="s">
        <v>72</v>
      </c>
      <c r="I7406" t="s">
        <v>192</v>
      </c>
      <c r="J7406" t="s">
        <v>72</v>
      </c>
      <c r="K7406" t="s">
        <v>271</v>
      </c>
      <c r="AK7406" t="s">
        <v>365</v>
      </c>
    </row>
    <row r="7407" spans="1:37">
      <c r="A7407" t="s">
        <v>37</v>
      </c>
      <c r="B7407" t="s">
        <v>49</v>
      </c>
      <c r="C7407" t="s">
        <v>73</v>
      </c>
      <c r="D7407" t="s">
        <v>94</v>
      </c>
      <c r="E7407" t="s">
        <v>112</v>
      </c>
      <c r="F7407" t="s">
        <v>146</v>
      </c>
      <c r="G7407" t="s">
        <v>172</v>
      </c>
      <c r="H7407" t="s">
        <v>207</v>
      </c>
      <c r="I7407" t="s">
        <v>226</v>
      </c>
      <c r="J7407" t="s">
        <v>246</v>
      </c>
      <c r="K7407" t="s">
        <v>259</v>
      </c>
      <c r="AK7407" t="s">
        <v>365</v>
      </c>
    </row>
    <row r="7408" spans="1:37">
      <c r="A7408" t="s">
        <v>38</v>
      </c>
      <c r="B7408" t="s">
        <v>50</v>
      </c>
      <c r="C7408" t="s">
        <v>74</v>
      </c>
      <c r="D7408" t="s">
        <v>95</v>
      </c>
      <c r="E7408" t="s">
        <v>113</v>
      </c>
      <c r="F7408" t="s">
        <v>147</v>
      </c>
      <c r="G7408" t="s">
        <v>173</v>
      </c>
      <c r="H7408" t="s">
        <v>208</v>
      </c>
      <c r="I7408" t="s">
        <v>227</v>
      </c>
      <c r="J7408" t="s">
        <v>115</v>
      </c>
      <c r="K7408" t="s">
        <v>260</v>
      </c>
      <c r="L7408" t="s">
        <v>273</v>
      </c>
      <c r="M7408" t="s">
        <v>282</v>
      </c>
      <c r="N7408" t="s">
        <v>291</v>
      </c>
      <c r="AK7408" t="s">
        <v>365</v>
      </c>
    </row>
    <row r="7409" spans="1:37">
      <c r="B7409" t="s">
        <v>51</v>
      </c>
      <c r="C7409" t="s">
        <v>75</v>
      </c>
      <c r="D7409" t="s">
        <v>52</v>
      </c>
      <c r="E7409" t="s">
        <v>114</v>
      </c>
      <c r="F7409" t="s">
        <v>148</v>
      </c>
      <c r="G7409" t="s">
        <v>148</v>
      </c>
      <c r="H7409" t="s">
        <v>209</v>
      </c>
      <c r="I7409" t="s">
        <v>228</v>
      </c>
      <c r="J7409" t="s">
        <v>247</v>
      </c>
      <c r="K7409" t="s">
        <v>261</v>
      </c>
      <c r="L7409" t="s">
        <v>274</v>
      </c>
      <c r="M7409" t="s">
        <v>283</v>
      </c>
      <c r="N7409" t="s">
        <v>292</v>
      </c>
      <c r="O7409" t="s">
        <v>300</v>
      </c>
      <c r="AK7409" t="s">
        <v>365</v>
      </c>
    </row>
    <row r="7410" spans="1:37">
      <c r="B7410" t="s">
        <v>52</v>
      </c>
      <c r="C7410" t="s">
        <v>76</v>
      </c>
      <c r="D7410" t="s">
        <v>96</v>
      </c>
      <c r="E7410" t="s">
        <v>115</v>
      </c>
      <c r="F7410" t="s">
        <v>149</v>
      </c>
      <c r="G7410" t="s">
        <v>174</v>
      </c>
      <c r="H7410" t="s">
        <v>96</v>
      </c>
      <c r="I7410" t="s">
        <v>229</v>
      </c>
      <c r="J7410" t="s">
        <v>248</v>
      </c>
      <c r="K7410" t="s">
        <v>262</v>
      </c>
      <c r="L7410" t="s">
        <v>52</v>
      </c>
      <c r="M7410" t="s">
        <v>76</v>
      </c>
      <c r="N7410" t="s">
        <v>293</v>
      </c>
      <c r="O7410" t="s">
        <v>301</v>
      </c>
      <c r="P7410" t="s">
        <v>309</v>
      </c>
      <c r="Q7410" t="s">
        <v>315</v>
      </c>
      <c r="R7410" t="s">
        <v>228</v>
      </c>
      <c r="S7410" t="s">
        <v>328</v>
      </c>
      <c r="T7410" t="s">
        <v>149</v>
      </c>
      <c r="U7410" t="s">
        <v>337</v>
      </c>
      <c r="V7410" t="s">
        <v>341</v>
      </c>
      <c r="W7410" t="s">
        <v>345</v>
      </c>
      <c r="X7410" t="s">
        <v>350</v>
      </c>
      <c r="AK7410" t="s">
        <v>365</v>
      </c>
    </row>
    <row r="7411" spans="1:37">
      <c r="B7411" t="s">
        <v>53</v>
      </c>
      <c r="C7411" t="s">
        <v>77</v>
      </c>
      <c r="D7411" t="s">
        <v>97</v>
      </c>
      <c r="E7411" t="s">
        <v>116</v>
      </c>
      <c r="F7411" t="s">
        <v>150</v>
      </c>
      <c r="G7411" t="s">
        <v>175</v>
      </c>
      <c r="H7411" t="s">
        <v>210</v>
      </c>
      <c r="I7411" t="s">
        <v>230</v>
      </c>
      <c r="J7411" t="s">
        <v>249</v>
      </c>
      <c r="K7411" t="s">
        <v>263</v>
      </c>
      <c r="L7411" t="s">
        <v>275</v>
      </c>
      <c r="M7411" t="s">
        <v>284</v>
      </c>
      <c r="N7411" t="s">
        <v>294</v>
      </c>
      <c r="O7411" t="s">
        <v>302</v>
      </c>
      <c r="P7411" t="s">
        <v>310</v>
      </c>
      <c r="Q7411" t="s">
        <v>316</v>
      </c>
      <c r="R7411" t="s">
        <v>322</v>
      </c>
      <c r="S7411" t="s">
        <v>329</v>
      </c>
      <c r="AK7411" t="s">
        <v>365</v>
      </c>
    </row>
    <row r="7412" spans="1:37">
      <c r="A7412" t="s">
        <v>39</v>
      </c>
      <c r="B7412" t="s">
        <v>54</v>
      </c>
      <c r="C7412" t="s">
        <v>54</v>
      </c>
      <c r="D7412" t="s">
        <v>54</v>
      </c>
      <c r="E7412" t="s">
        <v>54</v>
      </c>
      <c r="F7412" t="s">
        <v>54</v>
      </c>
      <c r="G7412" t="s">
        <v>54</v>
      </c>
      <c r="H7412" t="s">
        <v>54</v>
      </c>
      <c r="I7412" t="s">
        <v>54</v>
      </c>
      <c r="J7412" t="s">
        <v>54</v>
      </c>
      <c r="K7412" t="s">
        <v>54</v>
      </c>
      <c r="L7412" t="s">
        <v>54</v>
      </c>
      <c r="M7412" t="s">
        <v>54</v>
      </c>
      <c r="N7412" t="s">
        <v>54</v>
      </c>
      <c r="O7412" t="s">
        <v>54</v>
      </c>
      <c r="P7412" t="s">
        <v>54</v>
      </c>
      <c r="Q7412" t="s">
        <v>54</v>
      </c>
      <c r="R7412" t="s">
        <v>323</v>
      </c>
      <c r="S7412" t="s">
        <v>330</v>
      </c>
      <c r="AK7412" t="s">
        <v>365</v>
      </c>
    </row>
    <row r="7413" spans="1:37">
      <c r="B7413" t="s">
        <v>55</v>
      </c>
      <c r="C7413" t="s">
        <v>78</v>
      </c>
      <c r="D7413" t="s">
        <v>55</v>
      </c>
      <c r="E7413" t="s">
        <v>78</v>
      </c>
      <c r="F7413" t="s">
        <v>55</v>
      </c>
      <c r="G7413" t="s">
        <v>78</v>
      </c>
      <c r="H7413" t="s">
        <v>55</v>
      </c>
      <c r="I7413" t="s">
        <v>78</v>
      </c>
      <c r="J7413" t="s">
        <v>55</v>
      </c>
      <c r="K7413" t="s">
        <v>78</v>
      </c>
      <c r="L7413" t="s">
        <v>55</v>
      </c>
      <c r="M7413" t="s">
        <v>78</v>
      </c>
      <c r="N7413" t="s">
        <v>55</v>
      </c>
      <c r="O7413" t="s">
        <v>78</v>
      </c>
      <c r="P7413" t="s">
        <v>55</v>
      </c>
      <c r="Q7413" t="s">
        <v>78</v>
      </c>
      <c r="R7413" t="s">
        <v>55</v>
      </c>
      <c r="S7413" t="s">
        <v>78</v>
      </c>
      <c r="T7413" t="s">
        <v>55</v>
      </c>
      <c r="U7413" t="s">
        <v>78</v>
      </c>
      <c r="V7413" t="s">
        <v>55</v>
      </c>
      <c r="W7413" t="s">
        <v>78</v>
      </c>
      <c r="X7413" t="s">
        <v>55</v>
      </c>
      <c r="Y7413" t="s">
        <v>78</v>
      </c>
      <c r="Z7413" t="s">
        <v>55</v>
      </c>
      <c r="AA7413" t="s">
        <v>78</v>
      </c>
      <c r="AB7413" t="s">
        <v>55</v>
      </c>
      <c r="AC7413" t="s">
        <v>78</v>
      </c>
      <c r="AD7413" t="s">
        <v>55</v>
      </c>
      <c r="AE7413" t="s">
        <v>78</v>
      </c>
      <c r="AF7413" t="s">
        <v>55</v>
      </c>
      <c r="AG7413" t="s">
        <v>78</v>
      </c>
      <c r="AH7413" t="s">
        <v>55</v>
      </c>
      <c r="AI7413" t="s">
        <v>78</v>
      </c>
      <c r="AK7413" t="s">
        <v>365</v>
      </c>
    </row>
    <row r="7414" spans="1:37">
      <c r="B7414" t="s">
        <v>56</v>
      </c>
      <c r="C7414" t="s">
        <v>56</v>
      </c>
      <c r="D7414" t="s">
        <v>56</v>
      </c>
      <c r="E7414" t="s">
        <v>56</v>
      </c>
      <c r="F7414" t="s">
        <v>56</v>
      </c>
      <c r="G7414" t="s">
        <v>176</v>
      </c>
      <c r="H7414" t="s">
        <v>211</v>
      </c>
      <c r="I7414" t="s">
        <v>231</v>
      </c>
      <c r="J7414" t="s">
        <v>250</v>
      </c>
      <c r="K7414" t="s">
        <v>264</v>
      </c>
      <c r="L7414" t="s">
        <v>276</v>
      </c>
      <c r="M7414" t="s">
        <v>285</v>
      </c>
      <c r="N7414" t="s">
        <v>295</v>
      </c>
      <c r="O7414" t="s">
        <v>303</v>
      </c>
      <c r="P7414" t="s">
        <v>56</v>
      </c>
      <c r="Q7414" t="s">
        <v>317</v>
      </c>
      <c r="R7414" t="s">
        <v>324</v>
      </c>
      <c r="S7414" t="s">
        <v>331</v>
      </c>
      <c r="T7414" t="s">
        <v>334</v>
      </c>
      <c r="U7414" t="s">
        <v>338</v>
      </c>
      <c r="V7414" t="s">
        <v>342</v>
      </c>
      <c r="W7414" t="s">
        <v>346</v>
      </c>
      <c r="X7414" t="s">
        <v>351</v>
      </c>
      <c r="AK7414" t="s">
        <v>365</v>
      </c>
    </row>
    <row r="7415" spans="1:37">
      <c r="B7415" t="s">
        <v>57</v>
      </c>
      <c r="C7415" t="s">
        <v>79</v>
      </c>
      <c r="D7415" t="s">
        <v>98</v>
      </c>
      <c r="E7415" t="s">
        <v>117</v>
      </c>
      <c r="F7415" t="s">
        <v>151</v>
      </c>
      <c r="G7415" t="s">
        <v>177</v>
      </c>
      <c r="H7415" t="s">
        <v>212</v>
      </c>
      <c r="I7415" t="s">
        <v>232</v>
      </c>
      <c r="J7415" t="s">
        <v>251</v>
      </c>
      <c r="K7415" t="s">
        <v>265</v>
      </c>
      <c r="L7415" t="s">
        <v>277</v>
      </c>
      <c r="M7415" t="s">
        <v>286</v>
      </c>
      <c r="N7415" t="s">
        <v>296</v>
      </c>
      <c r="O7415" t="s">
        <v>304</v>
      </c>
      <c r="P7415" t="s">
        <v>311</v>
      </c>
      <c r="Q7415" t="s">
        <v>318</v>
      </c>
      <c r="R7415" t="s">
        <v>185</v>
      </c>
      <c r="S7415" t="s">
        <v>159</v>
      </c>
      <c r="T7415" t="s">
        <v>185</v>
      </c>
      <c r="U7415" t="s">
        <v>339</v>
      </c>
      <c r="V7415" t="s">
        <v>72</v>
      </c>
      <c r="W7415" t="s">
        <v>347</v>
      </c>
      <c r="X7415" t="s">
        <v>72</v>
      </c>
      <c r="Y7415" t="s">
        <v>96</v>
      </c>
      <c r="AK7415" t="s">
        <v>365</v>
      </c>
    </row>
    <row r="7416" spans="1:37">
      <c r="B7416" t="s">
        <v>58</v>
      </c>
      <c r="C7416" t="s">
        <v>80</v>
      </c>
      <c r="D7416" t="s">
        <v>99</v>
      </c>
      <c r="E7416" t="s">
        <v>118</v>
      </c>
      <c r="F7416" t="s">
        <v>152</v>
      </c>
      <c r="G7416" t="s">
        <v>178</v>
      </c>
      <c r="H7416" t="s">
        <v>213</v>
      </c>
      <c r="I7416" t="s">
        <v>233</v>
      </c>
      <c r="J7416" t="s">
        <v>252</v>
      </c>
      <c r="K7416" t="s">
        <v>266</v>
      </c>
      <c r="L7416" t="s">
        <v>278</v>
      </c>
      <c r="M7416" t="s">
        <v>287</v>
      </c>
      <c r="N7416" t="s">
        <v>297</v>
      </c>
      <c r="O7416" t="s">
        <v>305</v>
      </c>
      <c r="P7416" t="s">
        <v>312</v>
      </c>
      <c r="Q7416" t="s">
        <v>319</v>
      </c>
      <c r="R7416">
        <f>&gt;10       ветра      3.6     19   5</f>
        <v>0</v>
      </c>
      <c r="AK7416" t="s">
        <v>365</v>
      </c>
    </row>
    <row r="7417" spans="1:37">
      <c r="A7417" t="s">
        <v>40</v>
      </c>
      <c r="B7417" t="s">
        <v>59</v>
      </c>
      <c r="C7417" t="s">
        <v>81</v>
      </c>
      <c r="D7417" t="s">
        <v>100</v>
      </c>
      <c r="E7417" t="s">
        <v>119</v>
      </c>
      <c r="F7417" t="s">
        <v>153</v>
      </c>
      <c r="G7417" t="s">
        <v>179</v>
      </c>
      <c r="H7417" t="s">
        <v>214</v>
      </c>
      <c r="I7417" t="s">
        <v>234</v>
      </c>
      <c r="AK7417" t="s">
        <v>365</v>
      </c>
    </row>
    <row r="7418" spans="1:37">
      <c r="A7418" t="s">
        <v>40</v>
      </c>
      <c r="B7418" t="s">
        <v>60</v>
      </c>
      <c r="C7418" t="s">
        <v>82</v>
      </c>
      <c r="D7418" t="s">
        <v>101</v>
      </c>
      <c r="E7418" t="s">
        <v>120</v>
      </c>
      <c r="F7418" t="s">
        <v>154</v>
      </c>
      <c r="G7418" t="s">
        <v>180</v>
      </c>
      <c r="H7418" t="s">
        <v>215</v>
      </c>
      <c r="I7418" t="s">
        <v>235</v>
      </c>
      <c r="J7418" t="s">
        <v>253</v>
      </c>
      <c r="K7418" t="s">
        <v>267</v>
      </c>
      <c r="L7418" t="s">
        <v>279</v>
      </c>
      <c r="M7418" t="s">
        <v>288</v>
      </c>
      <c r="N7418" t="s">
        <v>100</v>
      </c>
      <c r="O7418" t="s">
        <v>306</v>
      </c>
      <c r="P7418" t="s">
        <v>313</v>
      </c>
      <c r="Q7418" t="s">
        <v>320</v>
      </c>
      <c r="R7418" t="s">
        <v>325</v>
      </c>
      <c r="S7418" t="s">
        <v>332</v>
      </c>
      <c r="T7418" t="s">
        <v>119</v>
      </c>
      <c r="U7418" t="s">
        <v>234</v>
      </c>
      <c r="V7418" t="s">
        <v>343</v>
      </c>
      <c r="W7418" t="s">
        <v>348</v>
      </c>
      <c r="X7418" t="s">
        <v>352</v>
      </c>
      <c r="Y7418" t="s">
        <v>354</v>
      </c>
      <c r="AK7418" t="s">
        <v>365</v>
      </c>
    </row>
    <row r="7419" spans="1:37">
      <c r="A7419" t="s">
        <v>41</v>
      </c>
      <c r="B7419" t="s">
        <v>61</v>
      </c>
      <c r="C7419" t="s">
        <v>83</v>
      </c>
      <c r="D7419" t="s">
        <v>102</v>
      </c>
      <c r="E7419" t="s">
        <v>121</v>
      </c>
      <c r="F7419" t="s">
        <v>155</v>
      </c>
      <c r="G7419" t="s">
        <v>181</v>
      </c>
      <c r="H7419" t="s">
        <v>216</v>
      </c>
      <c r="I7419" t="s">
        <v>236</v>
      </c>
      <c r="AK7419" t="s">
        <v>365</v>
      </c>
    </row>
    <row r="7420" spans="1:37">
      <c r="A7420" t="s">
        <v>42</v>
      </c>
      <c r="B7420" t="s">
        <v>62</v>
      </c>
      <c r="C7420" t="s">
        <v>84</v>
      </c>
      <c r="D7420" t="s">
        <v>103</v>
      </c>
      <c r="E7420" t="s">
        <v>122</v>
      </c>
      <c r="F7420" t="s">
        <v>156</v>
      </c>
      <c r="G7420" t="s">
        <v>182</v>
      </c>
      <c r="H7420" t="s">
        <v>83</v>
      </c>
      <c r="I7420" t="s">
        <v>237</v>
      </c>
      <c r="J7420" t="s">
        <v>254</v>
      </c>
      <c r="K7420" t="s">
        <v>268</v>
      </c>
      <c r="L7420" t="s">
        <v>280</v>
      </c>
      <c r="M7420" t="s">
        <v>289</v>
      </c>
      <c r="N7420" t="s">
        <v>298</v>
      </c>
      <c r="O7420" t="s">
        <v>307</v>
      </c>
      <c r="P7420" t="s">
        <v>314</v>
      </c>
      <c r="Q7420" t="s">
        <v>216</v>
      </c>
      <c r="R7420" t="s">
        <v>326</v>
      </c>
      <c r="S7420" t="s">
        <v>333</v>
      </c>
      <c r="T7420" t="s">
        <v>335</v>
      </c>
      <c r="U7420" t="s">
        <v>340</v>
      </c>
      <c r="V7420" t="s">
        <v>344</v>
      </c>
      <c r="W7420" t="s">
        <v>349</v>
      </c>
      <c r="AK7420" t="s">
        <v>365</v>
      </c>
    </row>
    <row r="7421" spans="1:37">
      <c r="A7421" t="s">
        <v>43</v>
      </c>
      <c r="B7421" t="s">
        <v>63</v>
      </c>
      <c r="C7421" t="s">
        <v>85</v>
      </c>
      <c r="D7421" t="s">
        <v>104</v>
      </c>
      <c r="E7421" t="s">
        <v>123</v>
      </c>
      <c r="F7421" t="s">
        <v>157</v>
      </c>
      <c r="G7421" t="s">
        <v>183</v>
      </c>
      <c r="AK7421" t="s">
        <v>365</v>
      </c>
    </row>
    <row r="7422" spans="1:37">
      <c r="A7422" t="s">
        <v>44</v>
      </c>
      <c r="B7422" t="s">
        <v>64</v>
      </c>
      <c r="C7422" t="s">
        <v>86</v>
      </c>
      <c r="D7422" t="s">
        <v>105</v>
      </c>
      <c r="E7422" t="s">
        <v>124</v>
      </c>
      <c r="F7422" t="s">
        <v>158</v>
      </c>
      <c r="G7422" t="s">
        <v>184</v>
      </c>
      <c r="AK7422" t="s">
        <v>365</v>
      </c>
    </row>
    <row r="7423" spans="1:37">
      <c r="A7423" t="s">
        <v>45</v>
      </c>
      <c r="B7423" t="s">
        <v>65</v>
      </c>
      <c r="C7423" t="s">
        <v>87</v>
      </c>
      <c r="D7423" t="s">
        <v>106</v>
      </c>
      <c r="E7423" t="s">
        <v>125</v>
      </c>
      <c r="F7423" t="s">
        <v>159</v>
      </c>
      <c r="G7423" t="s">
        <v>185</v>
      </c>
      <c r="H7423" t="s">
        <v>159</v>
      </c>
      <c r="I7423" t="s">
        <v>185</v>
      </c>
      <c r="J7423" t="s">
        <v>255</v>
      </c>
      <c r="AK7423" t="s">
        <v>365</v>
      </c>
    </row>
    <row r="7424" spans="1:37">
      <c r="A7424" t="s">
        <v>46</v>
      </c>
      <c r="B7424" t="s">
        <v>66</v>
      </c>
      <c r="C7424" t="s">
        <v>88</v>
      </c>
      <c r="D7424" t="s">
        <v>76</v>
      </c>
      <c r="E7424" t="s">
        <v>126</v>
      </c>
      <c r="F7424" t="s">
        <v>160</v>
      </c>
      <c r="G7424" t="s">
        <v>186</v>
      </c>
      <c r="H7424" t="s">
        <v>217</v>
      </c>
      <c r="I7424" t="s">
        <v>238</v>
      </c>
      <c r="J7424" t="s">
        <v>256</v>
      </c>
      <c r="K7424" t="s">
        <v>265</v>
      </c>
      <c r="L7424" t="s">
        <v>281</v>
      </c>
      <c r="M7424" t="s">
        <v>290</v>
      </c>
      <c r="N7424" t="s">
        <v>299</v>
      </c>
      <c r="O7424" t="s">
        <v>308</v>
      </c>
      <c r="P7424" t="s">
        <v>228</v>
      </c>
      <c r="Q7424" t="s">
        <v>72</v>
      </c>
      <c r="R7424" t="s">
        <v>327</v>
      </c>
      <c r="S7424" t="s">
        <v>327</v>
      </c>
      <c r="T7424" t="s">
        <v>336</v>
      </c>
      <c r="U7424" t="s">
        <v>336</v>
      </c>
      <c r="V7424" t="s">
        <v>336</v>
      </c>
      <c r="W7424" t="s">
        <v>336</v>
      </c>
      <c r="X7424" t="s">
        <v>353</v>
      </c>
      <c r="AK7424" t="s">
        <v>365</v>
      </c>
    </row>
    <row r="7425" spans="1:37">
      <c r="B7425" t="s">
        <v>67</v>
      </c>
      <c r="C7425" t="s">
        <v>89</v>
      </c>
      <c r="D7425" t="s">
        <v>107</v>
      </c>
      <c r="AK7425" t="s">
        <v>365</v>
      </c>
    </row>
    <row r="7426" spans="1:37">
      <c r="B7426" t="s">
        <v>68</v>
      </c>
      <c r="C7426" t="s">
        <v>90</v>
      </c>
      <c r="D7426" t="s">
        <v>108</v>
      </c>
      <c r="AK7426" t="s">
        <v>365</v>
      </c>
    </row>
    <row r="7427" spans="1:37">
      <c r="A7427" t="s">
        <v>47</v>
      </c>
      <c r="B7427" t="s">
        <v>69</v>
      </c>
      <c r="C7427" t="s">
        <v>91</v>
      </c>
      <c r="D7427" t="s">
        <v>109</v>
      </c>
      <c r="E7427" t="s">
        <v>109</v>
      </c>
      <c r="F7427" t="s">
        <v>109</v>
      </c>
      <c r="G7427" t="s">
        <v>109</v>
      </c>
      <c r="H7427" t="s">
        <v>109</v>
      </c>
      <c r="I7427" t="s">
        <v>239</v>
      </c>
      <c r="AK7427" t="s">
        <v>365</v>
      </c>
    </row>
    <row r="7428" spans="1:37">
      <c r="B7428" t="s">
        <v>70</v>
      </c>
      <c r="C7428" t="s">
        <v>92</v>
      </c>
      <c r="D7428" t="s">
        <v>110</v>
      </c>
      <c r="E7428" t="s">
        <v>127</v>
      </c>
      <c r="F7428" t="s">
        <v>161</v>
      </c>
      <c r="G7428" t="s">
        <v>187</v>
      </c>
      <c r="H7428" t="s">
        <v>218</v>
      </c>
      <c r="AK7428" t="s">
        <v>365</v>
      </c>
    </row>
    <row r="7429" spans="1:37">
      <c r="B7429" t="s">
        <v>71</v>
      </c>
      <c r="C7429" t="s">
        <v>93</v>
      </c>
      <c r="D7429" t="s">
        <v>111</v>
      </c>
      <c r="E7429" t="s">
        <v>128</v>
      </c>
      <c r="F7429" t="s">
        <v>162</v>
      </c>
      <c r="G7429" t="s">
        <v>188</v>
      </c>
      <c r="H7429" t="s">
        <v>219</v>
      </c>
      <c r="I7429" t="s">
        <v>240</v>
      </c>
      <c r="J7429" t="s">
        <v>257</v>
      </c>
      <c r="K7429" t="s">
        <v>269</v>
      </c>
      <c r="L7429" t="s">
        <v>109</v>
      </c>
      <c r="M7429" t="s">
        <v>109</v>
      </c>
      <c r="N7429" t="s">
        <v>109</v>
      </c>
      <c r="O7429" t="s">
        <v>109</v>
      </c>
      <c r="P7429" t="s">
        <v>109</v>
      </c>
      <c r="Q7429" t="s">
        <v>321</v>
      </c>
      <c r="AK7429" t="s">
        <v>365</v>
      </c>
    </row>
    <row r="7430" spans="1:37">
      <c r="A7430" t="s">
        <v>48</v>
      </c>
      <c r="B7430" t="s">
        <v>71</v>
      </c>
      <c r="C7430" t="s">
        <v>93</v>
      </c>
      <c r="D7430" t="s">
        <v>111</v>
      </c>
      <c r="E7430" t="s">
        <v>128</v>
      </c>
      <c r="F7430" t="s">
        <v>163</v>
      </c>
      <c r="G7430" t="s">
        <v>189</v>
      </c>
      <c r="H7430" t="s">
        <v>220</v>
      </c>
      <c r="I7430" t="s">
        <v>241</v>
      </c>
      <c r="J7430" t="s">
        <v>258</v>
      </c>
      <c r="K7430" t="s">
        <v>270</v>
      </c>
      <c r="AK7430" t="s">
        <v>365</v>
      </c>
    </row>
    <row r="7431" spans="1:37">
      <c r="B7431" t="s">
        <v>72</v>
      </c>
      <c r="C7431" t="s">
        <v>72</v>
      </c>
      <c r="D7431" t="s">
        <v>72</v>
      </c>
      <c r="E7431" t="s">
        <v>136</v>
      </c>
      <c r="F7431" t="s">
        <v>139</v>
      </c>
      <c r="G7431" t="s">
        <v>192</v>
      </c>
      <c r="H7431" t="s">
        <v>192</v>
      </c>
      <c r="I7431" t="s">
        <v>192</v>
      </c>
      <c r="J7431" t="s">
        <v>192</v>
      </c>
      <c r="K7431" t="s">
        <v>271</v>
      </c>
      <c r="AK7431" t="s">
        <v>365</v>
      </c>
    </row>
    <row r="7432" spans="1:37">
      <c r="A7432" t="s">
        <v>37</v>
      </c>
      <c r="B7432" t="s">
        <v>49</v>
      </c>
      <c r="C7432" t="s">
        <v>73</v>
      </c>
      <c r="D7432" t="s">
        <v>94</v>
      </c>
      <c r="E7432" t="s">
        <v>112</v>
      </c>
      <c r="F7432" t="s">
        <v>146</v>
      </c>
      <c r="G7432" t="s">
        <v>172</v>
      </c>
      <c r="H7432" t="s">
        <v>207</v>
      </c>
      <c r="I7432" t="s">
        <v>226</v>
      </c>
      <c r="J7432" t="s">
        <v>246</v>
      </c>
      <c r="K7432" t="s">
        <v>259</v>
      </c>
      <c r="AK7432" t="s">
        <v>365</v>
      </c>
    </row>
    <row r="7433" spans="1:37">
      <c r="A7433" t="s">
        <v>38</v>
      </c>
      <c r="B7433" t="s">
        <v>50</v>
      </c>
      <c r="C7433" t="s">
        <v>74</v>
      </c>
      <c r="D7433" t="s">
        <v>95</v>
      </c>
      <c r="E7433" t="s">
        <v>113</v>
      </c>
      <c r="F7433" t="s">
        <v>147</v>
      </c>
      <c r="G7433" t="s">
        <v>173</v>
      </c>
      <c r="H7433" t="s">
        <v>208</v>
      </c>
      <c r="I7433" t="s">
        <v>227</v>
      </c>
      <c r="J7433" t="s">
        <v>115</v>
      </c>
      <c r="K7433" t="s">
        <v>260</v>
      </c>
      <c r="L7433" t="s">
        <v>273</v>
      </c>
      <c r="M7433" t="s">
        <v>282</v>
      </c>
      <c r="N7433" t="s">
        <v>291</v>
      </c>
      <c r="AK7433" t="s">
        <v>365</v>
      </c>
    </row>
    <row r="7434" spans="1:37">
      <c r="B7434" t="s">
        <v>51</v>
      </c>
      <c r="C7434" t="s">
        <v>75</v>
      </c>
      <c r="D7434" t="s">
        <v>52</v>
      </c>
      <c r="E7434" t="s">
        <v>114</v>
      </c>
      <c r="F7434" t="s">
        <v>148</v>
      </c>
      <c r="G7434" t="s">
        <v>148</v>
      </c>
      <c r="H7434" t="s">
        <v>209</v>
      </c>
      <c r="I7434" t="s">
        <v>228</v>
      </c>
      <c r="J7434" t="s">
        <v>247</v>
      </c>
      <c r="K7434" t="s">
        <v>261</v>
      </c>
      <c r="L7434" t="s">
        <v>274</v>
      </c>
      <c r="M7434" t="s">
        <v>283</v>
      </c>
      <c r="N7434" t="s">
        <v>292</v>
      </c>
      <c r="O7434" t="s">
        <v>300</v>
      </c>
      <c r="AK7434" t="s">
        <v>365</v>
      </c>
    </row>
    <row r="7435" spans="1:37">
      <c r="B7435" t="s">
        <v>52</v>
      </c>
      <c r="C7435" t="s">
        <v>76</v>
      </c>
      <c r="D7435" t="s">
        <v>96</v>
      </c>
      <c r="E7435" t="s">
        <v>115</v>
      </c>
      <c r="F7435" t="s">
        <v>149</v>
      </c>
      <c r="G7435" t="s">
        <v>174</v>
      </c>
      <c r="H7435" t="s">
        <v>96</v>
      </c>
      <c r="I7435" t="s">
        <v>229</v>
      </c>
      <c r="J7435" t="s">
        <v>248</v>
      </c>
      <c r="K7435" t="s">
        <v>262</v>
      </c>
      <c r="L7435" t="s">
        <v>52</v>
      </c>
      <c r="M7435" t="s">
        <v>76</v>
      </c>
      <c r="N7435" t="s">
        <v>293</v>
      </c>
      <c r="O7435" t="s">
        <v>301</v>
      </c>
      <c r="P7435" t="s">
        <v>309</v>
      </c>
      <c r="Q7435" t="s">
        <v>315</v>
      </c>
      <c r="R7435" t="s">
        <v>228</v>
      </c>
      <c r="S7435" t="s">
        <v>328</v>
      </c>
      <c r="T7435" t="s">
        <v>149</v>
      </c>
      <c r="U7435" t="s">
        <v>337</v>
      </c>
      <c r="V7435" t="s">
        <v>341</v>
      </c>
      <c r="W7435" t="s">
        <v>345</v>
      </c>
      <c r="X7435" t="s">
        <v>350</v>
      </c>
      <c r="AK7435" t="s">
        <v>365</v>
      </c>
    </row>
    <row r="7436" spans="1:37">
      <c r="B7436" t="s">
        <v>53</v>
      </c>
      <c r="C7436" t="s">
        <v>77</v>
      </c>
      <c r="D7436" t="s">
        <v>97</v>
      </c>
      <c r="E7436" t="s">
        <v>116</v>
      </c>
      <c r="F7436" t="s">
        <v>150</v>
      </c>
      <c r="G7436" t="s">
        <v>175</v>
      </c>
      <c r="H7436" t="s">
        <v>210</v>
      </c>
      <c r="I7436" t="s">
        <v>230</v>
      </c>
      <c r="J7436" t="s">
        <v>249</v>
      </c>
      <c r="K7436" t="s">
        <v>263</v>
      </c>
      <c r="L7436" t="s">
        <v>275</v>
      </c>
      <c r="M7436" t="s">
        <v>284</v>
      </c>
      <c r="N7436" t="s">
        <v>294</v>
      </c>
      <c r="O7436" t="s">
        <v>302</v>
      </c>
      <c r="P7436" t="s">
        <v>310</v>
      </c>
      <c r="Q7436" t="s">
        <v>316</v>
      </c>
      <c r="R7436" t="s">
        <v>322</v>
      </c>
      <c r="S7436" t="s">
        <v>329</v>
      </c>
      <c r="AK7436" t="s">
        <v>365</v>
      </c>
    </row>
    <row r="7437" spans="1:37">
      <c r="A7437" t="s">
        <v>39</v>
      </c>
      <c r="B7437" t="s">
        <v>54</v>
      </c>
      <c r="C7437" t="s">
        <v>54</v>
      </c>
      <c r="D7437" t="s">
        <v>54</v>
      </c>
      <c r="E7437" t="s">
        <v>54</v>
      </c>
      <c r="F7437" t="s">
        <v>54</v>
      </c>
      <c r="G7437" t="s">
        <v>54</v>
      </c>
      <c r="H7437" t="s">
        <v>54</v>
      </c>
      <c r="I7437" t="s">
        <v>54</v>
      </c>
      <c r="J7437" t="s">
        <v>54</v>
      </c>
      <c r="K7437" t="s">
        <v>54</v>
      </c>
      <c r="L7437" t="s">
        <v>54</v>
      </c>
      <c r="M7437" t="s">
        <v>54</v>
      </c>
      <c r="N7437" t="s">
        <v>54</v>
      </c>
      <c r="O7437" t="s">
        <v>54</v>
      </c>
      <c r="P7437" t="s">
        <v>54</v>
      </c>
      <c r="Q7437" t="s">
        <v>54</v>
      </c>
      <c r="R7437" t="s">
        <v>323</v>
      </c>
      <c r="S7437" t="s">
        <v>330</v>
      </c>
      <c r="AK7437" t="s">
        <v>365</v>
      </c>
    </row>
    <row r="7438" spans="1:37">
      <c r="B7438" t="s">
        <v>55</v>
      </c>
      <c r="C7438" t="s">
        <v>78</v>
      </c>
      <c r="D7438" t="s">
        <v>55</v>
      </c>
      <c r="E7438" t="s">
        <v>78</v>
      </c>
      <c r="F7438" t="s">
        <v>55</v>
      </c>
      <c r="G7438" t="s">
        <v>78</v>
      </c>
      <c r="H7438" t="s">
        <v>55</v>
      </c>
      <c r="I7438" t="s">
        <v>78</v>
      </c>
      <c r="J7438" t="s">
        <v>55</v>
      </c>
      <c r="K7438" t="s">
        <v>78</v>
      </c>
      <c r="L7438" t="s">
        <v>55</v>
      </c>
      <c r="M7438" t="s">
        <v>78</v>
      </c>
      <c r="N7438" t="s">
        <v>55</v>
      </c>
      <c r="O7438" t="s">
        <v>78</v>
      </c>
      <c r="P7438" t="s">
        <v>55</v>
      </c>
      <c r="Q7438" t="s">
        <v>78</v>
      </c>
      <c r="R7438" t="s">
        <v>55</v>
      </c>
      <c r="S7438" t="s">
        <v>78</v>
      </c>
      <c r="T7438" t="s">
        <v>55</v>
      </c>
      <c r="U7438" t="s">
        <v>78</v>
      </c>
      <c r="V7438" t="s">
        <v>55</v>
      </c>
      <c r="W7438" t="s">
        <v>78</v>
      </c>
      <c r="X7438" t="s">
        <v>55</v>
      </c>
      <c r="Y7438" t="s">
        <v>78</v>
      </c>
      <c r="Z7438" t="s">
        <v>55</v>
      </c>
      <c r="AA7438" t="s">
        <v>78</v>
      </c>
      <c r="AB7438" t="s">
        <v>55</v>
      </c>
      <c r="AC7438" t="s">
        <v>78</v>
      </c>
      <c r="AD7438" t="s">
        <v>55</v>
      </c>
      <c r="AE7438" t="s">
        <v>78</v>
      </c>
      <c r="AF7438" t="s">
        <v>55</v>
      </c>
      <c r="AG7438" t="s">
        <v>78</v>
      </c>
      <c r="AH7438" t="s">
        <v>55</v>
      </c>
      <c r="AI7438" t="s">
        <v>78</v>
      </c>
      <c r="AK7438" t="s">
        <v>365</v>
      </c>
    </row>
    <row r="7439" spans="1:37">
      <c r="B7439" t="s">
        <v>56</v>
      </c>
      <c r="C7439" t="s">
        <v>56</v>
      </c>
      <c r="D7439" t="s">
        <v>56</v>
      </c>
      <c r="E7439" t="s">
        <v>56</v>
      </c>
      <c r="F7439" t="s">
        <v>56</v>
      </c>
      <c r="G7439" t="s">
        <v>176</v>
      </c>
      <c r="H7439" t="s">
        <v>211</v>
      </c>
      <c r="I7439" t="s">
        <v>231</v>
      </c>
      <c r="J7439" t="s">
        <v>250</v>
      </c>
      <c r="K7439" t="s">
        <v>264</v>
      </c>
      <c r="L7439" t="s">
        <v>276</v>
      </c>
      <c r="M7439" t="s">
        <v>285</v>
      </c>
      <c r="N7439" t="s">
        <v>295</v>
      </c>
      <c r="O7439" t="s">
        <v>303</v>
      </c>
      <c r="P7439" t="s">
        <v>56</v>
      </c>
      <c r="Q7439" t="s">
        <v>317</v>
      </c>
      <c r="R7439" t="s">
        <v>324</v>
      </c>
      <c r="S7439" t="s">
        <v>331</v>
      </c>
      <c r="T7439" t="s">
        <v>334</v>
      </c>
      <c r="U7439" t="s">
        <v>338</v>
      </c>
      <c r="V7439" t="s">
        <v>342</v>
      </c>
      <c r="W7439" t="s">
        <v>346</v>
      </c>
      <c r="X7439" t="s">
        <v>351</v>
      </c>
      <c r="AK7439" t="s">
        <v>365</v>
      </c>
    </row>
    <row r="7440" spans="1:37">
      <c r="B7440" t="s">
        <v>57</v>
      </c>
      <c r="C7440" t="s">
        <v>79</v>
      </c>
      <c r="D7440" t="s">
        <v>98</v>
      </c>
      <c r="E7440" t="s">
        <v>117</v>
      </c>
      <c r="F7440" t="s">
        <v>151</v>
      </c>
      <c r="G7440" t="s">
        <v>177</v>
      </c>
      <c r="H7440" t="s">
        <v>212</v>
      </c>
      <c r="I7440" t="s">
        <v>232</v>
      </c>
      <c r="J7440" t="s">
        <v>251</v>
      </c>
      <c r="K7440" t="s">
        <v>265</v>
      </c>
      <c r="L7440" t="s">
        <v>277</v>
      </c>
      <c r="M7440" t="s">
        <v>286</v>
      </c>
      <c r="N7440" t="s">
        <v>296</v>
      </c>
      <c r="O7440" t="s">
        <v>304</v>
      </c>
      <c r="P7440" t="s">
        <v>311</v>
      </c>
      <c r="Q7440" t="s">
        <v>318</v>
      </c>
      <c r="R7440" t="s">
        <v>185</v>
      </c>
      <c r="S7440" t="s">
        <v>159</v>
      </c>
      <c r="T7440" t="s">
        <v>185</v>
      </c>
      <c r="U7440" t="s">
        <v>339</v>
      </c>
      <c r="V7440" t="s">
        <v>72</v>
      </c>
      <c r="W7440" t="s">
        <v>347</v>
      </c>
      <c r="X7440" t="s">
        <v>72</v>
      </c>
      <c r="Y7440" t="s">
        <v>96</v>
      </c>
      <c r="AK7440" t="s">
        <v>365</v>
      </c>
    </row>
    <row r="7441" spans="1:37">
      <c r="B7441" t="s">
        <v>58</v>
      </c>
      <c r="C7441" t="s">
        <v>80</v>
      </c>
      <c r="D7441" t="s">
        <v>99</v>
      </c>
      <c r="E7441" t="s">
        <v>118</v>
      </c>
      <c r="F7441" t="s">
        <v>152</v>
      </c>
      <c r="G7441" t="s">
        <v>178</v>
      </c>
      <c r="H7441" t="s">
        <v>213</v>
      </c>
      <c r="I7441" t="s">
        <v>233</v>
      </c>
      <c r="J7441" t="s">
        <v>252</v>
      </c>
      <c r="K7441" t="s">
        <v>266</v>
      </c>
      <c r="L7441" t="s">
        <v>278</v>
      </c>
      <c r="M7441" t="s">
        <v>287</v>
      </c>
      <c r="N7441" t="s">
        <v>297</v>
      </c>
      <c r="O7441" t="s">
        <v>305</v>
      </c>
      <c r="P7441" t="s">
        <v>312</v>
      </c>
      <c r="Q7441" t="s">
        <v>319</v>
      </c>
      <c r="R7441">
        <f>&gt;10       ветра      2.4     17   4</f>
        <v>0</v>
      </c>
      <c r="AK7441" t="s">
        <v>365</v>
      </c>
    </row>
    <row r="7442" spans="1:37">
      <c r="A7442" t="s">
        <v>40</v>
      </c>
      <c r="B7442" t="s">
        <v>59</v>
      </c>
      <c r="C7442" t="s">
        <v>81</v>
      </c>
      <c r="D7442" t="s">
        <v>100</v>
      </c>
      <c r="E7442" t="s">
        <v>119</v>
      </c>
      <c r="F7442" t="s">
        <v>153</v>
      </c>
      <c r="G7442" t="s">
        <v>179</v>
      </c>
      <c r="H7442" t="s">
        <v>214</v>
      </c>
      <c r="I7442" t="s">
        <v>234</v>
      </c>
      <c r="AK7442" t="s">
        <v>365</v>
      </c>
    </row>
    <row r="7443" spans="1:37">
      <c r="A7443" t="s">
        <v>40</v>
      </c>
      <c r="B7443" t="s">
        <v>60</v>
      </c>
      <c r="C7443" t="s">
        <v>82</v>
      </c>
      <c r="D7443" t="s">
        <v>101</v>
      </c>
      <c r="E7443" t="s">
        <v>120</v>
      </c>
      <c r="F7443" t="s">
        <v>154</v>
      </c>
      <c r="G7443" t="s">
        <v>180</v>
      </c>
      <c r="H7443" t="s">
        <v>215</v>
      </c>
      <c r="I7443" t="s">
        <v>235</v>
      </c>
      <c r="J7443" t="s">
        <v>253</v>
      </c>
      <c r="K7443" t="s">
        <v>267</v>
      </c>
      <c r="L7443" t="s">
        <v>279</v>
      </c>
      <c r="M7443" t="s">
        <v>288</v>
      </c>
      <c r="N7443" t="s">
        <v>100</v>
      </c>
      <c r="O7443" t="s">
        <v>306</v>
      </c>
      <c r="P7443" t="s">
        <v>313</v>
      </c>
      <c r="Q7443" t="s">
        <v>320</v>
      </c>
      <c r="R7443" t="s">
        <v>325</v>
      </c>
      <c r="S7443" t="s">
        <v>332</v>
      </c>
      <c r="T7443" t="s">
        <v>119</v>
      </c>
      <c r="U7443" t="s">
        <v>234</v>
      </c>
      <c r="V7443" t="s">
        <v>343</v>
      </c>
      <c r="W7443" t="s">
        <v>348</v>
      </c>
      <c r="X7443" t="s">
        <v>352</v>
      </c>
      <c r="Y7443" t="s">
        <v>354</v>
      </c>
      <c r="AK7443" t="s">
        <v>365</v>
      </c>
    </row>
    <row r="7444" spans="1:37">
      <c r="A7444" t="s">
        <v>41</v>
      </c>
      <c r="B7444" t="s">
        <v>61</v>
      </c>
      <c r="C7444" t="s">
        <v>83</v>
      </c>
      <c r="D7444" t="s">
        <v>102</v>
      </c>
      <c r="E7444" t="s">
        <v>121</v>
      </c>
      <c r="F7444" t="s">
        <v>155</v>
      </c>
      <c r="G7444" t="s">
        <v>181</v>
      </c>
      <c r="H7444" t="s">
        <v>216</v>
      </c>
      <c r="I7444" t="s">
        <v>236</v>
      </c>
      <c r="AK7444" t="s">
        <v>365</v>
      </c>
    </row>
    <row r="7445" spans="1:37">
      <c r="A7445" t="s">
        <v>42</v>
      </c>
      <c r="B7445" t="s">
        <v>62</v>
      </c>
      <c r="C7445" t="s">
        <v>84</v>
      </c>
      <c r="D7445" t="s">
        <v>103</v>
      </c>
      <c r="E7445" t="s">
        <v>122</v>
      </c>
      <c r="F7445" t="s">
        <v>156</v>
      </c>
      <c r="G7445" t="s">
        <v>182</v>
      </c>
      <c r="H7445" t="s">
        <v>83</v>
      </c>
      <c r="I7445" t="s">
        <v>237</v>
      </c>
      <c r="J7445" t="s">
        <v>254</v>
      </c>
      <c r="K7445" t="s">
        <v>268</v>
      </c>
      <c r="L7445" t="s">
        <v>280</v>
      </c>
      <c r="M7445" t="s">
        <v>289</v>
      </c>
      <c r="N7445" t="s">
        <v>298</v>
      </c>
      <c r="O7445" t="s">
        <v>307</v>
      </c>
      <c r="P7445" t="s">
        <v>314</v>
      </c>
      <c r="Q7445" t="s">
        <v>216</v>
      </c>
      <c r="R7445" t="s">
        <v>326</v>
      </c>
      <c r="S7445" t="s">
        <v>333</v>
      </c>
      <c r="T7445" t="s">
        <v>335</v>
      </c>
      <c r="U7445" t="s">
        <v>340</v>
      </c>
      <c r="V7445" t="s">
        <v>344</v>
      </c>
      <c r="W7445" t="s">
        <v>349</v>
      </c>
      <c r="AK7445" t="s">
        <v>365</v>
      </c>
    </row>
    <row r="7446" spans="1:37">
      <c r="A7446" t="s">
        <v>43</v>
      </c>
      <c r="B7446" t="s">
        <v>63</v>
      </c>
      <c r="C7446" t="s">
        <v>85</v>
      </c>
      <c r="D7446" t="s">
        <v>104</v>
      </c>
      <c r="E7446" t="s">
        <v>123</v>
      </c>
      <c r="F7446" t="s">
        <v>157</v>
      </c>
      <c r="G7446" t="s">
        <v>183</v>
      </c>
      <c r="AK7446" t="s">
        <v>365</v>
      </c>
    </row>
    <row r="7447" spans="1:37">
      <c r="A7447" t="s">
        <v>44</v>
      </c>
      <c r="B7447" t="s">
        <v>64</v>
      </c>
      <c r="C7447" t="s">
        <v>86</v>
      </c>
      <c r="D7447" t="s">
        <v>105</v>
      </c>
      <c r="E7447" t="s">
        <v>124</v>
      </c>
      <c r="F7447" t="s">
        <v>158</v>
      </c>
      <c r="G7447" t="s">
        <v>184</v>
      </c>
      <c r="AK7447" t="s">
        <v>365</v>
      </c>
    </row>
    <row r="7448" spans="1:37">
      <c r="A7448" t="s">
        <v>45</v>
      </c>
      <c r="B7448" t="s">
        <v>65</v>
      </c>
      <c r="C7448" t="s">
        <v>87</v>
      </c>
      <c r="D7448" t="s">
        <v>106</v>
      </c>
      <c r="E7448" t="s">
        <v>125</v>
      </c>
      <c r="F7448" t="s">
        <v>159</v>
      </c>
      <c r="G7448" t="s">
        <v>185</v>
      </c>
      <c r="H7448" t="s">
        <v>159</v>
      </c>
      <c r="I7448" t="s">
        <v>185</v>
      </c>
      <c r="J7448" t="s">
        <v>255</v>
      </c>
      <c r="AK7448" t="s">
        <v>365</v>
      </c>
    </row>
    <row r="7449" spans="1:37">
      <c r="A7449" t="s">
        <v>46</v>
      </c>
      <c r="B7449" t="s">
        <v>66</v>
      </c>
      <c r="C7449" t="s">
        <v>88</v>
      </c>
      <c r="D7449" t="s">
        <v>76</v>
      </c>
      <c r="E7449" t="s">
        <v>126</v>
      </c>
      <c r="F7449" t="s">
        <v>160</v>
      </c>
      <c r="G7449" t="s">
        <v>186</v>
      </c>
      <c r="H7449" t="s">
        <v>217</v>
      </c>
      <c r="I7449" t="s">
        <v>238</v>
      </c>
      <c r="J7449" t="s">
        <v>256</v>
      </c>
      <c r="K7449" t="s">
        <v>265</v>
      </c>
      <c r="L7449" t="s">
        <v>281</v>
      </c>
      <c r="M7449" t="s">
        <v>290</v>
      </c>
      <c r="N7449" t="s">
        <v>299</v>
      </c>
      <c r="O7449" t="s">
        <v>308</v>
      </c>
      <c r="P7449" t="s">
        <v>228</v>
      </c>
      <c r="Q7449" t="s">
        <v>72</v>
      </c>
      <c r="R7449" t="s">
        <v>327</v>
      </c>
      <c r="S7449" t="s">
        <v>327</v>
      </c>
      <c r="T7449" t="s">
        <v>336</v>
      </c>
      <c r="U7449" t="s">
        <v>336</v>
      </c>
      <c r="V7449" t="s">
        <v>336</v>
      </c>
      <c r="W7449" t="s">
        <v>336</v>
      </c>
      <c r="X7449" t="s">
        <v>353</v>
      </c>
      <c r="AK7449" t="s">
        <v>365</v>
      </c>
    </row>
    <row r="7450" spans="1:37">
      <c r="A7450" t="s">
        <v>37</v>
      </c>
      <c r="B7450" t="s">
        <v>49</v>
      </c>
      <c r="C7450" t="s">
        <v>73</v>
      </c>
      <c r="D7450" t="s">
        <v>94</v>
      </c>
      <c r="E7450" t="s">
        <v>112</v>
      </c>
      <c r="F7450" t="s">
        <v>146</v>
      </c>
      <c r="G7450" t="s">
        <v>172</v>
      </c>
      <c r="H7450" t="s">
        <v>207</v>
      </c>
      <c r="I7450" t="s">
        <v>226</v>
      </c>
      <c r="J7450" t="s">
        <v>246</v>
      </c>
      <c r="K7450" t="s">
        <v>259</v>
      </c>
      <c r="AK7450" t="s">
        <v>365</v>
      </c>
    </row>
    <row r="7451" spans="1:37">
      <c r="A7451" t="s">
        <v>38</v>
      </c>
      <c r="B7451" t="s">
        <v>50</v>
      </c>
      <c r="C7451" t="s">
        <v>74</v>
      </c>
      <c r="D7451" t="s">
        <v>95</v>
      </c>
      <c r="E7451" t="s">
        <v>113</v>
      </c>
      <c r="F7451" t="s">
        <v>147</v>
      </c>
      <c r="G7451" t="s">
        <v>173</v>
      </c>
      <c r="H7451" t="s">
        <v>208</v>
      </c>
      <c r="I7451" t="s">
        <v>227</v>
      </c>
      <c r="J7451" t="s">
        <v>115</v>
      </c>
      <c r="K7451" t="s">
        <v>260</v>
      </c>
      <c r="L7451" t="s">
        <v>273</v>
      </c>
      <c r="M7451" t="s">
        <v>282</v>
      </c>
      <c r="N7451" t="s">
        <v>291</v>
      </c>
      <c r="AK7451" t="s">
        <v>365</v>
      </c>
    </row>
    <row r="7452" spans="1:37">
      <c r="B7452" t="s">
        <v>51</v>
      </c>
      <c r="C7452" t="s">
        <v>75</v>
      </c>
      <c r="D7452" t="s">
        <v>52</v>
      </c>
      <c r="E7452" t="s">
        <v>114</v>
      </c>
      <c r="F7452" t="s">
        <v>148</v>
      </c>
      <c r="G7452" t="s">
        <v>148</v>
      </c>
      <c r="H7452" t="s">
        <v>209</v>
      </c>
      <c r="I7452" t="s">
        <v>228</v>
      </c>
      <c r="J7452" t="s">
        <v>247</v>
      </c>
      <c r="K7452" t="s">
        <v>261</v>
      </c>
      <c r="L7452" t="s">
        <v>274</v>
      </c>
      <c r="M7452" t="s">
        <v>283</v>
      </c>
      <c r="N7452" t="s">
        <v>292</v>
      </c>
      <c r="O7452" t="s">
        <v>300</v>
      </c>
      <c r="AK7452" t="s">
        <v>365</v>
      </c>
    </row>
    <row r="7453" spans="1:37">
      <c r="B7453" t="s">
        <v>52</v>
      </c>
      <c r="C7453" t="s">
        <v>76</v>
      </c>
      <c r="D7453" t="s">
        <v>96</v>
      </c>
      <c r="E7453" t="s">
        <v>115</v>
      </c>
      <c r="F7453" t="s">
        <v>149</v>
      </c>
      <c r="G7453" t="s">
        <v>174</v>
      </c>
      <c r="H7453" t="s">
        <v>96</v>
      </c>
      <c r="I7453" t="s">
        <v>229</v>
      </c>
      <c r="J7453" t="s">
        <v>248</v>
      </c>
      <c r="K7453" t="s">
        <v>262</v>
      </c>
      <c r="L7453" t="s">
        <v>52</v>
      </c>
      <c r="M7453" t="s">
        <v>76</v>
      </c>
      <c r="N7453" t="s">
        <v>293</v>
      </c>
      <c r="O7453" t="s">
        <v>301</v>
      </c>
      <c r="P7453" t="s">
        <v>309</v>
      </c>
      <c r="Q7453" t="s">
        <v>315</v>
      </c>
      <c r="R7453" t="s">
        <v>228</v>
      </c>
      <c r="S7453" t="s">
        <v>328</v>
      </c>
      <c r="T7453" t="s">
        <v>149</v>
      </c>
      <c r="U7453" t="s">
        <v>337</v>
      </c>
      <c r="V7453" t="s">
        <v>341</v>
      </c>
      <c r="W7453" t="s">
        <v>345</v>
      </c>
      <c r="X7453" t="s">
        <v>350</v>
      </c>
      <c r="AK7453" t="s">
        <v>365</v>
      </c>
    </row>
    <row r="7454" spans="1:37">
      <c r="B7454" t="s">
        <v>53</v>
      </c>
      <c r="C7454" t="s">
        <v>77</v>
      </c>
      <c r="D7454" t="s">
        <v>97</v>
      </c>
      <c r="E7454" t="s">
        <v>116</v>
      </c>
      <c r="F7454" t="s">
        <v>150</v>
      </c>
      <c r="G7454" t="s">
        <v>175</v>
      </c>
      <c r="H7454" t="s">
        <v>210</v>
      </c>
      <c r="I7454" t="s">
        <v>230</v>
      </c>
      <c r="J7454" t="s">
        <v>249</v>
      </c>
      <c r="K7454" t="s">
        <v>263</v>
      </c>
      <c r="L7454" t="s">
        <v>275</v>
      </c>
      <c r="M7454" t="s">
        <v>284</v>
      </c>
      <c r="N7454" t="s">
        <v>294</v>
      </c>
      <c r="O7454" t="s">
        <v>302</v>
      </c>
      <c r="P7454" t="s">
        <v>310</v>
      </c>
      <c r="Q7454" t="s">
        <v>316</v>
      </c>
      <c r="R7454" t="s">
        <v>322</v>
      </c>
      <c r="S7454" t="s">
        <v>329</v>
      </c>
      <c r="AK7454" t="s">
        <v>365</v>
      </c>
    </row>
    <row r="7455" spans="1:37">
      <c r="A7455" t="s">
        <v>39</v>
      </c>
      <c r="B7455" t="s">
        <v>54</v>
      </c>
      <c r="C7455" t="s">
        <v>54</v>
      </c>
      <c r="D7455" t="s">
        <v>54</v>
      </c>
      <c r="E7455" t="s">
        <v>54</v>
      </c>
      <c r="F7455" t="s">
        <v>54</v>
      </c>
      <c r="G7455" t="s">
        <v>54</v>
      </c>
      <c r="H7455" t="s">
        <v>54</v>
      </c>
      <c r="I7455" t="s">
        <v>54</v>
      </c>
      <c r="J7455" t="s">
        <v>54</v>
      </c>
      <c r="K7455" t="s">
        <v>54</v>
      </c>
      <c r="L7455" t="s">
        <v>54</v>
      </c>
      <c r="M7455" t="s">
        <v>54</v>
      </c>
      <c r="N7455" t="s">
        <v>54</v>
      </c>
      <c r="O7455" t="s">
        <v>54</v>
      </c>
      <c r="P7455" t="s">
        <v>54</v>
      </c>
      <c r="Q7455" t="s">
        <v>54</v>
      </c>
      <c r="R7455" t="s">
        <v>323</v>
      </c>
      <c r="S7455" t="s">
        <v>330</v>
      </c>
      <c r="AK7455" t="s">
        <v>365</v>
      </c>
    </row>
    <row r="7456" spans="1:37">
      <c r="B7456" t="s">
        <v>55</v>
      </c>
      <c r="C7456" t="s">
        <v>78</v>
      </c>
      <c r="D7456" t="s">
        <v>55</v>
      </c>
      <c r="E7456" t="s">
        <v>78</v>
      </c>
      <c r="F7456" t="s">
        <v>55</v>
      </c>
      <c r="G7456" t="s">
        <v>78</v>
      </c>
      <c r="H7456" t="s">
        <v>55</v>
      </c>
      <c r="I7456" t="s">
        <v>78</v>
      </c>
      <c r="J7456" t="s">
        <v>55</v>
      </c>
      <c r="K7456" t="s">
        <v>78</v>
      </c>
      <c r="L7456" t="s">
        <v>55</v>
      </c>
      <c r="M7456" t="s">
        <v>78</v>
      </c>
      <c r="N7456" t="s">
        <v>55</v>
      </c>
      <c r="O7456" t="s">
        <v>78</v>
      </c>
      <c r="P7456" t="s">
        <v>55</v>
      </c>
      <c r="Q7456" t="s">
        <v>78</v>
      </c>
      <c r="R7456" t="s">
        <v>55</v>
      </c>
      <c r="S7456" t="s">
        <v>78</v>
      </c>
      <c r="T7456" t="s">
        <v>55</v>
      </c>
      <c r="U7456" t="s">
        <v>78</v>
      </c>
      <c r="V7456" t="s">
        <v>55</v>
      </c>
      <c r="W7456" t="s">
        <v>78</v>
      </c>
      <c r="X7456" t="s">
        <v>55</v>
      </c>
      <c r="Y7456" t="s">
        <v>78</v>
      </c>
      <c r="Z7456" t="s">
        <v>55</v>
      </c>
      <c r="AA7456" t="s">
        <v>78</v>
      </c>
      <c r="AB7456" t="s">
        <v>55</v>
      </c>
      <c r="AC7456" t="s">
        <v>78</v>
      </c>
      <c r="AD7456" t="s">
        <v>55</v>
      </c>
      <c r="AE7456" t="s">
        <v>78</v>
      </c>
      <c r="AF7456" t="s">
        <v>55</v>
      </c>
      <c r="AG7456" t="s">
        <v>78</v>
      </c>
      <c r="AH7456" t="s">
        <v>55</v>
      </c>
      <c r="AI7456" t="s">
        <v>78</v>
      </c>
      <c r="AK7456" t="s">
        <v>365</v>
      </c>
    </row>
    <row r="7457" spans="1:37">
      <c r="B7457" t="s">
        <v>56</v>
      </c>
      <c r="C7457" t="s">
        <v>56</v>
      </c>
      <c r="D7457" t="s">
        <v>56</v>
      </c>
      <c r="E7457" t="s">
        <v>56</v>
      </c>
      <c r="F7457" t="s">
        <v>56</v>
      </c>
      <c r="G7457" t="s">
        <v>176</v>
      </c>
      <c r="H7457" t="s">
        <v>211</v>
      </c>
      <c r="I7457" t="s">
        <v>231</v>
      </c>
      <c r="J7457" t="s">
        <v>250</v>
      </c>
      <c r="K7457" t="s">
        <v>264</v>
      </c>
      <c r="L7457" t="s">
        <v>276</v>
      </c>
      <c r="M7457" t="s">
        <v>285</v>
      </c>
      <c r="N7457" t="s">
        <v>295</v>
      </c>
      <c r="O7457" t="s">
        <v>303</v>
      </c>
      <c r="P7457" t="s">
        <v>56</v>
      </c>
      <c r="Q7457" t="s">
        <v>317</v>
      </c>
      <c r="R7457" t="s">
        <v>324</v>
      </c>
      <c r="S7457" t="s">
        <v>331</v>
      </c>
      <c r="T7457" t="s">
        <v>334</v>
      </c>
      <c r="U7457" t="s">
        <v>338</v>
      </c>
      <c r="V7457" t="s">
        <v>342</v>
      </c>
      <c r="W7457" t="s">
        <v>346</v>
      </c>
      <c r="X7457" t="s">
        <v>351</v>
      </c>
      <c r="AK7457" t="s">
        <v>365</v>
      </c>
    </row>
    <row r="7458" spans="1:37">
      <c r="B7458" t="s">
        <v>57</v>
      </c>
      <c r="C7458" t="s">
        <v>79</v>
      </c>
      <c r="D7458" t="s">
        <v>98</v>
      </c>
      <c r="E7458" t="s">
        <v>117</v>
      </c>
      <c r="F7458" t="s">
        <v>151</v>
      </c>
      <c r="G7458" t="s">
        <v>177</v>
      </c>
      <c r="H7458" t="s">
        <v>212</v>
      </c>
      <c r="I7458" t="s">
        <v>232</v>
      </c>
      <c r="J7458" t="s">
        <v>251</v>
      </c>
      <c r="K7458" t="s">
        <v>265</v>
      </c>
      <c r="L7458" t="s">
        <v>277</v>
      </c>
      <c r="M7458" t="s">
        <v>286</v>
      </c>
      <c r="N7458" t="s">
        <v>296</v>
      </c>
      <c r="O7458" t="s">
        <v>304</v>
      </c>
      <c r="P7458" t="s">
        <v>311</v>
      </c>
      <c r="Q7458" t="s">
        <v>318</v>
      </c>
      <c r="R7458" t="s">
        <v>185</v>
      </c>
      <c r="S7458" t="s">
        <v>159</v>
      </c>
      <c r="T7458" t="s">
        <v>185</v>
      </c>
      <c r="U7458" t="s">
        <v>339</v>
      </c>
      <c r="V7458" t="s">
        <v>72</v>
      </c>
      <c r="W7458" t="s">
        <v>347</v>
      </c>
      <c r="X7458" t="s">
        <v>72</v>
      </c>
      <c r="Y7458" t="s">
        <v>96</v>
      </c>
      <c r="AK7458" t="s">
        <v>365</v>
      </c>
    </row>
    <row r="7459" spans="1:37">
      <c r="B7459" t="s">
        <v>58</v>
      </c>
      <c r="C7459" t="s">
        <v>80</v>
      </c>
      <c r="D7459" t="s">
        <v>99</v>
      </c>
      <c r="E7459" t="s">
        <v>118</v>
      </c>
      <c r="F7459" t="s">
        <v>152</v>
      </c>
      <c r="G7459" t="s">
        <v>178</v>
      </c>
      <c r="H7459" t="s">
        <v>213</v>
      </c>
      <c r="I7459" t="s">
        <v>233</v>
      </c>
      <c r="J7459" t="s">
        <v>252</v>
      </c>
      <c r="K7459" t="s">
        <v>266</v>
      </c>
      <c r="L7459" t="s">
        <v>278</v>
      </c>
      <c r="M7459" t="s">
        <v>287</v>
      </c>
      <c r="N7459" t="s">
        <v>297</v>
      </c>
      <c r="O7459" t="s">
        <v>305</v>
      </c>
      <c r="P7459" t="s">
        <v>312</v>
      </c>
      <c r="Q7459" t="s">
        <v>319</v>
      </c>
      <c r="R7459">
        <f>&gt;10       ветра      5.4     19   8</f>
        <v>0</v>
      </c>
      <c r="AK7459" t="s">
        <v>365</v>
      </c>
    </row>
    <row r="7460" spans="1:37">
      <c r="A7460" t="s">
        <v>40</v>
      </c>
      <c r="B7460" t="s">
        <v>59</v>
      </c>
      <c r="C7460" t="s">
        <v>81</v>
      </c>
      <c r="D7460" t="s">
        <v>100</v>
      </c>
      <c r="E7460" t="s">
        <v>119</v>
      </c>
      <c r="F7460" t="s">
        <v>153</v>
      </c>
      <c r="G7460" t="s">
        <v>179</v>
      </c>
      <c r="H7460" t="s">
        <v>214</v>
      </c>
      <c r="I7460" t="s">
        <v>234</v>
      </c>
      <c r="AK7460" t="s">
        <v>365</v>
      </c>
    </row>
    <row r="7461" spans="1:37">
      <c r="A7461" t="s">
        <v>40</v>
      </c>
      <c r="B7461" t="s">
        <v>60</v>
      </c>
      <c r="C7461" t="s">
        <v>82</v>
      </c>
      <c r="D7461" t="s">
        <v>101</v>
      </c>
      <c r="E7461" t="s">
        <v>120</v>
      </c>
      <c r="F7461" t="s">
        <v>154</v>
      </c>
      <c r="G7461" t="s">
        <v>180</v>
      </c>
      <c r="H7461" t="s">
        <v>215</v>
      </c>
      <c r="I7461" t="s">
        <v>235</v>
      </c>
      <c r="J7461" t="s">
        <v>253</v>
      </c>
      <c r="K7461" t="s">
        <v>267</v>
      </c>
      <c r="L7461" t="s">
        <v>279</v>
      </c>
      <c r="M7461" t="s">
        <v>288</v>
      </c>
      <c r="N7461" t="s">
        <v>100</v>
      </c>
      <c r="O7461" t="s">
        <v>306</v>
      </c>
      <c r="P7461" t="s">
        <v>313</v>
      </c>
      <c r="Q7461" t="s">
        <v>320</v>
      </c>
      <c r="R7461" t="s">
        <v>325</v>
      </c>
      <c r="S7461" t="s">
        <v>332</v>
      </c>
      <c r="T7461" t="s">
        <v>119</v>
      </c>
      <c r="U7461" t="s">
        <v>234</v>
      </c>
      <c r="V7461" t="s">
        <v>343</v>
      </c>
      <c r="W7461" t="s">
        <v>348</v>
      </c>
      <c r="X7461" t="s">
        <v>352</v>
      </c>
      <c r="Y7461" t="s">
        <v>354</v>
      </c>
      <c r="AK7461" t="s">
        <v>365</v>
      </c>
    </row>
    <row r="7462" spans="1:37">
      <c r="A7462" t="s">
        <v>41</v>
      </c>
      <c r="B7462" t="s">
        <v>61</v>
      </c>
      <c r="C7462" t="s">
        <v>83</v>
      </c>
      <c r="D7462" t="s">
        <v>102</v>
      </c>
      <c r="E7462" t="s">
        <v>121</v>
      </c>
      <c r="F7462" t="s">
        <v>155</v>
      </c>
      <c r="G7462" t="s">
        <v>181</v>
      </c>
      <c r="H7462" t="s">
        <v>216</v>
      </c>
      <c r="I7462" t="s">
        <v>236</v>
      </c>
      <c r="AK7462" t="s">
        <v>365</v>
      </c>
    </row>
    <row r="7463" spans="1:37">
      <c r="A7463" t="s">
        <v>42</v>
      </c>
      <c r="B7463" t="s">
        <v>62</v>
      </c>
      <c r="C7463" t="s">
        <v>84</v>
      </c>
      <c r="D7463" t="s">
        <v>103</v>
      </c>
      <c r="E7463" t="s">
        <v>122</v>
      </c>
      <c r="F7463" t="s">
        <v>156</v>
      </c>
      <c r="G7463" t="s">
        <v>182</v>
      </c>
      <c r="H7463" t="s">
        <v>83</v>
      </c>
      <c r="I7463" t="s">
        <v>237</v>
      </c>
      <c r="J7463" t="s">
        <v>254</v>
      </c>
      <c r="K7463" t="s">
        <v>268</v>
      </c>
      <c r="L7463" t="s">
        <v>280</v>
      </c>
      <c r="M7463" t="s">
        <v>289</v>
      </c>
      <c r="N7463" t="s">
        <v>298</v>
      </c>
      <c r="O7463" t="s">
        <v>307</v>
      </c>
      <c r="P7463" t="s">
        <v>314</v>
      </c>
      <c r="Q7463" t="s">
        <v>216</v>
      </c>
      <c r="R7463" t="s">
        <v>326</v>
      </c>
      <c r="S7463" t="s">
        <v>333</v>
      </c>
      <c r="T7463" t="s">
        <v>335</v>
      </c>
      <c r="U7463" t="s">
        <v>340</v>
      </c>
      <c r="V7463" t="s">
        <v>344</v>
      </c>
      <c r="W7463" t="s">
        <v>349</v>
      </c>
      <c r="AK7463" t="s">
        <v>365</v>
      </c>
    </row>
    <row r="7464" spans="1:37">
      <c r="A7464" t="s">
        <v>43</v>
      </c>
      <c r="B7464" t="s">
        <v>63</v>
      </c>
      <c r="C7464" t="s">
        <v>85</v>
      </c>
      <c r="D7464" t="s">
        <v>104</v>
      </c>
      <c r="E7464" t="s">
        <v>123</v>
      </c>
      <c r="F7464" t="s">
        <v>157</v>
      </c>
      <c r="G7464" t="s">
        <v>183</v>
      </c>
      <c r="AK7464" t="s">
        <v>365</v>
      </c>
    </row>
    <row r="7465" spans="1:37">
      <c r="A7465" t="s">
        <v>44</v>
      </c>
      <c r="B7465" t="s">
        <v>64</v>
      </c>
      <c r="C7465" t="s">
        <v>86</v>
      </c>
      <c r="D7465" t="s">
        <v>105</v>
      </c>
      <c r="E7465" t="s">
        <v>124</v>
      </c>
      <c r="F7465" t="s">
        <v>158</v>
      </c>
      <c r="G7465" t="s">
        <v>184</v>
      </c>
      <c r="AK7465" t="s">
        <v>365</v>
      </c>
    </row>
    <row r="7466" spans="1:37">
      <c r="A7466" t="s">
        <v>45</v>
      </c>
      <c r="B7466" t="s">
        <v>65</v>
      </c>
      <c r="C7466" t="s">
        <v>87</v>
      </c>
      <c r="D7466" t="s">
        <v>106</v>
      </c>
      <c r="E7466" t="s">
        <v>125</v>
      </c>
      <c r="F7466" t="s">
        <v>159</v>
      </c>
      <c r="G7466" t="s">
        <v>185</v>
      </c>
      <c r="H7466" t="s">
        <v>159</v>
      </c>
      <c r="I7466" t="s">
        <v>185</v>
      </c>
      <c r="J7466" t="s">
        <v>255</v>
      </c>
      <c r="AK7466" t="s">
        <v>365</v>
      </c>
    </row>
    <row r="7467" spans="1:37">
      <c r="A7467" t="s">
        <v>46</v>
      </c>
      <c r="B7467" t="s">
        <v>66</v>
      </c>
      <c r="C7467" t="s">
        <v>88</v>
      </c>
      <c r="D7467" t="s">
        <v>76</v>
      </c>
      <c r="E7467" t="s">
        <v>126</v>
      </c>
      <c r="F7467" t="s">
        <v>160</v>
      </c>
      <c r="G7467" t="s">
        <v>186</v>
      </c>
      <c r="H7467" t="s">
        <v>217</v>
      </c>
      <c r="I7467" t="s">
        <v>238</v>
      </c>
      <c r="J7467" t="s">
        <v>256</v>
      </c>
      <c r="K7467" t="s">
        <v>265</v>
      </c>
      <c r="L7467" t="s">
        <v>281</v>
      </c>
      <c r="M7467" t="s">
        <v>290</v>
      </c>
      <c r="N7467" t="s">
        <v>299</v>
      </c>
      <c r="O7467" t="s">
        <v>308</v>
      </c>
      <c r="P7467" t="s">
        <v>228</v>
      </c>
      <c r="Q7467" t="s">
        <v>72</v>
      </c>
      <c r="R7467" t="s">
        <v>327</v>
      </c>
      <c r="S7467" t="s">
        <v>327</v>
      </c>
      <c r="T7467" t="s">
        <v>336</v>
      </c>
      <c r="U7467" t="s">
        <v>336</v>
      </c>
      <c r="V7467" t="s">
        <v>336</v>
      </c>
      <c r="W7467" t="s">
        <v>336</v>
      </c>
      <c r="X7467" t="s">
        <v>353</v>
      </c>
      <c r="AK7467" t="s">
        <v>365</v>
      </c>
    </row>
    <row r="7468" spans="1:37">
      <c r="A7468" t="s">
        <v>37</v>
      </c>
      <c r="B7468" t="s">
        <v>49</v>
      </c>
      <c r="C7468" t="s">
        <v>73</v>
      </c>
      <c r="D7468" t="s">
        <v>94</v>
      </c>
      <c r="E7468" t="s">
        <v>112</v>
      </c>
      <c r="F7468" t="s">
        <v>146</v>
      </c>
      <c r="G7468" t="s">
        <v>172</v>
      </c>
      <c r="H7468" t="s">
        <v>207</v>
      </c>
      <c r="I7468" t="s">
        <v>226</v>
      </c>
      <c r="J7468" t="s">
        <v>246</v>
      </c>
      <c r="K7468" t="s">
        <v>259</v>
      </c>
      <c r="AK7468" t="s">
        <v>365</v>
      </c>
    </row>
    <row r="7469" spans="1:37">
      <c r="A7469" t="s">
        <v>38</v>
      </c>
      <c r="B7469" t="s">
        <v>50</v>
      </c>
      <c r="C7469" t="s">
        <v>74</v>
      </c>
      <c r="D7469" t="s">
        <v>95</v>
      </c>
      <c r="E7469" t="s">
        <v>113</v>
      </c>
      <c r="F7469" t="s">
        <v>147</v>
      </c>
      <c r="G7469" t="s">
        <v>173</v>
      </c>
      <c r="H7469" t="s">
        <v>208</v>
      </c>
      <c r="I7469" t="s">
        <v>227</v>
      </c>
      <c r="J7469" t="s">
        <v>115</v>
      </c>
      <c r="K7469" t="s">
        <v>260</v>
      </c>
      <c r="L7469" t="s">
        <v>273</v>
      </c>
      <c r="M7469" t="s">
        <v>282</v>
      </c>
      <c r="N7469" t="s">
        <v>291</v>
      </c>
      <c r="AK7469" t="s">
        <v>365</v>
      </c>
    </row>
    <row r="7470" spans="1:37">
      <c r="B7470" t="s">
        <v>51</v>
      </c>
      <c r="C7470" t="s">
        <v>75</v>
      </c>
      <c r="D7470" t="s">
        <v>52</v>
      </c>
      <c r="E7470" t="s">
        <v>114</v>
      </c>
      <c r="F7470" t="s">
        <v>148</v>
      </c>
      <c r="G7470" t="s">
        <v>148</v>
      </c>
      <c r="H7470" t="s">
        <v>209</v>
      </c>
      <c r="I7470" t="s">
        <v>228</v>
      </c>
      <c r="J7470" t="s">
        <v>247</v>
      </c>
      <c r="K7470" t="s">
        <v>261</v>
      </c>
      <c r="L7470" t="s">
        <v>274</v>
      </c>
      <c r="M7470" t="s">
        <v>283</v>
      </c>
      <c r="N7470" t="s">
        <v>292</v>
      </c>
      <c r="O7470" t="s">
        <v>300</v>
      </c>
      <c r="AK7470" t="s">
        <v>365</v>
      </c>
    </row>
    <row r="7471" spans="1:37">
      <c r="B7471" t="s">
        <v>52</v>
      </c>
      <c r="C7471" t="s">
        <v>76</v>
      </c>
      <c r="D7471" t="s">
        <v>96</v>
      </c>
      <c r="E7471" t="s">
        <v>115</v>
      </c>
      <c r="F7471" t="s">
        <v>149</v>
      </c>
      <c r="G7471" t="s">
        <v>174</v>
      </c>
      <c r="H7471" t="s">
        <v>96</v>
      </c>
      <c r="I7471" t="s">
        <v>229</v>
      </c>
      <c r="J7471" t="s">
        <v>248</v>
      </c>
      <c r="K7471" t="s">
        <v>262</v>
      </c>
      <c r="L7471" t="s">
        <v>52</v>
      </c>
      <c r="M7471" t="s">
        <v>76</v>
      </c>
      <c r="N7471" t="s">
        <v>293</v>
      </c>
      <c r="O7471" t="s">
        <v>301</v>
      </c>
      <c r="P7471" t="s">
        <v>309</v>
      </c>
      <c r="Q7471" t="s">
        <v>315</v>
      </c>
      <c r="R7471" t="s">
        <v>228</v>
      </c>
      <c r="S7471" t="s">
        <v>328</v>
      </c>
      <c r="T7471" t="s">
        <v>149</v>
      </c>
      <c r="U7471" t="s">
        <v>337</v>
      </c>
      <c r="V7471" t="s">
        <v>341</v>
      </c>
      <c r="W7471" t="s">
        <v>345</v>
      </c>
      <c r="X7471" t="s">
        <v>350</v>
      </c>
      <c r="AK7471" t="s">
        <v>365</v>
      </c>
    </row>
    <row r="7472" spans="1:37">
      <c r="B7472" t="s">
        <v>53</v>
      </c>
      <c r="C7472" t="s">
        <v>77</v>
      </c>
      <c r="D7472" t="s">
        <v>97</v>
      </c>
      <c r="E7472" t="s">
        <v>116</v>
      </c>
      <c r="F7472" t="s">
        <v>150</v>
      </c>
      <c r="G7472" t="s">
        <v>175</v>
      </c>
      <c r="H7472" t="s">
        <v>210</v>
      </c>
      <c r="I7472" t="s">
        <v>230</v>
      </c>
      <c r="J7472" t="s">
        <v>249</v>
      </c>
      <c r="K7472" t="s">
        <v>263</v>
      </c>
      <c r="L7472" t="s">
        <v>275</v>
      </c>
      <c r="M7472" t="s">
        <v>284</v>
      </c>
      <c r="N7472" t="s">
        <v>294</v>
      </c>
      <c r="O7472" t="s">
        <v>302</v>
      </c>
      <c r="P7472" t="s">
        <v>310</v>
      </c>
      <c r="Q7472" t="s">
        <v>316</v>
      </c>
      <c r="R7472" t="s">
        <v>322</v>
      </c>
      <c r="S7472" t="s">
        <v>329</v>
      </c>
      <c r="AK7472" t="s">
        <v>365</v>
      </c>
    </row>
    <row r="7473" spans="1:37">
      <c r="A7473" t="s">
        <v>39</v>
      </c>
      <c r="B7473" t="s">
        <v>54</v>
      </c>
      <c r="C7473" t="s">
        <v>54</v>
      </c>
      <c r="D7473" t="s">
        <v>54</v>
      </c>
      <c r="E7473" t="s">
        <v>54</v>
      </c>
      <c r="F7473" t="s">
        <v>54</v>
      </c>
      <c r="G7473" t="s">
        <v>54</v>
      </c>
      <c r="H7473" t="s">
        <v>54</v>
      </c>
      <c r="I7473" t="s">
        <v>54</v>
      </c>
      <c r="J7473" t="s">
        <v>54</v>
      </c>
      <c r="K7473" t="s">
        <v>54</v>
      </c>
      <c r="L7473" t="s">
        <v>54</v>
      </c>
      <c r="M7473" t="s">
        <v>54</v>
      </c>
      <c r="N7473" t="s">
        <v>54</v>
      </c>
      <c r="O7473" t="s">
        <v>54</v>
      </c>
      <c r="P7473" t="s">
        <v>54</v>
      </c>
      <c r="Q7473" t="s">
        <v>54</v>
      </c>
      <c r="R7473" t="s">
        <v>323</v>
      </c>
      <c r="S7473" t="s">
        <v>330</v>
      </c>
      <c r="AK7473" t="s">
        <v>365</v>
      </c>
    </row>
    <row r="7474" spans="1:37">
      <c r="B7474" t="s">
        <v>55</v>
      </c>
      <c r="C7474" t="s">
        <v>78</v>
      </c>
      <c r="D7474" t="s">
        <v>55</v>
      </c>
      <c r="E7474" t="s">
        <v>78</v>
      </c>
      <c r="F7474" t="s">
        <v>55</v>
      </c>
      <c r="G7474" t="s">
        <v>78</v>
      </c>
      <c r="H7474" t="s">
        <v>55</v>
      </c>
      <c r="I7474" t="s">
        <v>78</v>
      </c>
      <c r="J7474" t="s">
        <v>55</v>
      </c>
      <c r="K7474" t="s">
        <v>78</v>
      </c>
      <c r="L7474" t="s">
        <v>55</v>
      </c>
      <c r="M7474" t="s">
        <v>78</v>
      </c>
      <c r="N7474" t="s">
        <v>55</v>
      </c>
      <c r="O7474" t="s">
        <v>78</v>
      </c>
      <c r="P7474" t="s">
        <v>55</v>
      </c>
      <c r="Q7474" t="s">
        <v>78</v>
      </c>
      <c r="R7474" t="s">
        <v>55</v>
      </c>
      <c r="S7474" t="s">
        <v>78</v>
      </c>
      <c r="T7474" t="s">
        <v>55</v>
      </c>
      <c r="U7474" t="s">
        <v>78</v>
      </c>
      <c r="V7474" t="s">
        <v>55</v>
      </c>
      <c r="W7474" t="s">
        <v>78</v>
      </c>
      <c r="X7474" t="s">
        <v>55</v>
      </c>
      <c r="Y7474" t="s">
        <v>78</v>
      </c>
      <c r="Z7474" t="s">
        <v>55</v>
      </c>
      <c r="AA7474" t="s">
        <v>78</v>
      </c>
      <c r="AB7474" t="s">
        <v>55</v>
      </c>
      <c r="AC7474" t="s">
        <v>78</v>
      </c>
      <c r="AD7474" t="s">
        <v>55</v>
      </c>
      <c r="AE7474" t="s">
        <v>78</v>
      </c>
      <c r="AF7474" t="s">
        <v>55</v>
      </c>
      <c r="AG7474" t="s">
        <v>78</v>
      </c>
      <c r="AH7474" t="s">
        <v>55</v>
      </c>
      <c r="AI7474" t="s">
        <v>78</v>
      </c>
      <c r="AK7474" t="s">
        <v>365</v>
      </c>
    </row>
    <row r="7475" spans="1:37">
      <c r="B7475" t="s">
        <v>56</v>
      </c>
      <c r="C7475" t="s">
        <v>56</v>
      </c>
      <c r="D7475" t="s">
        <v>56</v>
      </c>
      <c r="E7475" t="s">
        <v>56</v>
      </c>
      <c r="F7475" t="s">
        <v>56</v>
      </c>
      <c r="G7475" t="s">
        <v>176</v>
      </c>
      <c r="H7475" t="s">
        <v>211</v>
      </c>
      <c r="I7475" t="s">
        <v>231</v>
      </c>
      <c r="J7475" t="s">
        <v>250</v>
      </c>
      <c r="K7475" t="s">
        <v>264</v>
      </c>
      <c r="L7475" t="s">
        <v>276</v>
      </c>
      <c r="M7475" t="s">
        <v>285</v>
      </c>
      <c r="N7475" t="s">
        <v>295</v>
      </c>
      <c r="O7475" t="s">
        <v>303</v>
      </c>
      <c r="P7475" t="s">
        <v>56</v>
      </c>
      <c r="Q7475" t="s">
        <v>317</v>
      </c>
      <c r="R7475" t="s">
        <v>324</v>
      </c>
      <c r="S7475" t="s">
        <v>331</v>
      </c>
      <c r="T7475" t="s">
        <v>334</v>
      </c>
      <c r="U7475" t="s">
        <v>338</v>
      </c>
      <c r="V7475" t="s">
        <v>342</v>
      </c>
      <c r="W7475" t="s">
        <v>346</v>
      </c>
      <c r="X7475" t="s">
        <v>351</v>
      </c>
      <c r="AK7475" t="s">
        <v>365</v>
      </c>
    </row>
    <row r="7476" spans="1:37">
      <c r="B7476" t="s">
        <v>57</v>
      </c>
      <c r="C7476" t="s">
        <v>79</v>
      </c>
      <c r="D7476" t="s">
        <v>98</v>
      </c>
      <c r="E7476" t="s">
        <v>117</v>
      </c>
      <c r="F7476" t="s">
        <v>151</v>
      </c>
      <c r="G7476" t="s">
        <v>177</v>
      </c>
      <c r="H7476" t="s">
        <v>212</v>
      </c>
      <c r="I7476" t="s">
        <v>232</v>
      </c>
      <c r="J7476" t="s">
        <v>251</v>
      </c>
      <c r="K7476" t="s">
        <v>265</v>
      </c>
      <c r="L7476" t="s">
        <v>277</v>
      </c>
      <c r="M7476" t="s">
        <v>286</v>
      </c>
      <c r="N7476" t="s">
        <v>296</v>
      </c>
      <c r="O7476" t="s">
        <v>304</v>
      </c>
      <c r="P7476" t="s">
        <v>311</v>
      </c>
      <c r="Q7476" t="s">
        <v>318</v>
      </c>
      <c r="R7476" t="s">
        <v>185</v>
      </c>
      <c r="S7476" t="s">
        <v>159</v>
      </c>
      <c r="T7476" t="s">
        <v>185</v>
      </c>
      <c r="U7476" t="s">
        <v>339</v>
      </c>
      <c r="V7476" t="s">
        <v>72</v>
      </c>
      <c r="W7476" t="s">
        <v>347</v>
      </c>
      <c r="X7476" t="s">
        <v>72</v>
      </c>
      <c r="Y7476" t="s">
        <v>96</v>
      </c>
      <c r="AK7476" t="s">
        <v>365</v>
      </c>
    </row>
    <row r="7477" spans="1:37">
      <c r="B7477" t="s">
        <v>58</v>
      </c>
      <c r="C7477" t="s">
        <v>80</v>
      </c>
      <c r="D7477" t="s">
        <v>99</v>
      </c>
      <c r="E7477" t="s">
        <v>118</v>
      </c>
      <c r="F7477" t="s">
        <v>152</v>
      </c>
      <c r="G7477" t="s">
        <v>178</v>
      </c>
      <c r="H7477" t="s">
        <v>213</v>
      </c>
      <c r="I7477" t="s">
        <v>233</v>
      </c>
      <c r="J7477" t="s">
        <v>252</v>
      </c>
      <c r="K7477" t="s">
        <v>266</v>
      </c>
      <c r="L7477" t="s">
        <v>278</v>
      </c>
      <c r="M7477" t="s">
        <v>287</v>
      </c>
      <c r="N7477" t="s">
        <v>297</v>
      </c>
      <c r="O7477" t="s">
        <v>305</v>
      </c>
      <c r="P7477" t="s">
        <v>312</v>
      </c>
      <c r="Q7477" t="s">
        <v>319</v>
      </c>
      <c r="R7477">
        <f>&gt;10       ветра      3.4     17   4 30</f>
        <v>0</v>
      </c>
      <c r="AK7477" t="s">
        <v>365</v>
      </c>
    </row>
    <row r="7478" spans="1:37">
      <c r="A7478" t="s">
        <v>40</v>
      </c>
      <c r="B7478" t="s">
        <v>59</v>
      </c>
      <c r="C7478" t="s">
        <v>81</v>
      </c>
      <c r="D7478" t="s">
        <v>100</v>
      </c>
      <c r="E7478" t="s">
        <v>119</v>
      </c>
      <c r="F7478" t="s">
        <v>153</v>
      </c>
      <c r="G7478" t="s">
        <v>179</v>
      </c>
      <c r="H7478" t="s">
        <v>214</v>
      </c>
      <c r="I7478" t="s">
        <v>234</v>
      </c>
      <c r="AK7478" t="s">
        <v>365</v>
      </c>
    </row>
    <row r="7479" spans="1:37">
      <c r="A7479" t="s">
        <v>40</v>
      </c>
      <c r="B7479" t="s">
        <v>60</v>
      </c>
      <c r="C7479" t="s">
        <v>82</v>
      </c>
      <c r="D7479" t="s">
        <v>101</v>
      </c>
      <c r="E7479" t="s">
        <v>120</v>
      </c>
      <c r="F7479" t="s">
        <v>154</v>
      </c>
      <c r="G7479" t="s">
        <v>180</v>
      </c>
      <c r="H7479" t="s">
        <v>215</v>
      </c>
      <c r="I7479" t="s">
        <v>235</v>
      </c>
      <c r="J7479" t="s">
        <v>253</v>
      </c>
      <c r="K7479" t="s">
        <v>267</v>
      </c>
      <c r="L7479" t="s">
        <v>279</v>
      </c>
      <c r="M7479" t="s">
        <v>288</v>
      </c>
      <c r="N7479" t="s">
        <v>100</v>
      </c>
      <c r="O7479" t="s">
        <v>306</v>
      </c>
      <c r="P7479" t="s">
        <v>313</v>
      </c>
      <c r="Q7479" t="s">
        <v>320</v>
      </c>
      <c r="R7479" t="s">
        <v>325</v>
      </c>
      <c r="S7479" t="s">
        <v>332</v>
      </c>
      <c r="T7479" t="s">
        <v>119</v>
      </c>
      <c r="U7479" t="s">
        <v>234</v>
      </c>
      <c r="V7479" t="s">
        <v>343</v>
      </c>
      <c r="W7479" t="s">
        <v>348</v>
      </c>
      <c r="X7479" t="s">
        <v>352</v>
      </c>
      <c r="Y7479" t="s">
        <v>354</v>
      </c>
      <c r="AK7479" t="s">
        <v>365</v>
      </c>
    </row>
    <row r="7480" spans="1:37">
      <c r="A7480" t="s">
        <v>41</v>
      </c>
      <c r="B7480" t="s">
        <v>61</v>
      </c>
      <c r="C7480" t="s">
        <v>83</v>
      </c>
      <c r="D7480" t="s">
        <v>102</v>
      </c>
      <c r="E7480" t="s">
        <v>121</v>
      </c>
      <c r="F7480" t="s">
        <v>155</v>
      </c>
      <c r="G7480" t="s">
        <v>181</v>
      </c>
      <c r="H7480" t="s">
        <v>216</v>
      </c>
      <c r="I7480" t="s">
        <v>236</v>
      </c>
      <c r="AK7480" t="s">
        <v>365</v>
      </c>
    </row>
    <row r="7481" spans="1:37">
      <c r="A7481" t="s">
        <v>42</v>
      </c>
      <c r="B7481" t="s">
        <v>62</v>
      </c>
      <c r="C7481" t="s">
        <v>84</v>
      </c>
      <c r="D7481" t="s">
        <v>103</v>
      </c>
      <c r="E7481" t="s">
        <v>122</v>
      </c>
      <c r="F7481" t="s">
        <v>156</v>
      </c>
      <c r="G7481" t="s">
        <v>182</v>
      </c>
      <c r="H7481" t="s">
        <v>83</v>
      </c>
      <c r="I7481" t="s">
        <v>237</v>
      </c>
      <c r="J7481" t="s">
        <v>254</v>
      </c>
      <c r="K7481" t="s">
        <v>268</v>
      </c>
      <c r="L7481" t="s">
        <v>280</v>
      </c>
      <c r="M7481" t="s">
        <v>289</v>
      </c>
      <c r="N7481" t="s">
        <v>298</v>
      </c>
      <c r="O7481" t="s">
        <v>307</v>
      </c>
      <c r="P7481" t="s">
        <v>314</v>
      </c>
      <c r="Q7481" t="s">
        <v>216</v>
      </c>
      <c r="R7481" t="s">
        <v>326</v>
      </c>
      <c r="S7481" t="s">
        <v>333</v>
      </c>
      <c r="T7481" t="s">
        <v>335</v>
      </c>
      <c r="U7481" t="s">
        <v>340</v>
      </c>
      <c r="V7481" t="s">
        <v>344</v>
      </c>
      <c r="W7481" t="s">
        <v>349</v>
      </c>
      <c r="AK7481" t="s">
        <v>365</v>
      </c>
    </row>
    <row r="7482" spans="1:37">
      <c r="A7482" t="s">
        <v>43</v>
      </c>
      <c r="B7482" t="s">
        <v>63</v>
      </c>
      <c r="C7482" t="s">
        <v>85</v>
      </c>
      <c r="D7482" t="s">
        <v>104</v>
      </c>
      <c r="E7482" t="s">
        <v>123</v>
      </c>
      <c r="F7482" t="s">
        <v>157</v>
      </c>
      <c r="G7482" t="s">
        <v>183</v>
      </c>
      <c r="AK7482" t="s">
        <v>365</v>
      </c>
    </row>
    <row r="7483" spans="1:37">
      <c r="A7483" t="s">
        <v>44</v>
      </c>
      <c r="B7483" t="s">
        <v>64</v>
      </c>
      <c r="C7483" t="s">
        <v>86</v>
      </c>
      <c r="D7483" t="s">
        <v>105</v>
      </c>
      <c r="E7483" t="s">
        <v>124</v>
      </c>
      <c r="F7483" t="s">
        <v>158</v>
      </c>
      <c r="G7483" t="s">
        <v>184</v>
      </c>
      <c r="AK7483" t="s">
        <v>365</v>
      </c>
    </row>
    <row r="7484" spans="1:37">
      <c r="A7484" t="s">
        <v>45</v>
      </c>
      <c r="B7484" t="s">
        <v>65</v>
      </c>
      <c r="C7484" t="s">
        <v>87</v>
      </c>
      <c r="D7484" t="s">
        <v>106</v>
      </c>
      <c r="E7484" t="s">
        <v>125</v>
      </c>
      <c r="F7484" t="s">
        <v>159</v>
      </c>
      <c r="G7484" t="s">
        <v>185</v>
      </c>
      <c r="H7484" t="s">
        <v>159</v>
      </c>
      <c r="I7484" t="s">
        <v>185</v>
      </c>
      <c r="J7484" t="s">
        <v>255</v>
      </c>
      <c r="AK7484" t="s">
        <v>365</v>
      </c>
    </row>
    <row r="7485" spans="1:37">
      <c r="A7485" t="s">
        <v>46</v>
      </c>
      <c r="B7485" t="s">
        <v>66</v>
      </c>
      <c r="C7485" t="s">
        <v>88</v>
      </c>
      <c r="D7485" t="s">
        <v>76</v>
      </c>
      <c r="E7485" t="s">
        <v>126</v>
      </c>
      <c r="F7485" t="s">
        <v>160</v>
      </c>
      <c r="G7485" t="s">
        <v>186</v>
      </c>
      <c r="H7485" t="s">
        <v>217</v>
      </c>
      <c r="I7485" t="s">
        <v>238</v>
      </c>
      <c r="J7485" t="s">
        <v>256</v>
      </c>
      <c r="K7485" t="s">
        <v>265</v>
      </c>
      <c r="L7485" t="s">
        <v>281</v>
      </c>
      <c r="M7485" t="s">
        <v>290</v>
      </c>
      <c r="N7485" t="s">
        <v>299</v>
      </c>
      <c r="O7485" t="s">
        <v>308</v>
      </c>
      <c r="P7485" t="s">
        <v>228</v>
      </c>
      <c r="Q7485" t="s">
        <v>72</v>
      </c>
      <c r="R7485" t="s">
        <v>327</v>
      </c>
      <c r="S7485" t="s">
        <v>327</v>
      </c>
      <c r="T7485" t="s">
        <v>336</v>
      </c>
      <c r="U7485" t="s">
        <v>336</v>
      </c>
      <c r="V7485" t="s">
        <v>336</v>
      </c>
      <c r="W7485" t="s">
        <v>336</v>
      </c>
      <c r="X7485" t="s">
        <v>353</v>
      </c>
      <c r="AK7485" t="s">
        <v>365</v>
      </c>
    </row>
    <row r="7486" spans="1:37">
      <c r="A7486" t="s">
        <v>37</v>
      </c>
      <c r="B7486" t="s">
        <v>49</v>
      </c>
      <c r="C7486" t="s">
        <v>73</v>
      </c>
      <c r="D7486" t="s">
        <v>94</v>
      </c>
      <c r="E7486" t="s">
        <v>112</v>
      </c>
      <c r="F7486" t="s">
        <v>146</v>
      </c>
      <c r="G7486" t="s">
        <v>172</v>
      </c>
      <c r="H7486" t="s">
        <v>207</v>
      </c>
      <c r="I7486" t="s">
        <v>226</v>
      </c>
      <c r="J7486" t="s">
        <v>246</v>
      </c>
      <c r="K7486" t="s">
        <v>259</v>
      </c>
      <c r="AK7486" t="s">
        <v>365</v>
      </c>
    </row>
    <row r="7487" spans="1:37">
      <c r="A7487" t="s">
        <v>38</v>
      </c>
      <c r="B7487" t="s">
        <v>50</v>
      </c>
      <c r="C7487" t="s">
        <v>74</v>
      </c>
      <c r="D7487" t="s">
        <v>95</v>
      </c>
      <c r="E7487" t="s">
        <v>113</v>
      </c>
      <c r="F7487" t="s">
        <v>147</v>
      </c>
      <c r="G7487" t="s">
        <v>173</v>
      </c>
      <c r="H7487" t="s">
        <v>208</v>
      </c>
      <c r="I7487" t="s">
        <v>227</v>
      </c>
      <c r="J7487" t="s">
        <v>115</v>
      </c>
      <c r="K7487" t="s">
        <v>260</v>
      </c>
      <c r="L7487" t="s">
        <v>273</v>
      </c>
      <c r="M7487" t="s">
        <v>282</v>
      </c>
      <c r="N7487" t="s">
        <v>291</v>
      </c>
      <c r="AK7487" t="s">
        <v>365</v>
      </c>
    </row>
    <row r="7488" spans="1:37">
      <c r="B7488" t="s">
        <v>51</v>
      </c>
      <c r="C7488" t="s">
        <v>75</v>
      </c>
      <c r="D7488" t="s">
        <v>52</v>
      </c>
      <c r="E7488" t="s">
        <v>114</v>
      </c>
      <c r="F7488" t="s">
        <v>148</v>
      </c>
      <c r="G7488" t="s">
        <v>148</v>
      </c>
      <c r="H7488" t="s">
        <v>209</v>
      </c>
      <c r="I7488" t="s">
        <v>228</v>
      </c>
      <c r="J7488" t="s">
        <v>247</v>
      </c>
      <c r="K7488" t="s">
        <v>261</v>
      </c>
      <c r="L7488" t="s">
        <v>274</v>
      </c>
      <c r="M7488" t="s">
        <v>283</v>
      </c>
      <c r="N7488" t="s">
        <v>292</v>
      </c>
      <c r="O7488" t="s">
        <v>300</v>
      </c>
      <c r="AK7488" t="s">
        <v>365</v>
      </c>
    </row>
    <row r="7489" spans="1:37">
      <c r="B7489" t="s">
        <v>52</v>
      </c>
      <c r="C7489" t="s">
        <v>76</v>
      </c>
      <c r="D7489" t="s">
        <v>96</v>
      </c>
      <c r="E7489" t="s">
        <v>115</v>
      </c>
      <c r="F7489" t="s">
        <v>149</v>
      </c>
      <c r="G7489" t="s">
        <v>174</v>
      </c>
      <c r="H7489" t="s">
        <v>96</v>
      </c>
      <c r="I7489" t="s">
        <v>229</v>
      </c>
      <c r="J7489" t="s">
        <v>248</v>
      </c>
      <c r="K7489" t="s">
        <v>262</v>
      </c>
      <c r="L7489" t="s">
        <v>52</v>
      </c>
      <c r="M7489" t="s">
        <v>76</v>
      </c>
      <c r="N7489" t="s">
        <v>293</v>
      </c>
      <c r="O7489" t="s">
        <v>301</v>
      </c>
      <c r="P7489" t="s">
        <v>309</v>
      </c>
      <c r="Q7489" t="s">
        <v>315</v>
      </c>
      <c r="R7489" t="s">
        <v>228</v>
      </c>
      <c r="S7489" t="s">
        <v>328</v>
      </c>
      <c r="T7489" t="s">
        <v>149</v>
      </c>
      <c r="U7489" t="s">
        <v>337</v>
      </c>
      <c r="V7489" t="s">
        <v>341</v>
      </c>
      <c r="W7489" t="s">
        <v>345</v>
      </c>
      <c r="X7489" t="s">
        <v>350</v>
      </c>
      <c r="AK7489" t="s">
        <v>365</v>
      </c>
    </row>
    <row r="7490" spans="1:37">
      <c r="B7490" t="s">
        <v>53</v>
      </c>
      <c r="C7490" t="s">
        <v>77</v>
      </c>
      <c r="D7490" t="s">
        <v>97</v>
      </c>
      <c r="E7490" t="s">
        <v>116</v>
      </c>
      <c r="F7490" t="s">
        <v>150</v>
      </c>
      <c r="G7490" t="s">
        <v>175</v>
      </c>
      <c r="H7490" t="s">
        <v>210</v>
      </c>
      <c r="I7490" t="s">
        <v>230</v>
      </c>
      <c r="J7490" t="s">
        <v>249</v>
      </c>
      <c r="K7490" t="s">
        <v>263</v>
      </c>
      <c r="L7490" t="s">
        <v>275</v>
      </c>
      <c r="M7490" t="s">
        <v>284</v>
      </c>
      <c r="N7490" t="s">
        <v>294</v>
      </c>
      <c r="O7490" t="s">
        <v>302</v>
      </c>
      <c r="P7490" t="s">
        <v>310</v>
      </c>
      <c r="Q7490" t="s">
        <v>316</v>
      </c>
      <c r="R7490" t="s">
        <v>322</v>
      </c>
      <c r="S7490" t="s">
        <v>329</v>
      </c>
      <c r="AK7490" t="s">
        <v>365</v>
      </c>
    </row>
    <row r="7491" spans="1:37">
      <c r="A7491" t="s">
        <v>39</v>
      </c>
      <c r="B7491" t="s">
        <v>54</v>
      </c>
      <c r="C7491" t="s">
        <v>54</v>
      </c>
      <c r="D7491" t="s">
        <v>54</v>
      </c>
      <c r="E7491" t="s">
        <v>54</v>
      </c>
      <c r="F7491" t="s">
        <v>54</v>
      </c>
      <c r="G7491" t="s">
        <v>54</v>
      </c>
      <c r="H7491" t="s">
        <v>54</v>
      </c>
      <c r="I7491" t="s">
        <v>54</v>
      </c>
      <c r="J7491" t="s">
        <v>54</v>
      </c>
      <c r="K7491" t="s">
        <v>54</v>
      </c>
      <c r="L7491" t="s">
        <v>54</v>
      </c>
      <c r="M7491" t="s">
        <v>54</v>
      </c>
      <c r="N7491" t="s">
        <v>54</v>
      </c>
      <c r="O7491" t="s">
        <v>54</v>
      </c>
      <c r="P7491" t="s">
        <v>54</v>
      </c>
      <c r="Q7491" t="s">
        <v>54</v>
      </c>
      <c r="R7491" t="s">
        <v>323</v>
      </c>
      <c r="S7491" t="s">
        <v>330</v>
      </c>
      <c r="AK7491" t="s">
        <v>365</v>
      </c>
    </row>
    <row r="7492" spans="1:37">
      <c r="B7492" t="s">
        <v>55</v>
      </c>
      <c r="C7492" t="s">
        <v>78</v>
      </c>
      <c r="D7492" t="s">
        <v>55</v>
      </c>
      <c r="E7492" t="s">
        <v>78</v>
      </c>
      <c r="F7492" t="s">
        <v>55</v>
      </c>
      <c r="G7492" t="s">
        <v>78</v>
      </c>
      <c r="H7492" t="s">
        <v>55</v>
      </c>
      <c r="I7492" t="s">
        <v>78</v>
      </c>
      <c r="J7492" t="s">
        <v>55</v>
      </c>
      <c r="K7492" t="s">
        <v>78</v>
      </c>
      <c r="L7492" t="s">
        <v>55</v>
      </c>
      <c r="M7492" t="s">
        <v>78</v>
      </c>
      <c r="N7492" t="s">
        <v>55</v>
      </c>
      <c r="O7492" t="s">
        <v>78</v>
      </c>
      <c r="P7492" t="s">
        <v>55</v>
      </c>
      <c r="Q7492" t="s">
        <v>78</v>
      </c>
      <c r="R7492" t="s">
        <v>55</v>
      </c>
      <c r="S7492" t="s">
        <v>78</v>
      </c>
      <c r="T7492" t="s">
        <v>55</v>
      </c>
      <c r="U7492" t="s">
        <v>78</v>
      </c>
      <c r="V7492" t="s">
        <v>55</v>
      </c>
      <c r="W7492" t="s">
        <v>78</v>
      </c>
      <c r="X7492" t="s">
        <v>55</v>
      </c>
      <c r="Y7492" t="s">
        <v>78</v>
      </c>
      <c r="Z7492" t="s">
        <v>55</v>
      </c>
      <c r="AA7492" t="s">
        <v>78</v>
      </c>
      <c r="AB7492" t="s">
        <v>55</v>
      </c>
      <c r="AC7492" t="s">
        <v>78</v>
      </c>
      <c r="AD7492" t="s">
        <v>55</v>
      </c>
      <c r="AE7492" t="s">
        <v>78</v>
      </c>
      <c r="AF7492" t="s">
        <v>55</v>
      </c>
      <c r="AG7492" t="s">
        <v>78</v>
      </c>
      <c r="AH7492" t="s">
        <v>55</v>
      </c>
      <c r="AI7492" t="s">
        <v>78</v>
      </c>
      <c r="AK7492" t="s">
        <v>365</v>
      </c>
    </row>
    <row r="7493" spans="1:37">
      <c r="B7493" t="s">
        <v>56</v>
      </c>
      <c r="C7493" t="s">
        <v>56</v>
      </c>
      <c r="D7493" t="s">
        <v>56</v>
      </c>
      <c r="E7493" t="s">
        <v>56</v>
      </c>
      <c r="F7493" t="s">
        <v>56</v>
      </c>
      <c r="G7493" t="s">
        <v>176</v>
      </c>
      <c r="H7493" t="s">
        <v>211</v>
      </c>
      <c r="I7493" t="s">
        <v>231</v>
      </c>
      <c r="J7493" t="s">
        <v>250</v>
      </c>
      <c r="K7493" t="s">
        <v>264</v>
      </c>
      <c r="L7493" t="s">
        <v>276</v>
      </c>
      <c r="M7493" t="s">
        <v>285</v>
      </c>
      <c r="N7493" t="s">
        <v>295</v>
      </c>
      <c r="O7493" t="s">
        <v>303</v>
      </c>
      <c r="P7493" t="s">
        <v>56</v>
      </c>
      <c r="Q7493" t="s">
        <v>317</v>
      </c>
      <c r="R7493" t="s">
        <v>324</v>
      </c>
      <c r="S7493" t="s">
        <v>331</v>
      </c>
      <c r="T7493" t="s">
        <v>334</v>
      </c>
      <c r="U7493" t="s">
        <v>338</v>
      </c>
      <c r="V7493" t="s">
        <v>342</v>
      </c>
      <c r="W7493" t="s">
        <v>346</v>
      </c>
      <c r="X7493" t="s">
        <v>351</v>
      </c>
      <c r="AK7493" t="s">
        <v>365</v>
      </c>
    </row>
    <row r="7494" spans="1:37">
      <c r="B7494" t="s">
        <v>57</v>
      </c>
      <c r="C7494" t="s">
        <v>79</v>
      </c>
      <c r="D7494" t="s">
        <v>98</v>
      </c>
      <c r="E7494" t="s">
        <v>117</v>
      </c>
      <c r="F7494" t="s">
        <v>151</v>
      </c>
      <c r="G7494" t="s">
        <v>177</v>
      </c>
      <c r="H7494" t="s">
        <v>212</v>
      </c>
      <c r="I7494" t="s">
        <v>232</v>
      </c>
      <c r="J7494" t="s">
        <v>251</v>
      </c>
      <c r="K7494" t="s">
        <v>265</v>
      </c>
      <c r="L7494" t="s">
        <v>277</v>
      </c>
      <c r="M7494" t="s">
        <v>286</v>
      </c>
      <c r="N7494" t="s">
        <v>296</v>
      </c>
      <c r="O7494" t="s">
        <v>304</v>
      </c>
      <c r="P7494" t="s">
        <v>311</v>
      </c>
      <c r="Q7494" t="s">
        <v>318</v>
      </c>
      <c r="R7494" t="s">
        <v>185</v>
      </c>
      <c r="S7494" t="s">
        <v>159</v>
      </c>
      <c r="T7494" t="s">
        <v>185</v>
      </c>
      <c r="U7494" t="s">
        <v>339</v>
      </c>
      <c r="V7494" t="s">
        <v>72</v>
      </c>
      <c r="W7494" t="s">
        <v>347</v>
      </c>
      <c r="X7494" t="s">
        <v>72</v>
      </c>
      <c r="Y7494" t="s">
        <v>96</v>
      </c>
      <c r="AK7494" t="s">
        <v>365</v>
      </c>
    </row>
    <row r="7495" spans="1:37">
      <c r="B7495" t="s">
        <v>58</v>
      </c>
      <c r="C7495" t="s">
        <v>80</v>
      </c>
      <c r="D7495" t="s">
        <v>99</v>
      </c>
      <c r="E7495" t="s">
        <v>118</v>
      </c>
      <c r="F7495" t="s">
        <v>152</v>
      </c>
      <c r="G7495" t="s">
        <v>178</v>
      </c>
      <c r="H7495" t="s">
        <v>213</v>
      </c>
      <c r="I7495" t="s">
        <v>233</v>
      </c>
      <c r="J7495" t="s">
        <v>252</v>
      </c>
      <c r="K7495" t="s">
        <v>266</v>
      </c>
      <c r="L7495" t="s">
        <v>278</v>
      </c>
      <c r="M7495" t="s">
        <v>287</v>
      </c>
      <c r="N7495" t="s">
        <v>297</v>
      </c>
      <c r="O7495" t="s">
        <v>305</v>
      </c>
      <c r="P7495" t="s">
        <v>312</v>
      </c>
      <c r="Q7495" t="s">
        <v>319</v>
      </c>
      <c r="R7495">
        <f>&gt;10       ветра      2.7     19   4</f>
        <v>0</v>
      </c>
      <c r="AK7495" t="s">
        <v>365</v>
      </c>
    </row>
    <row r="7496" spans="1:37">
      <c r="A7496" t="s">
        <v>40</v>
      </c>
      <c r="B7496" t="s">
        <v>59</v>
      </c>
      <c r="C7496" t="s">
        <v>81</v>
      </c>
      <c r="D7496" t="s">
        <v>100</v>
      </c>
      <c r="E7496" t="s">
        <v>119</v>
      </c>
      <c r="F7496" t="s">
        <v>153</v>
      </c>
      <c r="G7496" t="s">
        <v>179</v>
      </c>
      <c r="H7496" t="s">
        <v>214</v>
      </c>
      <c r="I7496" t="s">
        <v>234</v>
      </c>
      <c r="AK7496" t="s">
        <v>365</v>
      </c>
    </row>
    <row r="7497" spans="1:37">
      <c r="A7497" t="s">
        <v>40</v>
      </c>
      <c r="B7497" t="s">
        <v>60</v>
      </c>
      <c r="C7497" t="s">
        <v>82</v>
      </c>
      <c r="D7497" t="s">
        <v>101</v>
      </c>
      <c r="E7497" t="s">
        <v>120</v>
      </c>
      <c r="F7497" t="s">
        <v>154</v>
      </c>
      <c r="G7497" t="s">
        <v>180</v>
      </c>
      <c r="H7497" t="s">
        <v>215</v>
      </c>
      <c r="I7497" t="s">
        <v>235</v>
      </c>
      <c r="J7497" t="s">
        <v>253</v>
      </c>
      <c r="K7497" t="s">
        <v>267</v>
      </c>
      <c r="L7497" t="s">
        <v>279</v>
      </c>
      <c r="M7497" t="s">
        <v>288</v>
      </c>
      <c r="N7497" t="s">
        <v>100</v>
      </c>
      <c r="O7497" t="s">
        <v>306</v>
      </c>
      <c r="P7497" t="s">
        <v>313</v>
      </c>
      <c r="Q7497" t="s">
        <v>320</v>
      </c>
      <c r="R7497" t="s">
        <v>325</v>
      </c>
      <c r="S7497" t="s">
        <v>332</v>
      </c>
      <c r="T7497" t="s">
        <v>119</v>
      </c>
      <c r="U7497" t="s">
        <v>234</v>
      </c>
      <c r="V7497" t="s">
        <v>343</v>
      </c>
      <c r="W7497" t="s">
        <v>348</v>
      </c>
      <c r="X7497" t="s">
        <v>352</v>
      </c>
      <c r="Y7497" t="s">
        <v>354</v>
      </c>
      <c r="AK7497" t="s">
        <v>365</v>
      </c>
    </row>
    <row r="7498" spans="1:37">
      <c r="A7498" t="s">
        <v>41</v>
      </c>
      <c r="B7498" t="s">
        <v>61</v>
      </c>
      <c r="C7498" t="s">
        <v>83</v>
      </c>
      <c r="D7498" t="s">
        <v>102</v>
      </c>
      <c r="E7498" t="s">
        <v>121</v>
      </c>
      <c r="F7498" t="s">
        <v>155</v>
      </c>
      <c r="G7498" t="s">
        <v>181</v>
      </c>
      <c r="H7498" t="s">
        <v>216</v>
      </c>
      <c r="I7498" t="s">
        <v>236</v>
      </c>
      <c r="AK7498" t="s">
        <v>365</v>
      </c>
    </row>
    <row r="7499" spans="1:37">
      <c r="A7499" t="s">
        <v>42</v>
      </c>
      <c r="B7499" t="s">
        <v>62</v>
      </c>
      <c r="C7499" t="s">
        <v>84</v>
      </c>
      <c r="D7499" t="s">
        <v>103</v>
      </c>
      <c r="E7499" t="s">
        <v>122</v>
      </c>
      <c r="F7499" t="s">
        <v>156</v>
      </c>
      <c r="G7499" t="s">
        <v>182</v>
      </c>
      <c r="H7499" t="s">
        <v>83</v>
      </c>
      <c r="I7499" t="s">
        <v>237</v>
      </c>
      <c r="J7499" t="s">
        <v>254</v>
      </c>
      <c r="K7499" t="s">
        <v>268</v>
      </c>
      <c r="L7499" t="s">
        <v>280</v>
      </c>
      <c r="M7499" t="s">
        <v>289</v>
      </c>
      <c r="N7499" t="s">
        <v>298</v>
      </c>
      <c r="O7499" t="s">
        <v>307</v>
      </c>
      <c r="P7499" t="s">
        <v>314</v>
      </c>
      <c r="Q7499" t="s">
        <v>216</v>
      </c>
      <c r="R7499" t="s">
        <v>326</v>
      </c>
      <c r="S7499" t="s">
        <v>333</v>
      </c>
      <c r="T7499" t="s">
        <v>335</v>
      </c>
      <c r="U7499" t="s">
        <v>340</v>
      </c>
      <c r="V7499" t="s">
        <v>344</v>
      </c>
      <c r="W7499" t="s">
        <v>349</v>
      </c>
      <c r="AK7499" t="s">
        <v>365</v>
      </c>
    </row>
    <row r="7500" spans="1:37">
      <c r="A7500" t="s">
        <v>43</v>
      </c>
      <c r="B7500" t="s">
        <v>63</v>
      </c>
      <c r="C7500" t="s">
        <v>85</v>
      </c>
      <c r="D7500" t="s">
        <v>104</v>
      </c>
      <c r="E7500" t="s">
        <v>123</v>
      </c>
      <c r="F7500" t="s">
        <v>157</v>
      </c>
      <c r="G7500" t="s">
        <v>183</v>
      </c>
      <c r="AK7500" t="s">
        <v>365</v>
      </c>
    </row>
    <row r="7501" spans="1:37">
      <c r="A7501" t="s">
        <v>44</v>
      </c>
      <c r="B7501" t="s">
        <v>64</v>
      </c>
      <c r="C7501" t="s">
        <v>86</v>
      </c>
      <c r="D7501" t="s">
        <v>105</v>
      </c>
      <c r="E7501" t="s">
        <v>124</v>
      </c>
      <c r="F7501" t="s">
        <v>158</v>
      </c>
      <c r="G7501" t="s">
        <v>184</v>
      </c>
      <c r="AK7501" t="s">
        <v>365</v>
      </c>
    </row>
    <row r="7502" spans="1:37">
      <c r="A7502" t="s">
        <v>45</v>
      </c>
      <c r="B7502" t="s">
        <v>65</v>
      </c>
      <c r="C7502" t="s">
        <v>87</v>
      </c>
      <c r="D7502" t="s">
        <v>106</v>
      </c>
      <c r="E7502" t="s">
        <v>125</v>
      </c>
      <c r="F7502" t="s">
        <v>159</v>
      </c>
      <c r="G7502" t="s">
        <v>185</v>
      </c>
      <c r="H7502" t="s">
        <v>159</v>
      </c>
      <c r="I7502" t="s">
        <v>185</v>
      </c>
      <c r="J7502" t="s">
        <v>255</v>
      </c>
      <c r="AK7502" t="s">
        <v>365</v>
      </c>
    </row>
    <row r="7503" spans="1:37">
      <c r="A7503" t="s">
        <v>46</v>
      </c>
      <c r="B7503" t="s">
        <v>66</v>
      </c>
      <c r="C7503" t="s">
        <v>88</v>
      </c>
      <c r="D7503" t="s">
        <v>76</v>
      </c>
      <c r="E7503" t="s">
        <v>126</v>
      </c>
      <c r="F7503" t="s">
        <v>160</v>
      </c>
      <c r="G7503" t="s">
        <v>186</v>
      </c>
      <c r="H7503" t="s">
        <v>217</v>
      </c>
      <c r="I7503" t="s">
        <v>238</v>
      </c>
      <c r="J7503" t="s">
        <v>256</v>
      </c>
      <c r="K7503" t="s">
        <v>265</v>
      </c>
      <c r="L7503" t="s">
        <v>281</v>
      </c>
      <c r="M7503" t="s">
        <v>290</v>
      </c>
      <c r="N7503" t="s">
        <v>299</v>
      </c>
      <c r="O7503" t="s">
        <v>308</v>
      </c>
      <c r="P7503" t="s">
        <v>228</v>
      </c>
      <c r="Q7503" t="s">
        <v>72</v>
      </c>
      <c r="R7503" t="s">
        <v>327</v>
      </c>
      <c r="S7503" t="s">
        <v>327</v>
      </c>
      <c r="T7503" t="s">
        <v>336</v>
      </c>
      <c r="U7503" t="s">
        <v>336</v>
      </c>
      <c r="V7503" t="s">
        <v>336</v>
      </c>
      <c r="W7503" t="s">
        <v>336</v>
      </c>
      <c r="X7503" t="s">
        <v>353</v>
      </c>
      <c r="AK7503" t="s">
        <v>365</v>
      </c>
    </row>
    <row r="7504" spans="1:37">
      <c r="B7504" t="s">
        <v>67</v>
      </c>
      <c r="C7504" t="s">
        <v>89</v>
      </c>
      <c r="D7504" t="s">
        <v>107</v>
      </c>
      <c r="AK7504" t="s">
        <v>365</v>
      </c>
    </row>
    <row r="7505" spans="1:37">
      <c r="B7505" t="s">
        <v>68</v>
      </c>
      <c r="C7505" t="s">
        <v>90</v>
      </c>
      <c r="D7505" t="s">
        <v>108</v>
      </c>
      <c r="AK7505" t="s">
        <v>365</v>
      </c>
    </row>
    <row r="7506" spans="1:37">
      <c r="A7506" t="s">
        <v>47</v>
      </c>
      <c r="B7506" t="s">
        <v>69</v>
      </c>
      <c r="C7506" t="s">
        <v>91</v>
      </c>
      <c r="D7506" t="s">
        <v>109</v>
      </c>
      <c r="E7506" t="s">
        <v>109</v>
      </c>
      <c r="F7506" t="s">
        <v>109</v>
      </c>
      <c r="G7506" t="s">
        <v>109</v>
      </c>
      <c r="H7506" t="s">
        <v>109</v>
      </c>
      <c r="I7506" t="s">
        <v>239</v>
      </c>
      <c r="AK7506" t="s">
        <v>365</v>
      </c>
    </row>
    <row r="7507" spans="1:37">
      <c r="B7507" t="s">
        <v>70</v>
      </c>
      <c r="C7507" t="s">
        <v>92</v>
      </c>
      <c r="D7507" t="s">
        <v>110</v>
      </c>
      <c r="E7507" t="s">
        <v>127</v>
      </c>
      <c r="F7507" t="s">
        <v>161</v>
      </c>
      <c r="G7507" t="s">
        <v>187</v>
      </c>
      <c r="H7507" t="s">
        <v>218</v>
      </c>
      <c r="AK7507" t="s">
        <v>365</v>
      </c>
    </row>
    <row r="7508" spans="1:37">
      <c r="B7508" t="s">
        <v>71</v>
      </c>
      <c r="C7508" t="s">
        <v>93</v>
      </c>
      <c r="D7508" t="s">
        <v>111</v>
      </c>
      <c r="E7508" t="s">
        <v>128</v>
      </c>
      <c r="F7508" t="s">
        <v>162</v>
      </c>
      <c r="G7508" t="s">
        <v>188</v>
      </c>
      <c r="H7508" t="s">
        <v>219</v>
      </c>
      <c r="I7508" t="s">
        <v>240</v>
      </c>
      <c r="J7508" t="s">
        <v>257</v>
      </c>
      <c r="K7508" t="s">
        <v>269</v>
      </c>
      <c r="L7508" t="s">
        <v>109</v>
      </c>
      <c r="M7508" t="s">
        <v>109</v>
      </c>
      <c r="N7508" t="s">
        <v>109</v>
      </c>
      <c r="O7508" t="s">
        <v>109</v>
      </c>
      <c r="P7508" t="s">
        <v>109</v>
      </c>
      <c r="Q7508" t="s">
        <v>321</v>
      </c>
      <c r="AK7508" t="s">
        <v>365</v>
      </c>
    </row>
    <row r="7509" spans="1:37">
      <c r="A7509" t="s">
        <v>48</v>
      </c>
      <c r="B7509" t="s">
        <v>71</v>
      </c>
      <c r="C7509" t="s">
        <v>93</v>
      </c>
      <c r="D7509" t="s">
        <v>111</v>
      </c>
      <c r="E7509" t="s">
        <v>128</v>
      </c>
      <c r="F7509" t="s">
        <v>163</v>
      </c>
      <c r="G7509" t="s">
        <v>189</v>
      </c>
      <c r="H7509" t="s">
        <v>220</v>
      </c>
      <c r="I7509" t="s">
        <v>241</v>
      </c>
      <c r="J7509" t="s">
        <v>258</v>
      </c>
      <c r="K7509" t="s">
        <v>270</v>
      </c>
      <c r="AK7509" t="s">
        <v>365</v>
      </c>
    </row>
    <row r="7510" spans="1:37">
      <c r="B7510" t="s">
        <v>72</v>
      </c>
      <c r="C7510" t="s">
        <v>72</v>
      </c>
      <c r="D7510" t="s">
        <v>72</v>
      </c>
      <c r="E7510" t="s">
        <v>139</v>
      </c>
      <c r="F7510" t="s">
        <v>139</v>
      </c>
      <c r="G7510" t="s">
        <v>192</v>
      </c>
      <c r="H7510" t="s">
        <v>192</v>
      </c>
      <c r="I7510" t="s">
        <v>192</v>
      </c>
      <c r="J7510" t="s">
        <v>192</v>
      </c>
      <c r="K7510" t="s">
        <v>271</v>
      </c>
      <c r="AK7510" t="s">
        <v>365</v>
      </c>
    </row>
    <row r="7511" spans="1:37">
      <c r="A7511" t="s">
        <v>37</v>
      </c>
      <c r="B7511" t="s">
        <v>49</v>
      </c>
      <c r="C7511" t="s">
        <v>73</v>
      </c>
      <c r="D7511" t="s">
        <v>94</v>
      </c>
      <c r="E7511" t="s">
        <v>112</v>
      </c>
      <c r="F7511" t="s">
        <v>146</v>
      </c>
      <c r="G7511" t="s">
        <v>172</v>
      </c>
      <c r="H7511" t="s">
        <v>207</v>
      </c>
      <c r="I7511" t="s">
        <v>226</v>
      </c>
      <c r="J7511" t="s">
        <v>246</v>
      </c>
      <c r="K7511" t="s">
        <v>259</v>
      </c>
      <c r="AK7511" t="s">
        <v>365</v>
      </c>
    </row>
    <row r="7512" spans="1:37">
      <c r="A7512" t="s">
        <v>38</v>
      </c>
      <c r="B7512" t="s">
        <v>50</v>
      </c>
      <c r="C7512" t="s">
        <v>74</v>
      </c>
      <c r="D7512" t="s">
        <v>95</v>
      </c>
      <c r="E7512" t="s">
        <v>113</v>
      </c>
      <c r="F7512" t="s">
        <v>147</v>
      </c>
      <c r="G7512" t="s">
        <v>173</v>
      </c>
      <c r="H7512" t="s">
        <v>208</v>
      </c>
      <c r="I7512" t="s">
        <v>227</v>
      </c>
      <c r="J7512" t="s">
        <v>115</v>
      </c>
      <c r="K7512" t="s">
        <v>260</v>
      </c>
      <c r="L7512" t="s">
        <v>273</v>
      </c>
      <c r="M7512" t="s">
        <v>282</v>
      </c>
      <c r="N7512" t="s">
        <v>291</v>
      </c>
      <c r="AK7512" t="s">
        <v>365</v>
      </c>
    </row>
    <row r="7513" spans="1:37">
      <c r="B7513" t="s">
        <v>51</v>
      </c>
      <c r="C7513" t="s">
        <v>75</v>
      </c>
      <c r="D7513" t="s">
        <v>52</v>
      </c>
      <c r="E7513" t="s">
        <v>114</v>
      </c>
      <c r="F7513" t="s">
        <v>148</v>
      </c>
      <c r="G7513" t="s">
        <v>148</v>
      </c>
      <c r="H7513" t="s">
        <v>209</v>
      </c>
      <c r="I7513" t="s">
        <v>228</v>
      </c>
      <c r="J7513" t="s">
        <v>247</v>
      </c>
      <c r="K7513" t="s">
        <v>261</v>
      </c>
      <c r="L7513" t="s">
        <v>274</v>
      </c>
      <c r="M7513" t="s">
        <v>283</v>
      </c>
      <c r="N7513" t="s">
        <v>292</v>
      </c>
      <c r="O7513" t="s">
        <v>300</v>
      </c>
      <c r="AK7513" t="s">
        <v>365</v>
      </c>
    </row>
    <row r="7514" spans="1:37">
      <c r="B7514" t="s">
        <v>52</v>
      </c>
      <c r="C7514" t="s">
        <v>76</v>
      </c>
      <c r="D7514" t="s">
        <v>96</v>
      </c>
      <c r="E7514" t="s">
        <v>115</v>
      </c>
      <c r="F7514" t="s">
        <v>149</v>
      </c>
      <c r="G7514" t="s">
        <v>174</v>
      </c>
      <c r="H7514" t="s">
        <v>96</v>
      </c>
      <c r="I7514" t="s">
        <v>229</v>
      </c>
      <c r="J7514" t="s">
        <v>248</v>
      </c>
      <c r="K7514" t="s">
        <v>262</v>
      </c>
      <c r="L7514" t="s">
        <v>52</v>
      </c>
      <c r="M7514" t="s">
        <v>76</v>
      </c>
      <c r="N7514" t="s">
        <v>293</v>
      </c>
      <c r="O7514" t="s">
        <v>301</v>
      </c>
      <c r="P7514" t="s">
        <v>309</v>
      </c>
      <c r="Q7514" t="s">
        <v>315</v>
      </c>
      <c r="R7514" t="s">
        <v>228</v>
      </c>
      <c r="S7514" t="s">
        <v>328</v>
      </c>
      <c r="T7514" t="s">
        <v>149</v>
      </c>
      <c r="U7514" t="s">
        <v>337</v>
      </c>
      <c r="V7514" t="s">
        <v>341</v>
      </c>
      <c r="W7514" t="s">
        <v>345</v>
      </c>
      <c r="X7514" t="s">
        <v>350</v>
      </c>
      <c r="AK7514" t="s">
        <v>365</v>
      </c>
    </row>
    <row r="7515" spans="1:37">
      <c r="B7515" t="s">
        <v>53</v>
      </c>
      <c r="C7515" t="s">
        <v>77</v>
      </c>
      <c r="D7515" t="s">
        <v>97</v>
      </c>
      <c r="E7515" t="s">
        <v>116</v>
      </c>
      <c r="F7515" t="s">
        <v>150</v>
      </c>
      <c r="G7515" t="s">
        <v>175</v>
      </c>
      <c r="H7515" t="s">
        <v>210</v>
      </c>
      <c r="I7515" t="s">
        <v>230</v>
      </c>
      <c r="J7515" t="s">
        <v>249</v>
      </c>
      <c r="K7515" t="s">
        <v>263</v>
      </c>
      <c r="L7515" t="s">
        <v>275</v>
      </c>
      <c r="M7515" t="s">
        <v>284</v>
      </c>
      <c r="N7515" t="s">
        <v>294</v>
      </c>
      <c r="O7515" t="s">
        <v>302</v>
      </c>
      <c r="P7515" t="s">
        <v>310</v>
      </c>
      <c r="Q7515" t="s">
        <v>316</v>
      </c>
      <c r="R7515" t="s">
        <v>322</v>
      </c>
      <c r="S7515" t="s">
        <v>329</v>
      </c>
      <c r="AK7515" t="s">
        <v>365</v>
      </c>
    </row>
    <row r="7516" spans="1:37">
      <c r="A7516" t="s">
        <v>39</v>
      </c>
      <c r="B7516" t="s">
        <v>54</v>
      </c>
      <c r="C7516" t="s">
        <v>54</v>
      </c>
      <c r="D7516" t="s">
        <v>54</v>
      </c>
      <c r="E7516" t="s">
        <v>54</v>
      </c>
      <c r="F7516" t="s">
        <v>54</v>
      </c>
      <c r="G7516" t="s">
        <v>54</v>
      </c>
      <c r="H7516" t="s">
        <v>54</v>
      </c>
      <c r="I7516" t="s">
        <v>54</v>
      </c>
      <c r="J7516" t="s">
        <v>54</v>
      </c>
      <c r="K7516" t="s">
        <v>54</v>
      </c>
      <c r="L7516" t="s">
        <v>54</v>
      </c>
      <c r="M7516" t="s">
        <v>54</v>
      </c>
      <c r="N7516" t="s">
        <v>54</v>
      </c>
      <c r="O7516" t="s">
        <v>54</v>
      </c>
      <c r="P7516" t="s">
        <v>54</v>
      </c>
      <c r="Q7516" t="s">
        <v>54</v>
      </c>
      <c r="R7516" t="s">
        <v>323</v>
      </c>
      <c r="S7516" t="s">
        <v>330</v>
      </c>
      <c r="AK7516" t="s">
        <v>365</v>
      </c>
    </row>
    <row r="7517" spans="1:37">
      <c r="B7517" t="s">
        <v>55</v>
      </c>
      <c r="C7517" t="s">
        <v>78</v>
      </c>
      <c r="D7517" t="s">
        <v>55</v>
      </c>
      <c r="E7517" t="s">
        <v>78</v>
      </c>
      <c r="F7517" t="s">
        <v>55</v>
      </c>
      <c r="G7517" t="s">
        <v>78</v>
      </c>
      <c r="H7517" t="s">
        <v>55</v>
      </c>
      <c r="I7517" t="s">
        <v>78</v>
      </c>
      <c r="J7517" t="s">
        <v>55</v>
      </c>
      <c r="K7517" t="s">
        <v>78</v>
      </c>
      <c r="L7517" t="s">
        <v>55</v>
      </c>
      <c r="M7517" t="s">
        <v>78</v>
      </c>
      <c r="N7517" t="s">
        <v>55</v>
      </c>
      <c r="O7517" t="s">
        <v>78</v>
      </c>
      <c r="P7517" t="s">
        <v>55</v>
      </c>
      <c r="Q7517" t="s">
        <v>78</v>
      </c>
      <c r="R7517" t="s">
        <v>55</v>
      </c>
      <c r="S7517" t="s">
        <v>78</v>
      </c>
      <c r="T7517" t="s">
        <v>55</v>
      </c>
      <c r="U7517" t="s">
        <v>78</v>
      </c>
      <c r="V7517" t="s">
        <v>55</v>
      </c>
      <c r="W7517" t="s">
        <v>78</v>
      </c>
      <c r="X7517" t="s">
        <v>55</v>
      </c>
      <c r="Y7517" t="s">
        <v>78</v>
      </c>
      <c r="Z7517" t="s">
        <v>55</v>
      </c>
      <c r="AA7517" t="s">
        <v>78</v>
      </c>
      <c r="AB7517" t="s">
        <v>55</v>
      </c>
      <c r="AC7517" t="s">
        <v>78</v>
      </c>
      <c r="AD7517" t="s">
        <v>55</v>
      </c>
      <c r="AE7517" t="s">
        <v>78</v>
      </c>
      <c r="AF7517" t="s">
        <v>55</v>
      </c>
      <c r="AG7517" t="s">
        <v>78</v>
      </c>
      <c r="AH7517" t="s">
        <v>55</v>
      </c>
      <c r="AI7517" t="s">
        <v>78</v>
      </c>
      <c r="AK7517" t="s">
        <v>365</v>
      </c>
    </row>
    <row r="7518" spans="1:37">
      <c r="B7518" t="s">
        <v>56</v>
      </c>
      <c r="C7518" t="s">
        <v>56</v>
      </c>
      <c r="D7518" t="s">
        <v>56</v>
      </c>
      <c r="E7518" t="s">
        <v>56</v>
      </c>
      <c r="F7518" t="s">
        <v>56</v>
      </c>
      <c r="G7518" t="s">
        <v>176</v>
      </c>
      <c r="H7518" t="s">
        <v>211</v>
      </c>
      <c r="I7518" t="s">
        <v>231</v>
      </c>
      <c r="J7518" t="s">
        <v>250</v>
      </c>
      <c r="K7518" t="s">
        <v>264</v>
      </c>
      <c r="L7518" t="s">
        <v>276</v>
      </c>
      <c r="M7518" t="s">
        <v>285</v>
      </c>
      <c r="N7518" t="s">
        <v>295</v>
      </c>
      <c r="O7518" t="s">
        <v>303</v>
      </c>
      <c r="P7518" t="s">
        <v>56</v>
      </c>
      <c r="Q7518" t="s">
        <v>317</v>
      </c>
      <c r="R7518" t="s">
        <v>324</v>
      </c>
      <c r="S7518" t="s">
        <v>331</v>
      </c>
      <c r="T7518" t="s">
        <v>334</v>
      </c>
      <c r="U7518" t="s">
        <v>338</v>
      </c>
      <c r="V7518" t="s">
        <v>342</v>
      </c>
      <c r="W7518" t="s">
        <v>346</v>
      </c>
      <c r="X7518" t="s">
        <v>351</v>
      </c>
      <c r="AK7518" t="s">
        <v>365</v>
      </c>
    </row>
    <row r="7519" spans="1:37">
      <c r="B7519" t="s">
        <v>57</v>
      </c>
      <c r="C7519" t="s">
        <v>79</v>
      </c>
      <c r="D7519" t="s">
        <v>98</v>
      </c>
      <c r="E7519" t="s">
        <v>117</v>
      </c>
      <c r="F7519" t="s">
        <v>151</v>
      </c>
      <c r="G7519" t="s">
        <v>177</v>
      </c>
      <c r="H7519" t="s">
        <v>212</v>
      </c>
      <c r="I7519" t="s">
        <v>232</v>
      </c>
      <c r="J7519" t="s">
        <v>251</v>
      </c>
      <c r="K7519" t="s">
        <v>265</v>
      </c>
      <c r="L7519" t="s">
        <v>277</v>
      </c>
      <c r="M7519" t="s">
        <v>286</v>
      </c>
      <c r="N7519" t="s">
        <v>296</v>
      </c>
      <c r="O7519" t="s">
        <v>304</v>
      </c>
      <c r="P7519" t="s">
        <v>311</v>
      </c>
      <c r="Q7519" t="s">
        <v>318</v>
      </c>
      <c r="R7519" t="s">
        <v>185</v>
      </c>
      <c r="S7519" t="s">
        <v>159</v>
      </c>
      <c r="T7519" t="s">
        <v>185</v>
      </c>
      <c r="U7519" t="s">
        <v>339</v>
      </c>
      <c r="V7519" t="s">
        <v>72</v>
      </c>
      <c r="W7519" t="s">
        <v>347</v>
      </c>
      <c r="X7519" t="s">
        <v>72</v>
      </c>
      <c r="Y7519" t="s">
        <v>96</v>
      </c>
      <c r="AK7519" t="s">
        <v>365</v>
      </c>
    </row>
    <row r="7520" spans="1:37">
      <c r="B7520" t="s">
        <v>58</v>
      </c>
      <c r="C7520" t="s">
        <v>80</v>
      </c>
      <c r="D7520" t="s">
        <v>99</v>
      </c>
      <c r="E7520" t="s">
        <v>118</v>
      </c>
      <c r="F7520" t="s">
        <v>152</v>
      </c>
      <c r="G7520" t="s">
        <v>178</v>
      </c>
      <c r="H7520" t="s">
        <v>213</v>
      </c>
      <c r="I7520" t="s">
        <v>233</v>
      </c>
      <c r="J7520" t="s">
        <v>252</v>
      </c>
      <c r="K7520" t="s">
        <v>266</v>
      </c>
      <c r="L7520" t="s">
        <v>278</v>
      </c>
      <c r="M7520" t="s">
        <v>287</v>
      </c>
      <c r="N7520" t="s">
        <v>297</v>
      </c>
      <c r="O7520" t="s">
        <v>305</v>
      </c>
      <c r="P7520" t="s">
        <v>312</v>
      </c>
      <c r="Q7520" t="s">
        <v>319</v>
      </c>
      <c r="R7520">
        <f>&gt;10       ветра      1.5     16   5</f>
        <v>0</v>
      </c>
      <c r="AK7520" t="s">
        <v>365</v>
      </c>
    </row>
    <row r="7521" spans="1:37">
      <c r="A7521" t="s">
        <v>40</v>
      </c>
      <c r="B7521" t="s">
        <v>59</v>
      </c>
      <c r="C7521" t="s">
        <v>81</v>
      </c>
      <c r="D7521" t="s">
        <v>100</v>
      </c>
      <c r="E7521" t="s">
        <v>119</v>
      </c>
      <c r="F7521" t="s">
        <v>153</v>
      </c>
      <c r="G7521" t="s">
        <v>179</v>
      </c>
      <c r="H7521" t="s">
        <v>214</v>
      </c>
      <c r="I7521" t="s">
        <v>234</v>
      </c>
      <c r="AK7521" t="s">
        <v>365</v>
      </c>
    </row>
    <row r="7522" spans="1:37">
      <c r="A7522" t="s">
        <v>40</v>
      </c>
      <c r="B7522" t="s">
        <v>60</v>
      </c>
      <c r="C7522" t="s">
        <v>82</v>
      </c>
      <c r="D7522" t="s">
        <v>101</v>
      </c>
      <c r="E7522" t="s">
        <v>120</v>
      </c>
      <c r="F7522" t="s">
        <v>154</v>
      </c>
      <c r="G7522" t="s">
        <v>180</v>
      </c>
      <c r="H7522" t="s">
        <v>215</v>
      </c>
      <c r="I7522" t="s">
        <v>235</v>
      </c>
      <c r="J7522" t="s">
        <v>253</v>
      </c>
      <c r="K7522" t="s">
        <v>267</v>
      </c>
      <c r="L7522" t="s">
        <v>279</v>
      </c>
      <c r="M7522" t="s">
        <v>288</v>
      </c>
      <c r="N7522" t="s">
        <v>100</v>
      </c>
      <c r="O7522" t="s">
        <v>306</v>
      </c>
      <c r="P7522" t="s">
        <v>313</v>
      </c>
      <c r="Q7522" t="s">
        <v>320</v>
      </c>
      <c r="R7522" t="s">
        <v>325</v>
      </c>
      <c r="S7522" t="s">
        <v>332</v>
      </c>
      <c r="T7522" t="s">
        <v>119</v>
      </c>
      <c r="U7522" t="s">
        <v>234</v>
      </c>
      <c r="V7522" t="s">
        <v>343</v>
      </c>
      <c r="W7522" t="s">
        <v>348</v>
      </c>
      <c r="X7522" t="s">
        <v>352</v>
      </c>
      <c r="Y7522" t="s">
        <v>354</v>
      </c>
      <c r="AK7522" t="s">
        <v>365</v>
      </c>
    </row>
    <row r="7523" spans="1:37">
      <c r="A7523" t="s">
        <v>41</v>
      </c>
      <c r="B7523" t="s">
        <v>61</v>
      </c>
      <c r="C7523" t="s">
        <v>83</v>
      </c>
      <c r="D7523" t="s">
        <v>102</v>
      </c>
      <c r="E7523" t="s">
        <v>121</v>
      </c>
      <c r="F7523" t="s">
        <v>155</v>
      </c>
      <c r="G7523" t="s">
        <v>181</v>
      </c>
      <c r="H7523" t="s">
        <v>216</v>
      </c>
      <c r="I7523" t="s">
        <v>236</v>
      </c>
      <c r="AK7523" t="s">
        <v>365</v>
      </c>
    </row>
    <row r="7524" spans="1:37">
      <c r="A7524" t="s">
        <v>42</v>
      </c>
      <c r="B7524" t="s">
        <v>62</v>
      </c>
      <c r="C7524" t="s">
        <v>84</v>
      </c>
      <c r="D7524" t="s">
        <v>103</v>
      </c>
      <c r="E7524" t="s">
        <v>122</v>
      </c>
      <c r="F7524" t="s">
        <v>156</v>
      </c>
      <c r="G7524" t="s">
        <v>182</v>
      </c>
      <c r="H7524" t="s">
        <v>83</v>
      </c>
      <c r="I7524" t="s">
        <v>237</v>
      </c>
      <c r="J7524" t="s">
        <v>254</v>
      </c>
      <c r="K7524" t="s">
        <v>268</v>
      </c>
      <c r="L7524" t="s">
        <v>280</v>
      </c>
      <c r="M7524" t="s">
        <v>289</v>
      </c>
      <c r="N7524" t="s">
        <v>298</v>
      </c>
      <c r="O7524" t="s">
        <v>307</v>
      </c>
      <c r="P7524" t="s">
        <v>314</v>
      </c>
      <c r="Q7524" t="s">
        <v>216</v>
      </c>
      <c r="R7524" t="s">
        <v>326</v>
      </c>
      <c r="S7524" t="s">
        <v>333</v>
      </c>
      <c r="T7524" t="s">
        <v>335</v>
      </c>
      <c r="U7524" t="s">
        <v>340</v>
      </c>
      <c r="V7524" t="s">
        <v>344</v>
      </c>
      <c r="W7524" t="s">
        <v>349</v>
      </c>
      <c r="AK7524" t="s">
        <v>365</v>
      </c>
    </row>
    <row r="7525" spans="1:37">
      <c r="A7525" t="s">
        <v>43</v>
      </c>
      <c r="B7525" t="s">
        <v>63</v>
      </c>
      <c r="C7525" t="s">
        <v>85</v>
      </c>
      <c r="D7525" t="s">
        <v>104</v>
      </c>
      <c r="E7525" t="s">
        <v>123</v>
      </c>
      <c r="F7525" t="s">
        <v>157</v>
      </c>
      <c r="G7525" t="s">
        <v>183</v>
      </c>
      <c r="AK7525" t="s">
        <v>365</v>
      </c>
    </row>
    <row r="7526" spans="1:37">
      <c r="A7526" t="s">
        <v>44</v>
      </c>
      <c r="B7526" t="s">
        <v>64</v>
      </c>
      <c r="C7526" t="s">
        <v>86</v>
      </c>
      <c r="D7526" t="s">
        <v>105</v>
      </c>
      <c r="E7526" t="s">
        <v>124</v>
      </c>
      <c r="F7526" t="s">
        <v>158</v>
      </c>
      <c r="G7526" t="s">
        <v>184</v>
      </c>
      <c r="AK7526" t="s">
        <v>365</v>
      </c>
    </row>
    <row r="7527" spans="1:37">
      <c r="A7527" t="s">
        <v>45</v>
      </c>
      <c r="B7527" t="s">
        <v>65</v>
      </c>
      <c r="C7527" t="s">
        <v>87</v>
      </c>
      <c r="D7527" t="s">
        <v>106</v>
      </c>
      <c r="E7527" t="s">
        <v>125</v>
      </c>
      <c r="F7527" t="s">
        <v>159</v>
      </c>
      <c r="G7527" t="s">
        <v>185</v>
      </c>
      <c r="H7527" t="s">
        <v>159</v>
      </c>
      <c r="I7527" t="s">
        <v>185</v>
      </c>
      <c r="J7527" t="s">
        <v>255</v>
      </c>
      <c r="AK7527" t="s">
        <v>365</v>
      </c>
    </row>
    <row r="7528" spans="1:37">
      <c r="A7528" t="s">
        <v>46</v>
      </c>
      <c r="B7528" t="s">
        <v>66</v>
      </c>
      <c r="C7528" t="s">
        <v>88</v>
      </c>
      <c r="D7528" t="s">
        <v>76</v>
      </c>
      <c r="E7528" t="s">
        <v>126</v>
      </c>
      <c r="F7528" t="s">
        <v>160</v>
      </c>
      <c r="G7528" t="s">
        <v>186</v>
      </c>
      <c r="H7528" t="s">
        <v>217</v>
      </c>
      <c r="I7528" t="s">
        <v>238</v>
      </c>
      <c r="J7528" t="s">
        <v>256</v>
      </c>
      <c r="K7528" t="s">
        <v>265</v>
      </c>
      <c r="L7528" t="s">
        <v>281</v>
      </c>
      <c r="M7528" t="s">
        <v>290</v>
      </c>
      <c r="N7528" t="s">
        <v>299</v>
      </c>
      <c r="O7528" t="s">
        <v>308</v>
      </c>
      <c r="P7528" t="s">
        <v>228</v>
      </c>
      <c r="Q7528" t="s">
        <v>72</v>
      </c>
      <c r="R7528" t="s">
        <v>327</v>
      </c>
      <c r="S7528" t="s">
        <v>327</v>
      </c>
      <c r="T7528" t="s">
        <v>336</v>
      </c>
      <c r="U7528" t="s">
        <v>336</v>
      </c>
      <c r="V7528" t="s">
        <v>336</v>
      </c>
      <c r="W7528" t="s">
        <v>336</v>
      </c>
      <c r="X7528" t="s">
        <v>353</v>
      </c>
      <c r="AK7528" t="s">
        <v>365</v>
      </c>
    </row>
    <row r="7529" spans="1:37">
      <c r="A7529" t="s">
        <v>37</v>
      </c>
      <c r="B7529" t="s">
        <v>49</v>
      </c>
      <c r="C7529" t="s">
        <v>73</v>
      </c>
      <c r="D7529" t="s">
        <v>94</v>
      </c>
      <c r="E7529" t="s">
        <v>112</v>
      </c>
      <c r="F7529" t="s">
        <v>146</v>
      </c>
      <c r="G7529" t="s">
        <v>172</v>
      </c>
      <c r="H7529" t="s">
        <v>207</v>
      </c>
      <c r="I7529" t="s">
        <v>226</v>
      </c>
      <c r="J7529" t="s">
        <v>246</v>
      </c>
      <c r="K7529" t="s">
        <v>259</v>
      </c>
      <c r="AK7529" t="s">
        <v>365</v>
      </c>
    </row>
    <row r="7530" spans="1:37">
      <c r="A7530" t="s">
        <v>38</v>
      </c>
      <c r="B7530" t="s">
        <v>50</v>
      </c>
      <c r="C7530" t="s">
        <v>74</v>
      </c>
      <c r="D7530" t="s">
        <v>95</v>
      </c>
      <c r="E7530" t="s">
        <v>113</v>
      </c>
      <c r="F7530" t="s">
        <v>147</v>
      </c>
      <c r="G7530" t="s">
        <v>173</v>
      </c>
      <c r="H7530" t="s">
        <v>208</v>
      </c>
      <c r="I7530" t="s">
        <v>227</v>
      </c>
      <c r="J7530" t="s">
        <v>115</v>
      </c>
      <c r="K7530" t="s">
        <v>260</v>
      </c>
      <c r="L7530" t="s">
        <v>273</v>
      </c>
      <c r="M7530" t="s">
        <v>282</v>
      </c>
      <c r="N7530" t="s">
        <v>291</v>
      </c>
      <c r="AK7530" t="s">
        <v>365</v>
      </c>
    </row>
    <row r="7531" spans="1:37">
      <c r="B7531" t="s">
        <v>51</v>
      </c>
      <c r="C7531" t="s">
        <v>75</v>
      </c>
      <c r="D7531" t="s">
        <v>52</v>
      </c>
      <c r="E7531" t="s">
        <v>114</v>
      </c>
      <c r="F7531" t="s">
        <v>148</v>
      </c>
      <c r="G7531" t="s">
        <v>148</v>
      </c>
      <c r="H7531" t="s">
        <v>209</v>
      </c>
      <c r="I7531" t="s">
        <v>228</v>
      </c>
      <c r="J7531" t="s">
        <v>247</v>
      </c>
      <c r="K7531" t="s">
        <v>261</v>
      </c>
      <c r="L7531" t="s">
        <v>274</v>
      </c>
      <c r="M7531" t="s">
        <v>283</v>
      </c>
      <c r="N7531" t="s">
        <v>292</v>
      </c>
      <c r="O7531" t="s">
        <v>300</v>
      </c>
      <c r="AK7531" t="s">
        <v>365</v>
      </c>
    </row>
    <row r="7532" spans="1:37">
      <c r="B7532" t="s">
        <v>52</v>
      </c>
      <c r="C7532" t="s">
        <v>76</v>
      </c>
      <c r="D7532" t="s">
        <v>96</v>
      </c>
      <c r="E7532" t="s">
        <v>115</v>
      </c>
      <c r="F7532" t="s">
        <v>149</v>
      </c>
      <c r="G7532" t="s">
        <v>174</v>
      </c>
      <c r="H7532" t="s">
        <v>96</v>
      </c>
      <c r="I7532" t="s">
        <v>229</v>
      </c>
      <c r="J7532" t="s">
        <v>248</v>
      </c>
      <c r="K7532" t="s">
        <v>262</v>
      </c>
      <c r="L7532" t="s">
        <v>52</v>
      </c>
      <c r="M7532" t="s">
        <v>76</v>
      </c>
      <c r="N7532" t="s">
        <v>293</v>
      </c>
      <c r="O7532" t="s">
        <v>301</v>
      </c>
      <c r="P7532" t="s">
        <v>309</v>
      </c>
      <c r="Q7532" t="s">
        <v>315</v>
      </c>
      <c r="R7532" t="s">
        <v>228</v>
      </c>
      <c r="S7532" t="s">
        <v>328</v>
      </c>
      <c r="T7532" t="s">
        <v>149</v>
      </c>
      <c r="U7532" t="s">
        <v>337</v>
      </c>
      <c r="V7532" t="s">
        <v>341</v>
      </c>
      <c r="W7532" t="s">
        <v>345</v>
      </c>
      <c r="X7532" t="s">
        <v>350</v>
      </c>
      <c r="AK7532" t="s">
        <v>365</v>
      </c>
    </row>
    <row r="7533" spans="1:37">
      <c r="B7533" t="s">
        <v>53</v>
      </c>
      <c r="C7533" t="s">
        <v>77</v>
      </c>
      <c r="D7533" t="s">
        <v>97</v>
      </c>
      <c r="E7533" t="s">
        <v>116</v>
      </c>
      <c r="F7533" t="s">
        <v>150</v>
      </c>
      <c r="G7533" t="s">
        <v>175</v>
      </c>
      <c r="H7533" t="s">
        <v>210</v>
      </c>
      <c r="I7533" t="s">
        <v>230</v>
      </c>
      <c r="J7533" t="s">
        <v>249</v>
      </c>
      <c r="K7533" t="s">
        <v>263</v>
      </c>
      <c r="L7533" t="s">
        <v>275</v>
      </c>
      <c r="M7533" t="s">
        <v>284</v>
      </c>
      <c r="N7533" t="s">
        <v>294</v>
      </c>
      <c r="O7533" t="s">
        <v>302</v>
      </c>
      <c r="P7533" t="s">
        <v>310</v>
      </c>
      <c r="Q7533" t="s">
        <v>316</v>
      </c>
      <c r="R7533" t="s">
        <v>322</v>
      </c>
      <c r="S7533" t="s">
        <v>329</v>
      </c>
      <c r="AK7533" t="s">
        <v>365</v>
      </c>
    </row>
    <row r="7534" spans="1:37">
      <c r="A7534" t="s">
        <v>39</v>
      </c>
      <c r="B7534" t="s">
        <v>54</v>
      </c>
      <c r="C7534" t="s">
        <v>54</v>
      </c>
      <c r="D7534" t="s">
        <v>54</v>
      </c>
      <c r="E7534" t="s">
        <v>54</v>
      </c>
      <c r="F7534" t="s">
        <v>54</v>
      </c>
      <c r="G7534" t="s">
        <v>54</v>
      </c>
      <c r="H7534" t="s">
        <v>54</v>
      </c>
      <c r="I7534" t="s">
        <v>54</v>
      </c>
      <c r="J7534" t="s">
        <v>54</v>
      </c>
      <c r="K7534" t="s">
        <v>54</v>
      </c>
      <c r="L7534" t="s">
        <v>54</v>
      </c>
      <c r="M7534" t="s">
        <v>54</v>
      </c>
      <c r="N7534" t="s">
        <v>54</v>
      </c>
      <c r="O7534" t="s">
        <v>54</v>
      </c>
      <c r="P7534" t="s">
        <v>54</v>
      </c>
      <c r="Q7534" t="s">
        <v>54</v>
      </c>
      <c r="R7534" t="s">
        <v>323</v>
      </c>
      <c r="S7534" t="s">
        <v>330</v>
      </c>
      <c r="AK7534" t="s">
        <v>365</v>
      </c>
    </row>
    <row r="7535" spans="1:37">
      <c r="B7535" t="s">
        <v>55</v>
      </c>
      <c r="C7535" t="s">
        <v>78</v>
      </c>
      <c r="D7535" t="s">
        <v>55</v>
      </c>
      <c r="E7535" t="s">
        <v>78</v>
      </c>
      <c r="F7535" t="s">
        <v>55</v>
      </c>
      <c r="G7535" t="s">
        <v>78</v>
      </c>
      <c r="H7535" t="s">
        <v>55</v>
      </c>
      <c r="I7535" t="s">
        <v>78</v>
      </c>
      <c r="J7535" t="s">
        <v>55</v>
      </c>
      <c r="K7535" t="s">
        <v>78</v>
      </c>
      <c r="L7535" t="s">
        <v>55</v>
      </c>
      <c r="M7535" t="s">
        <v>78</v>
      </c>
      <c r="N7535" t="s">
        <v>55</v>
      </c>
      <c r="O7535" t="s">
        <v>78</v>
      </c>
      <c r="P7535" t="s">
        <v>55</v>
      </c>
      <c r="Q7535" t="s">
        <v>78</v>
      </c>
      <c r="R7535" t="s">
        <v>55</v>
      </c>
      <c r="S7535" t="s">
        <v>78</v>
      </c>
      <c r="T7535" t="s">
        <v>55</v>
      </c>
      <c r="U7535" t="s">
        <v>78</v>
      </c>
      <c r="V7535" t="s">
        <v>55</v>
      </c>
      <c r="W7535" t="s">
        <v>78</v>
      </c>
      <c r="X7535" t="s">
        <v>55</v>
      </c>
      <c r="Y7535" t="s">
        <v>78</v>
      </c>
      <c r="Z7535" t="s">
        <v>55</v>
      </c>
      <c r="AA7535" t="s">
        <v>78</v>
      </c>
      <c r="AB7535" t="s">
        <v>55</v>
      </c>
      <c r="AC7535" t="s">
        <v>78</v>
      </c>
      <c r="AD7535" t="s">
        <v>55</v>
      </c>
      <c r="AE7535" t="s">
        <v>78</v>
      </c>
      <c r="AF7535" t="s">
        <v>55</v>
      </c>
      <c r="AG7535" t="s">
        <v>78</v>
      </c>
      <c r="AH7535" t="s">
        <v>55</v>
      </c>
      <c r="AI7535" t="s">
        <v>78</v>
      </c>
      <c r="AK7535" t="s">
        <v>365</v>
      </c>
    </row>
    <row r="7536" spans="1:37">
      <c r="B7536" t="s">
        <v>56</v>
      </c>
      <c r="C7536" t="s">
        <v>56</v>
      </c>
      <c r="D7536" t="s">
        <v>56</v>
      </c>
      <c r="E7536" t="s">
        <v>56</v>
      </c>
      <c r="F7536" t="s">
        <v>56</v>
      </c>
      <c r="G7536" t="s">
        <v>176</v>
      </c>
      <c r="H7536" t="s">
        <v>211</v>
      </c>
      <c r="I7536" t="s">
        <v>231</v>
      </c>
      <c r="J7536" t="s">
        <v>250</v>
      </c>
      <c r="K7536" t="s">
        <v>264</v>
      </c>
      <c r="L7536" t="s">
        <v>276</v>
      </c>
      <c r="M7536" t="s">
        <v>285</v>
      </c>
      <c r="N7536" t="s">
        <v>295</v>
      </c>
      <c r="O7536" t="s">
        <v>303</v>
      </c>
      <c r="P7536" t="s">
        <v>56</v>
      </c>
      <c r="Q7536" t="s">
        <v>317</v>
      </c>
      <c r="R7536" t="s">
        <v>324</v>
      </c>
      <c r="S7536" t="s">
        <v>331</v>
      </c>
      <c r="T7536" t="s">
        <v>334</v>
      </c>
      <c r="U7536" t="s">
        <v>338</v>
      </c>
      <c r="V7536" t="s">
        <v>342</v>
      </c>
      <c r="W7536" t="s">
        <v>346</v>
      </c>
      <c r="X7536" t="s">
        <v>351</v>
      </c>
      <c r="AK7536" t="s">
        <v>365</v>
      </c>
    </row>
    <row r="7537" spans="1:37">
      <c r="B7537" t="s">
        <v>57</v>
      </c>
      <c r="C7537" t="s">
        <v>79</v>
      </c>
      <c r="D7537" t="s">
        <v>98</v>
      </c>
      <c r="E7537" t="s">
        <v>117</v>
      </c>
      <c r="F7537" t="s">
        <v>151</v>
      </c>
      <c r="G7537" t="s">
        <v>177</v>
      </c>
      <c r="H7537" t="s">
        <v>212</v>
      </c>
      <c r="I7537" t="s">
        <v>232</v>
      </c>
      <c r="J7537" t="s">
        <v>251</v>
      </c>
      <c r="K7537" t="s">
        <v>265</v>
      </c>
      <c r="L7537" t="s">
        <v>277</v>
      </c>
      <c r="M7537" t="s">
        <v>286</v>
      </c>
      <c r="N7537" t="s">
        <v>296</v>
      </c>
      <c r="O7537" t="s">
        <v>304</v>
      </c>
      <c r="P7537" t="s">
        <v>311</v>
      </c>
      <c r="Q7537" t="s">
        <v>318</v>
      </c>
      <c r="R7537" t="s">
        <v>185</v>
      </c>
      <c r="S7537" t="s">
        <v>159</v>
      </c>
      <c r="T7537" t="s">
        <v>185</v>
      </c>
      <c r="U7537" t="s">
        <v>339</v>
      </c>
      <c r="V7537" t="s">
        <v>72</v>
      </c>
      <c r="W7537" t="s">
        <v>347</v>
      </c>
      <c r="X7537" t="s">
        <v>72</v>
      </c>
      <c r="Y7537" t="s">
        <v>96</v>
      </c>
      <c r="AK7537" t="s">
        <v>365</v>
      </c>
    </row>
    <row r="7538" spans="1:37">
      <c r="B7538" t="s">
        <v>58</v>
      </c>
      <c r="C7538" t="s">
        <v>80</v>
      </c>
      <c r="D7538" t="s">
        <v>99</v>
      </c>
      <c r="E7538" t="s">
        <v>118</v>
      </c>
      <c r="F7538" t="s">
        <v>152</v>
      </c>
      <c r="G7538" t="s">
        <v>178</v>
      </c>
      <c r="H7538" t="s">
        <v>213</v>
      </c>
      <c r="I7538" t="s">
        <v>233</v>
      </c>
      <c r="J7538" t="s">
        <v>252</v>
      </c>
      <c r="K7538" t="s">
        <v>266</v>
      </c>
      <c r="L7538" t="s">
        <v>278</v>
      </c>
      <c r="M7538" t="s">
        <v>287</v>
      </c>
      <c r="N7538" t="s">
        <v>297</v>
      </c>
      <c r="O7538" t="s">
        <v>305</v>
      </c>
      <c r="P7538" t="s">
        <v>312</v>
      </c>
      <c r="Q7538" t="s">
        <v>319</v>
      </c>
      <c r="R7538">
        <f>&gt;10       ветра      3.2     19   5</f>
        <v>0</v>
      </c>
      <c r="AK7538" t="s">
        <v>365</v>
      </c>
    </row>
    <row r="7539" spans="1:37">
      <c r="A7539" t="s">
        <v>40</v>
      </c>
      <c r="B7539" t="s">
        <v>59</v>
      </c>
      <c r="C7539" t="s">
        <v>81</v>
      </c>
      <c r="D7539" t="s">
        <v>100</v>
      </c>
      <c r="E7539" t="s">
        <v>119</v>
      </c>
      <c r="F7539" t="s">
        <v>153</v>
      </c>
      <c r="G7539" t="s">
        <v>179</v>
      </c>
      <c r="H7539" t="s">
        <v>214</v>
      </c>
      <c r="I7539" t="s">
        <v>234</v>
      </c>
      <c r="AK7539" t="s">
        <v>365</v>
      </c>
    </row>
    <row r="7540" spans="1:37">
      <c r="A7540" t="s">
        <v>40</v>
      </c>
      <c r="B7540" t="s">
        <v>60</v>
      </c>
      <c r="C7540" t="s">
        <v>82</v>
      </c>
      <c r="D7540" t="s">
        <v>101</v>
      </c>
      <c r="E7540" t="s">
        <v>120</v>
      </c>
      <c r="F7540" t="s">
        <v>154</v>
      </c>
      <c r="G7540" t="s">
        <v>180</v>
      </c>
      <c r="H7540" t="s">
        <v>215</v>
      </c>
      <c r="I7540" t="s">
        <v>235</v>
      </c>
      <c r="J7540" t="s">
        <v>253</v>
      </c>
      <c r="K7540" t="s">
        <v>267</v>
      </c>
      <c r="L7540" t="s">
        <v>279</v>
      </c>
      <c r="M7540" t="s">
        <v>288</v>
      </c>
      <c r="N7540" t="s">
        <v>100</v>
      </c>
      <c r="O7540" t="s">
        <v>306</v>
      </c>
      <c r="P7540" t="s">
        <v>313</v>
      </c>
      <c r="Q7540" t="s">
        <v>320</v>
      </c>
      <c r="R7540" t="s">
        <v>325</v>
      </c>
      <c r="S7540" t="s">
        <v>332</v>
      </c>
      <c r="T7540" t="s">
        <v>119</v>
      </c>
      <c r="U7540" t="s">
        <v>234</v>
      </c>
      <c r="V7540" t="s">
        <v>343</v>
      </c>
      <c r="W7540" t="s">
        <v>348</v>
      </c>
      <c r="X7540" t="s">
        <v>352</v>
      </c>
      <c r="Y7540" t="s">
        <v>354</v>
      </c>
      <c r="AK7540" t="s">
        <v>365</v>
      </c>
    </row>
    <row r="7541" spans="1:37">
      <c r="A7541" t="s">
        <v>41</v>
      </c>
      <c r="B7541" t="s">
        <v>61</v>
      </c>
      <c r="C7541" t="s">
        <v>83</v>
      </c>
      <c r="D7541" t="s">
        <v>102</v>
      </c>
      <c r="E7541" t="s">
        <v>121</v>
      </c>
      <c r="F7541" t="s">
        <v>155</v>
      </c>
      <c r="G7541" t="s">
        <v>181</v>
      </c>
      <c r="H7541" t="s">
        <v>216</v>
      </c>
      <c r="I7541" t="s">
        <v>236</v>
      </c>
      <c r="AK7541" t="s">
        <v>365</v>
      </c>
    </row>
    <row r="7542" spans="1:37">
      <c r="A7542" t="s">
        <v>42</v>
      </c>
      <c r="B7542" t="s">
        <v>62</v>
      </c>
      <c r="C7542" t="s">
        <v>84</v>
      </c>
      <c r="D7542" t="s">
        <v>103</v>
      </c>
      <c r="E7542" t="s">
        <v>122</v>
      </c>
      <c r="F7542" t="s">
        <v>156</v>
      </c>
      <c r="G7542" t="s">
        <v>182</v>
      </c>
      <c r="H7542" t="s">
        <v>83</v>
      </c>
      <c r="I7542" t="s">
        <v>237</v>
      </c>
      <c r="J7542" t="s">
        <v>254</v>
      </c>
      <c r="K7542" t="s">
        <v>268</v>
      </c>
      <c r="L7542" t="s">
        <v>280</v>
      </c>
      <c r="M7542" t="s">
        <v>289</v>
      </c>
      <c r="N7542" t="s">
        <v>298</v>
      </c>
      <c r="O7542" t="s">
        <v>307</v>
      </c>
      <c r="P7542" t="s">
        <v>314</v>
      </c>
      <c r="Q7542" t="s">
        <v>216</v>
      </c>
      <c r="R7542" t="s">
        <v>326</v>
      </c>
      <c r="S7542" t="s">
        <v>333</v>
      </c>
      <c r="T7542" t="s">
        <v>335</v>
      </c>
      <c r="U7542" t="s">
        <v>340</v>
      </c>
      <c r="V7542" t="s">
        <v>344</v>
      </c>
      <c r="W7542" t="s">
        <v>349</v>
      </c>
      <c r="AK7542" t="s">
        <v>365</v>
      </c>
    </row>
    <row r="7543" spans="1:37">
      <c r="A7543" t="s">
        <v>43</v>
      </c>
      <c r="B7543" t="s">
        <v>63</v>
      </c>
      <c r="C7543" t="s">
        <v>85</v>
      </c>
      <c r="D7543" t="s">
        <v>104</v>
      </c>
      <c r="E7543" t="s">
        <v>123</v>
      </c>
      <c r="F7543" t="s">
        <v>157</v>
      </c>
      <c r="G7543" t="s">
        <v>183</v>
      </c>
      <c r="AK7543" t="s">
        <v>365</v>
      </c>
    </row>
    <row r="7544" spans="1:37">
      <c r="A7544" t="s">
        <v>44</v>
      </c>
      <c r="B7544" t="s">
        <v>64</v>
      </c>
      <c r="C7544" t="s">
        <v>86</v>
      </c>
      <c r="D7544" t="s">
        <v>105</v>
      </c>
      <c r="E7544" t="s">
        <v>124</v>
      </c>
      <c r="F7544" t="s">
        <v>158</v>
      </c>
      <c r="G7544" t="s">
        <v>184</v>
      </c>
      <c r="AK7544" t="s">
        <v>365</v>
      </c>
    </row>
    <row r="7545" spans="1:37">
      <c r="A7545" t="s">
        <v>45</v>
      </c>
      <c r="B7545" t="s">
        <v>65</v>
      </c>
      <c r="C7545" t="s">
        <v>87</v>
      </c>
      <c r="D7545" t="s">
        <v>106</v>
      </c>
      <c r="E7545" t="s">
        <v>125</v>
      </c>
      <c r="F7545" t="s">
        <v>159</v>
      </c>
      <c r="G7545" t="s">
        <v>185</v>
      </c>
      <c r="H7545" t="s">
        <v>159</v>
      </c>
      <c r="I7545" t="s">
        <v>185</v>
      </c>
      <c r="J7545" t="s">
        <v>255</v>
      </c>
      <c r="AK7545" t="s">
        <v>365</v>
      </c>
    </row>
    <row r="7546" spans="1:37">
      <c r="A7546" t="s">
        <v>46</v>
      </c>
      <c r="B7546" t="s">
        <v>66</v>
      </c>
      <c r="C7546" t="s">
        <v>88</v>
      </c>
      <c r="D7546" t="s">
        <v>76</v>
      </c>
      <c r="E7546" t="s">
        <v>126</v>
      </c>
      <c r="F7546" t="s">
        <v>160</v>
      </c>
      <c r="G7546" t="s">
        <v>186</v>
      </c>
      <c r="H7546" t="s">
        <v>217</v>
      </c>
      <c r="I7546" t="s">
        <v>238</v>
      </c>
      <c r="J7546" t="s">
        <v>256</v>
      </c>
      <c r="K7546" t="s">
        <v>265</v>
      </c>
      <c r="L7546" t="s">
        <v>281</v>
      </c>
      <c r="M7546" t="s">
        <v>290</v>
      </c>
      <c r="N7546" t="s">
        <v>299</v>
      </c>
      <c r="O7546" t="s">
        <v>308</v>
      </c>
      <c r="P7546" t="s">
        <v>228</v>
      </c>
      <c r="Q7546" t="s">
        <v>72</v>
      </c>
      <c r="R7546" t="s">
        <v>327</v>
      </c>
      <c r="S7546" t="s">
        <v>327</v>
      </c>
      <c r="T7546" t="s">
        <v>336</v>
      </c>
      <c r="U7546" t="s">
        <v>336</v>
      </c>
      <c r="V7546" t="s">
        <v>336</v>
      </c>
      <c r="W7546" t="s">
        <v>336</v>
      </c>
      <c r="X7546" t="s">
        <v>353</v>
      </c>
      <c r="AK7546" t="s">
        <v>365</v>
      </c>
    </row>
    <row r="7547" spans="1:37">
      <c r="B7547" t="s">
        <v>67</v>
      </c>
      <c r="C7547" t="s">
        <v>89</v>
      </c>
      <c r="D7547" t="s">
        <v>107</v>
      </c>
      <c r="AK7547" t="s">
        <v>365</v>
      </c>
    </row>
    <row r="7548" spans="1:37">
      <c r="B7548" t="s">
        <v>68</v>
      </c>
      <c r="C7548" t="s">
        <v>90</v>
      </c>
      <c r="D7548" t="s">
        <v>108</v>
      </c>
      <c r="AK7548" t="s">
        <v>365</v>
      </c>
    </row>
    <row r="7549" spans="1:37">
      <c r="A7549" t="s">
        <v>47</v>
      </c>
      <c r="B7549" t="s">
        <v>69</v>
      </c>
      <c r="C7549" t="s">
        <v>91</v>
      </c>
      <c r="D7549" t="s">
        <v>109</v>
      </c>
      <c r="E7549" t="s">
        <v>109</v>
      </c>
      <c r="F7549" t="s">
        <v>109</v>
      </c>
      <c r="G7549" t="s">
        <v>109</v>
      </c>
      <c r="H7549" t="s">
        <v>109</v>
      </c>
      <c r="I7549" t="s">
        <v>239</v>
      </c>
      <c r="AK7549" t="s">
        <v>365</v>
      </c>
    </row>
    <row r="7550" spans="1:37">
      <c r="B7550" t="s">
        <v>70</v>
      </c>
      <c r="C7550" t="s">
        <v>92</v>
      </c>
      <c r="D7550" t="s">
        <v>110</v>
      </c>
      <c r="E7550" t="s">
        <v>127</v>
      </c>
      <c r="F7550" t="s">
        <v>161</v>
      </c>
      <c r="G7550" t="s">
        <v>187</v>
      </c>
      <c r="H7550" t="s">
        <v>218</v>
      </c>
      <c r="AK7550" t="s">
        <v>365</v>
      </c>
    </row>
    <row r="7551" spans="1:37">
      <c r="B7551" t="s">
        <v>71</v>
      </c>
      <c r="C7551" t="s">
        <v>93</v>
      </c>
      <c r="D7551" t="s">
        <v>111</v>
      </c>
      <c r="E7551" t="s">
        <v>128</v>
      </c>
      <c r="F7551" t="s">
        <v>162</v>
      </c>
      <c r="G7551" t="s">
        <v>188</v>
      </c>
      <c r="H7551" t="s">
        <v>219</v>
      </c>
      <c r="I7551" t="s">
        <v>240</v>
      </c>
      <c r="J7551" t="s">
        <v>257</v>
      </c>
      <c r="K7551" t="s">
        <v>269</v>
      </c>
      <c r="L7551" t="s">
        <v>109</v>
      </c>
      <c r="M7551" t="s">
        <v>109</v>
      </c>
      <c r="N7551" t="s">
        <v>109</v>
      </c>
      <c r="O7551" t="s">
        <v>109</v>
      </c>
      <c r="P7551" t="s">
        <v>109</v>
      </c>
      <c r="Q7551" t="s">
        <v>321</v>
      </c>
      <c r="AK7551" t="s">
        <v>365</v>
      </c>
    </row>
    <row r="7552" spans="1:37">
      <c r="A7552" t="s">
        <v>48</v>
      </c>
      <c r="B7552" t="s">
        <v>71</v>
      </c>
      <c r="C7552" t="s">
        <v>93</v>
      </c>
      <c r="D7552" t="s">
        <v>111</v>
      </c>
      <c r="E7552" t="s">
        <v>128</v>
      </c>
      <c r="F7552" t="s">
        <v>163</v>
      </c>
      <c r="G7552" t="s">
        <v>189</v>
      </c>
      <c r="H7552" t="s">
        <v>220</v>
      </c>
      <c r="I7552" t="s">
        <v>241</v>
      </c>
      <c r="J7552" t="s">
        <v>258</v>
      </c>
      <c r="K7552" t="s">
        <v>270</v>
      </c>
      <c r="AK7552" t="s">
        <v>365</v>
      </c>
    </row>
    <row r="7553" spans="1:37">
      <c r="B7553" t="s">
        <v>72</v>
      </c>
      <c r="C7553" t="s">
        <v>72</v>
      </c>
      <c r="D7553" t="s">
        <v>72</v>
      </c>
      <c r="E7553" t="s">
        <v>136</v>
      </c>
      <c r="F7553" t="s">
        <v>139</v>
      </c>
      <c r="G7553" t="s">
        <v>192</v>
      </c>
      <c r="H7553" t="s">
        <v>192</v>
      </c>
      <c r="I7553" t="s">
        <v>192</v>
      </c>
      <c r="J7553" t="s">
        <v>192</v>
      </c>
      <c r="K7553" t="s">
        <v>272</v>
      </c>
      <c r="AK7553" t="s">
        <v>365</v>
      </c>
    </row>
    <row r="7554" spans="1:37">
      <c r="A7554" t="s">
        <v>37</v>
      </c>
      <c r="B7554" t="s">
        <v>49</v>
      </c>
      <c r="C7554" t="s">
        <v>73</v>
      </c>
      <c r="D7554" t="s">
        <v>94</v>
      </c>
      <c r="E7554" t="s">
        <v>112</v>
      </c>
      <c r="F7554" t="s">
        <v>146</v>
      </c>
      <c r="G7554" t="s">
        <v>172</v>
      </c>
      <c r="H7554" t="s">
        <v>207</v>
      </c>
      <c r="I7554" t="s">
        <v>226</v>
      </c>
      <c r="J7554" t="s">
        <v>246</v>
      </c>
      <c r="K7554" t="s">
        <v>259</v>
      </c>
      <c r="AK7554" t="s">
        <v>365</v>
      </c>
    </row>
    <row r="7555" spans="1:37">
      <c r="A7555" t="s">
        <v>38</v>
      </c>
      <c r="B7555" t="s">
        <v>50</v>
      </c>
      <c r="C7555" t="s">
        <v>74</v>
      </c>
      <c r="D7555" t="s">
        <v>95</v>
      </c>
      <c r="E7555" t="s">
        <v>113</v>
      </c>
      <c r="F7555" t="s">
        <v>147</v>
      </c>
      <c r="G7555" t="s">
        <v>173</v>
      </c>
      <c r="H7555" t="s">
        <v>208</v>
      </c>
      <c r="I7555" t="s">
        <v>227</v>
      </c>
      <c r="J7555" t="s">
        <v>115</v>
      </c>
      <c r="K7555" t="s">
        <v>260</v>
      </c>
      <c r="L7555" t="s">
        <v>273</v>
      </c>
      <c r="M7555" t="s">
        <v>282</v>
      </c>
      <c r="N7555" t="s">
        <v>291</v>
      </c>
      <c r="AK7555" t="s">
        <v>365</v>
      </c>
    </row>
    <row r="7556" spans="1:37">
      <c r="B7556" t="s">
        <v>51</v>
      </c>
      <c r="C7556" t="s">
        <v>75</v>
      </c>
      <c r="D7556" t="s">
        <v>52</v>
      </c>
      <c r="E7556" t="s">
        <v>114</v>
      </c>
      <c r="F7556" t="s">
        <v>148</v>
      </c>
      <c r="G7556" t="s">
        <v>148</v>
      </c>
      <c r="H7556" t="s">
        <v>209</v>
      </c>
      <c r="I7556" t="s">
        <v>228</v>
      </c>
      <c r="J7556" t="s">
        <v>247</v>
      </c>
      <c r="K7556" t="s">
        <v>261</v>
      </c>
      <c r="L7556" t="s">
        <v>274</v>
      </c>
      <c r="M7556" t="s">
        <v>283</v>
      </c>
      <c r="N7556" t="s">
        <v>292</v>
      </c>
      <c r="O7556" t="s">
        <v>300</v>
      </c>
      <c r="AK7556" t="s">
        <v>365</v>
      </c>
    </row>
    <row r="7557" spans="1:37">
      <c r="B7557" t="s">
        <v>52</v>
      </c>
      <c r="C7557" t="s">
        <v>76</v>
      </c>
      <c r="D7557" t="s">
        <v>96</v>
      </c>
      <c r="E7557" t="s">
        <v>115</v>
      </c>
      <c r="F7557" t="s">
        <v>149</v>
      </c>
      <c r="G7557" t="s">
        <v>174</v>
      </c>
      <c r="H7557" t="s">
        <v>96</v>
      </c>
      <c r="I7557" t="s">
        <v>229</v>
      </c>
      <c r="J7557" t="s">
        <v>248</v>
      </c>
      <c r="K7557" t="s">
        <v>262</v>
      </c>
      <c r="L7557" t="s">
        <v>52</v>
      </c>
      <c r="M7557" t="s">
        <v>76</v>
      </c>
      <c r="N7557" t="s">
        <v>293</v>
      </c>
      <c r="O7557" t="s">
        <v>301</v>
      </c>
      <c r="P7557" t="s">
        <v>309</v>
      </c>
      <c r="Q7557" t="s">
        <v>315</v>
      </c>
      <c r="R7557" t="s">
        <v>228</v>
      </c>
      <c r="S7557" t="s">
        <v>328</v>
      </c>
      <c r="T7557" t="s">
        <v>149</v>
      </c>
      <c r="U7557" t="s">
        <v>337</v>
      </c>
      <c r="V7557" t="s">
        <v>341</v>
      </c>
      <c r="W7557" t="s">
        <v>345</v>
      </c>
      <c r="X7557" t="s">
        <v>350</v>
      </c>
      <c r="AK7557" t="s">
        <v>365</v>
      </c>
    </row>
    <row r="7558" spans="1:37">
      <c r="B7558" t="s">
        <v>53</v>
      </c>
      <c r="C7558" t="s">
        <v>77</v>
      </c>
      <c r="D7558" t="s">
        <v>97</v>
      </c>
      <c r="E7558" t="s">
        <v>116</v>
      </c>
      <c r="F7558" t="s">
        <v>150</v>
      </c>
      <c r="G7558" t="s">
        <v>175</v>
      </c>
      <c r="H7558" t="s">
        <v>210</v>
      </c>
      <c r="I7558" t="s">
        <v>230</v>
      </c>
      <c r="J7558" t="s">
        <v>249</v>
      </c>
      <c r="K7558" t="s">
        <v>263</v>
      </c>
      <c r="L7558" t="s">
        <v>275</v>
      </c>
      <c r="M7558" t="s">
        <v>284</v>
      </c>
      <c r="N7558" t="s">
        <v>294</v>
      </c>
      <c r="O7558" t="s">
        <v>302</v>
      </c>
      <c r="P7558" t="s">
        <v>310</v>
      </c>
      <c r="Q7558" t="s">
        <v>316</v>
      </c>
      <c r="R7558" t="s">
        <v>322</v>
      </c>
      <c r="S7558" t="s">
        <v>329</v>
      </c>
      <c r="AK7558" t="s">
        <v>365</v>
      </c>
    </row>
    <row r="7559" spans="1:37">
      <c r="A7559" t="s">
        <v>39</v>
      </c>
      <c r="B7559" t="s">
        <v>54</v>
      </c>
      <c r="C7559" t="s">
        <v>54</v>
      </c>
      <c r="D7559" t="s">
        <v>54</v>
      </c>
      <c r="E7559" t="s">
        <v>54</v>
      </c>
      <c r="F7559" t="s">
        <v>54</v>
      </c>
      <c r="G7559" t="s">
        <v>54</v>
      </c>
      <c r="H7559" t="s">
        <v>54</v>
      </c>
      <c r="I7559" t="s">
        <v>54</v>
      </c>
      <c r="J7559" t="s">
        <v>54</v>
      </c>
      <c r="K7559" t="s">
        <v>54</v>
      </c>
      <c r="L7559" t="s">
        <v>54</v>
      </c>
      <c r="M7559" t="s">
        <v>54</v>
      </c>
      <c r="N7559" t="s">
        <v>54</v>
      </c>
      <c r="O7559" t="s">
        <v>54</v>
      </c>
      <c r="P7559" t="s">
        <v>54</v>
      </c>
      <c r="Q7559" t="s">
        <v>54</v>
      </c>
      <c r="R7559" t="s">
        <v>323</v>
      </c>
      <c r="S7559" t="s">
        <v>330</v>
      </c>
      <c r="AK7559" t="s">
        <v>365</v>
      </c>
    </row>
    <row r="7560" spans="1:37">
      <c r="B7560" t="s">
        <v>55</v>
      </c>
      <c r="C7560" t="s">
        <v>78</v>
      </c>
      <c r="D7560" t="s">
        <v>55</v>
      </c>
      <c r="E7560" t="s">
        <v>78</v>
      </c>
      <c r="F7560" t="s">
        <v>55</v>
      </c>
      <c r="G7560" t="s">
        <v>78</v>
      </c>
      <c r="H7560" t="s">
        <v>55</v>
      </c>
      <c r="I7560" t="s">
        <v>78</v>
      </c>
      <c r="J7560" t="s">
        <v>55</v>
      </c>
      <c r="K7560" t="s">
        <v>78</v>
      </c>
      <c r="L7560" t="s">
        <v>55</v>
      </c>
      <c r="M7560" t="s">
        <v>78</v>
      </c>
      <c r="N7560" t="s">
        <v>55</v>
      </c>
      <c r="O7560" t="s">
        <v>78</v>
      </c>
      <c r="P7560" t="s">
        <v>55</v>
      </c>
      <c r="Q7560" t="s">
        <v>78</v>
      </c>
      <c r="R7560" t="s">
        <v>55</v>
      </c>
      <c r="S7560" t="s">
        <v>78</v>
      </c>
      <c r="T7560" t="s">
        <v>55</v>
      </c>
      <c r="U7560" t="s">
        <v>78</v>
      </c>
      <c r="V7560" t="s">
        <v>55</v>
      </c>
      <c r="W7560" t="s">
        <v>78</v>
      </c>
      <c r="X7560" t="s">
        <v>55</v>
      </c>
      <c r="Y7560" t="s">
        <v>78</v>
      </c>
      <c r="Z7560" t="s">
        <v>55</v>
      </c>
      <c r="AA7560" t="s">
        <v>78</v>
      </c>
      <c r="AB7560" t="s">
        <v>55</v>
      </c>
      <c r="AC7560" t="s">
        <v>78</v>
      </c>
      <c r="AD7560" t="s">
        <v>55</v>
      </c>
      <c r="AE7560" t="s">
        <v>78</v>
      </c>
      <c r="AF7560" t="s">
        <v>55</v>
      </c>
      <c r="AG7560" t="s">
        <v>78</v>
      </c>
      <c r="AH7560" t="s">
        <v>55</v>
      </c>
      <c r="AI7560" t="s">
        <v>78</v>
      </c>
      <c r="AK7560" t="s">
        <v>365</v>
      </c>
    </row>
    <row r="7561" spans="1:37">
      <c r="B7561" t="s">
        <v>56</v>
      </c>
      <c r="C7561" t="s">
        <v>56</v>
      </c>
      <c r="D7561" t="s">
        <v>56</v>
      </c>
      <c r="E7561" t="s">
        <v>56</v>
      </c>
      <c r="F7561" t="s">
        <v>56</v>
      </c>
      <c r="G7561" t="s">
        <v>176</v>
      </c>
      <c r="H7561" t="s">
        <v>211</v>
      </c>
      <c r="I7561" t="s">
        <v>231</v>
      </c>
      <c r="J7561" t="s">
        <v>250</v>
      </c>
      <c r="K7561" t="s">
        <v>264</v>
      </c>
      <c r="L7561" t="s">
        <v>276</v>
      </c>
      <c r="M7561" t="s">
        <v>285</v>
      </c>
      <c r="N7561" t="s">
        <v>295</v>
      </c>
      <c r="O7561" t="s">
        <v>303</v>
      </c>
      <c r="P7561" t="s">
        <v>56</v>
      </c>
      <c r="Q7561" t="s">
        <v>317</v>
      </c>
      <c r="R7561" t="s">
        <v>324</v>
      </c>
      <c r="S7561" t="s">
        <v>331</v>
      </c>
      <c r="T7561" t="s">
        <v>334</v>
      </c>
      <c r="U7561" t="s">
        <v>338</v>
      </c>
      <c r="V7561" t="s">
        <v>342</v>
      </c>
      <c r="W7561" t="s">
        <v>346</v>
      </c>
      <c r="X7561" t="s">
        <v>351</v>
      </c>
      <c r="AK7561" t="s">
        <v>365</v>
      </c>
    </row>
    <row r="7562" spans="1:37">
      <c r="B7562" t="s">
        <v>57</v>
      </c>
      <c r="C7562" t="s">
        <v>79</v>
      </c>
      <c r="D7562" t="s">
        <v>98</v>
      </c>
      <c r="E7562" t="s">
        <v>117</v>
      </c>
      <c r="F7562" t="s">
        <v>151</v>
      </c>
      <c r="G7562" t="s">
        <v>177</v>
      </c>
      <c r="H7562" t="s">
        <v>212</v>
      </c>
      <c r="I7562" t="s">
        <v>232</v>
      </c>
      <c r="J7562" t="s">
        <v>251</v>
      </c>
      <c r="K7562" t="s">
        <v>265</v>
      </c>
      <c r="L7562" t="s">
        <v>277</v>
      </c>
      <c r="M7562" t="s">
        <v>286</v>
      </c>
      <c r="N7562" t="s">
        <v>296</v>
      </c>
      <c r="O7562" t="s">
        <v>304</v>
      </c>
      <c r="P7562" t="s">
        <v>311</v>
      </c>
      <c r="Q7562" t="s">
        <v>318</v>
      </c>
      <c r="R7562" t="s">
        <v>185</v>
      </c>
      <c r="S7562" t="s">
        <v>159</v>
      </c>
      <c r="T7562" t="s">
        <v>185</v>
      </c>
      <c r="U7562" t="s">
        <v>339</v>
      </c>
      <c r="V7562" t="s">
        <v>72</v>
      </c>
      <c r="W7562" t="s">
        <v>347</v>
      </c>
      <c r="X7562" t="s">
        <v>72</v>
      </c>
      <c r="Y7562" t="s">
        <v>96</v>
      </c>
      <c r="AK7562" t="s">
        <v>365</v>
      </c>
    </row>
    <row r="7563" spans="1:37">
      <c r="B7563" t="s">
        <v>58</v>
      </c>
      <c r="C7563" t="s">
        <v>80</v>
      </c>
      <c r="D7563" t="s">
        <v>99</v>
      </c>
      <c r="E7563" t="s">
        <v>118</v>
      </c>
      <c r="F7563" t="s">
        <v>152</v>
      </c>
      <c r="G7563" t="s">
        <v>178</v>
      </c>
      <c r="H7563" t="s">
        <v>213</v>
      </c>
      <c r="I7563" t="s">
        <v>233</v>
      </c>
      <c r="J7563" t="s">
        <v>252</v>
      </c>
      <c r="K7563" t="s">
        <v>266</v>
      </c>
      <c r="L7563" t="s">
        <v>278</v>
      </c>
      <c r="M7563" t="s">
        <v>287</v>
      </c>
      <c r="N7563" t="s">
        <v>297</v>
      </c>
      <c r="O7563" t="s">
        <v>305</v>
      </c>
      <c r="P7563" t="s">
        <v>312</v>
      </c>
      <c r="Q7563" t="s">
        <v>319</v>
      </c>
      <c r="R7563">
        <f>&gt;10       ветра      4.6     16   4</f>
        <v>0</v>
      </c>
      <c r="AK7563" t="s">
        <v>365</v>
      </c>
    </row>
    <row r="7564" spans="1:37">
      <c r="A7564" t="s">
        <v>40</v>
      </c>
      <c r="B7564" t="s">
        <v>59</v>
      </c>
      <c r="C7564" t="s">
        <v>81</v>
      </c>
      <c r="D7564" t="s">
        <v>100</v>
      </c>
      <c r="E7564" t="s">
        <v>119</v>
      </c>
      <c r="F7564" t="s">
        <v>153</v>
      </c>
      <c r="G7564" t="s">
        <v>179</v>
      </c>
      <c r="H7564" t="s">
        <v>214</v>
      </c>
      <c r="I7564" t="s">
        <v>234</v>
      </c>
      <c r="AK7564" t="s">
        <v>365</v>
      </c>
    </row>
    <row r="7565" spans="1:37">
      <c r="A7565" t="s">
        <v>40</v>
      </c>
      <c r="B7565" t="s">
        <v>60</v>
      </c>
      <c r="C7565" t="s">
        <v>82</v>
      </c>
      <c r="D7565" t="s">
        <v>101</v>
      </c>
      <c r="E7565" t="s">
        <v>120</v>
      </c>
      <c r="F7565" t="s">
        <v>154</v>
      </c>
      <c r="G7565" t="s">
        <v>180</v>
      </c>
      <c r="H7565" t="s">
        <v>215</v>
      </c>
      <c r="I7565" t="s">
        <v>235</v>
      </c>
      <c r="J7565" t="s">
        <v>253</v>
      </c>
      <c r="K7565" t="s">
        <v>267</v>
      </c>
      <c r="L7565" t="s">
        <v>279</v>
      </c>
      <c r="M7565" t="s">
        <v>288</v>
      </c>
      <c r="N7565" t="s">
        <v>100</v>
      </c>
      <c r="O7565" t="s">
        <v>306</v>
      </c>
      <c r="P7565" t="s">
        <v>313</v>
      </c>
      <c r="Q7565" t="s">
        <v>320</v>
      </c>
      <c r="R7565" t="s">
        <v>325</v>
      </c>
      <c r="S7565" t="s">
        <v>332</v>
      </c>
      <c r="T7565" t="s">
        <v>119</v>
      </c>
      <c r="U7565" t="s">
        <v>234</v>
      </c>
      <c r="V7565" t="s">
        <v>343</v>
      </c>
      <c r="W7565" t="s">
        <v>348</v>
      </c>
      <c r="X7565" t="s">
        <v>352</v>
      </c>
      <c r="Y7565" t="s">
        <v>354</v>
      </c>
      <c r="AK7565" t="s">
        <v>365</v>
      </c>
    </row>
    <row r="7566" spans="1:37">
      <c r="A7566" t="s">
        <v>41</v>
      </c>
      <c r="B7566" t="s">
        <v>61</v>
      </c>
      <c r="C7566" t="s">
        <v>83</v>
      </c>
      <c r="D7566" t="s">
        <v>102</v>
      </c>
      <c r="E7566" t="s">
        <v>121</v>
      </c>
      <c r="F7566" t="s">
        <v>155</v>
      </c>
      <c r="G7566" t="s">
        <v>181</v>
      </c>
      <c r="H7566" t="s">
        <v>216</v>
      </c>
      <c r="I7566" t="s">
        <v>236</v>
      </c>
      <c r="AK7566" t="s">
        <v>365</v>
      </c>
    </row>
    <row r="7567" spans="1:37">
      <c r="A7567" t="s">
        <v>42</v>
      </c>
      <c r="B7567" t="s">
        <v>62</v>
      </c>
      <c r="C7567" t="s">
        <v>84</v>
      </c>
      <c r="D7567" t="s">
        <v>103</v>
      </c>
      <c r="E7567" t="s">
        <v>122</v>
      </c>
      <c r="F7567" t="s">
        <v>156</v>
      </c>
      <c r="G7567" t="s">
        <v>182</v>
      </c>
      <c r="H7567" t="s">
        <v>83</v>
      </c>
      <c r="I7567" t="s">
        <v>237</v>
      </c>
      <c r="J7567" t="s">
        <v>254</v>
      </c>
      <c r="K7567" t="s">
        <v>268</v>
      </c>
      <c r="L7567" t="s">
        <v>280</v>
      </c>
      <c r="M7567" t="s">
        <v>289</v>
      </c>
      <c r="N7567" t="s">
        <v>298</v>
      </c>
      <c r="O7567" t="s">
        <v>307</v>
      </c>
      <c r="P7567" t="s">
        <v>314</v>
      </c>
      <c r="Q7567" t="s">
        <v>216</v>
      </c>
      <c r="R7567" t="s">
        <v>326</v>
      </c>
      <c r="S7567" t="s">
        <v>333</v>
      </c>
      <c r="T7567" t="s">
        <v>335</v>
      </c>
      <c r="U7567" t="s">
        <v>340</v>
      </c>
      <c r="V7567" t="s">
        <v>344</v>
      </c>
      <c r="W7567" t="s">
        <v>349</v>
      </c>
      <c r="AK7567" t="s">
        <v>365</v>
      </c>
    </row>
    <row r="7568" spans="1:37">
      <c r="A7568" t="s">
        <v>43</v>
      </c>
      <c r="B7568" t="s">
        <v>63</v>
      </c>
      <c r="C7568" t="s">
        <v>85</v>
      </c>
      <c r="D7568" t="s">
        <v>104</v>
      </c>
      <c r="E7568" t="s">
        <v>123</v>
      </c>
      <c r="F7568" t="s">
        <v>157</v>
      </c>
      <c r="G7568" t="s">
        <v>183</v>
      </c>
      <c r="AK7568" t="s">
        <v>365</v>
      </c>
    </row>
    <row r="7569" spans="1:37">
      <c r="A7569" t="s">
        <v>44</v>
      </c>
      <c r="B7569" t="s">
        <v>64</v>
      </c>
      <c r="C7569" t="s">
        <v>86</v>
      </c>
      <c r="D7569" t="s">
        <v>105</v>
      </c>
      <c r="E7569" t="s">
        <v>124</v>
      </c>
      <c r="F7569" t="s">
        <v>158</v>
      </c>
      <c r="G7569" t="s">
        <v>184</v>
      </c>
      <c r="AK7569" t="s">
        <v>365</v>
      </c>
    </row>
    <row r="7570" spans="1:37">
      <c r="A7570" t="s">
        <v>45</v>
      </c>
      <c r="B7570" t="s">
        <v>65</v>
      </c>
      <c r="C7570" t="s">
        <v>87</v>
      </c>
      <c r="D7570" t="s">
        <v>106</v>
      </c>
      <c r="E7570" t="s">
        <v>125</v>
      </c>
      <c r="F7570" t="s">
        <v>159</v>
      </c>
      <c r="G7570" t="s">
        <v>185</v>
      </c>
      <c r="H7570" t="s">
        <v>159</v>
      </c>
      <c r="I7570" t="s">
        <v>185</v>
      </c>
      <c r="J7570" t="s">
        <v>255</v>
      </c>
      <c r="AK7570" t="s">
        <v>365</v>
      </c>
    </row>
    <row r="7571" spans="1:37">
      <c r="A7571" t="s">
        <v>46</v>
      </c>
      <c r="B7571" t="s">
        <v>66</v>
      </c>
      <c r="C7571" t="s">
        <v>88</v>
      </c>
      <c r="D7571" t="s">
        <v>76</v>
      </c>
      <c r="E7571" t="s">
        <v>126</v>
      </c>
      <c r="F7571" t="s">
        <v>160</v>
      </c>
      <c r="G7571" t="s">
        <v>186</v>
      </c>
      <c r="H7571" t="s">
        <v>217</v>
      </c>
      <c r="I7571" t="s">
        <v>238</v>
      </c>
      <c r="J7571" t="s">
        <v>256</v>
      </c>
      <c r="K7571" t="s">
        <v>265</v>
      </c>
      <c r="L7571" t="s">
        <v>281</v>
      </c>
      <c r="M7571" t="s">
        <v>290</v>
      </c>
      <c r="N7571" t="s">
        <v>299</v>
      </c>
      <c r="O7571" t="s">
        <v>308</v>
      </c>
      <c r="P7571" t="s">
        <v>228</v>
      </c>
      <c r="Q7571" t="s">
        <v>72</v>
      </c>
      <c r="R7571" t="s">
        <v>327</v>
      </c>
      <c r="S7571" t="s">
        <v>327</v>
      </c>
      <c r="T7571" t="s">
        <v>336</v>
      </c>
      <c r="U7571" t="s">
        <v>336</v>
      </c>
      <c r="V7571" t="s">
        <v>336</v>
      </c>
      <c r="W7571" t="s">
        <v>336</v>
      </c>
      <c r="X7571" t="s">
        <v>353</v>
      </c>
      <c r="AK7571" t="s">
        <v>365</v>
      </c>
    </row>
    <row r="7572" spans="1:37">
      <c r="B7572" t="s">
        <v>67</v>
      </c>
      <c r="C7572" t="s">
        <v>89</v>
      </c>
      <c r="D7572" t="s">
        <v>107</v>
      </c>
      <c r="AK7572" t="s">
        <v>365</v>
      </c>
    </row>
    <row r="7573" spans="1:37">
      <c r="B7573" t="s">
        <v>68</v>
      </c>
      <c r="C7573" t="s">
        <v>90</v>
      </c>
      <c r="D7573" t="s">
        <v>108</v>
      </c>
      <c r="AK7573" t="s">
        <v>365</v>
      </c>
    </row>
    <row r="7574" spans="1:37">
      <c r="A7574" t="s">
        <v>47</v>
      </c>
      <c r="B7574" t="s">
        <v>69</v>
      </c>
      <c r="C7574" t="s">
        <v>91</v>
      </c>
      <c r="D7574" t="s">
        <v>109</v>
      </c>
      <c r="E7574" t="s">
        <v>109</v>
      </c>
      <c r="F7574" t="s">
        <v>109</v>
      </c>
      <c r="G7574" t="s">
        <v>109</v>
      </c>
      <c r="H7574" t="s">
        <v>109</v>
      </c>
      <c r="I7574" t="s">
        <v>239</v>
      </c>
      <c r="AK7574" t="s">
        <v>365</v>
      </c>
    </row>
    <row r="7575" spans="1:37">
      <c r="B7575" t="s">
        <v>70</v>
      </c>
      <c r="C7575" t="s">
        <v>92</v>
      </c>
      <c r="D7575" t="s">
        <v>110</v>
      </c>
      <c r="E7575" t="s">
        <v>127</v>
      </c>
      <c r="F7575" t="s">
        <v>161</v>
      </c>
      <c r="G7575" t="s">
        <v>187</v>
      </c>
      <c r="H7575" t="s">
        <v>218</v>
      </c>
      <c r="AK7575" t="s">
        <v>365</v>
      </c>
    </row>
    <row r="7576" spans="1:37">
      <c r="B7576" t="s">
        <v>71</v>
      </c>
      <c r="C7576" t="s">
        <v>93</v>
      </c>
      <c r="D7576" t="s">
        <v>111</v>
      </c>
      <c r="E7576" t="s">
        <v>128</v>
      </c>
      <c r="F7576" t="s">
        <v>162</v>
      </c>
      <c r="G7576" t="s">
        <v>188</v>
      </c>
      <c r="H7576" t="s">
        <v>219</v>
      </c>
      <c r="I7576" t="s">
        <v>240</v>
      </c>
      <c r="J7576" t="s">
        <v>257</v>
      </c>
      <c r="K7576" t="s">
        <v>269</v>
      </c>
      <c r="L7576" t="s">
        <v>109</v>
      </c>
      <c r="M7576" t="s">
        <v>109</v>
      </c>
      <c r="N7576" t="s">
        <v>109</v>
      </c>
      <c r="O7576" t="s">
        <v>109</v>
      </c>
      <c r="P7576" t="s">
        <v>109</v>
      </c>
      <c r="Q7576" t="s">
        <v>321</v>
      </c>
      <c r="AK7576" t="s">
        <v>365</v>
      </c>
    </row>
    <row r="7577" spans="1:37">
      <c r="A7577" t="s">
        <v>48</v>
      </c>
      <c r="B7577" t="s">
        <v>71</v>
      </c>
      <c r="C7577" t="s">
        <v>93</v>
      </c>
      <c r="D7577" t="s">
        <v>111</v>
      </c>
      <c r="E7577" t="s">
        <v>128</v>
      </c>
      <c r="F7577" t="s">
        <v>163</v>
      </c>
      <c r="G7577" t="s">
        <v>189</v>
      </c>
      <c r="H7577" t="s">
        <v>220</v>
      </c>
      <c r="I7577" t="s">
        <v>241</v>
      </c>
      <c r="J7577" t="s">
        <v>258</v>
      </c>
      <c r="K7577" t="s">
        <v>270</v>
      </c>
      <c r="AK7577" t="s">
        <v>365</v>
      </c>
    </row>
    <row r="7578" spans="1:37">
      <c r="B7578" t="s">
        <v>72</v>
      </c>
      <c r="C7578" t="s">
        <v>72</v>
      </c>
      <c r="D7578" t="s">
        <v>72</v>
      </c>
      <c r="E7578" t="s">
        <v>141</v>
      </c>
      <c r="F7578" t="s">
        <v>139</v>
      </c>
      <c r="G7578" t="s">
        <v>192</v>
      </c>
      <c r="H7578" t="s">
        <v>192</v>
      </c>
      <c r="I7578" t="s">
        <v>192</v>
      </c>
      <c r="J7578" t="s">
        <v>192</v>
      </c>
      <c r="K7578" t="s">
        <v>271</v>
      </c>
      <c r="AK7578" t="s">
        <v>365</v>
      </c>
    </row>
    <row r="7579" spans="1:37">
      <c r="A7579" t="s">
        <v>37</v>
      </c>
      <c r="B7579" t="s">
        <v>49</v>
      </c>
      <c r="C7579" t="s">
        <v>73</v>
      </c>
      <c r="D7579" t="s">
        <v>94</v>
      </c>
      <c r="E7579" t="s">
        <v>112</v>
      </c>
      <c r="F7579" t="s">
        <v>146</v>
      </c>
      <c r="G7579" t="s">
        <v>172</v>
      </c>
      <c r="H7579" t="s">
        <v>207</v>
      </c>
      <c r="I7579" t="s">
        <v>226</v>
      </c>
      <c r="J7579" t="s">
        <v>246</v>
      </c>
      <c r="K7579" t="s">
        <v>259</v>
      </c>
      <c r="AK7579" t="s">
        <v>365</v>
      </c>
    </row>
    <row r="7580" spans="1:37">
      <c r="A7580" t="s">
        <v>38</v>
      </c>
      <c r="B7580" t="s">
        <v>50</v>
      </c>
      <c r="C7580" t="s">
        <v>74</v>
      </c>
      <c r="D7580" t="s">
        <v>95</v>
      </c>
      <c r="E7580" t="s">
        <v>113</v>
      </c>
      <c r="F7580" t="s">
        <v>147</v>
      </c>
      <c r="G7580" t="s">
        <v>173</v>
      </c>
      <c r="H7580" t="s">
        <v>208</v>
      </c>
      <c r="I7580" t="s">
        <v>227</v>
      </c>
      <c r="J7580" t="s">
        <v>115</v>
      </c>
      <c r="K7580" t="s">
        <v>260</v>
      </c>
      <c r="L7580" t="s">
        <v>273</v>
      </c>
      <c r="M7580" t="s">
        <v>282</v>
      </c>
      <c r="N7580" t="s">
        <v>291</v>
      </c>
      <c r="AK7580" t="s">
        <v>365</v>
      </c>
    </row>
    <row r="7581" spans="1:37">
      <c r="B7581" t="s">
        <v>51</v>
      </c>
      <c r="C7581" t="s">
        <v>75</v>
      </c>
      <c r="D7581" t="s">
        <v>52</v>
      </c>
      <c r="E7581" t="s">
        <v>114</v>
      </c>
      <c r="F7581" t="s">
        <v>148</v>
      </c>
      <c r="G7581" t="s">
        <v>148</v>
      </c>
      <c r="H7581" t="s">
        <v>209</v>
      </c>
      <c r="I7581" t="s">
        <v>228</v>
      </c>
      <c r="J7581" t="s">
        <v>247</v>
      </c>
      <c r="K7581" t="s">
        <v>261</v>
      </c>
      <c r="L7581" t="s">
        <v>274</v>
      </c>
      <c r="M7581" t="s">
        <v>283</v>
      </c>
      <c r="N7581" t="s">
        <v>292</v>
      </c>
      <c r="O7581" t="s">
        <v>300</v>
      </c>
      <c r="AK7581" t="s">
        <v>365</v>
      </c>
    </row>
    <row r="7582" spans="1:37">
      <c r="B7582" t="s">
        <v>52</v>
      </c>
      <c r="C7582" t="s">
        <v>76</v>
      </c>
      <c r="D7582" t="s">
        <v>96</v>
      </c>
      <c r="E7582" t="s">
        <v>115</v>
      </c>
      <c r="F7582" t="s">
        <v>149</v>
      </c>
      <c r="G7582" t="s">
        <v>174</v>
      </c>
      <c r="H7582" t="s">
        <v>96</v>
      </c>
      <c r="I7582" t="s">
        <v>229</v>
      </c>
      <c r="J7582" t="s">
        <v>248</v>
      </c>
      <c r="K7582" t="s">
        <v>262</v>
      </c>
      <c r="L7582" t="s">
        <v>52</v>
      </c>
      <c r="M7582" t="s">
        <v>76</v>
      </c>
      <c r="N7582" t="s">
        <v>293</v>
      </c>
      <c r="O7582" t="s">
        <v>301</v>
      </c>
      <c r="P7582" t="s">
        <v>309</v>
      </c>
      <c r="Q7582" t="s">
        <v>315</v>
      </c>
      <c r="R7582" t="s">
        <v>228</v>
      </c>
      <c r="S7582" t="s">
        <v>328</v>
      </c>
      <c r="T7582" t="s">
        <v>149</v>
      </c>
      <c r="U7582" t="s">
        <v>337</v>
      </c>
      <c r="V7582" t="s">
        <v>341</v>
      </c>
      <c r="W7582" t="s">
        <v>345</v>
      </c>
      <c r="X7582" t="s">
        <v>350</v>
      </c>
      <c r="AK7582" t="s">
        <v>365</v>
      </c>
    </row>
    <row r="7583" spans="1:37">
      <c r="B7583" t="s">
        <v>53</v>
      </c>
      <c r="C7583" t="s">
        <v>77</v>
      </c>
      <c r="D7583" t="s">
        <v>97</v>
      </c>
      <c r="E7583" t="s">
        <v>116</v>
      </c>
      <c r="F7583" t="s">
        <v>150</v>
      </c>
      <c r="G7583" t="s">
        <v>175</v>
      </c>
      <c r="H7583" t="s">
        <v>210</v>
      </c>
      <c r="I7583" t="s">
        <v>230</v>
      </c>
      <c r="J7583" t="s">
        <v>249</v>
      </c>
      <c r="K7583" t="s">
        <v>263</v>
      </c>
      <c r="L7583" t="s">
        <v>275</v>
      </c>
      <c r="M7583" t="s">
        <v>284</v>
      </c>
      <c r="N7583" t="s">
        <v>294</v>
      </c>
      <c r="O7583" t="s">
        <v>302</v>
      </c>
      <c r="P7583" t="s">
        <v>310</v>
      </c>
      <c r="Q7583" t="s">
        <v>316</v>
      </c>
      <c r="R7583" t="s">
        <v>322</v>
      </c>
      <c r="S7583" t="s">
        <v>329</v>
      </c>
      <c r="AK7583" t="s">
        <v>365</v>
      </c>
    </row>
    <row r="7584" spans="1:37">
      <c r="A7584" t="s">
        <v>39</v>
      </c>
      <c r="B7584" t="s">
        <v>54</v>
      </c>
      <c r="C7584" t="s">
        <v>54</v>
      </c>
      <c r="D7584" t="s">
        <v>54</v>
      </c>
      <c r="E7584" t="s">
        <v>54</v>
      </c>
      <c r="F7584" t="s">
        <v>54</v>
      </c>
      <c r="G7584" t="s">
        <v>54</v>
      </c>
      <c r="H7584" t="s">
        <v>54</v>
      </c>
      <c r="I7584" t="s">
        <v>54</v>
      </c>
      <c r="J7584" t="s">
        <v>54</v>
      </c>
      <c r="K7584" t="s">
        <v>54</v>
      </c>
      <c r="L7584" t="s">
        <v>54</v>
      </c>
      <c r="M7584" t="s">
        <v>54</v>
      </c>
      <c r="N7584" t="s">
        <v>54</v>
      </c>
      <c r="O7584" t="s">
        <v>54</v>
      </c>
      <c r="P7584" t="s">
        <v>54</v>
      </c>
      <c r="Q7584" t="s">
        <v>54</v>
      </c>
      <c r="R7584" t="s">
        <v>323</v>
      </c>
      <c r="S7584" t="s">
        <v>330</v>
      </c>
      <c r="AK7584" t="s">
        <v>365</v>
      </c>
    </row>
    <row r="7585" spans="1:37">
      <c r="B7585" t="s">
        <v>55</v>
      </c>
      <c r="C7585" t="s">
        <v>78</v>
      </c>
      <c r="D7585" t="s">
        <v>55</v>
      </c>
      <c r="E7585" t="s">
        <v>78</v>
      </c>
      <c r="F7585" t="s">
        <v>55</v>
      </c>
      <c r="G7585" t="s">
        <v>78</v>
      </c>
      <c r="H7585" t="s">
        <v>55</v>
      </c>
      <c r="I7585" t="s">
        <v>78</v>
      </c>
      <c r="J7585" t="s">
        <v>55</v>
      </c>
      <c r="K7585" t="s">
        <v>78</v>
      </c>
      <c r="L7585" t="s">
        <v>55</v>
      </c>
      <c r="M7585" t="s">
        <v>78</v>
      </c>
      <c r="N7585" t="s">
        <v>55</v>
      </c>
      <c r="O7585" t="s">
        <v>78</v>
      </c>
      <c r="P7585" t="s">
        <v>55</v>
      </c>
      <c r="Q7585" t="s">
        <v>78</v>
      </c>
      <c r="R7585" t="s">
        <v>55</v>
      </c>
      <c r="S7585" t="s">
        <v>78</v>
      </c>
      <c r="T7585" t="s">
        <v>55</v>
      </c>
      <c r="U7585" t="s">
        <v>78</v>
      </c>
      <c r="V7585" t="s">
        <v>55</v>
      </c>
      <c r="W7585" t="s">
        <v>78</v>
      </c>
      <c r="X7585" t="s">
        <v>55</v>
      </c>
      <c r="Y7585" t="s">
        <v>78</v>
      </c>
      <c r="Z7585" t="s">
        <v>55</v>
      </c>
      <c r="AA7585" t="s">
        <v>78</v>
      </c>
      <c r="AB7585" t="s">
        <v>55</v>
      </c>
      <c r="AC7585" t="s">
        <v>78</v>
      </c>
      <c r="AD7585" t="s">
        <v>55</v>
      </c>
      <c r="AE7585" t="s">
        <v>78</v>
      </c>
      <c r="AF7585" t="s">
        <v>55</v>
      </c>
      <c r="AG7585" t="s">
        <v>78</v>
      </c>
      <c r="AH7585" t="s">
        <v>55</v>
      </c>
      <c r="AI7585" t="s">
        <v>78</v>
      </c>
      <c r="AK7585" t="s">
        <v>365</v>
      </c>
    </row>
    <row r="7586" spans="1:37">
      <c r="B7586" t="s">
        <v>56</v>
      </c>
      <c r="C7586" t="s">
        <v>56</v>
      </c>
      <c r="D7586" t="s">
        <v>56</v>
      </c>
      <c r="E7586" t="s">
        <v>56</v>
      </c>
      <c r="F7586" t="s">
        <v>56</v>
      </c>
      <c r="G7586" t="s">
        <v>176</v>
      </c>
      <c r="H7586" t="s">
        <v>211</v>
      </c>
      <c r="I7586" t="s">
        <v>231</v>
      </c>
      <c r="J7586" t="s">
        <v>250</v>
      </c>
      <c r="K7586" t="s">
        <v>264</v>
      </c>
      <c r="L7586" t="s">
        <v>276</v>
      </c>
      <c r="M7586" t="s">
        <v>285</v>
      </c>
      <c r="N7586" t="s">
        <v>295</v>
      </c>
      <c r="O7586" t="s">
        <v>303</v>
      </c>
      <c r="P7586" t="s">
        <v>56</v>
      </c>
      <c r="Q7586" t="s">
        <v>317</v>
      </c>
      <c r="R7586" t="s">
        <v>324</v>
      </c>
      <c r="S7586" t="s">
        <v>331</v>
      </c>
      <c r="T7586" t="s">
        <v>334</v>
      </c>
      <c r="U7586" t="s">
        <v>338</v>
      </c>
      <c r="V7586" t="s">
        <v>342</v>
      </c>
      <c r="W7586" t="s">
        <v>346</v>
      </c>
      <c r="X7586" t="s">
        <v>351</v>
      </c>
      <c r="AK7586" t="s">
        <v>365</v>
      </c>
    </row>
    <row r="7587" spans="1:37">
      <c r="B7587" t="s">
        <v>57</v>
      </c>
      <c r="C7587" t="s">
        <v>79</v>
      </c>
      <c r="D7587" t="s">
        <v>98</v>
      </c>
      <c r="E7587" t="s">
        <v>117</v>
      </c>
      <c r="F7587" t="s">
        <v>151</v>
      </c>
      <c r="G7587" t="s">
        <v>177</v>
      </c>
      <c r="H7587" t="s">
        <v>212</v>
      </c>
      <c r="I7587" t="s">
        <v>232</v>
      </c>
      <c r="J7587" t="s">
        <v>251</v>
      </c>
      <c r="K7587" t="s">
        <v>265</v>
      </c>
      <c r="L7587" t="s">
        <v>277</v>
      </c>
      <c r="M7587" t="s">
        <v>286</v>
      </c>
      <c r="N7587" t="s">
        <v>296</v>
      </c>
      <c r="O7587" t="s">
        <v>304</v>
      </c>
      <c r="P7587" t="s">
        <v>311</v>
      </c>
      <c r="Q7587" t="s">
        <v>318</v>
      </c>
      <c r="R7587" t="s">
        <v>185</v>
      </c>
      <c r="S7587" t="s">
        <v>159</v>
      </c>
      <c r="T7587" t="s">
        <v>185</v>
      </c>
      <c r="U7587" t="s">
        <v>339</v>
      </c>
      <c r="V7587" t="s">
        <v>72</v>
      </c>
      <c r="W7587" t="s">
        <v>347</v>
      </c>
      <c r="X7587" t="s">
        <v>72</v>
      </c>
      <c r="Y7587" t="s">
        <v>96</v>
      </c>
      <c r="AK7587" t="s">
        <v>365</v>
      </c>
    </row>
    <row r="7588" spans="1:37">
      <c r="B7588" t="s">
        <v>58</v>
      </c>
      <c r="C7588" t="s">
        <v>80</v>
      </c>
      <c r="D7588" t="s">
        <v>99</v>
      </c>
      <c r="E7588" t="s">
        <v>118</v>
      </c>
      <c r="F7588" t="s">
        <v>152</v>
      </c>
      <c r="G7588" t="s">
        <v>178</v>
      </c>
      <c r="H7588" t="s">
        <v>213</v>
      </c>
      <c r="I7588" t="s">
        <v>233</v>
      </c>
      <c r="J7588" t="s">
        <v>252</v>
      </c>
      <c r="K7588" t="s">
        <v>266</v>
      </c>
      <c r="L7588" t="s">
        <v>278</v>
      </c>
      <c r="M7588" t="s">
        <v>287</v>
      </c>
      <c r="N7588" t="s">
        <v>297</v>
      </c>
      <c r="O7588" t="s">
        <v>305</v>
      </c>
      <c r="P7588" t="s">
        <v>312</v>
      </c>
      <c r="Q7588" t="s">
        <v>319</v>
      </c>
      <c r="R7588">
        <f>&gt;10       ветра      3.7     23   4</f>
        <v>0</v>
      </c>
      <c r="AK7588" t="s">
        <v>365</v>
      </c>
    </row>
    <row r="7589" spans="1:37">
      <c r="A7589" t="s">
        <v>40</v>
      </c>
      <c r="B7589" t="s">
        <v>59</v>
      </c>
      <c r="C7589" t="s">
        <v>81</v>
      </c>
      <c r="D7589" t="s">
        <v>100</v>
      </c>
      <c r="E7589" t="s">
        <v>119</v>
      </c>
      <c r="F7589" t="s">
        <v>153</v>
      </c>
      <c r="G7589" t="s">
        <v>179</v>
      </c>
      <c r="H7589" t="s">
        <v>214</v>
      </c>
      <c r="I7589" t="s">
        <v>234</v>
      </c>
      <c r="AK7589" t="s">
        <v>365</v>
      </c>
    </row>
    <row r="7590" spans="1:37">
      <c r="A7590" t="s">
        <v>40</v>
      </c>
      <c r="B7590" t="s">
        <v>60</v>
      </c>
      <c r="C7590" t="s">
        <v>82</v>
      </c>
      <c r="D7590" t="s">
        <v>101</v>
      </c>
      <c r="E7590" t="s">
        <v>120</v>
      </c>
      <c r="F7590" t="s">
        <v>154</v>
      </c>
      <c r="G7590" t="s">
        <v>180</v>
      </c>
      <c r="H7590" t="s">
        <v>215</v>
      </c>
      <c r="I7590" t="s">
        <v>235</v>
      </c>
      <c r="J7590" t="s">
        <v>253</v>
      </c>
      <c r="K7590" t="s">
        <v>267</v>
      </c>
      <c r="L7590" t="s">
        <v>279</v>
      </c>
      <c r="M7590" t="s">
        <v>288</v>
      </c>
      <c r="N7590" t="s">
        <v>100</v>
      </c>
      <c r="O7590" t="s">
        <v>306</v>
      </c>
      <c r="P7590" t="s">
        <v>313</v>
      </c>
      <c r="Q7590" t="s">
        <v>320</v>
      </c>
      <c r="R7590" t="s">
        <v>325</v>
      </c>
      <c r="S7590" t="s">
        <v>332</v>
      </c>
      <c r="T7590" t="s">
        <v>119</v>
      </c>
      <c r="U7590" t="s">
        <v>234</v>
      </c>
      <c r="V7590" t="s">
        <v>343</v>
      </c>
      <c r="W7590" t="s">
        <v>348</v>
      </c>
      <c r="X7590" t="s">
        <v>352</v>
      </c>
      <c r="Y7590" t="s">
        <v>354</v>
      </c>
      <c r="AK7590" t="s">
        <v>365</v>
      </c>
    </row>
    <row r="7591" spans="1:37">
      <c r="A7591" t="s">
        <v>41</v>
      </c>
      <c r="B7591" t="s">
        <v>61</v>
      </c>
      <c r="C7591" t="s">
        <v>83</v>
      </c>
      <c r="D7591" t="s">
        <v>102</v>
      </c>
      <c r="E7591" t="s">
        <v>121</v>
      </c>
      <c r="F7591" t="s">
        <v>155</v>
      </c>
      <c r="G7591" t="s">
        <v>181</v>
      </c>
      <c r="H7591" t="s">
        <v>216</v>
      </c>
      <c r="I7591" t="s">
        <v>236</v>
      </c>
      <c r="AK7591" t="s">
        <v>365</v>
      </c>
    </row>
    <row r="7592" spans="1:37">
      <c r="A7592" t="s">
        <v>42</v>
      </c>
      <c r="B7592" t="s">
        <v>62</v>
      </c>
      <c r="C7592" t="s">
        <v>84</v>
      </c>
      <c r="D7592" t="s">
        <v>103</v>
      </c>
      <c r="E7592" t="s">
        <v>122</v>
      </c>
      <c r="F7592" t="s">
        <v>156</v>
      </c>
      <c r="G7592" t="s">
        <v>182</v>
      </c>
      <c r="H7592" t="s">
        <v>83</v>
      </c>
      <c r="I7592" t="s">
        <v>237</v>
      </c>
      <c r="J7592" t="s">
        <v>254</v>
      </c>
      <c r="K7592" t="s">
        <v>268</v>
      </c>
      <c r="L7592" t="s">
        <v>280</v>
      </c>
      <c r="M7592" t="s">
        <v>289</v>
      </c>
      <c r="N7592" t="s">
        <v>298</v>
      </c>
      <c r="O7592" t="s">
        <v>307</v>
      </c>
      <c r="P7592" t="s">
        <v>314</v>
      </c>
      <c r="Q7592" t="s">
        <v>216</v>
      </c>
      <c r="R7592" t="s">
        <v>326</v>
      </c>
      <c r="S7592" t="s">
        <v>333</v>
      </c>
      <c r="T7592" t="s">
        <v>335</v>
      </c>
      <c r="U7592" t="s">
        <v>340</v>
      </c>
      <c r="V7592" t="s">
        <v>344</v>
      </c>
      <c r="W7592" t="s">
        <v>349</v>
      </c>
      <c r="AK7592" t="s">
        <v>365</v>
      </c>
    </row>
    <row r="7593" spans="1:37">
      <c r="A7593" t="s">
        <v>43</v>
      </c>
      <c r="B7593" t="s">
        <v>63</v>
      </c>
      <c r="C7593" t="s">
        <v>85</v>
      </c>
      <c r="D7593" t="s">
        <v>104</v>
      </c>
      <c r="E7593" t="s">
        <v>123</v>
      </c>
      <c r="F7593" t="s">
        <v>157</v>
      </c>
      <c r="G7593" t="s">
        <v>183</v>
      </c>
      <c r="AK7593" t="s">
        <v>365</v>
      </c>
    </row>
    <row r="7594" spans="1:37">
      <c r="A7594" t="s">
        <v>44</v>
      </c>
      <c r="B7594" t="s">
        <v>64</v>
      </c>
      <c r="C7594" t="s">
        <v>86</v>
      </c>
      <c r="D7594" t="s">
        <v>105</v>
      </c>
      <c r="E7594" t="s">
        <v>124</v>
      </c>
      <c r="F7594" t="s">
        <v>158</v>
      </c>
      <c r="G7594" t="s">
        <v>184</v>
      </c>
      <c r="AK7594" t="s">
        <v>365</v>
      </c>
    </row>
    <row r="7595" spans="1:37">
      <c r="A7595" t="s">
        <v>45</v>
      </c>
      <c r="B7595" t="s">
        <v>65</v>
      </c>
      <c r="C7595" t="s">
        <v>87</v>
      </c>
      <c r="D7595" t="s">
        <v>106</v>
      </c>
      <c r="E7595" t="s">
        <v>125</v>
      </c>
      <c r="F7595" t="s">
        <v>159</v>
      </c>
      <c r="G7595" t="s">
        <v>185</v>
      </c>
      <c r="H7595" t="s">
        <v>159</v>
      </c>
      <c r="I7595" t="s">
        <v>185</v>
      </c>
      <c r="J7595" t="s">
        <v>255</v>
      </c>
      <c r="AK7595" t="s">
        <v>365</v>
      </c>
    </row>
    <row r="7596" spans="1:37">
      <c r="A7596" t="s">
        <v>46</v>
      </c>
      <c r="B7596" t="s">
        <v>66</v>
      </c>
      <c r="C7596" t="s">
        <v>88</v>
      </c>
      <c r="D7596" t="s">
        <v>76</v>
      </c>
      <c r="E7596" t="s">
        <v>126</v>
      </c>
      <c r="F7596" t="s">
        <v>160</v>
      </c>
      <c r="G7596" t="s">
        <v>186</v>
      </c>
      <c r="H7596" t="s">
        <v>217</v>
      </c>
      <c r="I7596" t="s">
        <v>238</v>
      </c>
      <c r="J7596" t="s">
        <v>256</v>
      </c>
      <c r="K7596" t="s">
        <v>265</v>
      </c>
      <c r="L7596" t="s">
        <v>281</v>
      </c>
      <c r="M7596" t="s">
        <v>290</v>
      </c>
      <c r="N7596" t="s">
        <v>299</v>
      </c>
      <c r="O7596" t="s">
        <v>308</v>
      </c>
      <c r="P7596" t="s">
        <v>228</v>
      </c>
      <c r="Q7596" t="s">
        <v>72</v>
      </c>
      <c r="R7596" t="s">
        <v>327</v>
      </c>
      <c r="S7596" t="s">
        <v>327</v>
      </c>
      <c r="T7596" t="s">
        <v>336</v>
      </c>
      <c r="U7596" t="s">
        <v>336</v>
      </c>
      <c r="V7596" t="s">
        <v>336</v>
      </c>
      <c r="W7596" t="s">
        <v>336</v>
      </c>
      <c r="X7596" t="s">
        <v>353</v>
      </c>
      <c r="AK7596" t="s">
        <v>365</v>
      </c>
    </row>
    <row r="7597" spans="1:37">
      <c r="A7597" t="s">
        <v>37</v>
      </c>
      <c r="B7597" t="s">
        <v>49</v>
      </c>
      <c r="C7597" t="s">
        <v>73</v>
      </c>
      <c r="D7597" t="s">
        <v>94</v>
      </c>
      <c r="E7597" t="s">
        <v>112</v>
      </c>
      <c r="F7597" t="s">
        <v>146</v>
      </c>
      <c r="G7597" t="s">
        <v>172</v>
      </c>
      <c r="H7597" t="s">
        <v>207</v>
      </c>
      <c r="I7597" t="s">
        <v>226</v>
      </c>
      <c r="J7597" t="s">
        <v>246</v>
      </c>
      <c r="K7597" t="s">
        <v>259</v>
      </c>
      <c r="AK7597" t="s">
        <v>365</v>
      </c>
    </row>
    <row r="7598" spans="1:37">
      <c r="A7598" t="s">
        <v>38</v>
      </c>
      <c r="B7598" t="s">
        <v>50</v>
      </c>
      <c r="C7598" t="s">
        <v>74</v>
      </c>
      <c r="D7598" t="s">
        <v>95</v>
      </c>
      <c r="E7598" t="s">
        <v>113</v>
      </c>
      <c r="F7598" t="s">
        <v>147</v>
      </c>
      <c r="G7598" t="s">
        <v>173</v>
      </c>
      <c r="H7598" t="s">
        <v>208</v>
      </c>
      <c r="I7598" t="s">
        <v>227</v>
      </c>
      <c r="J7598" t="s">
        <v>115</v>
      </c>
      <c r="K7598" t="s">
        <v>260</v>
      </c>
      <c r="L7598" t="s">
        <v>273</v>
      </c>
      <c r="M7598" t="s">
        <v>282</v>
      </c>
      <c r="N7598" t="s">
        <v>291</v>
      </c>
      <c r="AK7598" t="s">
        <v>365</v>
      </c>
    </row>
    <row r="7599" spans="1:37">
      <c r="B7599" t="s">
        <v>51</v>
      </c>
      <c r="C7599" t="s">
        <v>75</v>
      </c>
      <c r="D7599" t="s">
        <v>52</v>
      </c>
      <c r="E7599" t="s">
        <v>114</v>
      </c>
      <c r="F7599" t="s">
        <v>148</v>
      </c>
      <c r="G7599" t="s">
        <v>148</v>
      </c>
      <c r="H7599" t="s">
        <v>209</v>
      </c>
      <c r="I7599" t="s">
        <v>228</v>
      </c>
      <c r="J7599" t="s">
        <v>247</v>
      </c>
      <c r="K7599" t="s">
        <v>261</v>
      </c>
      <c r="L7599" t="s">
        <v>274</v>
      </c>
      <c r="M7599" t="s">
        <v>283</v>
      </c>
      <c r="N7599" t="s">
        <v>292</v>
      </c>
      <c r="O7599" t="s">
        <v>300</v>
      </c>
      <c r="AK7599" t="s">
        <v>365</v>
      </c>
    </row>
    <row r="7600" spans="1:37">
      <c r="B7600" t="s">
        <v>52</v>
      </c>
      <c r="C7600" t="s">
        <v>76</v>
      </c>
      <c r="D7600" t="s">
        <v>96</v>
      </c>
      <c r="E7600" t="s">
        <v>115</v>
      </c>
      <c r="F7600" t="s">
        <v>149</v>
      </c>
      <c r="G7600" t="s">
        <v>174</v>
      </c>
      <c r="H7600" t="s">
        <v>96</v>
      </c>
      <c r="I7600" t="s">
        <v>229</v>
      </c>
      <c r="J7600" t="s">
        <v>248</v>
      </c>
      <c r="K7600" t="s">
        <v>262</v>
      </c>
      <c r="L7600" t="s">
        <v>52</v>
      </c>
      <c r="M7600" t="s">
        <v>76</v>
      </c>
      <c r="N7600" t="s">
        <v>293</v>
      </c>
      <c r="O7600" t="s">
        <v>301</v>
      </c>
      <c r="P7600" t="s">
        <v>309</v>
      </c>
      <c r="Q7600" t="s">
        <v>315</v>
      </c>
      <c r="R7600" t="s">
        <v>228</v>
      </c>
      <c r="S7600" t="s">
        <v>328</v>
      </c>
      <c r="T7600" t="s">
        <v>149</v>
      </c>
      <c r="U7600" t="s">
        <v>337</v>
      </c>
      <c r="V7600" t="s">
        <v>341</v>
      </c>
      <c r="W7600" t="s">
        <v>345</v>
      </c>
      <c r="X7600" t="s">
        <v>350</v>
      </c>
      <c r="AK7600" t="s">
        <v>365</v>
      </c>
    </row>
    <row r="7601" spans="1:37">
      <c r="B7601" t="s">
        <v>53</v>
      </c>
      <c r="C7601" t="s">
        <v>77</v>
      </c>
      <c r="D7601" t="s">
        <v>97</v>
      </c>
      <c r="E7601" t="s">
        <v>116</v>
      </c>
      <c r="F7601" t="s">
        <v>150</v>
      </c>
      <c r="G7601" t="s">
        <v>175</v>
      </c>
      <c r="H7601" t="s">
        <v>210</v>
      </c>
      <c r="I7601" t="s">
        <v>230</v>
      </c>
      <c r="J7601" t="s">
        <v>249</v>
      </c>
      <c r="K7601" t="s">
        <v>263</v>
      </c>
      <c r="L7601" t="s">
        <v>275</v>
      </c>
      <c r="M7601" t="s">
        <v>284</v>
      </c>
      <c r="N7601" t="s">
        <v>294</v>
      </c>
      <c r="O7601" t="s">
        <v>302</v>
      </c>
      <c r="P7601" t="s">
        <v>310</v>
      </c>
      <c r="Q7601" t="s">
        <v>316</v>
      </c>
      <c r="R7601" t="s">
        <v>322</v>
      </c>
      <c r="S7601" t="s">
        <v>329</v>
      </c>
      <c r="AK7601" t="s">
        <v>365</v>
      </c>
    </row>
    <row r="7602" spans="1:37">
      <c r="A7602" t="s">
        <v>39</v>
      </c>
      <c r="B7602" t="s">
        <v>54</v>
      </c>
      <c r="C7602" t="s">
        <v>54</v>
      </c>
      <c r="D7602" t="s">
        <v>54</v>
      </c>
      <c r="E7602" t="s">
        <v>54</v>
      </c>
      <c r="F7602" t="s">
        <v>54</v>
      </c>
      <c r="G7602" t="s">
        <v>54</v>
      </c>
      <c r="H7602" t="s">
        <v>54</v>
      </c>
      <c r="I7602" t="s">
        <v>54</v>
      </c>
      <c r="J7602" t="s">
        <v>54</v>
      </c>
      <c r="K7602" t="s">
        <v>54</v>
      </c>
      <c r="L7602" t="s">
        <v>54</v>
      </c>
      <c r="M7602" t="s">
        <v>54</v>
      </c>
      <c r="N7602" t="s">
        <v>54</v>
      </c>
      <c r="O7602" t="s">
        <v>54</v>
      </c>
      <c r="P7602" t="s">
        <v>54</v>
      </c>
      <c r="Q7602" t="s">
        <v>54</v>
      </c>
      <c r="R7602" t="s">
        <v>323</v>
      </c>
      <c r="S7602" t="s">
        <v>330</v>
      </c>
      <c r="AK7602" t="s">
        <v>365</v>
      </c>
    </row>
    <row r="7603" spans="1:37">
      <c r="B7603" t="s">
        <v>55</v>
      </c>
      <c r="C7603" t="s">
        <v>78</v>
      </c>
      <c r="D7603" t="s">
        <v>55</v>
      </c>
      <c r="E7603" t="s">
        <v>78</v>
      </c>
      <c r="F7603" t="s">
        <v>55</v>
      </c>
      <c r="G7603" t="s">
        <v>78</v>
      </c>
      <c r="H7603" t="s">
        <v>55</v>
      </c>
      <c r="I7603" t="s">
        <v>78</v>
      </c>
      <c r="J7603" t="s">
        <v>55</v>
      </c>
      <c r="K7603" t="s">
        <v>78</v>
      </c>
      <c r="L7603" t="s">
        <v>55</v>
      </c>
      <c r="M7603" t="s">
        <v>78</v>
      </c>
      <c r="N7603" t="s">
        <v>55</v>
      </c>
      <c r="O7603" t="s">
        <v>78</v>
      </c>
      <c r="P7603" t="s">
        <v>55</v>
      </c>
      <c r="Q7603" t="s">
        <v>78</v>
      </c>
      <c r="R7603" t="s">
        <v>55</v>
      </c>
      <c r="S7603" t="s">
        <v>78</v>
      </c>
      <c r="T7603" t="s">
        <v>55</v>
      </c>
      <c r="U7603" t="s">
        <v>78</v>
      </c>
      <c r="V7603" t="s">
        <v>55</v>
      </c>
      <c r="W7603" t="s">
        <v>78</v>
      </c>
      <c r="X7603" t="s">
        <v>55</v>
      </c>
      <c r="Y7603" t="s">
        <v>78</v>
      </c>
      <c r="Z7603" t="s">
        <v>55</v>
      </c>
      <c r="AA7603" t="s">
        <v>78</v>
      </c>
      <c r="AB7603" t="s">
        <v>55</v>
      </c>
      <c r="AC7603" t="s">
        <v>78</v>
      </c>
      <c r="AD7603" t="s">
        <v>55</v>
      </c>
      <c r="AE7603" t="s">
        <v>78</v>
      </c>
      <c r="AF7603" t="s">
        <v>55</v>
      </c>
      <c r="AG7603" t="s">
        <v>78</v>
      </c>
      <c r="AH7603" t="s">
        <v>55</v>
      </c>
      <c r="AI7603" t="s">
        <v>78</v>
      </c>
      <c r="AK7603" t="s">
        <v>365</v>
      </c>
    </row>
    <row r="7604" spans="1:37">
      <c r="B7604" t="s">
        <v>56</v>
      </c>
      <c r="C7604" t="s">
        <v>56</v>
      </c>
      <c r="D7604" t="s">
        <v>56</v>
      </c>
      <c r="E7604" t="s">
        <v>56</v>
      </c>
      <c r="F7604" t="s">
        <v>56</v>
      </c>
      <c r="G7604" t="s">
        <v>176</v>
      </c>
      <c r="H7604" t="s">
        <v>211</v>
      </c>
      <c r="I7604" t="s">
        <v>231</v>
      </c>
      <c r="J7604" t="s">
        <v>250</v>
      </c>
      <c r="K7604" t="s">
        <v>264</v>
      </c>
      <c r="L7604" t="s">
        <v>276</v>
      </c>
      <c r="M7604" t="s">
        <v>285</v>
      </c>
      <c r="N7604" t="s">
        <v>295</v>
      </c>
      <c r="O7604" t="s">
        <v>303</v>
      </c>
      <c r="P7604" t="s">
        <v>56</v>
      </c>
      <c r="Q7604" t="s">
        <v>317</v>
      </c>
      <c r="R7604" t="s">
        <v>324</v>
      </c>
      <c r="S7604" t="s">
        <v>331</v>
      </c>
      <c r="T7604" t="s">
        <v>334</v>
      </c>
      <c r="U7604" t="s">
        <v>338</v>
      </c>
      <c r="V7604" t="s">
        <v>342</v>
      </c>
      <c r="W7604" t="s">
        <v>346</v>
      </c>
      <c r="X7604" t="s">
        <v>351</v>
      </c>
      <c r="AK7604" t="s">
        <v>365</v>
      </c>
    </row>
    <row r="7605" spans="1:37">
      <c r="B7605" t="s">
        <v>57</v>
      </c>
      <c r="C7605" t="s">
        <v>79</v>
      </c>
      <c r="D7605" t="s">
        <v>98</v>
      </c>
      <c r="E7605" t="s">
        <v>117</v>
      </c>
      <c r="F7605" t="s">
        <v>151</v>
      </c>
      <c r="G7605" t="s">
        <v>177</v>
      </c>
      <c r="H7605" t="s">
        <v>212</v>
      </c>
      <c r="I7605" t="s">
        <v>232</v>
      </c>
      <c r="J7605" t="s">
        <v>251</v>
      </c>
      <c r="K7605" t="s">
        <v>265</v>
      </c>
      <c r="L7605" t="s">
        <v>277</v>
      </c>
      <c r="M7605" t="s">
        <v>286</v>
      </c>
      <c r="N7605" t="s">
        <v>296</v>
      </c>
      <c r="O7605" t="s">
        <v>304</v>
      </c>
      <c r="P7605" t="s">
        <v>311</v>
      </c>
      <c r="Q7605" t="s">
        <v>318</v>
      </c>
      <c r="R7605" t="s">
        <v>185</v>
      </c>
      <c r="S7605" t="s">
        <v>159</v>
      </c>
      <c r="T7605" t="s">
        <v>185</v>
      </c>
      <c r="U7605" t="s">
        <v>339</v>
      </c>
      <c r="V7605" t="s">
        <v>72</v>
      </c>
      <c r="W7605" t="s">
        <v>347</v>
      </c>
      <c r="X7605" t="s">
        <v>72</v>
      </c>
      <c r="Y7605" t="s">
        <v>96</v>
      </c>
      <c r="AK7605" t="s">
        <v>365</v>
      </c>
    </row>
    <row r="7606" spans="1:37">
      <c r="B7606" t="s">
        <v>58</v>
      </c>
      <c r="C7606" t="s">
        <v>80</v>
      </c>
      <c r="D7606" t="s">
        <v>99</v>
      </c>
      <c r="E7606" t="s">
        <v>118</v>
      </c>
      <c r="F7606" t="s">
        <v>152</v>
      </c>
      <c r="G7606" t="s">
        <v>178</v>
      </c>
      <c r="H7606" t="s">
        <v>213</v>
      </c>
      <c r="I7606" t="s">
        <v>233</v>
      </c>
      <c r="J7606" t="s">
        <v>252</v>
      </c>
      <c r="K7606" t="s">
        <v>266</v>
      </c>
      <c r="L7606" t="s">
        <v>278</v>
      </c>
      <c r="M7606" t="s">
        <v>287</v>
      </c>
      <c r="N7606" t="s">
        <v>297</v>
      </c>
      <c r="O7606" t="s">
        <v>305</v>
      </c>
      <c r="P7606" t="s">
        <v>312</v>
      </c>
      <c r="Q7606" t="s">
        <v>319</v>
      </c>
      <c r="R7606">
        <f>&gt;10       ветра      2.4     17   5</f>
        <v>0</v>
      </c>
      <c r="AK7606" t="s">
        <v>365</v>
      </c>
    </row>
    <row r="7607" spans="1:37">
      <c r="A7607" t="s">
        <v>40</v>
      </c>
      <c r="B7607" t="s">
        <v>59</v>
      </c>
      <c r="C7607" t="s">
        <v>81</v>
      </c>
      <c r="D7607" t="s">
        <v>100</v>
      </c>
      <c r="E7607" t="s">
        <v>119</v>
      </c>
      <c r="F7607" t="s">
        <v>153</v>
      </c>
      <c r="G7607" t="s">
        <v>179</v>
      </c>
      <c r="H7607" t="s">
        <v>214</v>
      </c>
      <c r="I7607" t="s">
        <v>234</v>
      </c>
      <c r="AK7607" t="s">
        <v>365</v>
      </c>
    </row>
    <row r="7608" spans="1:37">
      <c r="A7608" t="s">
        <v>40</v>
      </c>
      <c r="B7608" t="s">
        <v>60</v>
      </c>
      <c r="C7608" t="s">
        <v>82</v>
      </c>
      <c r="D7608" t="s">
        <v>101</v>
      </c>
      <c r="E7608" t="s">
        <v>120</v>
      </c>
      <c r="F7608" t="s">
        <v>154</v>
      </c>
      <c r="G7608" t="s">
        <v>180</v>
      </c>
      <c r="H7608" t="s">
        <v>215</v>
      </c>
      <c r="I7608" t="s">
        <v>235</v>
      </c>
      <c r="J7608" t="s">
        <v>253</v>
      </c>
      <c r="K7608" t="s">
        <v>267</v>
      </c>
      <c r="L7608" t="s">
        <v>279</v>
      </c>
      <c r="M7608" t="s">
        <v>288</v>
      </c>
      <c r="N7608" t="s">
        <v>100</v>
      </c>
      <c r="O7608" t="s">
        <v>306</v>
      </c>
      <c r="P7608" t="s">
        <v>313</v>
      </c>
      <c r="Q7608" t="s">
        <v>320</v>
      </c>
      <c r="R7608" t="s">
        <v>325</v>
      </c>
      <c r="S7608" t="s">
        <v>332</v>
      </c>
      <c r="T7608" t="s">
        <v>119</v>
      </c>
      <c r="U7608" t="s">
        <v>234</v>
      </c>
      <c r="V7608" t="s">
        <v>343</v>
      </c>
      <c r="W7608" t="s">
        <v>348</v>
      </c>
      <c r="X7608" t="s">
        <v>352</v>
      </c>
      <c r="Y7608" t="s">
        <v>354</v>
      </c>
      <c r="AK7608" t="s">
        <v>365</v>
      </c>
    </row>
    <row r="7609" spans="1:37">
      <c r="A7609" t="s">
        <v>41</v>
      </c>
      <c r="B7609" t="s">
        <v>61</v>
      </c>
      <c r="C7609" t="s">
        <v>83</v>
      </c>
      <c r="D7609" t="s">
        <v>102</v>
      </c>
      <c r="E7609" t="s">
        <v>121</v>
      </c>
      <c r="F7609" t="s">
        <v>155</v>
      </c>
      <c r="G7609" t="s">
        <v>181</v>
      </c>
      <c r="H7609" t="s">
        <v>216</v>
      </c>
      <c r="I7609" t="s">
        <v>236</v>
      </c>
      <c r="AK7609" t="s">
        <v>365</v>
      </c>
    </row>
    <row r="7610" spans="1:37">
      <c r="A7610" t="s">
        <v>42</v>
      </c>
      <c r="B7610" t="s">
        <v>62</v>
      </c>
      <c r="C7610" t="s">
        <v>84</v>
      </c>
      <c r="D7610" t="s">
        <v>103</v>
      </c>
      <c r="E7610" t="s">
        <v>122</v>
      </c>
      <c r="F7610" t="s">
        <v>156</v>
      </c>
      <c r="G7610" t="s">
        <v>182</v>
      </c>
      <c r="H7610" t="s">
        <v>83</v>
      </c>
      <c r="I7610" t="s">
        <v>237</v>
      </c>
      <c r="J7610" t="s">
        <v>254</v>
      </c>
      <c r="K7610" t="s">
        <v>268</v>
      </c>
      <c r="L7610" t="s">
        <v>280</v>
      </c>
      <c r="M7610" t="s">
        <v>289</v>
      </c>
      <c r="N7610" t="s">
        <v>298</v>
      </c>
      <c r="O7610" t="s">
        <v>307</v>
      </c>
      <c r="P7610" t="s">
        <v>314</v>
      </c>
      <c r="Q7610" t="s">
        <v>216</v>
      </c>
      <c r="R7610" t="s">
        <v>326</v>
      </c>
      <c r="S7610" t="s">
        <v>333</v>
      </c>
      <c r="T7610" t="s">
        <v>335</v>
      </c>
      <c r="U7610" t="s">
        <v>340</v>
      </c>
      <c r="V7610" t="s">
        <v>344</v>
      </c>
      <c r="W7610" t="s">
        <v>349</v>
      </c>
      <c r="AK7610" t="s">
        <v>365</v>
      </c>
    </row>
    <row r="7611" spans="1:37">
      <c r="A7611" t="s">
        <v>43</v>
      </c>
      <c r="B7611" t="s">
        <v>63</v>
      </c>
      <c r="C7611" t="s">
        <v>85</v>
      </c>
      <c r="D7611" t="s">
        <v>104</v>
      </c>
      <c r="E7611" t="s">
        <v>123</v>
      </c>
      <c r="F7611" t="s">
        <v>157</v>
      </c>
      <c r="G7611" t="s">
        <v>183</v>
      </c>
      <c r="AK7611" t="s">
        <v>365</v>
      </c>
    </row>
    <row r="7612" spans="1:37">
      <c r="A7612" t="s">
        <v>44</v>
      </c>
      <c r="B7612" t="s">
        <v>64</v>
      </c>
      <c r="C7612" t="s">
        <v>86</v>
      </c>
      <c r="D7612" t="s">
        <v>105</v>
      </c>
      <c r="E7612" t="s">
        <v>124</v>
      </c>
      <c r="F7612" t="s">
        <v>158</v>
      </c>
      <c r="G7612" t="s">
        <v>184</v>
      </c>
      <c r="AK7612" t="s">
        <v>365</v>
      </c>
    </row>
    <row r="7613" spans="1:37">
      <c r="A7613" t="s">
        <v>45</v>
      </c>
      <c r="B7613" t="s">
        <v>65</v>
      </c>
      <c r="C7613" t="s">
        <v>87</v>
      </c>
      <c r="D7613" t="s">
        <v>106</v>
      </c>
      <c r="E7613" t="s">
        <v>125</v>
      </c>
      <c r="F7613" t="s">
        <v>159</v>
      </c>
      <c r="G7613" t="s">
        <v>185</v>
      </c>
      <c r="H7613" t="s">
        <v>159</v>
      </c>
      <c r="I7613" t="s">
        <v>185</v>
      </c>
      <c r="J7613" t="s">
        <v>255</v>
      </c>
      <c r="AK7613" t="s">
        <v>365</v>
      </c>
    </row>
    <row r="7614" spans="1:37">
      <c r="A7614" t="s">
        <v>46</v>
      </c>
      <c r="B7614" t="s">
        <v>66</v>
      </c>
      <c r="C7614" t="s">
        <v>88</v>
      </c>
      <c r="D7614" t="s">
        <v>76</v>
      </c>
      <c r="E7614" t="s">
        <v>126</v>
      </c>
      <c r="F7614" t="s">
        <v>160</v>
      </c>
      <c r="G7614" t="s">
        <v>186</v>
      </c>
      <c r="H7614" t="s">
        <v>217</v>
      </c>
      <c r="I7614" t="s">
        <v>238</v>
      </c>
      <c r="J7614" t="s">
        <v>256</v>
      </c>
      <c r="K7614" t="s">
        <v>265</v>
      </c>
      <c r="L7614" t="s">
        <v>281</v>
      </c>
      <c r="M7614" t="s">
        <v>290</v>
      </c>
      <c r="N7614" t="s">
        <v>299</v>
      </c>
      <c r="O7614" t="s">
        <v>308</v>
      </c>
      <c r="P7614" t="s">
        <v>228</v>
      </c>
      <c r="Q7614" t="s">
        <v>72</v>
      </c>
      <c r="R7614" t="s">
        <v>327</v>
      </c>
      <c r="S7614" t="s">
        <v>327</v>
      </c>
      <c r="T7614" t="s">
        <v>336</v>
      </c>
      <c r="U7614" t="s">
        <v>336</v>
      </c>
      <c r="V7614" t="s">
        <v>336</v>
      </c>
      <c r="W7614" t="s">
        <v>336</v>
      </c>
      <c r="X7614" t="s">
        <v>353</v>
      </c>
      <c r="AK7614" t="s">
        <v>365</v>
      </c>
    </row>
    <row r="7615" spans="1:37">
      <c r="A7615" t="s">
        <v>37</v>
      </c>
      <c r="B7615" t="s">
        <v>49</v>
      </c>
      <c r="C7615" t="s">
        <v>73</v>
      </c>
      <c r="D7615" t="s">
        <v>94</v>
      </c>
      <c r="E7615" t="s">
        <v>112</v>
      </c>
      <c r="F7615" t="s">
        <v>146</v>
      </c>
      <c r="G7615" t="s">
        <v>172</v>
      </c>
      <c r="H7615" t="s">
        <v>207</v>
      </c>
      <c r="I7615" t="s">
        <v>226</v>
      </c>
      <c r="J7615" t="s">
        <v>246</v>
      </c>
      <c r="K7615" t="s">
        <v>259</v>
      </c>
      <c r="AK7615" t="s">
        <v>365</v>
      </c>
    </row>
    <row r="7616" spans="1:37">
      <c r="A7616" t="s">
        <v>38</v>
      </c>
      <c r="B7616" t="s">
        <v>50</v>
      </c>
      <c r="C7616" t="s">
        <v>74</v>
      </c>
      <c r="D7616" t="s">
        <v>95</v>
      </c>
      <c r="E7616" t="s">
        <v>113</v>
      </c>
      <c r="F7616" t="s">
        <v>147</v>
      </c>
      <c r="G7616" t="s">
        <v>173</v>
      </c>
      <c r="H7616" t="s">
        <v>208</v>
      </c>
      <c r="I7616" t="s">
        <v>227</v>
      </c>
      <c r="J7616" t="s">
        <v>115</v>
      </c>
      <c r="K7616" t="s">
        <v>260</v>
      </c>
      <c r="L7616" t="s">
        <v>273</v>
      </c>
      <c r="M7616" t="s">
        <v>282</v>
      </c>
      <c r="N7616" t="s">
        <v>291</v>
      </c>
      <c r="AK7616" t="s">
        <v>365</v>
      </c>
    </row>
    <row r="7617" spans="1:37">
      <c r="B7617" t="s">
        <v>51</v>
      </c>
      <c r="C7617" t="s">
        <v>75</v>
      </c>
      <c r="D7617" t="s">
        <v>52</v>
      </c>
      <c r="E7617" t="s">
        <v>114</v>
      </c>
      <c r="F7617" t="s">
        <v>148</v>
      </c>
      <c r="G7617" t="s">
        <v>148</v>
      </c>
      <c r="H7617" t="s">
        <v>209</v>
      </c>
      <c r="I7617" t="s">
        <v>228</v>
      </c>
      <c r="J7617" t="s">
        <v>247</v>
      </c>
      <c r="K7617" t="s">
        <v>261</v>
      </c>
      <c r="L7617" t="s">
        <v>274</v>
      </c>
      <c r="M7617" t="s">
        <v>283</v>
      </c>
      <c r="N7617" t="s">
        <v>292</v>
      </c>
      <c r="O7617" t="s">
        <v>300</v>
      </c>
      <c r="AK7617" t="s">
        <v>365</v>
      </c>
    </row>
    <row r="7618" spans="1:37">
      <c r="B7618" t="s">
        <v>52</v>
      </c>
      <c r="C7618" t="s">
        <v>76</v>
      </c>
      <c r="D7618" t="s">
        <v>96</v>
      </c>
      <c r="E7618" t="s">
        <v>115</v>
      </c>
      <c r="F7618" t="s">
        <v>149</v>
      </c>
      <c r="G7618" t="s">
        <v>174</v>
      </c>
      <c r="H7618" t="s">
        <v>96</v>
      </c>
      <c r="I7618" t="s">
        <v>229</v>
      </c>
      <c r="J7618" t="s">
        <v>248</v>
      </c>
      <c r="K7618" t="s">
        <v>262</v>
      </c>
      <c r="L7618" t="s">
        <v>52</v>
      </c>
      <c r="M7618" t="s">
        <v>76</v>
      </c>
      <c r="N7618" t="s">
        <v>293</v>
      </c>
      <c r="O7618" t="s">
        <v>301</v>
      </c>
      <c r="P7618" t="s">
        <v>309</v>
      </c>
      <c r="Q7618" t="s">
        <v>315</v>
      </c>
      <c r="R7618" t="s">
        <v>228</v>
      </c>
      <c r="S7618" t="s">
        <v>328</v>
      </c>
      <c r="T7618" t="s">
        <v>149</v>
      </c>
      <c r="U7618" t="s">
        <v>337</v>
      </c>
      <c r="V7618" t="s">
        <v>341</v>
      </c>
      <c r="W7618" t="s">
        <v>345</v>
      </c>
      <c r="X7618" t="s">
        <v>350</v>
      </c>
      <c r="AK7618" t="s">
        <v>365</v>
      </c>
    </row>
    <row r="7619" spans="1:37">
      <c r="B7619" t="s">
        <v>53</v>
      </c>
      <c r="C7619" t="s">
        <v>77</v>
      </c>
      <c r="D7619" t="s">
        <v>97</v>
      </c>
      <c r="E7619" t="s">
        <v>116</v>
      </c>
      <c r="F7619" t="s">
        <v>150</v>
      </c>
      <c r="G7619" t="s">
        <v>175</v>
      </c>
      <c r="H7619" t="s">
        <v>210</v>
      </c>
      <c r="I7619" t="s">
        <v>230</v>
      </c>
      <c r="J7619" t="s">
        <v>249</v>
      </c>
      <c r="K7619" t="s">
        <v>263</v>
      </c>
      <c r="L7619" t="s">
        <v>275</v>
      </c>
      <c r="M7619" t="s">
        <v>284</v>
      </c>
      <c r="N7619" t="s">
        <v>294</v>
      </c>
      <c r="O7619" t="s">
        <v>302</v>
      </c>
      <c r="P7619" t="s">
        <v>310</v>
      </c>
      <c r="Q7619" t="s">
        <v>316</v>
      </c>
      <c r="R7619" t="s">
        <v>322</v>
      </c>
      <c r="S7619" t="s">
        <v>329</v>
      </c>
      <c r="AK7619" t="s">
        <v>365</v>
      </c>
    </row>
    <row r="7620" spans="1:37">
      <c r="A7620" t="s">
        <v>39</v>
      </c>
      <c r="B7620" t="s">
        <v>54</v>
      </c>
      <c r="C7620" t="s">
        <v>54</v>
      </c>
      <c r="D7620" t="s">
        <v>54</v>
      </c>
      <c r="E7620" t="s">
        <v>54</v>
      </c>
      <c r="F7620" t="s">
        <v>54</v>
      </c>
      <c r="G7620" t="s">
        <v>54</v>
      </c>
      <c r="H7620" t="s">
        <v>54</v>
      </c>
      <c r="I7620" t="s">
        <v>54</v>
      </c>
      <c r="J7620" t="s">
        <v>54</v>
      </c>
      <c r="K7620" t="s">
        <v>54</v>
      </c>
      <c r="L7620" t="s">
        <v>54</v>
      </c>
      <c r="M7620" t="s">
        <v>54</v>
      </c>
      <c r="N7620" t="s">
        <v>54</v>
      </c>
      <c r="O7620" t="s">
        <v>54</v>
      </c>
      <c r="P7620" t="s">
        <v>54</v>
      </c>
      <c r="Q7620" t="s">
        <v>54</v>
      </c>
      <c r="R7620" t="s">
        <v>323</v>
      </c>
      <c r="S7620" t="s">
        <v>330</v>
      </c>
      <c r="AK7620" t="s">
        <v>365</v>
      </c>
    </row>
    <row r="7621" spans="1:37">
      <c r="B7621" t="s">
        <v>55</v>
      </c>
      <c r="C7621" t="s">
        <v>78</v>
      </c>
      <c r="D7621" t="s">
        <v>55</v>
      </c>
      <c r="E7621" t="s">
        <v>78</v>
      </c>
      <c r="F7621" t="s">
        <v>55</v>
      </c>
      <c r="G7621" t="s">
        <v>78</v>
      </c>
      <c r="H7621" t="s">
        <v>55</v>
      </c>
      <c r="I7621" t="s">
        <v>78</v>
      </c>
      <c r="J7621" t="s">
        <v>55</v>
      </c>
      <c r="K7621" t="s">
        <v>78</v>
      </c>
      <c r="L7621" t="s">
        <v>55</v>
      </c>
      <c r="M7621" t="s">
        <v>78</v>
      </c>
      <c r="N7621" t="s">
        <v>55</v>
      </c>
      <c r="O7621" t="s">
        <v>78</v>
      </c>
      <c r="P7621" t="s">
        <v>55</v>
      </c>
      <c r="Q7621" t="s">
        <v>78</v>
      </c>
      <c r="R7621" t="s">
        <v>55</v>
      </c>
      <c r="S7621" t="s">
        <v>78</v>
      </c>
      <c r="T7621" t="s">
        <v>55</v>
      </c>
      <c r="U7621" t="s">
        <v>78</v>
      </c>
      <c r="V7621" t="s">
        <v>55</v>
      </c>
      <c r="W7621" t="s">
        <v>78</v>
      </c>
      <c r="X7621" t="s">
        <v>55</v>
      </c>
      <c r="Y7621" t="s">
        <v>78</v>
      </c>
      <c r="Z7621" t="s">
        <v>55</v>
      </c>
      <c r="AA7621" t="s">
        <v>78</v>
      </c>
      <c r="AB7621" t="s">
        <v>55</v>
      </c>
      <c r="AC7621" t="s">
        <v>78</v>
      </c>
      <c r="AD7621" t="s">
        <v>55</v>
      </c>
      <c r="AE7621" t="s">
        <v>78</v>
      </c>
      <c r="AF7621" t="s">
        <v>55</v>
      </c>
      <c r="AG7621" t="s">
        <v>78</v>
      </c>
      <c r="AH7621" t="s">
        <v>55</v>
      </c>
      <c r="AI7621" t="s">
        <v>78</v>
      </c>
      <c r="AK7621" t="s">
        <v>365</v>
      </c>
    </row>
    <row r="7622" spans="1:37">
      <c r="B7622" t="s">
        <v>56</v>
      </c>
      <c r="C7622" t="s">
        <v>56</v>
      </c>
      <c r="D7622" t="s">
        <v>56</v>
      </c>
      <c r="E7622" t="s">
        <v>56</v>
      </c>
      <c r="F7622" t="s">
        <v>56</v>
      </c>
      <c r="G7622" t="s">
        <v>176</v>
      </c>
      <c r="H7622" t="s">
        <v>211</v>
      </c>
      <c r="I7622" t="s">
        <v>231</v>
      </c>
      <c r="J7622" t="s">
        <v>250</v>
      </c>
      <c r="K7622" t="s">
        <v>264</v>
      </c>
      <c r="L7622" t="s">
        <v>276</v>
      </c>
      <c r="M7622" t="s">
        <v>285</v>
      </c>
      <c r="N7622" t="s">
        <v>295</v>
      </c>
      <c r="O7622" t="s">
        <v>303</v>
      </c>
      <c r="P7622" t="s">
        <v>56</v>
      </c>
      <c r="Q7622" t="s">
        <v>317</v>
      </c>
      <c r="R7622" t="s">
        <v>324</v>
      </c>
      <c r="S7622" t="s">
        <v>331</v>
      </c>
      <c r="T7622" t="s">
        <v>334</v>
      </c>
      <c r="U7622" t="s">
        <v>338</v>
      </c>
      <c r="V7622" t="s">
        <v>342</v>
      </c>
      <c r="W7622" t="s">
        <v>346</v>
      </c>
      <c r="X7622" t="s">
        <v>351</v>
      </c>
      <c r="AK7622" t="s">
        <v>365</v>
      </c>
    </row>
    <row r="7623" spans="1:37">
      <c r="B7623" t="s">
        <v>57</v>
      </c>
      <c r="C7623" t="s">
        <v>79</v>
      </c>
      <c r="D7623" t="s">
        <v>98</v>
      </c>
      <c r="E7623" t="s">
        <v>117</v>
      </c>
      <c r="F7623" t="s">
        <v>151</v>
      </c>
      <c r="G7623" t="s">
        <v>177</v>
      </c>
      <c r="H7623" t="s">
        <v>212</v>
      </c>
      <c r="I7623" t="s">
        <v>232</v>
      </c>
      <c r="J7623" t="s">
        <v>251</v>
      </c>
      <c r="K7623" t="s">
        <v>265</v>
      </c>
      <c r="L7623" t="s">
        <v>277</v>
      </c>
      <c r="M7623" t="s">
        <v>286</v>
      </c>
      <c r="N7623" t="s">
        <v>296</v>
      </c>
      <c r="O7623" t="s">
        <v>304</v>
      </c>
      <c r="P7623" t="s">
        <v>311</v>
      </c>
      <c r="Q7623" t="s">
        <v>318</v>
      </c>
      <c r="R7623" t="s">
        <v>185</v>
      </c>
      <c r="S7623" t="s">
        <v>159</v>
      </c>
      <c r="T7623" t="s">
        <v>185</v>
      </c>
      <c r="U7623" t="s">
        <v>339</v>
      </c>
      <c r="V7623" t="s">
        <v>72</v>
      </c>
      <c r="W7623" t="s">
        <v>347</v>
      </c>
      <c r="X7623" t="s">
        <v>72</v>
      </c>
      <c r="Y7623" t="s">
        <v>96</v>
      </c>
      <c r="AK7623" t="s">
        <v>365</v>
      </c>
    </row>
    <row r="7624" spans="1:37">
      <c r="B7624" t="s">
        <v>58</v>
      </c>
      <c r="C7624" t="s">
        <v>80</v>
      </c>
      <c r="D7624" t="s">
        <v>99</v>
      </c>
      <c r="E7624" t="s">
        <v>118</v>
      </c>
      <c r="F7624" t="s">
        <v>152</v>
      </c>
      <c r="G7624" t="s">
        <v>178</v>
      </c>
      <c r="H7624" t="s">
        <v>213</v>
      </c>
      <c r="I7624" t="s">
        <v>233</v>
      </c>
      <c r="J7624" t="s">
        <v>252</v>
      </c>
      <c r="K7624" t="s">
        <v>266</v>
      </c>
      <c r="L7624" t="s">
        <v>278</v>
      </c>
      <c r="M7624" t="s">
        <v>287</v>
      </c>
      <c r="N7624" t="s">
        <v>297</v>
      </c>
      <c r="O7624" t="s">
        <v>305</v>
      </c>
      <c r="P7624" t="s">
        <v>312</v>
      </c>
      <c r="Q7624" t="s">
        <v>319</v>
      </c>
      <c r="R7624">
        <f>&gt;10       ветра      3.1     18   4</f>
        <v>0</v>
      </c>
      <c r="AK7624" t="s">
        <v>365</v>
      </c>
    </row>
    <row r="7625" spans="1:37">
      <c r="A7625" t="s">
        <v>40</v>
      </c>
      <c r="B7625" t="s">
        <v>59</v>
      </c>
      <c r="C7625" t="s">
        <v>81</v>
      </c>
      <c r="D7625" t="s">
        <v>100</v>
      </c>
      <c r="E7625" t="s">
        <v>119</v>
      </c>
      <c r="F7625" t="s">
        <v>153</v>
      </c>
      <c r="G7625" t="s">
        <v>179</v>
      </c>
      <c r="H7625" t="s">
        <v>214</v>
      </c>
      <c r="I7625" t="s">
        <v>234</v>
      </c>
      <c r="AK7625" t="s">
        <v>365</v>
      </c>
    </row>
    <row r="7626" spans="1:37">
      <c r="A7626" t="s">
        <v>40</v>
      </c>
      <c r="B7626" t="s">
        <v>60</v>
      </c>
      <c r="C7626" t="s">
        <v>82</v>
      </c>
      <c r="D7626" t="s">
        <v>101</v>
      </c>
      <c r="E7626" t="s">
        <v>120</v>
      </c>
      <c r="F7626" t="s">
        <v>154</v>
      </c>
      <c r="G7626" t="s">
        <v>180</v>
      </c>
      <c r="H7626" t="s">
        <v>215</v>
      </c>
      <c r="I7626" t="s">
        <v>235</v>
      </c>
      <c r="J7626" t="s">
        <v>253</v>
      </c>
      <c r="K7626" t="s">
        <v>267</v>
      </c>
      <c r="L7626" t="s">
        <v>279</v>
      </c>
      <c r="M7626" t="s">
        <v>288</v>
      </c>
      <c r="N7626" t="s">
        <v>100</v>
      </c>
      <c r="O7626" t="s">
        <v>306</v>
      </c>
      <c r="P7626" t="s">
        <v>313</v>
      </c>
      <c r="Q7626" t="s">
        <v>320</v>
      </c>
      <c r="R7626" t="s">
        <v>325</v>
      </c>
      <c r="S7626" t="s">
        <v>332</v>
      </c>
      <c r="T7626" t="s">
        <v>119</v>
      </c>
      <c r="U7626" t="s">
        <v>234</v>
      </c>
      <c r="V7626" t="s">
        <v>343</v>
      </c>
      <c r="W7626" t="s">
        <v>348</v>
      </c>
      <c r="X7626" t="s">
        <v>352</v>
      </c>
      <c r="Y7626" t="s">
        <v>354</v>
      </c>
      <c r="AK7626" t="s">
        <v>365</v>
      </c>
    </row>
    <row r="7627" spans="1:37">
      <c r="A7627" t="s">
        <v>41</v>
      </c>
      <c r="B7627" t="s">
        <v>61</v>
      </c>
      <c r="C7627" t="s">
        <v>83</v>
      </c>
      <c r="D7627" t="s">
        <v>102</v>
      </c>
      <c r="E7627" t="s">
        <v>121</v>
      </c>
      <c r="F7627" t="s">
        <v>155</v>
      </c>
      <c r="G7627" t="s">
        <v>181</v>
      </c>
      <c r="H7627" t="s">
        <v>216</v>
      </c>
      <c r="I7627" t="s">
        <v>236</v>
      </c>
      <c r="AK7627" t="s">
        <v>365</v>
      </c>
    </row>
    <row r="7628" spans="1:37">
      <c r="A7628" t="s">
        <v>42</v>
      </c>
      <c r="B7628" t="s">
        <v>62</v>
      </c>
      <c r="C7628" t="s">
        <v>84</v>
      </c>
      <c r="D7628" t="s">
        <v>103</v>
      </c>
      <c r="E7628" t="s">
        <v>122</v>
      </c>
      <c r="F7628" t="s">
        <v>156</v>
      </c>
      <c r="G7628" t="s">
        <v>182</v>
      </c>
      <c r="H7628" t="s">
        <v>83</v>
      </c>
      <c r="I7628" t="s">
        <v>237</v>
      </c>
      <c r="J7628" t="s">
        <v>254</v>
      </c>
      <c r="K7628" t="s">
        <v>268</v>
      </c>
      <c r="L7628" t="s">
        <v>280</v>
      </c>
      <c r="M7628" t="s">
        <v>289</v>
      </c>
      <c r="N7628" t="s">
        <v>298</v>
      </c>
      <c r="O7628" t="s">
        <v>307</v>
      </c>
      <c r="P7628" t="s">
        <v>314</v>
      </c>
      <c r="Q7628" t="s">
        <v>216</v>
      </c>
      <c r="R7628" t="s">
        <v>326</v>
      </c>
      <c r="S7628" t="s">
        <v>333</v>
      </c>
      <c r="T7628" t="s">
        <v>335</v>
      </c>
      <c r="U7628" t="s">
        <v>340</v>
      </c>
      <c r="V7628" t="s">
        <v>344</v>
      </c>
      <c r="W7628" t="s">
        <v>349</v>
      </c>
      <c r="AK7628" t="s">
        <v>365</v>
      </c>
    </row>
    <row r="7629" spans="1:37">
      <c r="A7629" t="s">
        <v>43</v>
      </c>
      <c r="B7629" t="s">
        <v>63</v>
      </c>
      <c r="C7629" t="s">
        <v>85</v>
      </c>
      <c r="D7629" t="s">
        <v>104</v>
      </c>
      <c r="E7629" t="s">
        <v>123</v>
      </c>
      <c r="F7629" t="s">
        <v>157</v>
      </c>
      <c r="G7629" t="s">
        <v>183</v>
      </c>
      <c r="AK7629" t="s">
        <v>365</v>
      </c>
    </row>
    <row r="7630" spans="1:37">
      <c r="A7630" t="s">
        <v>44</v>
      </c>
      <c r="B7630" t="s">
        <v>64</v>
      </c>
      <c r="C7630" t="s">
        <v>86</v>
      </c>
      <c r="D7630" t="s">
        <v>105</v>
      </c>
      <c r="E7630" t="s">
        <v>124</v>
      </c>
      <c r="F7630" t="s">
        <v>158</v>
      </c>
      <c r="G7630" t="s">
        <v>184</v>
      </c>
      <c r="AK7630" t="s">
        <v>365</v>
      </c>
    </row>
    <row r="7631" spans="1:37">
      <c r="A7631" t="s">
        <v>45</v>
      </c>
      <c r="B7631" t="s">
        <v>65</v>
      </c>
      <c r="C7631" t="s">
        <v>87</v>
      </c>
      <c r="D7631" t="s">
        <v>106</v>
      </c>
      <c r="E7631" t="s">
        <v>125</v>
      </c>
      <c r="F7631" t="s">
        <v>159</v>
      </c>
      <c r="G7631" t="s">
        <v>185</v>
      </c>
      <c r="H7631" t="s">
        <v>159</v>
      </c>
      <c r="I7631" t="s">
        <v>185</v>
      </c>
      <c r="J7631" t="s">
        <v>255</v>
      </c>
      <c r="AK7631" t="s">
        <v>365</v>
      </c>
    </row>
    <row r="7632" spans="1:37">
      <c r="A7632" t="s">
        <v>46</v>
      </c>
      <c r="B7632" t="s">
        <v>66</v>
      </c>
      <c r="C7632" t="s">
        <v>88</v>
      </c>
      <c r="D7632" t="s">
        <v>76</v>
      </c>
      <c r="E7632" t="s">
        <v>126</v>
      </c>
      <c r="F7632" t="s">
        <v>160</v>
      </c>
      <c r="G7632" t="s">
        <v>186</v>
      </c>
      <c r="H7632" t="s">
        <v>217</v>
      </c>
      <c r="I7632" t="s">
        <v>238</v>
      </c>
      <c r="J7632" t="s">
        <v>256</v>
      </c>
      <c r="K7632" t="s">
        <v>265</v>
      </c>
      <c r="L7632" t="s">
        <v>281</v>
      </c>
      <c r="M7632" t="s">
        <v>290</v>
      </c>
      <c r="N7632" t="s">
        <v>299</v>
      </c>
      <c r="O7632" t="s">
        <v>308</v>
      </c>
      <c r="P7632" t="s">
        <v>228</v>
      </c>
      <c r="Q7632" t="s">
        <v>72</v>
      </c>
      <c r="R7632" t="s">
        <v>327</v>
      </c>
      <c r="S7632" t="s">
        <v>327</v>
      </c>
      <c r="T7632" t="s">
        <v>336</v>
      </c>
      <c r="U7632" t="s">
        <v>336</v>
      </c>
      <c r="V7632" t="s">
        <v>336</v>
      </c>
      <c r="W7632" t="s">
        <v>336</v>
      </c>
      <c r="X7632" t="s">
        <v>353</v>
      </c>
      <c r="AK7632" t="s">
        <v>365</v>
      </c>
    </row>
    <row r="7633" spans="1:37">
      <c r="A7633" t="s">
        <v>37</v>
      </c>
      <c r="B7633" t="s">
        <v>49</v>
      </c>
      <c r="C7633" t="s">
        <v>73</v>
      </c>
      <c r="D7633" t="s">
        <v>94</v>
      </c>
      <c r="E7633" t="s">
        <v>112</v>
      </c>
      <c r="F7633" t="s">
        <v>146</v>
      </c>
      <c r="G7633" t="s">
        <v>172</v>
      </c>
      <c r="H7633" t="s">
        <v>207</v>
      </c>
      <c r="I7633" t="s">
        <v>226</v>
      </c>
      <c r="J7633" t="s">
        <v>246</v>
      </c>
      <c r="K7633" t="s">
        <v>259</v>
      </c>
      <c r="AK7633" t="s">
        <v>365</v>
      </c>
    </row>
    <row r="7634" spans="1:37">
      <c r="A7634" t="s">
        <v>38</v>
      </c>
      <c r="B7634" t="s">
        <v>50</v>
      </c>
      <c r="C7634" t="s">
        <v>74</v>
      </c>
      <c r="D7634" t="s">
        <v>95</v>
      </c>
      <c r="E7634" t="s">
        <v>113</v>
      </c>
      <c r="F7634" t="s">
        <v>147</v>
      </c>
      <c r="G7634" t="s">
        <v>173</v>
      </c>
      <c r="H7634" t="s">
        <v>208</v>
      </c>
      <c r="I7634" t="s">
        <v>227</v>
      </c>
      <c r="J7634" t="s">
        <v>115</v>
      </c>
      <c r="K7634" t="s">
        <v>260</v>
      </c>
      <c r="L7634" t="s">
        <v>273</v>
      </c>
      <c r="M7634" t="s">
        <v>282</v>
      </c>
      <c r="N7634" t="s">
        <v>291</v>
      </c>
      <c r="AK7634" t="s">
        <v>365</v>
      </c>
    </row>
    <row r="7635" spans="1:37">
      <c r="B7635" t="s">
        <v>51</v>
      </c>
      <c r="C7635" t="s">
        <v>75</v>
      </c>
      <c r="D7635" t="s">
        <v>52</v>
      </c>
      <c r="E7635" t="s">
        <v>114</v>
      </c>
      <c r="F7635" t="s">
        <v>148</v>
      </c>
      <c r="G7635" t="s">
        <v>148</v>
      </c>
      <c r="H7635" t="s">
        <v>209</v>
      </c>
      <c r="I7635" t="s">
        <v>228</v>
      </c>
      <c r="J7635" t="s">
        <v>247</v>
      </c>
      <c r="K7635" t="s">
        <v>261</v>
      </c>
      <c r="L7635" t="s">
        <v>274</v>
      </c>
      <c r="M7635" t="s">
        <v>283</v>
      </c>
      <c r="N7635" t="s">
        <v>292</v>
      </c>
      <c r="O7635" t="s">
        <v>300</v>
      </c>
      <c r="AK7635" t="s">
        <v>365</v>
      </c>
    </row>
    <row r="7636" spans="1:37">
      <c r="B7636" t="s">
        <v>52</v>
      </c>
      <c r="C7636" t="s">
        <v>76</v>
      </c>
      <c r="D7636" t="s">
        <v>96</v>
      </c>
      <c r="E7636" t="s">
        <v>115</v>
      </c>
      <c r="F7636" t="s">
        <v>149</v>
      </c>
      <c r="G7636" t="s">
        <v>174</v>
      </c>
      <c r="H7636" t="s">
        <v>96</v>
      </c>
      <c r="I7636" t="s">
        <v>229</v>
      </c>
      <c r="J7636" t="s">
        <v>248</v>
      </c>
      <c r="K7636" t="s">
        <v>262</v>
      </c>
      <c r="L7636" t="s">
        <v>52</v>
      </c>
      <c r="M7636" t="s">
        <v>76</v>
      </c>
      <c r="N7636" t="s">
        <v>293</v>
      </c>
      <c r="O7636" t="s">
        <v>301</v>
      </c>
      <c r="P7636" t="s">
        <v>309</v>
      </c>
      <c r="Q7636" t="s">
        <v>315</v>
      </c>
      <c r="R7636" t="s">
        <v>228</v>
      </c>
      <c r="S7636" t="s">
        <v>328</v>
      </c>
      <c r="T7636" t="s">
        <v>149</v>
      </c>
      <c r="U7636" t="s">
        <v>337</v>
      </c>
      <c r="V7636" t="s">
        <v>341</v>
      </c>
      <c r="W7636" t="s">
        <v>345</v>
      </c>
      <c r="X7636" t="s">
        <v>350</v>
      </c>
      <c r="AK7636" t="s">
        <v>365</v>
      </c>
    </row>
    <row r="7637" spans="1:37">
      <c r="B7637" t="s">
        <v>53</v>
      </c>
      <c r="C7637" t="s">
        <v>77</v>
      </c>
      <c r="D7637" t="s">
        <v>97</v>
      </c>
      <c r="E7637" t="s">
        <v>116</v>
      </c>
      <c r="F7637" t="s">
        <v>150</v>
      </c>
      <c r="G7637" t="s">
        <v>175</v>
      </c>
      <c r="H7637" t="s">
        <v>210</v>
      </c>
      <c r="I7637" t="s">
        <v>230</v>
      </c>
      <c r="J7637" t="s">
        <v>249</v>
      </c>
      <c r="K7637" t="s">
        <v>263</v>
      </c>
      <c r="L7637" t="s">
        <v>275</v>
      </c>
      <c r="M7637" t="s">
        <v>284</v>
      </c>
      <c r="N7637" t="s">
        <v>294</v>
      </c>
      <c r="O7637" t="s">
        <v>302</v>
      </c>
      <c r="P7637" t="s">
        <v>310</v>
      </c>
      <c r="Q7637" t="s">
        <v>316</v>
      </c>
      <c r="R7637" t="s">
        <v>322</v>
      </c>
      <c r="S7637" t="s">
        <v>329</v>
      </c>
      <c r="AK7637" t="s">
        <v>365</v>
      </c>
    </row>
    <row r="7638" spans="1:37">
      <c r="A7638" t="s">
        <v>39</v>
      </c>
      <c r="B7638" t="s">
        <v>54</v>
      </c>
      <c r="C7638" t="s">
        <v>54</v>
      </c>
      <c r="D7638" t="s">
        <v>54</v>
      </c>
      <c r="E7638" t="s">
        <v>54</v>
      </c>
      <c r="F7638" t="s">
        <v>54</v>
      </c>
      <c r="G7638" t="s">
        <v>54</v>
      </c>
      <c r="H7638" t="s">
        <v>54</v>
      </c>
      <c r="I7638" t="s">
        <v>54</v>
      </c>
      <c r="J7638" t="s">
        <v>54</v>
      </c>
      <c r="K7638" t="s">
        <v>54</v>
      </c>
      <c r="L7638" t="s">
        <v>54</v>
      </c>
      <c r="M7638" t="s">
        <v>54</v>
      </c>
      <c r="N7638" t="s">
        <v>54</v>
      </c>
      <c r="O7638" t="s">
        <v>54</v>
      </c>
      <c r="P7638" t="s">
        <v>54</v>
      </c>
      <c r="Q7638" t="s">
        <v>54</v>
      </c>
      <c r="R7638" t="s">
        <v>323</v>
      </c>
      <c r="S7638" t="s">
        <v>330</v>
      </c>
      <c r="AK7638" t="s">
        <v>365</v>
      </c>
    </row>
    <row r="7639" spans="1:37">
      <c r="B7639" t="s">
        <v>55</v>
      </c>
      <c r="C7639" t="s">
        <v>78</v>
      </c>
      <c r="D7639" t="s">
        <v>55</v>
      </c>
      <c r="E7639" t="s">
        <v>78</v>
      </c>
      <c r="F7639" t="s">
        <v>55</v>
      </c>
      <c r="G7639" t="s">
        <v>78</v>
      </c>
      <c r="H7639" t="s">
        <v>55</v>
      </c>
      <c r="I7639" t="s">
        <v>78</v>
      </c>
      <c r="J7639" t="s">
        <v>55</v>
      </c>
      <c r="K7639" t="s">
        <v>78</v>
      </c>
      <c r="L7639" t="s">
        <v>55</v>
      </c>
      <c r="M7639" t="s">
        <v>78</v>
      </c>
      <c r="N7639" t="s">
        <v>55</v>
      </c>
      <c r="O7639" t="s">
        <v>78</v>
      </c>
      <c r="P7639" t="s">
        <v>55</v>
      </c>
      <c r="Q7639" t="s">
        <v>78</v>
      </c>
      <c r="R7639" t="s">
        <v>55</v>
      </c>
      <c r="S7639" t="s">
        <v>78</v>
      </c>
      <c r="T7639" t="s">
        <v>55</v>
      </c>
      <c r="U7639" t="s">
        <v>78</v>
      </c>
      <c r="V7639" t="s">
        <v>55</v>
      </c>
      <c r="W7639" t="s">
        <v>78</v>
      </c>
      <c r="X7639" t="s">
        <v>55</v>
      </c>
      <c r="Y7639" t="s">
        <v>78</v>
      </c>
      <c r="Z7639" t="s">
        <v>55</v>
      </c>
      <c r="AA7639" t="s">
        <v>78</v>
      </c>
      <c r="AB7639" t="s">
        <v>55</v>
      </c>
      <c r="AC7639" t="s">
        <v>78</v>
      </c>
      <c r="AD7639" t="s">
        <v>55</v>
      </c>
      <c r="AE7639" t="s">
        <v>78</v>
      </c>
      <c r="AF7639" t="s">
        <v>55</v>
      </c>
      <c r="AG7639" t="s">
        <v>78</v>
      </c>
      <c r="AH7639" t="s">
        <v>55</v>
      </c>
      <c r="AI7639" t="s">
        <v>78</v>
      </c>
      <c r="AK7639" t="s">
        <v>365</v>
      </c>
    </row>
    <row r="7640" spans="1:37">
      <c r="B7640" t="s">
        <v>56</v>
      </c>
      <c r="C7640" t="s">
        <v>56</v>
      </c>
      <c r="D7640" t="s">
        <v>56</v>
      </c>
      <c r="E7640" t="s">
        <v>56</v>
      </c>
      <c r="F7640" t="s">
        <v>56</v>
      </c>
      <c r="G7640" t="s">
        <v>176</v>
      </c>
      <c r="H7640" t="s">
        <v>211</v>
      </c>
      <c r="I7640" t="s">
        <v>231</v>
      </c>
      <c r="J7640" t="s">
        <v>250</v>
      </c>
      <c r="K7640" t="s">
        <v>264</v>
      </c>
      <c r="L7640" t="s">
        <v>276</v>
      </c>
      <c r="M7640" t="s">
        <v>285</v>
      </c>
      <c r="N7640" t="s">
        <v>295</v>
      </c>
      <c r="O7640" t="s">
        <v>303</v>
      </c>
      <c r="P7640" t="s">
        <v>56</v>
      </c>
      <c r="Q7640" t="s">
        <v>317</v>
      </c>
      <c r="R7640" t="s">
        <v>324</v>
      </c>
      <c r="S7640" t="s">
        <v>331</v>
      </c>
      <c r="T7640" t="s">
        <v>334</v>
      </c>
      <c r="U7640" t="s">
        <v>338</v>
      </c>
      <c r="V7640" t="s">
        <v>342</v>
      </c>
      <c r="W7640" t="s">
        <v>346</v>
      </c>
      <c r="X7640" t="s">
        <v>351</v>
      </c>
      <c r="AK7640" t="s">
        <v>365</v>
      </c>
    </row>
    <row r="7641" spans="1:37">
      <c r="B7641" t="s">
        <v>57</v>
      </c>
      <c r="C7641" t="s">
        <v>79</v>
      </c>
      <c r="D7641" t="s">
        <v>98</v>
      </c>
      <c r="E7641" t="s">
        <v>117</v>
      </c>
      <c r="F7641" t="s">
        <v>151</v>
      </c>
      <c r="G7641" t="s">
        <v>177</v>
      </c>
      <c r="H7641" t="s">
        <v>212</v>
      </c>
      <c r="I7641" t="s">
        <v>232</v>
      </c>
      <c r="J7641" t="s">
        <v>251</v>
      </c>
      <c r="K7641" t="s">
        <v>265</v>
      </c>
      <c r="L7641" t="s">
        <v>277</v>
      </c>
      <c r="M7641" t="s">
        <v>286</v>
      </c>
      <c r="N7641" t="s">
        <v>296</v>
      </c>
      <c r="O7641" t="s">
        <v>304</v>
      </c>
      <c r="P7641" t="s">
        <v>311</v>
      </c>
      <c r="Q7641" t="s">
        <v>318</v>
      </c>
      <c r="R7641" t="s">
        <v>185</v>
      </c>
      <c r="S7641" t="s">
        <v>159</v>
      </c>
      <c r="T7641" t="s">
        <v>185</v>
      </c>
      <c r="U7641" t="s">
        <v>339</v>
      </c>
      <c r="V7641" t="s">
        <v>72</v>
      </c>
      <c r="W7641" t="s">
        <v>347</v>
      </c>
      <c r="X7641" t="s">
        <v>72</v>
      </c>
      <c r="Y7641" t="s">
        <v>96</v>
      </c>
      <c r="AK7641" t="s">
        <v>365</v>
      </c>
    </row>
    <row r="7642" spans="1:37">
      <c r="B7642" t="s">
        <v>58</v>
      </c>
      <c r="C7642" t="s">
        <v>80</v>
      </c>
      <c r="D7642" t="s">
        <v>99</v>
      </c>
      <c r="E7642" t="s">
        <v>118</v>
      </c>
      <c r="F7642" t="s">
        <v>152</v>
      </c>
      <c r="G7642" t="s">
        <v>178</v>
      </c>
      <c r="H7642" t="s">
        <v>213</v>
      </c>
      <c r="I7642" t="s">
        <v>233</v>
      </c>
      <c r="J7642" t="s">
        <v>252</v>
      </c>
      <c r="K7642" t="s">
        <v>266</v>
      </c>
      <c r="L7642" t="s">
        <v>278</v>
      </c>
      <c r="M7642" t="s">
        <v>287</v>
      </c>
      <c r="N7642" t="s">
        <v>297</v>
      </c>
      <c r="O7642" t="s">
        <v>305</v>
      </c>
      <c r="P7642" t="s">
        <v>312</v>
      </c>
      <c r="Q7642" t="s">
        <v>319</v>
      </c>
      <c r="R7642">
        <f>&gt;10       ветра      4.1     22   4 30</f>
        <v>0</v>
      </c>
      <c r="AK7642" t="s">
        <v>365</v>
      </c>
    </row>
    <row r="7643" spans="1:37">
      <c r="A7643" t="s">
        <v>40</v>
      </c>
      <c r="B7643" t="s">
        <v>59</v>
      </c>
      <c r="C7643" t="s">
        <v>81</v>
      </c>
      <c r="D7643" t="s">
        <v>100</v>
      </c>
      <c r="E7643" t="s">
        <v>119</v>
      </c>
      <c r="F7643" t="s">
        <v>153</v>
      </c>
      <c r="G7643" t="s">
        <v>179</v>
      </c>
      <c r="H7643" t="s">
        <v>214</v>
      </c>
      <c r="I7643" t="s">
        <v>234</v>
      </c>
      <c r="AK7643" t="s">
        <v>365</v>
      </c>
    </row>
    <row r="7644" spans="1:37">
      <c r="A7644" t="s">
        <v>40</v>
      </c>
      <c r="B7644" t="s">
        <v>60</v>
      </c>
      <c r="C7644" t="s">
        <v>82</v>
      </c>
      <c r="D7644" t="s">
        <v>101</v>
      </c>
      <c r="E7644" t="s">
        <v>120</v>
      </c>
      <c r="F7644" t="s">
        <v>154</v>
      </c>
      <c r="G7644" t="s">
        <v>180</v>
      </c>
      <c r="H7644" t="s">
        <v>215</v>
      </c>
      <c r="I7644" t="s">
        <v>235</v>
      </c>
      <c r="J7644" t="s">
        <v>253</v>
      </c>
      <c r="K7644" t="s">
        <v>267</v>
      </c>
      <c r="L7644" t="s">
        <v>279</v>
      </c>
      <c r="M7644" t="s">
        <v>288</v>
      </c>
      <c r="N7644" t="s">
        <v>100</v>
      </c>
      <c r="O7644" t="s">
        <v>306</v>
      </c>
      <c r="P7644" t="s">
        <v>313</v>
      </c>
      <c r="Q7644" t="s">
        <v>320</v>
      </c>
      <c r="R7644" t="s">
        <v>325</v>
      </c>
      <c r="S7644" t="s">
        <v>332</v>
      </c>
      <c r="T7644" t="s">
        <v>119</v>
      </c>
      <c r="U7644" t="s">
        <v>234</v>
      </c>
      <c r="V7644" t="s">
        <v>343</v>
      </c>
      <c r="W7644" t="s">
        <v>348</v>
      </c>
      <c r="X7644" t="s">
        <v>352</v>
      </c>
      <c r="Y7644" t="s">
        <v>354</v>
      </c>
      <c r="AK7644" t="s">
        <v>365</v>
      </c>
    </row>
    <row r="7645" spans="1:37">
      <c r="A7645" t="s">
        <v>41</v>
      </c>
      <c r="B7645" t="s">
        <v>61</v>
      </c>
      <c r="C7645" t="s">
        <v>83</v>
      </c>
      <c r="D7645" t="s">
        <v>102</v>
      </c>
      <c r="E7645" t="s">
        <v>121</v>
      </c>
      <c r="F7645" t="s">
        <v>155</v>
      </c>
      <c r="G7645" t="s">
        <v>181</v>
      </c>
      <c r="H7645" t="s">
        <v>216</v>
      </c>
      <c r="I7645" t="s">
        <v>236</v>
      </c>
      <c r="AK7645" t="s">
        <v>365</v>
      </c>
    </row>
    <row r="7646" spans="1:37">
      <c r="A7646" t="s">
        <v>42</v>
      </c>
      <c r="B7646" t="s">
        <v>62</v>
      </c>
      <c r="C7646" t="s">
        <v>84</v>
      </c>
      <c r="D7646" t="s">
        <v>103</v>
      </c>
      <c r="E7646" t="s">
        <v>122</v>
      </c>
      <c r="F7646" t="s">
        <v>156</v>
      </c>
      <c r="G7646" t="s">
        <v>182</v>
      </c>
      <c r="H7646" t="s">
        <v>83</v>
      </c>
      <c r="I7646" t="s">
        <v>237</v>
      </c>
      <c r="J7646" t="s">
        <v>254</v>
      </c>
      <c r="K7646" t="s">
        <v>268</v>
      </c>
      <c r="L7646" t="s">
        <v>280</v>
      </c>
      <c r="M7646" t="s">
        <v>289</v>
      </c>
      <c r="N7646" t="s">
        <v>298</v>
      </c>
      <c r="O7646" t="s">
        <v>307</v>
      </c>
      <c r="P7646" t="s">
        <v>314</v>
      </c>
      <c r="Q7646" t="s">
        <v>216</v>
      </c>
      <c r="R7646" t="s">
        <v>326</v>
      </c>
      <c r="S7646" t="s">
        <v>333</v>
      </c>
      <c r="T7646" t="s">
        <v>335</v>
      </c>
      <c r="U7646" t="s">
        <v>340</v>
      </c>
      <c r="V7646" t="s">
        <v>344</v>
      </c>
      <c r="W7646" t="s">
        <v>349</v>
      </c>
      <c r="AK7646" t="s">
        <v>365</v>
      </c>
    </row>
    <row r="7647" spans="1:37">
      <c r="A7647" t="s">
        <v>43</v>
      </c>
      <c r="B7647" t="s">
        <v>63</v>
      </c>
      <c r="C7647" t="s">
        <v>85</v>
      </c>
      <c r="D7647" t="s">
        <v>104</v>
      </c>
      <c r="E7647" t="s">
        <v>123</v>
      </c>
      <c r="F7647" t="s">
        <v>157</v>
      </c>
      <c r="G7647" t="s">
        <v>183</v>
      </c>
      <c r="AK7647" t="s">
        <v>365</v>
      </c>
    </row>
    <row r="7648" spans="1:37">
      <c r="A7648" t="s">
        <v>44</v>
      </c>
      <c r="B7648" t="s">
        <v>64</v>
      </c>
      <c r="C7648" t="s">
        <v>86</v>
      </c>
      <c r="D7648" t="s">
        <v>105</v>
      </c>
      <c r="E7648" t="s">
        <v>124</v>
      </c>
      <c r="F7648" t="s">
        <v>158</v>
      </c>
      <c r="G7648" t="s">
        <v>184</v>
      </c>
      <c r="AK7648" t="s">
        <v>365</v>
      </c>
    </row>
    <row r="7649" spans="1:37">
      <c r="A7649" t="s">
        <v>45</v>
      </c>
      <c r="B7649" t="s">
        <v>65</v>
      </c>
      <c r="C7649" t="s">
        <v>87</v>
      </c>
      <c r="D7649" t="s">
        <v>106</v>
      </c>
      <c r="E7649" t="s">
        <v>125</v>
      </c>
      <c r="F7649" t="s">
        <v>159</v>
      </c>
      <c r="G7649" t="s">
        <v>185</v>
      </c>
      <c r="H7649" t="s">
        <v>159</v>
      </c>
      <c r="I7649" t="s">
        <v>185</v>
      </c>
      <c r="J7649" t="s">
        <v>255</v>
      </c>
      <c r="AK7649" t="s">
        <v>365</v>
      </c>
    </row>
    <row r="7650" spans="1:37">
      <c r="A7650" t="s">
        <v>46</v>
      </c>
      <c r="B7650" t="s">
        <v>66</v>
      </c>
      <c r="C7650" t="s">
        <v>88</v>
      </c>
      <c r="D7650" t="s">
        <v>76</v>
      </c>
      <c r="E7650" t="s">
        <v>126</v>
      </c>
      <c r="F7650" t="s">
        <v>160</v>
      </c>
      <c r="G7650" t="s">
        <v>186</v>
      </c>
      <c r="H7650" t="s">
        <v>217</v>
      </c>
      <c r="I7650" t="s">
        <v>238</v>
      </c>
      <c r="J7650" t="s">
        <v>256</v>
      </c>
      <c r="K7650" t="s">
        <v>265</v>
      </c>
      <c r="L7650" t="s">
        <v>281</v>
      </c>
      <c r="M7650" t="s">
        <v>290</v>
      </c>
      <c r="N7650" t="s">
        <v>299</v>
      </c>
      <c r="O7650" t="s">
        <v>308</v>
      </c>
      <c r="P7650" t="s">
        <v>228</v>
      </c>
      <c r="Q7650" t="s">
        <v>72</v>
      </c>
      <c r="R7650" t="s">
        <v>327</v>
      </c>
      <c r="S7650" t="s">
        <v>327</v>
      </c>
      <c r="T7650" t="s">
        <v>336</v>
      </c>
      <c r="U7650" t="s">
        <v>336</v>
      </c>
      <c r="V7650" t="s">
        <v>336</v>
      </c>
      <c r="W7650" t="s">
        <v>336</v>
      </c>
      <c r="X7650" t="s">
        <v>353</v>
      </c>
      <c r="AK7650" t="s">
        <v>365</v>
      </c>
    </row>
    <row r="7651" spans="1:37">
      <c r="A7651" t="s">
        <v>37</v>
      </c>
      <c r="B7651" t="s">
        <v>49</v>
      </c>
      <c r="C7651" t="s">
        <v>73</v>
      </c>
      <c r="D7651" t="s">
        <v>94</v>
      </c>
      <c r="E7651" t="s">
        <v>112</v>
      </c>
      <c r="F7651" t="s">
        <v>146</v>
      </c>
      <c r="G7651" t="s">
        <v>172</v>
      </c>
      <c r="H7651" t="s">
        <v>207</v>
      </c>
      <c r="I7651" t="s">
        <v>226</v>
      </c>
      <c r="J7651" t="s">
        <v>246</v>
      </c>
      <c r="K7651" t="s">
        <v>259</v>
      </c>
      <c r="AK7651" t="s">
        <v>365</v>
      </c>
    </row>
    <row r="7652" spans="1:37">
      <c r="A7652" t="s">
        <v>38</v>
      </c>
      <c r="B7652" t="s">
        <v>50</v>
      </c>
      <c r="C7652" t="s">
        <v>74</v>
      </c>
      <c r="D7652" t="s">
        <v>95</v>
      </c>
      <c r="E7652" t="s">
        <v>113</v>
      </c>
      <c r="F7652" t="s">
        <v>147</v>
      </c>
      <c r="G7652" t="s">
        <v>173</v>
      </c>
      <c r="H7652" t="s">
        <v>208</v>
      </c>
      <c r="I7652" t="s">
        <v>227</v>
      </c>
      <c r="J7652" t="s">
        <v>115</v>
      </c>
      <c r="K7652" t="s">
        <v>260</v>
      </c>
      <c r="L7652" t="s">
        <v>273</v>
      </c>
      <c r="M7652" t="s">
        <v>282</v>
      </c>
      <c r="N7652" t="s">
        <v>291</v>
      </c>
      <c r="AK7652" t="s">
        <v>365</v>
      </c>
    </row>
    <row r="7653" spans="1:37">
      <c r="B7653" t="s">
        <v>51</v>
      </c>
      <c r="C7653" t="s">
        <v>75</v>
      </c>
      <c r="D7653" t="s">
        <v>52</v>
      </c>
      <c r="E7653" t="s">
        <v>114</v>
      </c>
      <c r="F7653" t="s">
        <v>148</v>
      </c>
      <c r="G7653" t="s">
        <v>148</v>
      </c>
      <c r="H7653" t="s">
        <v>209</v>
      </c>
      <c r="I7653" t="s">
        <v>228</v>
      </c>
      <c r="J7653" t="s">
        <v>247</v>
      </c>
      <c r="K7653" t="s">
        <v>261</v>
      </c>
      <c r="L7653" t="s">
        <v>274</v>
      </c>
      <c r="M7653" t="s">
        <v>283</v>
      </c>
      <c r="N7653" t="s">
        <v>292</v>
      </c>
      <c r="O7653" t="s">
        <v>300</v>
      </c>
      <c r="AK7653" t="s">
        <v>365</v>
      </c>
    </row>
    <row r="7654" spans="1:37">
      <c r="B7654" t="s">
        <v>52</v>
      </c>
      <c r="C7654" t="s">
        <v>76</v>
      </c>
      <c r="D7654" t="s">
        <v>96</v>
      </c>
      <c r="E7654" t="s">
        <v>115</v>
      </c>
      <c r="F7654" t="s">
        <v>149</v>
      </c>
      <c r="G7654" t="s">
        <v>174</v>
      </c>
      <c r="H7654" t="s">
        <v>96</v>
      </c>
      <c r="I7654" t="s">
        <v>229</v>
      </c>
      <c r="J7654" t="s">
        <v>248</v>
      </c>
      <c r="K7654" t="s">
        <v>262</v>
      </c>
      <c r="L7654" t="s">
        <v>52</v>
      </c>
      <c r="M7654" t="s">
        <v>76</v>
      </c>
      <c r="N7654" t="s">
        <v>293</v>
      </c>
      <c r="O7654" t="s">
        <v>301</v>
      </c>
      <c r="P7654" t="s">
        <v>309</v>
      </c>
      <c r="Q7654" t="s">
        <v>315</v>
      </c>
      <c r="R7654" t="s">
        <v>228</v>
      </c>
      <c r="S7654" t="s">
        <v>328</v>
      </c>
      <c r="T7654" t="s">
        <v>149</v>
      </c>
      <c r="U7654" t="s">
        <v>337</v>
      </c>
      <c r="V7654" t="s">
        <v>341</v>
      </c>
      <c r="W7654" t="s">
        <v>345</v>
      </c>
      <c r="X7654" t="s">
        <v>350</v>
      </c>
      <c r="AK7654" t="s">
        <v>365</v>
      </c>
    </row>
    <row r="7655" spans="1:37">
      <c r="B7655" t="s">
        <v>53</v>
      </c>
      <c r="C7655" t="s">
        <v>77</v>
      </c>
      <c r="D7655" t="s">
        <v>97</v>
      </c>
      <c r="E7655" t="s">
        <v>116</v>
      </c>
      <c r="F7655" t="s">
        <v>150</v>
      </c>
      <c r="G7655" t="s">
        <v>175</v>
      </c>
      <c r="H7655" t="s">
        <v>210</v>
      </c>
      <c r="I7655" t="s">
        <v>230</v>
      </c>
      <c r="J7655" t="s">
        <v>249</v>
      </c>
      <c r="K7655" t="s">
        <v>263</v>
      </c>
      <c r="L7655" t="s">
        <v>275</v>
      </c>
      <c r="M7655" t="s">
        <v>284</v>
      </c>
      <c r="N7655" t="s">
        <v>294</v>
      </c>
      <c r="O7655" t="s">
        <v>302</v>
      </c>
      <c r="P7655" t="s">
        <v>310</v>
      </c>
      <c r="Q7655" t="s">
        <v>316</v>
      </c>
      <c r="R7655" t="s">
        <v>322</v>
      </c>
      <c r="S7655" t="s">
        <v>329</v>
      </c>
      <c r="AK7655" t="s">
        <v>365</v>
      </c>
    </row>
    <row r="7656" spans="1:37">
      <c r="A7656" t="s">
        <v>39</v>
      </c>
      <c r="B7656" t="s">
        <v>54</v>
      </c>
      <c r="C7656" t="s">
        <v>54</v>
      </c>
      <c r="D7656" t="s">
        <v>54</v>
      </c>
      <c r="E7656" t="s">
        <v>54</v>
      </c>
      <c r="F7656" t="s">
        <v>54</v>
      </c>
      <c r="G7656" t="s">
        <v>54</v>
      </c>
      <c r="H7656" t="s">
        <v>54</v>
      </c>
      <c r="I7656" t="s">
        <v>54</v>
      </c>
      <c r="J7656" t="s">
        <v>54</v>
      </c>
      <c r="K7656" t="s">
        <v>54</v>
      </c>
      <c r="L7656" t="s">
        <v>54</v>
      </c>
      <c r="M7656" t="s">
        <v>54</v>
      </c>
      <c r="N7656" t="s">
        <v>54</v>
      </c>
      <c r="O7656" t="s">
        <v>54</v>
      </c>
      <c r="P7656" t="s">
        <v>54</v>
      </c>
      <c r="Q7656" t="s">
        <v>54</v>
      </c>
      <c r="R7656" t="s">
        <v>323</v>
      </c>
      <c r="S7656" t="s">
        <v>330</v>
      </c>
      <c r="AK7656" t="s">
        <v>365</v>
      </c>
    </row>
    <row r="7657" spans="1:37">
      <c r="B7657" t="s">
        <v>55</v>
      </c>
      <c r="C7657" t="s">
        <v>78</v>
      </c>
      <c r="D7657" t="s">
        <v>55</v>
      </c>
      <c r="E7657" t="s">
        <v>78</v>
      </c>
      <c r="F7657" t="s">
        <v>55</v>
      </c>
      <c r="G7657" t="s">
        <v>78</v>
      </c>
      <c r="H7657" t="s">
        <v>55</v>
      </c>
      <c r="I7657" t="s">
        <v>78</v>
      </c>
      <c r="J7657" t="s">
        <v>55</v>
      </c>
      <c r="K7657" t="s">
        <v>78</v>
      </c>
      <c r="L7657" t="s">
        <v>55</v>
      </c>
      <c r="M7657" t="s">
        <v>78</v>
      </c>
      <c r="N7657" t="s">
        <v>55</v>
      </c>
      <c r="O7657" t="s">
        <v>78</v>
      </c>
      <c r="P7657" t="s">
        <v>55</v>
      </c>
      <c r="Q7657" t="s">
        <v>78</v>
      </c>
      <c r="R7657" t="s">
        <v>55</v>
      </c>
      <c r="S7657" t="s">
        <v>78</v>
      </c>
      <c r="T7657" t="s">
        <v>55</v>
      </c>
      <c r="U7657" t="s">
        <v>78</v>
      </c>
      <c r="V7657" t="s">
        <v>55</v>
      </c>
      <c r="W7657" t="s">
        <v>78</v>
      </c>
      <c r="X7657" t="s">
        <v>55</v>
      </c>
      <c r="Y7657" t="s">
        <v>78</v>
      </c>
      <c r="Z7657" t="s">
        <v>55</v>
      </c>
      <c r="AA7657" t="s">
        <v>78</v>
      </c>
      <c r="AB7657" t="s">
        <v>55</v>
      </c>
      <c r="AC7657" t="s">
        <v>78</v>
      </c>
      <c r="AD7657" t="s">
        <v>55</v>
      </c>
      <c r="AE7657" t="s">
        <v>78</v>
      </c>
      <c r="AF7657" t="s">
        <v>55</v>
      </c>
      <c r="AG7657" t="s">
        <v>78</v>
      </c>
      <c r="AH7657" t="s">
        <v>55</v>
      </c>
      <c r="AI7657" t="s">
        <v>78</v>
      </c>
      <c r="AK7657" t="s">
        <v>365</v>
      </c>
    </row>
    <row r="7658" spans="1:37">
      <c r="B7658" t="s">
        <v>56</v>
      </c>
      <c r="C7658" t="s">
        <v>56</v>
      </c>
      <c r="D7658" t="s">
        <v>56</v>
      </c>
      <c r="E7658" t="s">
        <v>56</v>
      </c>
      <c r="F7658" t="s">
        <v>56</v>
      </c>
      <c r="G7658" t="s">
        <v>176</v>
      </c>
      <c r="H7658" t="s">
        <v>211</v>
      </c>
      <c r="I7658" t="s">
        <v>231</v>
      </c>
      <c r="J7658" t="s">
        <v>250</v>
      </c>
      <c r="K7658" t="s">
        <v>264</v>
      </c>
      <c r="L7658" t="s">
        <v>276</v>
      </c>
      <c r="M7658" t="s">
        <v>285</v>
      </c>
      <c r="N7658" t="s">
        <v>295</v>
      </c>
      <c r="O7658" t="s">
        <v>303</v>
      </c>
      <c r="P7658" t="s">
        <v>56</v>
      </c>
      <c r="Q7658" t="s">
        <v>317</v>
      </c>
      <c r="R7658" t="s">
        <v>324</v>
      </c>
      <c r="S7658" t="s">
        <v>331</v>
      </c>
      <c r="T7658" t="s">
        <v>334</v>
      </c>
      <c r="U7658" t="s">
        <v>338</v>
      </c>
      <c r="V7658" t="s">
        <v>342</v>
      </c>
      <c r="W7658" t="s">
        <v>346</v>
      </c>
      <c r="X7658" t="s">
        <v>351</v>
      </c>
      <c r="AK7658" t="s">
        <v>365</v>
      </c>
    </row>
    <row r="7659" spans="1:37">
      <c r="B7659" t="s">
        <v>57</v>
      </c>
      <c r="C7659" t="s">
        <v>79</v>
      </c>
      <c r="D7659" t="s">
        <v>98</v>
      </c>
      <c r="E7659" t="s">
        <v>117</v>
      </c>
      <c r="F7659" t="s">
        <v>151</v>
      </c>
      <c r="G7659" t="s">
        <v>177</v>
      </c>
      <c r="H7659" t="s">
        <v>212</v>
      </c>
      <c r="I7659" t="s">
        <v>232</v>
      </c>
      <c r="J7659" t="s">
        <v>251</v>
      </c>
      <c r="K7659" t="s">
        <v>265</v>
      </c>
      <c r="L7659" t="s">
        <v>277</v>
      </c>
      <c r="M7659" t="s">
        <v>286</v>
      </c>
      <c r="N7659" t="s">
        <v>296</v>
      </c>
      <c r="O7659" t="s">
        <v>304</v>
      </c>
      <c r="P7659" t="s">
        <v>311</v>
      </c>
      <c r="Q7659" t="s">
        <v>318</v>
      </c>
      <c r="R7659" t="s">
        <v>185</v>
      </c>
      <c r="S7659" t="s">
        <v>159</v>
      </c>
      <c r="T7659" t="s">
        <v>185</v>
      </c>
      <c r="U7659" t="s">
        <v>339</v>
      </c>
      <c r="V7659" t="s">
        <v>72</v>
      </c>
      <c r="W7659" t="s">
        <v>347</v>
      </c>
      <c r="X7659" t="s">
        <v>72</v>
      </c>
      <c r="Y7659" t="s">
        <v>96</v>
      </c>
      <c r="AK7659" t="s">
        <v>365</v>
      </c>
    </row>
    <row r="7660" spans="1:37">
      <c r="B7660" t="s">
        <v>58</v>
      </c>
      <c r="C7660" t="s">
        <v>80</v>
      </c>
      <c r="D7660" t="s">
        <v>99</v>
      </c>
      <c r="E7660" t="s">
        <v>118</v>
      </c>
      <c r="F7660" t="s">
        <v>152</v>
      </c>
      <c r="G7660" t="s">
        <v>178</v>
      </c>
      <c r="H7660" t="s">
        <v>213</v>
      </c>
      <c r="I7660" t="s">
        <v>233</v>
      </c>
      <c r="J7660" t="s">
        <v>252</v>
      </c>
      <c r="K7660" t="s">
        <v>266</v>
      </c>
      <c r="L7660" t="s">
        <v>278</v>
      </c>
      <c r="M7660" t="s">
        <v>287</v>
      </c>
      <c r="N7660" t="s">
        <v>297</v>
      </c>
      <c r="O7660" t="s">
        <v>305</v>
      </c>
      <c r="P7660" t="s">
        <v>312</v>
      </c>
      <c r="Q7660" t="s">
        <v>319</v>
      </c>
      <c r="R7660">
        <f>&gt;10       ветра      3.7     16   4</f>
        <v>0</v>
      </c>
      <c r="AK7660" t="s">
        <v>365</v>
      </c>
    </row>
    <row r="7661" spans="1:37">
      <c r="A7661" t="s">
        <v>40</v>
      </c>
      <c r="B7661" t="s">
        <v>59</v>
      </c>
      <c r="C7661" t="s">
        <v>81</v>
      </c>
      <c r="D7661" t="s">
        <v>100</v>
      </c>
      <c r="E7661" t="s">
        <v>119</v>
      </c>
      <c r="F7661" t="s">
        <v>153</v>
      </c>
      <c r="G7661" t="s">
        <v>179</v>
      </c>
      <c r="H7661" t="s">
        <v>214</v>
      </c>
      <c r="I7661" t="s">
        <v>234</v>
      </c>
      <c r="AK7661" t="s">
        <v>365</v>
      </c>
    </row>
    <row r="7662" spans="1:37">
      <c r="A7662" t="s">
        <v>40</v>
      </c>
      <c r="B7662" t="s">
        <v>60</v>
      </c>
      <c r="C7662" t="s">
        <v>82</v>
      </c>
      <c r="D7662" t="s">
        <v>101</v>
      </c>
      <c r="E7662" t="s">
        <v>120</v>
      </c>
      <c r="F7662" t="s">
        <v>154</v>
      </c>
      <c r="G7662" t="s">
        <v>180</v>
      </c>
      <c r="H7662" t="s">
        <v>215</v>
      </c>
      <c r="I7662" t="s">
        <v>235</v>
      </c>
      <c r="J7662" t="s">
        <v>253</v>
      </c>
      <c r="K7662" t="s">
        <v>267</v>
      </c>
      <c r="L7662" t="s">
        <v>279</v>
      </c>
      <c r="M7662" t="s">
        <v>288</v>
      </c>
      <c r="N7662" t="s">
        <v>100</v>
      </c>
      <c r="O7662" t="s">
        <v>306</v>
      </c>
      <c r="P7662" t="s">
        <v>313</v>
      </c>
      <c r="Q7662" t="s">
        <v>320</v>
      </c>
      <c r="R7662" t="s">
        <v>325</v>
      </c>
      <c r="S7662" t="s">
        <v>332</v>
      </c>
      <c r="T7662" t="s">
        <v>119</v>
      </c>
      <c r="U7662" t="s">
        <v>234</v>
      </c>
      <c r="V7662" t="s">
        <v>343</v>
      </c>
      <c r="W7662" t="s">
        <v>348</v>
      </c>
      <c r="X7662" t="s">
        <v>352</v>
      </c>
      <c r="Y7662" t="s">
        <v>354</v>
      </c>
      <c r="AK7662" t="s">
        <v>365</v>
      </c>
    </row>
    <row r="7663" spans="1:37">
      <c r="A7663" t="s">
        <v>41</v>
      </c>
      <c r="B7663" t="s">
        <v>61</v>
      </c>
      <c r="C7663" t="s">
        <v>83</v>
      </c>
      <c r="D7663" t="s">
        <v>102</v>
      </c>
      <c r="E7663" t="s">
        <v>121</v>
      </c>
      <c r="F7663" t="s">
        <v>155</v>
      </c>
      <c r="G7663" t="s">
        <v>181</v>
      </c>
      <c r="H7663" t="s">
        <v>216</v>
      </c>
      <c r="I7663" t="s">
        <v>236</v>
      </c>
      <c r="AK7663" t="s">
        <v>365</v>
      </c>
    </row>
    <row r="7664" spans="1:37">
      <c r="A7664" t="s">
        <v>42</v>
      </c>
      <c r="B7664" t="s">
        <v>62</v>
      </c>
      <c r="C7664" t="s">
        <v>84</v>
      </c>
      <c r="D7664" t="s">
        <v>103</v>
      </c>
      <c r="E7664" t="s">
        <v>122</v>
      </c>
      <c r="F7664" t="s">
        <v>156</v>
      </c>
      <c r="G7664" t="s">
        <v>182</v>
      </c>
      <c r="H7664" t="s">
        <v>83</v>
      </c>
      <c r="I7664" t="s">
        <v>237</v>
      </c>
      <c r="J7664" t="s">
        <v>254</v>
      </c>
      <c r="K7664" t="s">
        <v>268</v>
      </c>
      <c r="L7664" t="s">
        <v>280</v>
      </c>
      <c r="M7664" t="s">
        <v>289</v>
      </c>
      <c r="N7664" t="s">
        <v>298</v>
      </c>
      <c r="O7664" t="s">
        <v>307</v>
      </c>
      <c r="P7664" t="s">
        <v>314</v>
      </c>
      <c r="Q7664" t="s">
        <v>216</v>
      </c>
      <c r="R7664" t="s">
        <v>326</v>
      </c>
      <c r="S7664" t="s">
        <v>333</v>
      </c>
      <c r="T7664" t="s">
        <v>335</v>
      </c>
      <c r="U7664" t="s">
        <v>340</v>
      </c>
      <c r="V7664" t="s">
        <v>344</v>
      </c>
      <c r="W7664" t="s">
        <v>349</v>
      </c>
      <c r="AK7664" t="s">
        <v>365</v>
      </c>
    </row>
    <row r="7665" spans="1:37">
      <c r="A7665" t="s">
        <v>43</v>
      </c>
      <c r="B7665" t="s">
        <v>63</v>
      </c>
      <c r="C7665" t="s">
        <v>85</v>
      </c>
      <c r="D7665" t="s">
        <v>104</v>
      </c>
      <c r="E7665" t="s">
        <v>123</v>
      </c>
      <c r="F7665" t="s">
        <v>157</v>
      </c>
      <c r="G7665" t="s">
        <v>183</v>
      </c>
      <c r="AK7665" t="s">
        <v>365</v>
      </c>
    </row>
    <row r="7666" spans="1:37">
      <c r="A7666" t="s">
        <v>44</v>
      </c>
      <c r="B7666" t="s">
        <v>64</v>
      </c>
      <c r="C7666" t="s">
        <v>86</v>
      </c>
      <c r="D7666" t="s">
        <v>105</v>
      </c>
      <c r="E7666" t="s">
        <v>124</v>
      </c>
      <c r="F7666" t="s">
        <v>158</v>
      </c>
      <c r="G7666" t="s">
        <v>184</v>
      </c>
      <c r="AK7666" t="s">
        <v>365</v>
      </c>
    </row>
    <row r="7667" spans="1:37">
      <c r="A7667" t="s">
        <v>45</v>
      </c>
      <c r="B7667" t="s">
        <v>65</v>
      </c>
      <c r="C7667" t="s">
        <v>87</v>
      </c>
      <c r="D7667" t="s">
        <v>106</v>
      </c>
      <c r="E7667" t="s">
        <v>125</v>
      </c>
      <c r="F7667" t="s">
        <v>159</v>
      </c>
      <c r="G7667" t="s">
        <v>185</v>
      </c>
      <c r="H7667" t="s">
        <v>159</v>
      </c>
      <c r="I7667" t="s">
        <v>185</v>
      </c>
      <c r="J7667" t="s">
        <v>255</v>
      </c>
      <c r="AK7667" t="s">
        <v>365</v>
      </c>
    </row>
    <row r="7668" spans="1:37">
      <c r="A7668" t="s">
        <v>46</v>
      </c>
      <c r="B7668" t="s">
        <v>66</v>
      </c>
      <c r="C7668" t="s">
        <v>88</v>
      </c>
      <c r="D7668" t="s">
        <v>76</v>
      </c>
      <c r="E7668" t="s">
        <v>126</v>
      </c>
      <c r="F7668" t="s">
        <v>160</v>
      </c>
      <c r="G7668" t="s">
        <v>186</v>
      </c>
      <c r="H7668" t="s">
        <v>217</v>
      </c>
      <c r="I7668" t="s">
        <v>238</v>
      </c>
      <c r="J7668" t="s">
        <v>256</v>
      </c>
      <c r="K7668" t="s">
        <v>265</v>
      </c>
      <c r="L7668" t="s">
        <v>281</v>
      </c>
      <c r="M7668" t="s">
        <v>290</v>
      </c>
      <c r="N7668" t="s">
        <v>299</v>
      </c>
      <c r="O7668" t="s">
        <v>308</v>
      </c>
      <c r="P7668" t="s">
        <v>228</v>
      </c>
      <c r="Q7668" t="s">
        <v>72</v>
      </c>
      <c r="R7668" t="s">
        <v>327</v>
      </c>
      <c r="S7668" t="s">
        <v>327</v>
      </c>
      <c r="T7668" t="s">
        <v>336</v>
      </c>
      <c r="U7668" t="s">
        <v>336</v>
      </c>
      <c r="V7668" t="s">
        <v>336</v>
      </c>
      <c r="W7668" t="s">
        <v>336</v>
      </c>
      <c r="X7668" t="s">
        <v>353</v>
      </c>
      <c r="AK7668" t="s">
        <v>365</v>
      </c>
    </row>
    <row r="7669" spans="1:37">
      <c r="A7669" t="s">
        <v>37</v>
      </c>
      <c r="B7669" t="s">
        <v>49</v>
      </c>
      <c r="C7669" t="s">
        <v>73</v>
      </c>
      <c r="D7669" t="s">
        <v>94</v>
      </c>
      <c r="E7669" t="s">
        <v>112</v>
      </c>
      <c r="F7669" t="s">
        <v>146</v>
      </c>
      <c r="G7669" t="s">
        <v>172</v>
      </c>
      <c r="H7669" t="s">
        <v>207</v>
      </c>
      <c r="I7669" t="s">
        <v>226</v>
      </c>
      <c r="J7669" t="s">
        <v>246</v>
      </c>
      <c r="K7669" t="s">
        <v>259</v>
      </c>
      <c r="AK7669" t="s">
        <v>365</v>
      </c>
    </row>
    <row r="7670" spans="1:37">
      <c r="A7670" t="s">
        <v>38</v>
      </c>
      <c r="B7670" t="s">
        <v>50</v>
      </c>
      <c r="C7670" t="s">
        <v>74</v>
      </c>
      <c r="D7670" t="s">
        <v>95</v>
      </c>
      <c r="E7670" t="s">
        <v>113</v>
      </c>
      <c r="F7670" t="s">
        <v>147</v>
      </c>
      <c r="G7670" t="s">
        <v>173</v>
      </c>
      <c r="H7670" t="s">
        <v>208</v>
      </c>
      <c r="I7670" t="s">
        <v>227</v>
      </c>
      <c r="J7670" t="s">
        <v>115</v>
      </c>
      <c r="K7670" t="s">
        <v>260</v>
      </c>
      <c r="L7670" t="s">
        <v>273</v>
      </c>
      <c r="M7670" t="s">
        <v>282</v>
      </c>
      <c r="N7670" t="s">
        <v>291</v>
      </c>
      <c r="AK7670" t="s">
        <v>365</v>
      </c>
    </row>
    <row r="7671" spans="1:37">
      <c r="B7671" t="s">
        <v>51</v>
      </c>
      <c r="C7671" t="s">
        <v>75</v>
      </c>
      <c r="D7671" t="s">
        <v>52</v>
      </c>
      <c r="E7671" t="s">
        <v>114</v>
      </c>
      <c r="F7671" t="s">
        <v>148</v>
      </c>
      <c r="G7671" t="s">
        <v>148</v>
      </c>
      <c r="H7671" t="s">
        <v>209</v>
      </c>
      <c r="I7671" t="s">
        <v>228</v>
      </c>
      <c r="J7671" t="s">
        <v>247</v>
      </c>
      <c r="K7671" t="s">
        <v>261</v>
      </c>
      <c r="L7671" t="s">
        <v>274</v>
      </c>
      <c r="M7671" t="s">
        <v>283</v>
      </c>
      <c r="N7671" t="s">
        <v>292</v>
      </c>
      <c r="O7671" t="s">
        <v>300</v>
      </c>
      <c r="AK7671" t="s">
        <v>365</v>
      </c>
    </row>
    <row r="7672" spans="1:37">
      <c r="B7672" t="s">
        <v>52</v>
      </c>
      <c r="C7672" t="s">
        <v>76</v>
      </c>
      <c r="D7672" t="s">
        <v>96</v>
      </c>
      <c r="E7672" t="s">
        <v>115</v>
      </c>
      <c r="F7672" t="s">
        <v>149</v>
      </c>
      <c r="G7672" t="s">
        <v>174</v>
      </c>
      <c r="H7672" t="s">
        <v>96</v>
      </c>
      <c r="I7672" t="s">
        <v>229</v>
      </c>
      <c r="J7672" t="s">
        <v>248</v>
      </c>
      <c r="K7672" t="s">
        <v>262</v>
      </c>
      <c r="L7672" t="s">
        <v>52</v>
      </c>
      <c r="M7672" t="s">
        <v>76</v>
      </c>
      <c r="N7672" t="s">
        <v>293</v>
      </c>
      <c r="O7672" t="s">
        <v>301</v>
      </c>
      <c r="P7672" t="s">
        <v>309</v>
      </c>
      <c r="Q7672" t="s">
        <v>315</v>
      </c>
      <c r="R7672" t="s">
        <v>228</v>
      </c>
      <c r="S7672" t="s">
        <v>328</v>
      </c>
      <c r="T7672" t="s">
        <v>149</v>
      </c>
      <c r="U7672" t="s">
        <v>337</v>
      </c>
      <c r="V7672" t="s">
        <v>341</v>
      </c>
      <c r="W7672" t="s">
        <v>345</v>
      </c>
      <c r="X7672" t="s">
        <v>350</v>
      </c>
      <c r="AK7672" t="s">
        <v>365</v>
      </c>
    </row>
    <row r="7673" spans="1:37">
      <c r="B7673" t="s">
        <v>53</v>
      </c>
      <c r="C7673" t="s">
        <v>77</v>
      </c>
      <c r="D7673" t="s">
        <v>97</v>
      </c>
      <c r="E7673" t="s">
        <v>116</v>
      </c>
      <c r="F7673" t="s">
        <v>150</v>
      </c>
      <c r="G7673" t="s">
        <v>175</v>
      </c>
      <c r="H7673" t="s">
        <v>210</v>
      </c>
      <c r="I7673" t="s">
        <v>230</v>
      </c>
      <c r="J7673" t="s">
        <v>249</v>
      </c>
      <c r="K7673" t="s">
        <v>263</v>
      </c>
      <c r="L7673" t="s">
        <v>275</v>
      </c>
      <c r="M7673" t="s">
        <v>284</v>
      </c>
      <c r="N7673" t="s">
        <v>294</v>
      </c>
      <c r="O7673" t="s">
        <v>302</v>
      </c>
      <c r="P7673" t="s">
        <v>310</v>
      </c>
      <c r="Q7673" t="s">
        <v>316</v>
      </c>
      <c r="R7673" t="s">
        <v>322</v>
      </c>
      <c r="S7673" t="s">
        <v>329</v>
      </c>
      <c r="AK7673" t="s">
        <v>365</v>
      </c>
    </row>
    <row r="7674" spans="1:37">
      <c r="A7674" t="s">
        <v>39</v>
      </c>
      <c r="B7674" t="s">
        <v>54</v>
      </c>
      <c r="C7674" t="s">
        <v>54</v>
      </c>
      <c r="D7674" t="s">
        <v>54</v>
      </c>
      <c r="E7674" t="s">
        <v>54</v>
      </c>
      <c r="F7674" t="s">
        <v>54</v>
      </c>
      <c r="G7674" t="s">
        <v>54</v>
      </c>
      <c r="H7674" t="s">
        <v>54</v>
      </c>
      <c r="I7674" t="s">
        <v>54</v>
      </c>
      <c r="J7674" t="s">
        <v>54</v>
      </c>
      <c r="K7674" t="s">
        <v>54</v>
      </c>
      <c r="L7674" t="s">
        <v>54</v>
      </c>
      <c r="M7674" t="s">
        <v>54</v>
      </c>
      <c r="N7674" t="s">
        <v>54</v>
      </c>
      <c r="O7674" t="s">
        <v>54</v>
      </c>
      <c r="P7674" t="s">
        <v>54</v>
      </c>
      <c r="Q7674" t="s">
        <v>54</v>
      </c>
      <c r="R7674" t="s">
        <v>323</v>
      </c>
      <c r="S7674" t="s">
        <v>330</v>
      </c>
      <c r="AK7674" t="s">
        <v>365</v>
      </c>
    </row>
    <row r="7675" spans="1:37">
      <c r="B7675" t="s">
        <v>55</v>
      </c>
      <c r="C7675" t="s">
        <v>78</v>
      </c>
      <c r="D7675" t="s">
        <v>55</v>
      </c>
      <c r="E7675" t="s">
        <v>78</v>
      </c>
      <c r="F7675" t="s">
        <v>55</v>
      </c>
      <c r="G7675" t="s">
        <v>78</v>
      </c>
      <c r="H7675" t="s">
        <v>55</v>
      </c>
      <c r="I7675" t="s">
        <v>78</v>
      </c>
      <c r="J7675" t="s">
        <v>55</v>
      </c>
      <c r="K7675" t="s">
        <v>78</v>
      </c>
      <c r="L7675" t="s">
        <v>55</v>
      </c>
      <c r="M7675" t="s">
        <v>78</v>
      </c>
      <c r="N7675" t="s">
        <v>55</v>
      </c>
      <c r="O7675" t="s">
        <v>78</v>
      </c>
      <c r="P7675" t="s">
        <v>55</v>
      </c>
      <c r="Q7675" t="s">
        <v>78</v>
      </c>
      <c r="R7675" t="s">
        <v>55</v>
      </c>
      <c r="S7675" t="s">
        <v>78</v>
      </c>
      <c r="T7675" t="s">
        <v>55</v>
      </c>
      <c r="U7675" t="s">
        <v>78</v>
      </c>
      <c r="V7675" t="s">
        <v>55</v>
      </c>
      <c r="W7675" t="s">
        <v>78</v>
      </c>
      <c r="X7675" t="s">
        <v>55</v>
      </c>
      <c r="Y7675" t="s">
        <v>78</v>
      </c>
      <c r="Z7675" t="s">
        <v>55</v>
      </c>
      <c r="AA7675" t="s">
        <v>78</v>
      </c>
      <c r="AB7675" t="s">
        <v>55</v>
      </c>
      <c r="AC7675" t="s">
        <v>78</v>
      </c>
      <c r="AD7675" t="s">
        <v>55</v>
      </c>
      <c r="AE7675" t="s">
        <v>78</v>
      </c>
      <c r="AF7675" t="s">
        <v>55</v>
      </c>
      <c r="AG7675" t="s">
        <v>78</v>
      </c>
      <c r="AH7675" t="s">
        <v>55</v>
      </c>
      <c r="AI7675" t="s">
        <v>78</v>
      </c>
      <c r="AK7675" t="s">
        <v>365</v>
      </c>
    </row>
    <row r="7676" spans="1:37">
      <c r="B7676" t="s">
        <v>56</v>
      </c>
      <c r="C7676" t="s">
        <v>56</v>
      </c>
      <c r="D7676" t="s">
        <v>56</v>
      </c>
      <c r="E7676" t="s">
        <v>56</v>
      </c>
      <c r="F7676" t="s">
        <v>56</v>
      </c>
      <c r="G7676" t="s">
        <v>176</v>
      </c>
      <c r="H7676" t="s">
        <v>211</v>
      </c>
      <c r="I7676" t="s">
        <v>231</v>
      </c>
      <c r="J7676" t="s">
        <v>250</v>
      </c>
      <c r="K7676" t="s">
        <v>264</v>
      </c>
      <c r="L7676" t="s">
        <v>276</v>
      </c>
      <c r="M7676" t="s">
        <v>285</v>
      </c>
      <c r="N7676" t="s">
        <v>295</v>
      </c>
      <c r="O7676" t="s">
        <v>303</v>
      </c>
      <c r="P7676" t="s">
        <v>56</v>
      </c>
      <c r="Q7676" t="s">
        <v>317</v>
      </c>
      <c r="R7676" t="s">
        <v>324</v>
      </c>
      <c r="S7676" t="s">
        <v>331</v>
      </c>
      <c r="T7676" t="s">
        <v>334</v>
      </c>
      <c r="U7676" t="s">
        <v>338</v>
      </c>
      <c r="V7676" t="s">
        <v>342</v>
      </c>
      <c r="W7676" t="s">
        <v>346</v>
      </c>
      <c r="X7676" t="s">
        <v>351</v>
      </c>
      <c r="AK7676" t="s">
        <v>365</v>
      </c>
    </row>
    <row r="7677" spans="1:37">
      <c r="B7677" t="s">
        <v>57</v>
      </c>
      <c r="C7677" t="s">
        <v>79</v>
      </c>
      <c r="D7677" t="s">
        <v>98</v>
      </c>
      <c r="E7677" t="s">
        <v>117</v>
      </c>
      <c r="F7677" t="s">
        <v>151</v>
      </c>
      <c r="G7677" t="s">
        <v>177</v>
      </c>
      <c r="H7677" t="s">
        <v>212</v>
      </c>
      <c r="I7677" t="s">
        <v>232</v>
      </c>
      <c r="J7677" t="s">
        <v>251</v>
      </c>
      <c r="K7677" t="s">
        <v>265</v>
      </c>
      <c r="L7677" t="s">
        <v>277</v>
      </c>
      <c r="M7677" t="s">
        <v>286</v>
      </c>
      <c r="N7677" t="s">
        <v>296</v>
      </c>
      <c r="O7677" t="s">
        <v>304</v>
      </c>
      <c r="P7677" t="s">
        <v>311</v>
      </c>
      <c r="Q7677" t="s">
        <v>318</v>
      </c>
      <c r="R7677" t="s">
        <v>185</v>
      </c>
      <c r="S7677" t="s">
        <v>159</v>
      </c>
      <c r="T7677" t="s">
        <v>185</v>
      </c>
      <c r="U7677" t="s">
        <v>339</v>
      </c>
      <c r="V7677" t="s">
        <v>72</v>
      </c>
      <c r="W7677" t="s">
        <v>347</v>
      </c>
      <c r="X7677" t="s">
        <v>72</v>
      </c>
      <c r="Y7677" t="s">
        <v>96</v>
      </c>
      <c r="AK7677" t="s">
        <v>365</v>
      </c>
    </row>
    <row r="7678" spans="1:37">
      <c r="B7678" t="s">
        <v>58</v>
      </c>
      <c r="C7678" t="s">
        <v>80</v>
      </c>
      <c r="D7678" t="s">
        <v>99</v>
      </c>
      <c r="E7678" t="s">
        <v>118</v>
      </c>
      <c r="F7678" t="s">
        <v>152</v>
      </c>
      <c r="G7678" t="s">
        <v>178</v>
      </c>
      <c r="H7678" t="s">
        <v>213</v>
      </c>
      <c r="I7678" t="s">
        <v>233</v>
      </c>
      <c r="J7678" t="s">
        <v>252</v>
      </c>
      <c r="K7678" t="s">
        <v>266</v>
      </c>
      <c r="L7678" t="s">
        <v>278</v>
      </c>
      <c r="M7678" t="s">
        <v>287</v>
      </c>
      <c r="N7678" t="s">
        <v>297</v>
      </c>
      <c r="O7678" t="s">
        <v>305</v>
      </c>
      <c r="P7678" t="s">
        <v>312</v>
      </c>
      <c r="Q7678" t="s">
        <v>319</v>
      </c>
      <c r="R7678">
        <f>&gt;10       ветра      3.2     18   4 11</f>
        <v>0</v>
      </c>
      <c r="AK7678" t="s">
        <v>365</v>
      </c>
    </row>
    <row r="7679" spans="1:37">
      <c r="A7679" t="s">
        <v>40</v>
      </c>
      <c r="B7679" t="s">
        <v>59</v>
      </c>
      <c r="C7679" t="s">
        <v>81</v>
      </c>
      <c r="D7679" t="s">
        <v>100</v>
      </c>
      <c r="E7679" t="s">
        <v>119</v>
      </c>
      <c r="F7679" t="s">
        <v>153</v>
      </c>
      <c r="G7679" t="s">
        <v>179</v>
      </c>
      <c r="H7679" t="s">
        <v>214</v>
      </c>
      <c r="I7679" t="s">
        <v>234</v>
      </c>
      <c r="AK7679" t="s">
        <v>365</v>
      </c>
    </row>
    <row r="7680" spans="1:37">
      <c r="A7680" t="s">
        <v>40</v>
      </c>
      <c r="B7680" t="s">
        <v>60</v>
      </c>
      <c r="C7680" t="s">
        <v>82</v>
      </c>
      <c r="D7680" t="s">
        <v>101</v>
      </c>
      <c r="E7680" t="s">
        <v>120</v>
      </c>
      <c r="F7680" t="s">
        <v>154</v>
      </c>
      <c r="G7680" t="s">
        <v>180</v>
      </c>
      <c r="H7680" t="s">
        <v>215</v>
      </c>
      <c r="I7680" t="s">
        <v>235</v>
      </c>
      <c r="J7680" t="s">
        <v>253</v>
      </c>
      <c r="K7680" t="s">
        <v>267</v>
      </c>
      <c r="L7680" t="s">
        <v>279</v>
      </c>
      <c r="M7680" t="s">
        <v>288</v>
      </c>
      <c r="N7680" t="s">
        <v>100</v>
      </c>
      <c r="O7680" t="s">
        <v>306</v>
      </c>
      <c r="P7680" t="s">
        <v>313</v>
      </c>
      <c r="Q7680" t="s">
        <v>320</v>
      </c>
      <c r="R7680" t="s">
        <v>325</v>
      </c>
      <c r="S7680" t="s">
        <v>332</v>
      </c>
      <c r="T7680" t="s">
        <v>119</v>
      </c>
      <c r="U7680" t="s">
        <v>234</v>
      </c>
      <c r="V7680" t="s">
        <v>343</v>
      </c>
      <c r="W7680" t="s">
        <v>348</v>
      </c>
      <c r="X7680" t="s">
        <v>352</v>
      </c>
      <c r="Y7680" t="s">
        <v>354</v>
      </c>
      <c r="AK7680" t="s">
        <v>365</v>
      </c>
    </row>
    <row r="7681" spans="1:37">
      <c r="A7681" t="s">
        <v>41</v>
      </c>
      <c r="B7681" t="s">
        <v>61</v>
      </c>
      <c r="C7681" t="s">
        <v>83</v>
      </c>
      <c r="D7681" t="s">
        <v>102</v>
      </c>
      <c r="E7681" t="s">
        <v>121</v>
      </c>
      <c r="F7681" t="s">
        <v>155</v>
      </c>
      <c r="G7681" t="s">
        <v>181</v>
      </c>
      <c r="H7681" t="s">
        <v>216</v>
      </c>
      <c r="I7681" t="s">
        <v>236</v>
      </c>
      <c r="AK7681" t="s">
        <v>365</v>
      </c>
    </row>
    <row r="7682" spans="1:37">
      <c r="A7682" t="s">
        <v>42</v>
      </c>
      <c r="B7682" t="s">
        <v>62</v>
      </c>
      <c r="C7682" t="s">
        <v>84</v>
      </c>
      <c r="D7682" t="s">
        <v>103</v>
      </c>
      <c r="E7682" t="s">
        <v>122</v>
      </c>
      <c r="F7682" t="s">
        <v>156</v>
      </c>
      <c r="G7682" t="s">
        <v>182</v>
      </c>
      <c r="H7682" t="s">
        <v>83</v>
      </c>
      <c r="I7682" t="s">
        <v>237</v>
      </c>
      <c r="J7682" t="s">
        <v>254</v>
      </c>
      <c r="K7682" t="s">
        <v>268</v>
      </c>
      <c r="L7682" t="s">
        <v>280</v>
      </c>
      <c r="M7682" t="s">
        <v>289</v>
      </c>
      <c r="N7682" t="s">
        <v>298</v>
      </c>
      <c r="O7682" t="s">
        <v>307</v>
      </c>
      <c r="P7682" t="s">
        <v>314</v>
      </c>
      <c r="Q7682" t="s">
        <v>216</v>
      </c>
      <c r="R7682" t="s">
        <v>326</v>
      </c>
      <c r="S7682" t="s">
        <v>333</v>
      </c>
      <c r="T7682" t="s">
        <v>335</v>
      </c>
      <c r="U7682" t="s">
        <v>340</v>
      </c>
      <c r="V7682" t="s">
        <v>344</v>
      </c>
      <c r="W7682" t="s">
        <v>349</v>
      </c>
      <c r="AK7682" t="s">
        <v>365</v>
      </c>
    </row>
    <row r="7683" spans="1:37">
      <c r="A7683" t="s">
        <v>43</v>
      </c>
      <c r="B7683" t="s">
        <v>63</v>
      </c>
      <c r="C7683" t="s">
        <v>85</v>
      </c>
      <c r="D7683" t="s">
        <v>104</v>
      </c>
      <c r="E7683" t="s">
        <v>123</v>
      </c>
      <c r="F7683" t="s">
        <v>157</v>
      </c>
      <c r="G7683" t="s">
        <v>183</v>
      </c>
      <c r="AK7683" t="s">
        <v>365</v>
      </c>
    </row>
    <row r="7684" spans="1:37">
      <c r="A7684" t="s">
        <v>44</v>
      </c>
      <c r="B7684" t="s">
        <v>64</v>
      </c>
      <c r="C7684" t="s">
        <v>86</v>
      </c>
      <c r="D7684" t="s">
        <v>105</v>
      </c>
      <c r="E7684" t="s">
        <v>124</v>
      </c>
      <c r="F7684" t="s">
        <v>158</v>
      </c>
      <c r="G7684" t="s">
        <v>184</v>
      </c>
      <c r="AK7684" t="s">
        <v>365</v>
      </c>
    </row>
    <row r="7685" spans="1:37">
      <c r="A7685" t="s">
        <v>45</v>
      </c>
      <c r="B7685" t="s">
        <v>65</v>
      </c>
      <c r="C7685" t="s">
        <v>87</v>
      </c>
      <c r="D7685" t="s">
        <v>106</v>
      </c>
      <c r="E7685" t="s">
        <v>125</v>
      </c>
      <c r="F7685" t="s">
        <v>159</v>
      </c>
      <c r="G7685" t="s">
        <v>185</v>
      </c>
      <c r="H7685" t="s">
        <v>159</v>
      </c>
      <c r="I7685" t="s">
        <v>185</v>
      </c>
      <c r="J7685" t="s">
        <v>255</v>
      </c>
      <c r="AK7685" t="s">
        <v>365</v>
      </c>
    </row>
    <row r="7686" spans="1:37">
      <c r="A7686" t="s">
        <v>46</v>
      </c>
      <c r="B7686" t="s">
        <v>66</v>
      </c>
      <c r="C7686" t="s">
        <v>88</v>
      </c>
      <c r="D7686" t="s">
        <v>76</v>
      </c>
      <c r="E7686" t="s">
        <v>126</v>
      </c>
      <c r="F7686" t="s">
        <v>160</v>
      </c>
      <c r="G7686" t="s">
        <v>186</v>
      </c>
      <c r="H7686" t="s">
        <v>217</v>
      </c>
      <c r="I7686" t="s">
        <v>238</v>
      </c>
      <c r="J7686" t="s">
        <v>256</v>
      </c>
      <c r="K7686" t="s">
        <v>265</v>
      </c>
      <c r="L7686" t="s">
        <v>281</v>
      </c>
      <c r="M7686" t="s">
        <v>290</v>
      </c>
      <c r="N7686" t="s">
        <v>299</v>
      </c>
      <c r="O7686" t="s">
        <v>308</v>
      </c>
      <c r="P7686" t="s">
        <v>228</v>
      </c>
      <c r="Q7686" t="s">
        <v>72</v>
      </c>
      <c r="R7686" t="s">
        <v>327</v>
      </c>
      <c r="S7686" t="s">
        <v>327</v>
      </c>
      <c r="T7686" t="s">
        <v>336</v>
      </c>
      <c r="U7686" t="s">
        <v>336</v>
      </c>
      <c r="V7686" t="s">
        <v>336</v>
      </c>
      <c r="W7686" t="s">
        <v>336</v>
      </c>
      <c r="X7686" t="s">
        <v>353</v>
      </c>
      <c r="AK7686" t="s">
        <v>365</v>
      </c>
    </row>
    <row r="7687" spans="1:37">
      <c r="A7687" t="s">
        <v>37</v>
      </c>
      <c r="B7687" t="s">
        <v>49</v>
      </c>
      <c r="C7687" t="s">
        <v>73</v>
      </c>
      <c r="D7687" t="s">
        <v>94</v>
      </c>
      <c r="E7687" t="s">
        <v>112</v>
      </c>
      <c r="F7687" t="s">
        <v>146</v>
      </c>
      <c r="G7687" t="s">
        <v>172</v>
      </c>
      <c r="H7687" t="s">
        <v>207</v>
      </c>
      <c r="I7687" t="s">
        <v>226</v>
      </c>
      <c r="J7687" t="s">
        <v>246</v>
      </c>
      <c r="K7687" t="s">
        <v>259</v>
      </c>
      <c r="AK7687" t="s">
        <v>365</v>
      </c>
    </row>
    <row r="7688" spans="1:37">
      <c r="A7688" t="s">
        <v>38</v>
      </c>
      <c r="B7688" t="s">
        <v>50</v>
      </c>
      <c r="C7688" t="s">
        <v>74</v>
      </c>
      <c r="D7688" t="s">
        <v>95</v>
      </c>
      <c r="E7688" t="s">
        <v>113</v>
      </c>
      <c r="F7688" t="s">
        <v>147</v>
      </c>
      <c r="G7688" t="s">
        <v>173</v>
      </c>
      <c r="H7688" t="s">
        <v>208</v>
      </c>
      <c r="I7688" t="s">
        <v>227</v>
      </c>
      <c r="J7688" t="s">
        <v>115</v>
      </c>
      <c r="K7688" t="s">
        <v>260</v>
      </c>
      <c r="L7688" t="s">
        <v>273</v>
      </c>
      <c r="M7688" t="s">
        <v>282</v>
      </c>
      <c r="N7688" t="s">
        <v>291</v>
      </c>
      <c r="AK7688" t="s">
        <v>365</v>
      </c>
    </row>
    <row r="7689" spans="1:37">
      <c r="B7689" t="s">
        <v>51</v>
      </c>
      <c r="C7689" t="s">
        <v>75</v>
      </c>
      <c r="D7689" t="s">
        <v>52</v>
      </c>
      <c r="E7689" t="s">
        <v>114</v>
      </c>
      <c r="F7689" t="s">
        <v>148</v>
      </c>
      <c r="G7689" t="s">
        <v>148</v>
      </c>
      <c r="H7689" t="s">
        <v>209</v>
      </c>
      <c r="I7689" t="s">
        <v>228</v>
      </c>
      <c r="J7689" t="s">
        <v>247</v>
      </c>
      <c r="K7689" t="s">
        <v>261</v>
      </c>
      <c r="L7689" t="s">
        <v>274</v>
      </c>
      <c r="M7689" t="s">
        <v>283</v>
      </c>
      <c r="N7689" t="s">
        <v>292</v>
      </c>
      <c r="O7689" t="s">
        <v>300</v>
      </c>
      <c r="AK7689" t="s">
        <v>365</v>
      </c>
    </row>
    <row r="7690" spans="1:37">
      <c r="B7690" t="s">
        <v>52</v>
      </c>
      <c r="C7690" t="s">
        <v>76</v>
      </c>
      <c r="D7690" t="s">
        <v>96</v>
      </c>
      <c r="E7690" t="s">
        <v>115</v>
      </c>
      <c r="F7690" t="s">
        <v>149</v>
      </c>
      <c r="G7690" t="s">
        <v>174</v>
      </c>
      <c r="H7690" t="s">
        <v>96</v>
      </c>
      <c r="I7690" t="s">
        <v>229</v>
      </c>
      <c r="J7690" t="s">
        <v>248</v>
      </c>
      <c r="K7690" t="s">
        <v>262</v>
      </c>
      <c r="L7690" t="s">
        <v>52</v>
      </c>
      <c r="M7690" t="s">
        <v>76</v>
      </c>
      <c r="N7690" t="s">
        <v>293</v>
      </c>
      <c r="O7690" t="s">
        <v>301</v>
      </c>
      <c r="P7690" t="s">
        <v>309</v>
      </c>
      <c r="Q7690" t="s">
        <v>315</v>
      </c>
      <c r="R7690" t="s">
        <v>228</v>
      </c>
      <c r="S7690" t="s">
        <v>328</v>
      </c>
      <c r="T7690" t="s">
        <v>149</v>
      </c>
      <c r="U7690" t="s">
        <v>337</v>
      </c>
      <c r="V7690" t="s">
        <v>341</v>
      </c>
      <c r="W7690" t="s">
        <v>345</v>
      </c>
      <c r="X7690" t="s">
        <v>350</v>
      </c>
      <c r="AK7690" t="s">
        <v>365</v>
      </c>
    </row>
    <row r="7691" spans="1:37">
      <c r="B7691" t="s">
        <v>53</v>
      </c>
      <c r="C7691" t="s">
        <v>77</v>
      </c>
      <c r="D7691" t="s">
        <v>97</v>
      </c>
      <c r="E7691" t="s">
        <v>116</v>
      </c>
      <c r="F7691" t="s">
        <v>150</v>
      </c>
      <c r="G7691" t="s">
        <v>175</v>
      </c>
      <c r="H7691" t="s">
        <v>210</v>
      </c>
      <c r="I7691" t="s">
        <v>230</v>
      </c>
      <c r="J7691" t="s">
        <v>249</v>
      </c>
      <c r="K7691" t="s">
        <v>263</v>
      </c>
      <c r="L7691" t="s">
        <v>275</v>
      </c>
      <c r="M7691" t="s">
        <v>284</v>
      </c>
      <c r="N7691" t="s">
        <v>294</v>
      </c>
      <c r="O7691" t="s">
        <v>302</v>
      </c>
      <c r="P7691" t="s">
        <v>310</v>
      </c>
      <c r="Q7691" t="s">
        <v>316</v>
      </c>
      <c r="R7691" t="s">
        <v>322</v>
      </c>
      <c r="S7691" t="s">
        <v>329</v>
      </c>
      <c r="AK7691" t="s">
        <v>365</v>
      </c>
    </row>
    <row r="7692" spans="1:37">
      <c r="A7692" t="s">
        <v>39</v>
      </c>
      <c r="B7692" t="s">
        <v>54</v>
      </c>
      <c r="C7692" t="s">
        <v>54</v>
      </c>
      <c r="D7692" t="s">
        <v>54</v>
      </c>
      <c r="E7692" t="s">
        <v>54</v>
      </c>
      <c r="F7692" t="s">
        <v>54</v>
      </c>
      <c r="G7692" t="s">
        <v>54</v>
      </c>
      <c r="H7692" t="s">
        <v>54</v>
      </c>
      <c r="I7692" t="s">
        <v>54</v>
      </c>
      <c r="J7692" t="s">
        <v>54</v>
      </c>
      <c r="K7692" t="s">
        <v>54</v>
      </c>
      <c r="L7692" t="s">
        <v>54</v>
      </c>
      <c r="M7692" t="s">
        <v>54</v>
      </c>
      <c r="N7692" t="s">
        <v>54</v>
      </c>
      <c r="O7692" t="s">
        <v>54</v>
      </c>
      <c r="P7692" t="s">
        <v>54</v>
      </c>
      <c r="Q7692" t="s">
        <v>54</v>
      </c>
      <c r="R7692" t="s">
        <v>323</v>
      </c>
      <c r="S7692" t="s">
        <v>330</v>
      </c>
      <c r="AK7692" t="s">
        <v>365</v>
      </c>
    </row>
    <row r="7693" spans="1:37">
      <c r="B7693" t="s">
        <v>55</v>
      </c>
      <c r="C7693" t="s">
        <v>78</v>
      </c>
      <c r="D7693" t="s">
        <v>55</v>
      </c>
      <c r="E7693" t="s">
        <v>78</v>
      </c>
      <c r="F7693" t="s">
        <v>55</v>
      </c>
      <c r="G7693" t="s">
        <v>78</v>
      </c>
      <c r="H7693" t="s">
        <v>55</v>
      </c>
      <c r="I7693" t="s">
        <v>78</v>
      </c>
      <c r="J7693" t="s">
        <v>55</v>
      </c>
      <c r="K7693" t="s">
        <v>78</v>
      </c>
      <c r="L7693" t="s">
        <v>55</v>
      </c>
      <c r="M7693" t="s">
        <v>78</v>
      </c>
      <c r="N7693" t="s">
        <v>55</v>
      </c>
      <c r="O7693" t="s">
        <v>78</v>
      </c>
      <c r="P7693" t="s">
        <v>55</v>
      </c>
      <c r="Q7693" t="s">
        <v>78</v>
      </c>
      <c r="R7693" t="s">
        <v>55</v>
      </c>
      <c r="S7693" t="s">
        <v>78</v>
      </c>
      <c r="T7693" t="s">
        <v>55</v>
      </c>
      <c r="U7693" t="s">
        <v>78</v>
      </c>
      <c r="V7693" t="s">
        <v>55</v>
      </c>
      <c r="W7693" t="s">
        <v>78</v>
      </c>
      <c r="X7693" t="s">
        <v>55</v>
      </c>
      <c r="Y7693" t="s">
        <v>78</v>
      </c>
      <c r="Z7693" t="s">
        <v>55</v>
      </c>
      <c r="AA7693" t="s">
        <v>78</v>
      </c>
      <c r="AB7693" t="s">
        <v>55</v>
      </c>
      <c r="AC7693" t="s">
        <v>78</v>
      </c>
      <c r="AD7693" t="s">
        <v>55</v>
      </c>
      <c r="AE7693" t="s">
        <v>78</v>
      </c>
      <c r="AF7693" t="s">
        <v>55</v>
      </c>
      <c r="AG7693" t="s">
        <v>78</v>
      </c>
      <c r="AH7693" t="s">
        <v>55</v>
      </c>
      <c r="AI7693" t="s">
        <v>78</v>
      </c>
      <c r="AK7693" t="s">
        <v>365</v>
      </c>
    </row>
    <row r="7694" spans="1:37">
      <c r="B7694" t="s">
        <v>56</v>
      </c>
      <c r="C7694" t="s">
        <v>56</v>
      </c>
      <c r="D7694" t="s">
        <v>56</v>
      </c>
      <c r="E7694" t="s">
        <v>56</v>
      </c>
      <c r="F7694" t="s">
        <v>56</v>
      </c>
      <c r="G7694" t="s">
        <v>176</v>
      </c>
      <c r="H7694" t="s">
        <v>211</v>
      </c>
      <c r="I7694" t="s">
        <v>231</v>
      </c>
      <c r="J7694" t="s">
        <v>250</v>
      </c>
      <c r="K7694" t="s">
        <v>264</v>
      </c>
      <c r="L7694" t="s">
        <v>276</v>
      </c>
      <c r="M7694" t="s">
        <v>285</v>
      </c>
      <c r="N7694" t="s">
        <v>295</v>
      </c>
      <c r="O7694" t="s">
        <v>303</v>
      </c>
      <c r="P7694" t="s">
        <v>56</v>
      </c>
      <c r="Q7694" t="s">
        <v>317</v>
      </c>
      <c r="R7694" t="s">
        <v>324</v>
      </c>
      <c r="S7694" t="s">
        <v>331</v>
      </c>
      <c r="T7694" t="s">
        <v>334</v>
      </c>
      <c r="U7694" t="s">
        <v>338</v>
      </c>
      <c r="V7694" t="s">
        <v>342</v>
      </c>
      <c r="W7694" t="s">
        <v>346</v>
      </c>
      <c r="X7694" t="s">
        <v>351</v>
      </c>
      <c r="AK7694" t="s">
        <v>365</v>
      </c>
    </row>
    <row r="7695" spans="1:37">
      <c r="B7695" t="s">
        <v>57</v>
      </c>
      <c r="C7695" t="s">
        <v>79</v>
      </c>
      <c r="D7695" t="s">
        <v>98</v>
      </c>
      <c r="E7695" t="s">
        <v>117</v>
      </c>
      <c r="F7695" t="s">
        <v>151</v>
      </c>
      <c r="G7695" t="s">
        <v>177</v>
      </c>
      <c r="H7695" t="s">
        <v>212</v>
      </c>
      <c r="I7695" t="s">
        <v>232</v>
      </c>
      <c r="J7695" t="s">
        <v>251</v>
      </c>
      <c r="K7695" t="s">
        <v>265</v>
      </c>
      <c r="L7695" t="s">
        <v>277</v>
      </c>
      <c r="M7695" t="s">
        <v>286</v>
      </c>
      <c r="N7695" t="s">
        <v>296</v>
      </c>
      <c r="O7695" t="s">
        <v>304</v>
      </c>
      <c r="P7695" t="s">
        <v>311</v>
      </c>
      <c r="Q7695" t="s">
        <v>318</v>
      </c>
      <c r="R7695" t="s">
        <v>185</v>
      </c>
      <c r="S7695" t="s">
        <v>159</v>
      </c>
      <c r="T7695" t="s">
        <v>185</v>
      </c>
      <c r="U7695" t="s">
        <v>339</v>
      </c>
      <c r="V7695" t="s">
        <v>72</v>
      </c>
      <c r="W7695" t="s">
        <v>347</v>
      </c>
      <c r="X7695" t="s">
        <v>72</v>
      </c>
      <c r="Y7695" t="s">
        <v>96</v>
      </c>
      <c r="AK7695" t="s">
        <v>365</v>
      </c>
    </row>
    <row r="7696" spans="1:37">
      <c r="B7696" t="s">
        <v>58</v>
      </c>
      <c r="C7696" t="s">
        <v>80</v>
      </c>
      <c r="D7696" t="s">
        <v>99</v>
      </c>
      <c r="E7696" t="s">
        <v>118</v>
      </c>
      <c r="F7696" t="s">
        <v>152</v>
      </c>
      <c r="G7696" t="s">
        <v>178</v>
      </c>
      <c r="H7696" t="s">
        <v>213</v>
      </c>
      <c r="I7696" t="s">
        <v>233</v>
      </c>
      <c r="J7696" t="s">
        <v>252</v>
      </c>
      <c r="K7696" t="s">
        <v>266</v>
      </c>
      <c r="L7696" t="s">
        <v>278</v>
      </c>
      <c r="M7696" t="s">
        <v>287</v>
      </c>
      <c r="N7696" t="s">
        <v>297</v>
      </c>
      <c r="O7696" t="s">
        <v>305</v>
      </c>
      <c r="P7696" t="s">
        <v>312</v>
      </c>
      <c r="Q7696" t="s">
        <v>319</v>
      </c>
      <c r="R7696">
        <f>&gt;10       ветра      1.1     19   4</f>
        <v>0</v>
      </c>
      <c r="AK7696" t="s">
        <v>365</v>
      </c>
    </row>
    <row r="7697" spans="1:37">
      <c r="A7697" t="s">
        <v>40</v>
      </c>
      <c r="B7697" t="s">
        <v>59</v>
      </c>
      <c r="C7697" t="s">
        <v>81</v>
      </c>
      <c r="D7697" t="s">
        <v>100</v>
      </c>
      <c r="E7697" t="s">
        <v>119</v>
      </c>
      <c r="F7697" t="s">
        <v>153</v>
      </c>
      <c r="G7697" t="s">
        <v>179</v>
      </c>
      <c r="H7697" t="s">
        <v>214</v>
      </c>
      <c r="I7697" t="s">
        <v>234</v>
      </c>
      <c r="AK7697" t="s">
        <v>365</v>
      </c>
    </row>
    <row r="7698" spans="1:37">
      <c r="A7698" t="s">
        <v>40</v>
      </c>
      <c r="B7698" t="s">
        <v>60</v>
      </c>
      <c r="C7698" t="s">
        <v>82</v>
      </c>
      <c r="D7698" t="s">
        <v>101</v>
      </c>
      <c r="E7698" t="s">
        <v>120</v>
      </c>
      <c r="F7698" t="s">
        <v>154</v>
      </c>
      <c r="G7698" t="s">
        <v>180</v>
      </c>
      <c r="H7698" t="s">
        <v>215</v>
      </c>
      <c r="I7698" t="s">
        <v>235</v>
      </c>
      <c r="J7698" t="s">
        <v>253</v>
      </c>
      <c r="K7698" t="s">
        <v>267</v>
      </c>
      <c r="L7698" t="s">
        <v>279</v>
      </c>
      <c r="M7698" t="s">
        <v>288</v>
      </c>
      <c r="N7698" t="s">
        <v>100</v>
      </c>
      <c r="O7698" t="s">
        <v>306</v>
      </c>
      <c r="P7698" t="s">
        <v>313</v>
      </c>
      <c r="Q7698" t="s">
        <v>320</v>
      </c>
      <c r="R7698" t="s">
        <v>325</v>
      </c>
      <c r="S7698" t="s">
        <v>332</v>
      </c>
      <c r="T7698" t="s">
        <v>119</v>
      </c>
      <c r="U7698" t="s">
        <v>234</v>
      </c>
      <c r="V7698" t="s">
        <v>343</v>
      </c>
      <c r="W7698" t="s">
        <v>348</v>
      </c>
      <c r="X7698" t="s">
        <v>352</v>
      </c>
      <c r="Y7698" t="s">
        <v>354</v>
      </c>
      <c r="AK7698" t="s">
        <v>365</v>
      </c>
    </row>
    <row r="7699" spans="1:37">
      <c r="A7699" t="s">
        <v>41</v>
      </c>
      <c r="B7699" t="s">
        <v>61</v>
      </c>
      <c r="C7699" t="s">
        <v>83</v>
      </c>
      <c r="D7699" t="s">
        <v>102</v>
      </c>
      <c r="E7699" t="s">
        <v>121</v>
      </c>
      <c r="F7699" t="s">
        <v>155</v>
      </c>
      <c r="G7699" t="s">
        <v>181</v>
      </c>
      <c r="H7699" t="s">
        <v>216</v>
      </c>
      <c r="I7699" t="s">
        <v>236</v>
      </c>
      <c r="AK7699" t="s">
        <v>365</v>
      </c>
    </row>
    <row r="7700" spans="1:37">
      <c r="A7700" t="s">
        <v>42</v>
      </c>
      <c r="B7700" t="s">
        <v>62</v>
      </c>
      <c r="C7700" t="s">
        <v>84</v>
      </c>
      <c r="D7700" t="s">
        <v>103</v>
      </c>
      <c r="E7700" t="s">
        <v>122</v>
      </c>
      <c r="F7700" t="s">
        <v>156</v>
      </c>
      <c r="G7700" t="s">
        <v>182</v>
      </c>
      <c r="H7700" t="s">
        <v>83</v>
      </c>
      <c r="I7700" t="s">
        <v>237</v>
      </c>
      <c r="J7700" t="s">
        <v>254</v>
      </c>
      <c r="K7700" t="s">
        <v>268</v>
      </c>
      <c r="L7700" t="s">
        <v>280</v>
      </c>
      <c r="M7700" t="s">
        <v>289</v>
      </c>
      <c r="N7700" t="s">
        <v>298</v>
      </c>
      <c r="O7700" t="s">
        <v>307</v>
      </c>
      <c r="P7700" t="s">
        <v>314</v>
      </c>
      <c r="Q7700" t="s">
        <v>216</v>
      </c>
      <c r="R7700" t="s">
        <v>326</v>
      </c>
      <c r="S7700" t="s">
        <v>333</v>
      </c>
      <c r="T7700" t="s">
        <v>335</v>
      </c>
      <c r="U7700" t="s">
        <v>340</v>
      </c>
      <c r="V7700" t="s">
        <v>344</v>
      </c>
      <c r="W7700" t="s">
        <v>349</v>
      </c>
      <c r="AK7700" t="s">
        <v>365</v>
      </c>
    </row>
    <row r="7701" spans="1:37">
      <c r="A7701" t="s">
        <v>43</v>
      </c>
      <c r="B7701" t="s">
        <v>63</v>
      </c>
      <c r="C7701" t="s">
        <v>85</v>
      </c>
      <c r="D7701" t="s">
        <v>104</v>
      </c>
      <c r="E7701" t="s">
        <v>123</v>
      </c>
      <c r="F7701" t="s">
        <v>157</v>
      </c>
      <c r="G7701" t="s">
        <v>183</v>
      </c>
      <c r="AK7701" t="s">
        <v>365</v>
      </c>
    </row>
    <row r="7702" spans="1:37">
      <c r="A7702" t="s">
        <v>44</v>
      </c>
      <c r="B7702" t="s">
        <v>64</v>
      </c>
      <c r="C7702" t="s">
        <v>86</v>
      </c>
      <c r="D7702" t="s">
        <v>105</v>
      </c>
      <c r="E7702" t="s">
        <v>124</v>
      </c>
      <c r="F7702" t="s">
        <v>158</v>
      </c>
      <c r="G7702" t="s">
        <v>184</v>
      </c>
      <c r="AK7702" t="s">
        <v>365</v>
      </c>
    </row>
    <row r="7703" spans="1:37">
      <c r="A7703" t="s">
        <v>45</v>
      </c>
      <c r="B7703" t="s">
        <v>65</v>
      </c>
      <c r="C7703" t="s">
        <v>87</v>
      </c>
      <c r="D7703" t="s">
        <v>106</v>
      </c>
      <c r="E7703" t="s">
        <v>125</v>
      </c>
      <c r="F7703" t="s">
        <v>159</v>
      </c>
      <c r="G7703" t="s">
        <v>185</v>
      </c>
      <c r="H7703" t="s">
        <v>159</v>
      </c>
      <c r="I7703" t="s">
        <v>185</v>
      </c>
      <c r="J7703" t="s">
        <v>255</v>
      </c>
      <c r="AK7703" t="s">
        <v>365</v>
      </c>
    </row>
    <row r="7704" spans="1:37">
      <c r="A7704" t="s">
        <v>46</v>
      </c>
      <c r="B7704" t="s">
        <v>66</v>
      </c>
      <c r="C7704" t="s">
        <v>88</v>
      </c>
      <c r="D7704" t="s">
        <v>76</v>
      </c>
      <c r="E7704" t="s">
        <v>126</v>
      </c>
      <c r="F7704" t="s">
        <v>160</v>
      </c>
      <c r="G7704" t="s">
        <v>186</v>
      </c>
      <c r="H7704" t="s">
        <v>217</v>
      </c>
      <c r="I7704" t="s">
        <v>238</v>
      </c>
      <c r="J7704" t="s">
        <v>256</v>
      </c>
      <c r="K7704" t="s">
        <v>265</v>
      </c>
      <c r="L7704" t="s">
        <v>281</v>
      </c>
      <c r="M7704" t="s">
        <v>290</v>
      </c>
      <c r="N7704" t="s">
        <v>299</v>
      </c>
      <c r="O7704" t="s">
        <v>308</v>
      </c>
      <c r="P7704" t="s">
        <v>228</v>
      </c>
      <c r="Q7704" t="s">
        <v>72</v>
      </c>
      <c r="R7704" t="s">
        <v>327</v>
      </c>
      <c r="S7704" t="s">
        <v>327</v>
      </c>
      <c r="T7704" t="s">
        <v>336</v>
      </c>
      <c r="U7704" t="s">
        <v>336</v>
      </c>
      <c r="V7704" t="s">
        <v>336</v>
      </c>
      <c r="W7704" t="s">
        <v>336</v>
      </c>
      <c r="X7704" t="s">
        <v>353</v>
      </c>
      <c r="AK7704" t="s">
        <v>365</v>
      </c>
    </row>
    <row r="7705" spans="1:37">
      <c r="A7705" t="s">
        <v>37</v>
      </c>
      <c r="B7705" t="s">
        <v>49</v>
      </c>
      <c r="C7705" t="s">
        <v>73</v>
      </c>
      <c r="D7705" t="s">
        <v>94</v>
      </c>
      <c r="E7705" t="s">
        <v>112</v>
      </c>
      <c r="F7705" t="s">
        <v>146</v>
      </c>
      <c r="G7705" t="s">
        <v>172</v>
      </c>
      <c r="H7705" t="s">
        <v>207</v>
      </c>
      <c r="I7705" t="s">
        <v>226</v>
      </c>
      <c r="J7705" t="s">
        <v>246</v>
      </c>
      <c r="K7705" t="s">
        <v>259</v>
      </c>
      <c r="AK7705" t="s">
        <v>365</v>
      </c>
    </row>
    <row r="7706" spans="1:37">
      <c r="A7706" t="s">
        <v>38</v>
      </c>
      <c r="B7706" t="s">
        <v>50</v>
      </c>
      <c r="C7706" t="s">
        <v>74</v>
      </c>
      <c r="D7706" t="s">
        <v>95</v>
      </c>
      <c r="E7706" t="s">
        <v>113</v>
      </c>
      <c r="F7706" t="s">
        <v>147</v>
      </c>
      <c r="G7706" t="s">
        <v>173</v>
      </c>
      <c r="H7706" t="s">
        <v>208</v>
      </c>
      <c r="I7706" t="s">
        <v>227</v>
      </c>
      <c r="J7706" t="s">
        <v>115</v>
      </c>
      <c r="K7706" t="s">
        <v>260</v>
      </c>
      <c r="L7706" t="s">
        <v>273</v>
      </c>
      <c r="M7706" t="s">
        <v>282</v>
      </c>
      <c r="N7706" t="s">
        <v>291</v>
      </c>
      <c r="AK7706" t="s">
        <v>365</v>
      </c>
    </row>
    <row r="7707" spans="1:37">
      <c r="B7707" t="s">
        <v>51</v>
      </c>
      <c r="C7707" t="s">
        <v>75</v>
      </c>
      <c r="D7707" t="s">
        <v>52</v>
      </c>
      <c r="E7707" t="s">
        <v>114</v>
      </c>
      <c r="F7707" t="s">
        <v>148</v>
      </c>
      <c r="G7707" t="s">
        <v>148</v>
      </c>
      <c r="H7707" t="s">
        <v>209</v>
      </c>
      <c r="I7707" t="s">
        <v>228</v>
      </c>
      <c r="J7707" t="s">
        <v>247</v>
      </c>
      <c r="K7707" t="s">
        <v>261</v>
      </c>
      <c r="L7707" t="s">
        <v>274</v>
      </c>
      <c r="M7707" t="s">
        <v>283</v>
      </c>
      <c r="N7707" t="s">
        <v>292</v>
      </c>
      <c r="O7707" t="s">
        <v>300</v>
      </c>
      <c r="AK7707" t="s">
        <v>365</v>
      </c>
    </row>
    <row r="7708" spans="1:37">
      <c r="B7708" t="s">
        <v>52</v>
      </c>
      <c r="C7708" t="s">
        <v>76</v>
      </c>
      <c r="D7708" t="s">
        <v>96</v>
      </c>
      <c r="E7708" t="s">
        <v>115</v>
      </c>
      <c r="F7708" t="s">
        <v>149</v>
      </c>
      <c r="G7708" t="s">
        <v>174</v>
      </c>
      <c r="H7708" t="s">
        <v>96</v>
      </c>
      <c r="I7708" t="s">
        <v>229</v>
      </c>
      <c r="J7708" t="s">
        <v>248</v>
      </c>
      <c r="K7708" t="s">
        <v>262</v>
      </c>
      <c r="L7708" t="s">
        <v>52</v>
      </c>
      <c r="M7708" t="s">
        <v>76</v>
      </c>
      <c r="N7708" t="s">
        <v>293</v>
      </c>
      <c r="O7708" t="s">
        <v>301</v>
      </c>
      <c r="P7708" t="s">
        <v>309</v>
      </c>
      <c r="Q7708" t="s">
        <v>315</v>
      </c>
      <c r="R7708" t="s">
        <v>228</v>
      </c>
      <c r="S7708" t="s">
        <v>328</v>
      </c>
      <c r="T7708" t="s">
        <v>149</v>
      </c>
      <c r="U7708" t="s">
        <v>337</v>
      </c>
      <c r="V7708" t="s">
        <v>341</v>
      </c>
      <c r="W7708" t="s">
        <v>345</v>
      </c>
      <c r="X7708" t="s">
        <v>350</v>
      </c>
      <c r="AK7708" t="s">
        <v>365</v>
      </c>
    </row>
    <row r="7709" spans="1:37">
      <c r="B7709" t="s">
        <v>53</v>
      </c>
      <c r="C7709" t="s">
        <v>77</v>
      </c>
      <c r="D7709" t="s">
        <v>97</v>
      </c>
      <c r="E7709" t="s">
        <v>116</v>
      </c>
      <c r="F7709" t="s">
        <v>150</v>
      </c>
      <c r="G7709" t="s">
        <v>175</v>
      </c>
      <c r="H7709" t="s">
        <v>210</v>
      </c>
      <c r="I7709" t="s">
        <v>230</v>
      </c>
      <c r="J7709" t="s">
        <v>249</v>
      </c>
      <c r="K7709" t="s">
        <v>263</v>
      </c>
      <c r="L7709" t="s">
        <v>275</v>
      </c>
      <c r="M7709" t="s">
        <v>284</v>
      </c>
      <c r="N7709" t="s">
        <v>294</v>
      </c>
      <c r="O7709" t="s">
        <v>302</v>
      </c>
      <c r="P7709" t="s">
        <v>310</v>
      </c>
      <c r="Q7709" t="s">
        <v>316</v>
      </c>
      <c r="R7709" t="s">
        <v>322</v>
      </c>
      <c r="S7709" t="s">
        <v>329</v>
      </c>
      <c r="AK7709" t="s">
        <v>365</v>
      </c>
    </row>
    <row r="7710" spans="1:37">
      <c r="A7710" t="s">
        <v>39</v>
      </c>
      <c r="B7710" t="s">
        <v>54</v>
      </c>
      <c r="C7710" t="s">
        <v>54</v>
      </c>
      <c r="D7710" t="s">
        <v>54</v>
      </c>
      <c r="E7710" t="s">
        <v>54</v>
      </c>
      <c r="F7710" t="s">
        <v>54</v>
      </c>
      <c r="G7710" t="s">
        <v>54</v>
      </c>
      <c r="H7710" t="s">
        <v>54</v>
      </c>
      <c r="I7710" t="s">
        <v>54</v>
      </c>
      <c r="J7710" t="s">
        <v>54</v>
      </c>
      <c r="K7710" t="s">
        <v>54</v>
      </c>
      <c r="L7710" t="s">
        <v>54</v>
      </c>
      <c r="M7710" t="s">
        <v>54</v>
      </c>
      <c r="N7710" t="s">
        <v>54</v>
      </c>
      <c r="O7710" t="s">
        <v>54</v>
      </c>
      <c r="P7710" t="s">
        <v>54</v>
      </c>
      <c r="Q7710" t="s">
        <v>54</v>
      </c>
      <c r="R7710" t="s">
        <v>323</v>
      </c>
      <c r="S7710" t="s">
        <v>330</v>
      </c>
      <c r="AK7710" t="s">
        <v>365</v>
      </c>
    </row>
    <row r="7711" spans="1:37">
      <c r="B7711" t="s">
        <v>55</v>
      </c>
      <c r="C7711" t="s">
        <v>78</v>
      </c>
      <c r="D7711" t="s">
        <v>55</v>
      </c>
      <c r="E7711" t="s">
        <v>78</v>
      </c>
      <c r="F7711" t="s">
        <v>55</v>
      </c>
      <c r="G7711" t="s">
        <v>78</v>
      </c>
      <c r="H7711" t="s">
        <v>55</v>
      </c>
      <c r="I7711" t="s">
        <v>78</v>
      </c>
      <c r="J7711" t="s">
        <v>55</v>
      </c>
      <c r="K7711" t="s">
        <v>78</v>
      </c>
      <c r="L7711" t="s">
        <v>55</v>
      </c>
      <c r="M7711" t="s">
        <v>78</v>
      </c>
      <c r="N7711" t="s">
        <v>55</v>
      </c>
      <c r="O7711" t="s">
        <v>78</v>
      </c>
      <c r="P7711" t="s">
        <v>55</v>
      </c>
      <c r="Q7711" t="s">
        <v>78</v>
      </c>
      <c r="R7711" t="s">
        <v>55</v>
      </c>
      <c r="S7711" t="s">
        <v>78</v>
      </c>
      <c r="T7711" t="s">
        <v>55</v>
      </c>
      <c r="U7711" t="s">
        <v>78</v>
      </c>
      <c r="V7711" t="s">
        <v>55</v>
      </c>
      <c r="W7711" t="s">
        <v>78</v>
      </c>
      <c r="X7711" t="s">
        <v>55</v>
      </c>
      <c r="Y7711" t="s">
        <v>78</v>
      </c>
      <c r="Z7711" t="s">
        <v>55</v>
      </c>
      <c r="AA7711" t="s">
        <v>78</v>
      </c>
      <c r="AB7711" t="s">
        <v>55</v>
      </c>
      <c r="AC7711" t="s">
        <v>78</v>
      </c>
      <c r="AD7711" t="s">
        <v>55</v>
      </c>
      <c r="AE7711" t="s">
        <v>78</v>
      </c>
      <c r="AF7711" t="s">
        <v>55</v>
      </c>
      <c r="AG7711" t="s">
        <v>78</v>
      </c>
      <c r="AH7711" t="s">
        <v>55</v>
      </c>
      <c r="AI7711" t="s">
        <v>78</v>
      </c>
      <c r="AK7711" t="s">
        <v>365</v>
      </c>
    </row>
    <row r="7712" spans="1:37">
      <c r="B7712" t="s">
        <v>56</v>
      </c>
      <c r="C7712" t="s">
        <v>56</v>
      </c>
      <c r="D7712" t="s">
        <v>56</v>
      </c>
      <c r="E7712" t="s">
        <v>56</v>
      </c>
      <c r="F7712" t="s">
        <v>56</v>
      </c>
      <c r="G7712" t="s">
        <v>176</v>
      </c>
      <c r="H7712" t="s">
        <v>211</v>
      </c>
      <c r="I7712" t="s">
        <v>231</v>
      </c>
      <c r="J7712" t="s">
        <v>250</v>
      </c>
      <c r="K7712" t="s">
        <v>264</v>
      </c>
      <c r="L7712" t="s">
        <v>276</v>
      </c>
      <c r="M7712" t="s">
        <v>285</v>
      </c>
      <c r="N7712" t="s">
        <v>295</v>
      </c>
      <c r="O7712" t="s">
        <v>303</v>
      </c>
      <c r="P7712" t="s">
        <v>56</v>
      </c>
      <c r="Q7712" t="s">
        <v>317</v>
      </c>
      <c r="R7712" t="s">
        <v>324</v>
      </c>
      <c r="S7712" t="s">
        <v>331</v>
      </c>
      <c r="T7712" t="s">
        <v>334</v>
      </c>
      <c r="U7712" t="s">
        <v>338</v>
      </c>
      <c r="V7712" t="s">
        <v>342</v>
      </c>
      <c r="W7712" t="s">
        <v>346</v>
      </c>
      <c r="X7712" t="s">
        <v>351</v>
      </c>
      <c r="AK7712" t="s">
        <v>365</v>
      </c>
    </row>
    <row r="7713" spans="1:37">
      <c r="B7713" t="s">
        <v>57</v>
      </c>
      <c r="C7713" t="s">
        <v>79</v>
      </c>
      <c r="D7713" t="s">
        <v>98</v>
      </c>
      <c r="E7713" t="s">
        <v>117</v>
      </c>
      <c r="F7713" t="s">
        <v>151</v>
      </c>
      <c r="G7713" t="s">
        <v>177</v>
      </c>
      <c r="H7713" t="s">
        <v>212</v>
      </c>
      <c r="I7713" t="s">
        <v>232</v>
      </c>
      <c r="J7713" t="s">
        <v>251</v>
      </c>
      <c r="K7713" t="s">
        <v>265</v>
      </c>
      <c r="L7713" t="s">
        <v>277</v>
      </c>
      <c r="M7713" t="s">
        <v>286</v>
      </c>
      <c r="N7713" t="s">
        <v>296</v>
      </c>
      <c r="O7713" t="s">
        <v>304</v>
      </c>
      <c r="P7713" t="s">
        <v>311</v>
      </c>
      <c r="Q7713" t="s">
        <v>318</v>
      </c>
      <c r="R7713" t="s">
        <v>185</v>
      </c>
      <c r="S7713" t="s">
        <v>159</v>
      </c>
      <c r="T7713" t="s">
        <v>185</v>
      </c>
      <c r="U7713" t="s">
        <v>339</v>
      </c>
      <c r="V7713" t="s">
        <v>72</v>
      </c>
      <c r="W7713" t="s">
        <v>347</v>
      </c>
      <c r="X7713" t="s">
        <v>72</v>
      </c>
      <c r="Y7713" t="s">
        <v>96</v>
      </c>
      <c r="AK7713" t="s">
        <v>365</v>
      </c>
    </row>
    <row r="7714" spans="1:37">
      <c r="B7714" t="s">
        <v>58</v>
      </c>
      <c r="C7714" t="s">
        <v>80</v>
      </c>
      <c r="D7714" t="s">
        <v>99</v>
      </c>
      <c r="E7714" t="s">
        <v>118</v>
      </c>
      <c r="F7714" t="s">
        <v>152</v>
      </c>
      <c r="G7714" t="s">
        <v>178</v>
      </c>
      <c r="H7714" t="s">
        <v>213</v>
      </c>
      <c r="I7714" t="s">
        <v>233</v>
      </c>
      <c r="J7714" t="s">
        <v>252</v>
      </c>
      <c r="K7714" t="s">
        <v>266</v>
      </c>
      <c r="L7714" t="s">
        <v>278</v>
      </c>
      <c r="M7714" t="s">
        <v>287</v>
      </c>
      <c r="N7714" t="s">
        <v>297</v>
      </c>
      <c r="O7714" t="s">
        <v>305</v>
      </c>
      <c r="P7714" t="s">
        <v>312</v>
      </c>
      <c r="Q7714" t="s">
        <v>319</v>
      </c>
      <c r="R7714">
        <f>&gt;10       ветра      3.9     20   4</f>
        <v>0</v>
      </c>
      <c r="AK7714" t="s">
        <v>365</v>
      </c>
    </row>
    <row r="7715" spans="1:37">
      <c r="A7715" t="s">
        <v>40</v>
      </c>
      <c r="B7715" t="s">
        <v>59</v>
      </c>
      <c r="C7715" t="s">
        <v>81</v>
      </c>
      <c r="D7715" t="s">
        <v>100</v>
      </c>
      <c r="E7715" t="s">
        <v>119</v>
      </c>
      <c r="F7715" t="s">
        <v>153</v>
      </c>
      <c r="G7715" t="s">
        <v>179</v>
      </c>
      <c r="H7715" t="s">
        <v>214</v>
      </c>
      <c r="I7715" t="s">
        <v>234</v>
      </c>
      <c r="AK7715" t="s">
        <v>365</v>
      </c>
    </row>
    <row r="7716" spans="1:37">
      <c r="A7716" t="s">
        <v>40</v>
      </c>
      <c r="B7716" t="s">
        <v>60</v>
      </c>
      <c r="C7716" t="s">
        <v>82</v>
      </c>
      <c r="D7716" t="s">
        <v>101</v>
      </c>
      <c r="E7716" t="s">
        <v>120</v>
      </c>
      <c r="F7716" t="s">
        <v>154</v>
      </c>
      <c r="G7716" t="s">
        <v>180</v>
      </c>
      <c r="H7716" t="s">
        <v>215</v>
      </c>
      <c r="I7716" t="s">
        <v>235</v>
      </c>
      <c r="J7716" t="s">
        <v>253</v>
      </c>
      <c r="K7716" t="s">
        <v>267</v>
      </c>
      <c r="L7716" t="s">
        <v>279</v>
      </c>
      <c r="M7716" t="s">
        <v>288</v>
      </c>
      <c r="N7716" t="s">
        <v>100</v>
      </c>
      <c r="O7716" t="s">
        <v>306</v>
      </c>
      <c r="P7716" t="s">
        <v>313</v>
      </c>
      <c r="Q7716" t="s">
        <v>320</v>
      </c>
      <c r="R7716" t="s">
        <v>325</v>
      </c>
      <c r="S7716" t="s">
        <v>332</v>
      </c>
      <c r="T7716" t="s">
        <v>119</v>
      </c>
      <c r="U7716" t="s">
        <v>234</v>
      </c>
      <c r="V7716" t="s">
        <v>343</v>
      </c>
      <c r="W7716" t="s">
        <v>348</v>
      </c>
      <c r="X7716" t="s">
        <v>352</v>
      </c>
      <c r="Y7716" t="s">
        <v>354</v>
      </c>
      <c r="AK7716" t="s">
        <v>365</v>
      </c>
    </row>
    <row r="7717" spans="1:37">
      <c r="A7717" t="s">
        <v>41</v>
      </c>
      <c r="B7717" t="s">
        <v>61</v>
      </c>
      <c r="C7717" t="s">
        <v>83</v>
      </c>
      <c r="D7717" t="s">
        <v>102</v>
      </c>
      <c r="E7717" t="s">
        <v>121</v>
      </c>
      <c r="F7717" t="s">
        <v>155</v>
      </c>
      <c r="G7717" t="s">
        <v>181</v>
      </c>
      <c r="H7717" t="s">
        <v>216</v>
      </c>
      <c r="I7717" t="s">
        <v>236</v>
      </c>
      <c r="AK7717" t="s">
        <v>365</v>
      </c>
    </row>
    <row r="7718" spans="1:37">
      <c r="A7718" t="s">
        <v>42</v>
      </c>
      <c r="B7718" t="s">
        <v>62</v>
      </c>
      <c r="C7718" t="s">
        <v>84</v>
      </c>
      <c r="D7718" t="s">
        <v>103</v>
      </c>
      <c r="E7718" t="s">
        <v>122</v>
      </c>
      <c r="F7718" t="s">
        <v>156</v>
      </c>
      <c r="G7718" t="s">
        <v>182</v>
      </c>
      <c r="H7718" t="s">
        <v>83</v>
      </c>
      <c r="I7718" t="s">
        <v>237</v>
      </c>
      <c r="J7718" t="s">
        <v>254</v>
      </c>
      <c r="K7718" t="s">
        <v>268</v>
      </c>
      <c r="L7718" t="s">
        <v>280</v>
      </c>
      <c r="M7718" t="s">
        <v>289</v>
      </c>
      <c r="N7718" t="s">
        <v>298</v>
      </c>
      <c r="O7718" t="s">
        <v>307</v>
      </c>
      <c r="P7718" t="s">
        <v>314</v>
      </c>
      <c r="Q7718" t="s">
        <v>216</v>
      </c>
      <c r="R7718" t="s">
        <v>326</v>
      </c>
      <c r="S7718" t="s">
        <v>333</v>
      </c>
      <c r="T7718" t="s">
        <v>335</v>
      </c>
      <c r="U7718" t="s">
        <v>340</v>
      </c>
      <c r="V7718" t="s">
        <v>344</v>
      </c>
      <c r="W7718" t="s">
        <v>349</v>
      </c>
      <c r="AK7718" t="s">
        <v>365</v>
      </c>
    </row>
    <row r="7719" spans="1:37">
      <c r="A7719" t="s">
        <v>43</v>
      </c>
      <c r="B7719" t="s">
        <v>63</v>
      </c>
      <c r="C7719" t="s">
        <v>85</v>
      </c>
      <c r="D7719" t="s">
        <v>104</v>
      </c>
      <c r="E7719" t="s">
        <v>123</v>
      </c>
      <c r="F7719" t="s">
        <v>157</v>
      </c>
      <c r="G7719" t="s">
        <v>183</v>
      </c>
      <c r="AK7719" t="s">
        <v>365</v>
      </c>
    </row>
    <row r="7720" spans="1:37">
      <c r="A7720" t="s">
        <v>44</v>
      </c>
      <c r="B7720" t="s">
        <v>64</v>
      </c>
      <c r="C7720" t="s">
        <v>86</v>
      </c>
      <c r="D7720" t="s">
        <v>105</v>
      </c>
      <c r="E7720" t="s">
        <v>124</v>
      </c>
      <c r="F7720" t="s">
        <v>158</v>
      </c>
      <c r="G7720" t="s">
        <v>184</v>
      </c>
      <c r="AK7720" t="s">
        <v>365</v>
      </c>
    </row>
    <row r="7721" spans="1:37">
      <c r="A7721" t="s">
        <v>45</v>
      </c>
      <c r="B7721" t="s">
        <v>65</v>
      </c>
      <c r="C7721" t="s">
        <v>87</v>
      </c>
      <c r="D7721" t="s">
        <v>106</v>
      </c>
      <c r="E7721" t="s">
        <v>125</v>
      </c>
      <c r="F7721" t="s">
        <v>159</v>
      </c>
      <c r="G7721" t="s">
        <v>185</v>
      </c>
      <c r="H7721" t="s">
        <v>159</v>
      </c>
      <c r="I7721" t="s">
        <v>185</v>
      </c>
      <c r="J7721" t="s">
        <v>255</v>
      </c>
      <c r="AK7721" t="s">
        <v>365</v>
      </c>
    </row>
    <row r="7722" spans="1:37">
      <c r="A7722" t="s">
        <v>46</v>
      </c>
      <c r="B7722" t="s">
        <v>66</v>
      </c>
      <c r="C7722" t="s">
        <v>88</v>
      </c>
      <c r="D7722" t="s">
        <v>76</v>
      </c>
      <c r="E7722" t="s">
        <v>126</v>
      </c>
      <c r="F7722" t="s">
        <v>160</v>
      </c>
      <c r="G7722" t="s">
        <v>186</v>
      </c>
      <c r="H7722" t="s">
        <v>217</v>
      </c>
      <c r="I7722" t="s">
        <v>238</v>
      </c>
      <c r="J7722" t="s">
        <v>256</v>
      </c>
      <c r="K7722" t="s">
        <v>265</v>
      </c>
      <c r="L7722" t="s">
        <v>281</v>
      </c>
      <c r="M7722" t="s">
        <v>290</v>
      </c>
      <c r="N7722" t="s">
        <v>299</v>
      </c>
      <c r="O7722" t="s">
        <v>308</v>
      </c>
      <c r="P7722" t="s">
        <v>228</v>
      </c>
      <c r="Q7722" t="s">
        <v>72</v>
      </c>
      <c r="R7722" t="s">
        <v>327</v>
      </c>
      <c r="S7722" t="s">
        <v>327</v>
      </c>
      <c r="T7722" t="s">
        <v>336</v>
      </c>
      <c r="U7722" t="s">
        <v>336</v>
      </c>
      <c r="V7722" t="s">
        <v>336</v>
      </c>
      <c r="W7722" t="s">
        <v>336</v>
      </c>
      <c r="X7722" t="s">
        <v>353</v>
      </c>
      <c r="AK7722" t="s">
        <v>365</v>
      </c>
    </row>
    <row r="7723" spans="1:37">
      <c r="B7723" t="s">
        <v>67</v>
      </c>
      <c r="C7723" t="s">
        <v>89</v>
      </c>
      <c r="D7723" t="s">
        <v>107</v>
      </c>
      <c r="AK7723" t="s">
        <v>365</v>
      </c>
    </row>
    <row r="7724" spans="1:37">
      <c r="B7724" t="s">
        <v>68</v>
      </c>
      <c r="C7724" t="s">
        <v>90</v>
      </c>
      <c r="D7724" t="s">
        <v>108</v>
      </c>
      <c r="AK7724" t="s">
        <v>365</v>
      </c>
    </row>
    <row r="7725" spans="1:37">
      <c r="A7725" t="s">
        <v>47</v>
      </c>
      <c r="B7725" t="s">
        <v>69</v>
      </c>
      <c r="C7725" t="s">
        <v>91</v>
      </c>
      <c r="D7725" t="s">
        <v>109</v>
      </c>
      <c r="E7725" t="s">
        <v>109</v>
      </c>
      <c r="F7725" t="s">
        <v>109</v>
      </c>
      <c r="G7725" t="s">
        <v>109</v>
      </c>
      <c r="H7725" t="s">
        <v>109</v>
      </c>
      <c r="I7725" t="s">
        <v>239</v>
      </c>
      <c r="AK7725" t="s">
        <v>365</v>
      </c>
    </row>
    <row r="7726" spans="1:37">
      <c r="B7726" t="s">
        <v>70</v>
      </c>
      <c r="C7726" t="s">
        <v>92</v>
      </c>
      <c r="D7726" t="s">
        <v>110</v>
      </c>
      <c r="E7726" t="s">
        <v>127</v>
      </c>
      <c r="F7726" t="s">
        <v>161</v>
      </c>
      <c r="G7726" t="s">
        <v>187</v>
      </c>
      <c r="H7726" t="s">
        <v>218</v>
      </c>
      <c r="AK7726" t="s">
        <v>365</v>
      </c>
    </row>
    <row r="7727" spans="1:37">
      <c r="B7727" t="s">
        <v>71</v>
      </c>
      <c r="C7727" t="s">
        <v>93</v>
      </c>
      <c r="D7727" t="s">
        <v>111</v>
      </c>
      <c r="E7727" t="s">
        <v>128</v>
      </c>
      <c r="F7727" t="s">
        <v>162</v>
      </c>
      <c r="G7727" t="s">
        <v>188</v>
      </c>
      <c r="H7727" t="s">
        <v>219</v>
      </c>
      <c r="I7727" t="s">
        <v>240</v>
      </c>
      <c r="J7727" t="s">
        <v>257</v>
      </c>
      <c r="K7727" t="s">
        <v>269</v>
      </c>
      <c r="L7727" t="s">
        <v>109</v>
      </c>
      <c r="M7727" t="s">
        <v>109</v>
      </c>
      <c r="N7727" t="s">
        <v>109</v>
      </c>
      <c r="O7727" t="s">
        <v>109</v>
      </c>
      <c r="P7727" t="s">
        <v>109</v>
      </c>
      <c r="Q7727" t="s">
        <v>321</v>
      </c>
      <c r="AK7727" t="s">
        <v>365</v>
      </c>
    </row>
    <row r="7728" spans="1:37">
      <c r="A7728" t="s">
        <v>48</v>
      </c>
      <c r="B7728" t="s">
        <v>71</v>
      </c>
      <c r="C7728" t="s">
        <v>93</v>
      </c>
      <c r="D7728" t="s">
        <v>111</v>
      </c>
      <c r="E7728" t="s">
        <v>128</v>
      </c>
      <c r="F7728" t="s">
        <v>163</v>
      </c>
      <c r="G7728" t="s">
        <v>189</v>
      </c>
      <c r="H7728" t="s">
        <v>220</v>
      </c>
      <c r="I7728" t="s">
        <v>241</v>
      </c>
      <c r="J7728" t="s">
        <v>258</v>
      </c>
      <c r="K7728" t="s">
        <v>270</v>
      </c>
      <c r="AK7728" t="s">
        <v>365</v>
      </c>
    </row>
    <row r="7729" spans="1:37">
      <c r="B7729" t="s">
        <v>72</v>
      </c>
      <c r="C7729" t="s">
        <v>72</v>
      </c>
      <c r="D7729" t="s">
        <v>72</v>
      </c>
      <c r="E7729" t="s">
        <v>142</v>
      </c>
      <c r="F7729" t="s">
        <v>141</v>
      </c>
      <c r="G7729" t="s">
        <v>192</v>
      </c>
      <c r="H7729" t="s">
        <v>192</v>
      </c>
      <c r="I7729" t="s">
        <v>192</v>
      </c>
      <c r="J7729" t="s">
        <v>192</v>
      </c>
      <c r="K7729" t="s">
        <v>271</v>
      </c>
      <c r="AK7729" t="s">
        <v>365</v>
      </c>
    </row>
    <row r="7730" spans="1:37">
      <c r="A7730" t="s">
        <v>37</v>
      </c>
      <c r="B7730" t="s">
        <v>49</v>
      </c>
      <c r="C7730" t="s">
        <v>73</v>
      </c>
      <c r="D7730" t="s">
        <v>94</v>
      </c>
      <c r="E7730" t="s">
        <v>112</v>
      </c>
      <c r="F7730" t="s">
        <v>146</v>
      </c>
      <c r="G7730" t="s">
        <v>172</v>
      </c>
      <c r="H7730" t="s">
        <v>207</v>
      </c>
      <c r="I7730" t="s">
        <v>226</v>
      </c>
      <c r="J7730" t="s">
        <v>246</v>
      </c>
      <c r="K7730" t="s">
        <v>259</v>
      </c>
      <c r="AK7730" t="s">
        <v>365</v>
      </c>
    </row>
    <row r="7731" spans="1:37">
      <c r="A7731" t="s">
        <v>38</v>
      </c>
      <c r="B7731" t="s">
        <v>50</v>
      </c>
      <c r="C7731" t="s">
        <v>74</v>
      </c>
      <c r="D7731" t="s">
        <v>95</v>
      </c>
      <c r="E7731" t="s">
        <v>113</v>
      </c>
      <c r="F7731" t="s">
        <v>147</v>
      </c>
      <c r="G7731" t="s">
        <v>173</v>
      </c>
      <c r="H7731" t="s">
        <v>208</v>
      </c>
      <c r="I7731" t="s">
        <v>227</v>
      </c>
      <c r="J7731" t="s">
        <v>115</v>
      </c>
      <c r="K7731" t="s">
        <v>260</v>
      </c>
      <c r="L7731" t="s">
        <v>273</v>
      </c>
      <c r="M7731" t="s">
        <v>282</v>
      </c>
      <c r="N7731" t="s">
        <v>291</v>
      </c>
      <c r="AK7731" t="s">
        <v>365</v>
      </c>
    </row>
    <row r="7732" spans="1:37">
      <c r="B7732" t="s">
        <v>51</v>
      </c>
      <c r="C7732" t="s">
        <v>75</v>
      </c>
      <c r="D7732" t="s">
        <v>52</v>
      </c>
      <c r="E7732" t="s">
        <v>114</v>
      </c>
      <c r="F7732" t="s">
        <v>148</v>
      </c>
      <c r="G7732" t="s">
        <v>148</v>
      </c>
      <c r="H7732" t="s">
        <v>209</v>
      </c>
      <c r="I7732" t="s">
        <v>228</v>
      </c>
      <c r="J7732" t="s">
        <v>247</v>
      </c>
      <c r="K7732" t="s">
        <v>261</v>
      </c>
      <c r="L7732" t="s">
        <v>274</v>
      </c>
      <c r="M7732" t="s">
        <v>283</v>
      </c>
      <c r="N7732" t="s">
        <v>292</v>
      </c>
      <c r="O7732" t="s">
        <v>300</v>
      </c>
      <c r="AK7732" t="s">
        <v>365</v>
      </c>
    </row>
    <row r="7733" spans="1:37">
      <c r="B7733" t="s">
        <v>52</v>
      </c>
      <c r="C7733" t="s">
        <v>76</v>
      </c>
      <c r="D7733" t="s">
        <v>96</v>
      </c>
      <c r="E7733" t="s">
        <v>115</v>
      </c>
      <c r="F7733" t="s">
        <v>149</v>
      </c>
      <c r="G7733" t="s">
        <v>174</v>
      </c>
      <c r="H7733" t="s">
        <v>96</v>
      </c>
      <c r="I7733" t="s">
        <v>229</v>
      </c>
      <c r="J7733" t="s">
        <v>248</v>
      </c>
      <c r="K7733" t="s">
        <v>262</v>
      </c>
      <c r="L7733" t="s">
        <v>52</v>
      </c>
      <c r="M7733" t="s">
        <v>76</v>
      </c>
      <c r="N7733" t="s">
        <v>293</v>
      </c>
      <c r="O7733" t="s">
        <v>301</v>
      </c>
      <c r="P7733" t="s">
        <v>309</v>
      </c>
      <c r="Q7733" t="s">
        <v>315</v>
      </c>
      <c r="R7733" t="s">
        <v>228</v>
      </c>
      <c r="S7733" t="s">
        <v>328</v>
      </c>
      <c r="T7733" t="s">
        <v>149</v>
      </c>
      <c r="U7733" t="s">
        <v>337</v>
      </c>
      <c r="V7733" t="s">
        <v>341</v>
      </c>
      <c r="W7733" t="s">
        <v>345</v>
      </c>
      <c r="X7733" t="s">
        <v>350</v>
      </c>
      <c r="AK7733" t="s">
        <v>365</v>
      </c>
    </row>
    <row r="7734" spans="1:37">
      <c r="B7734" t="s">
        <v>53</v>
      </c>
      <c r="C7734" t="s">
        <v>77</v>
      </c>
      <c r="D7734" t="s">
        <v>97</v>
      </c>
      <c r="E7734" t="s">
        <v>116</v>
      </c>
      <c r="F7734" t="s">
        <v>150</v>
      </c>
      <c r="G7734" t="s">
        <v>175</v>
      </c>
      <c r="H7734" t="s">
        <v>210</v>
      </c>
      <c r="I7734" t="s">
        <v>230</v>
      </c>
      <c r="J7734" t="s">
        <v>249</v>
      </c>
      <c r="K7734" t="s">
        <v>263</v>
      </c>
      <c r="L7734" t="s">
        <v>275</v>
      </c>
      <c r="M7734" t="s">
        <v>284</v>
      </c>
      <c r="N7734" t="s">
        <v>294</v>
      </c>
      <c r="O7734" t="s">
        <v>302</v>
      </c>
      <c r="P7734" t="s">
        <v>310</v>
      </c>
      <c r="Q7734" t="s">
        <v>316</v>
      </c>
      <c r="R7734" t="s">
        <v>322</v>
      </c>
      <c r="S7734" t="s">
        <v>329</v>
      </c>
      <c r="AK7734" t="s">
        <v>365</v>
      </c>
    </row>
    <row r="7735" spans="1:37">
      <c r="A7735" t="s">
        <v>39</v>
      </c>
      <c r="B7735" t="s">
        <v>54</v>
      </c>
      <c r="C7735" t="s">
        <v>54</v>
      </c>
      <c r="D7735" t="s">
        <v>54</v>
      </c>
      <c r="E7735" t="s">
        <v>54</v>
      </c>
      <c r="F7735" t="s">
        <v>54</v>
      </c>
      <c r="G7735" t="s">
        <v>54</v>
      </c>
      <c r="H7735" t="s">
        <v>54</v>
      </c>
      <c r="I7735" t="s">
        <v>54</v>
      </c>
      <c r="J7735" t="s">
        <v>54</v>
      </c>
      <c r="K7735" t="s">
        <v>54</v>
      </c>
      <c r="L7735" t="s">
        <v>54</v>
      </c>
      <c r="M7735" t="s">
        <v>54</v>
      </c>
      <c r="N7735" t="s">
        <v>54</v>
      </c>
      <c r="O7735" t="s">
        <v>54</v>
      </c>
      <c r="P7735" t="s">
        <v>54</v>
      </c>
      <c r="Q7735" t="s">
        <v>54</v>
      </c>
      <c r="R7735" t="s">
        <v>323</v>
      </c>
      <c r="S7735" t="s">
        <v>330</v>
      </c>
      <c r="AK7735" t="s">
        <v>365</v>
      </c>
    </row>
    <row r="7736" spans="1:37">
      <c r="B7736" t="s">
        <v>55</v>
      </c>
      <c r="C7736" t="s">
        <v>78</v>
      </c>
      <c r="D7736" t="s">
        <v>55</v>
      </c>
      <c r="E7736" t="s">
        <v>78</v>
      </c>
      <c r="F7736" t="s">
        <v>55</v>
      </c>
      <c r="G7736" t="s">
        <v>78</v>
      </c>
      <c r="H7736" t="s">
        <v>55</v>
      </c>
      <c r="I7736" t="s">
        <v>78</v>
      </c>
      <c r="J7736" t="s">
        <v>55</v>
      </c>
      <c r="K7736" t="s">
        <v>78</v>
      </c>
      <c r="L7736" t="s">
        <v>55</v>
      </c>
      <c r="M7736" t="s">
        <v>78</v>
      </c>
      <c r="N7736" t="s">
        <v>55</v>
      </c>
      <c r="O7736" t="s">
        <v>78</v>
      </c>
      <c r="P7736" t="s">
        <v>55</v>
      </c>
      <c r="Q7736" t="s">
        <v>78</v>
      </c>
      <c r="R7736" t="s">
        <v>55</v>
      </c>
      <c r="S7736" t="s">
        <v>78</v>
      </c>
      <c r="T7736" t="s">
        <v>55</v>
      </c>
      <c r="U7736" t="s">
        <v>78</v>
      </c>
      <c r="V7736" t="s">
        <v>55</v>
      </c>
      <c r="W7736" t="s">
        <v>78</v>
      </c>
      <c r="X7736" t="s">
        <v>55</v>
      </c>
      <c r="Y7736" t="s">
        <v>78</v>
      </c>
      <c r="Z7736" t="s">
        <v>55</v>
      </c>
      <c r="AA7736" t="s">
        <v>78</v>
      </c>
      <c r="AB7736" t="s">
        <v>55</v>
      </c>
      <c r="AC7736" t="s">
        <v>78</v>
      </c>
      <c r="AD7736" t="s">
        <v>55</v>
      </c>
      <c r="AE7736" t="s">
        <v>78</v>
      </c>
      <c r="AF7736" t="s">
        <v>55</v>
      </c>
      <c r="AG7736" t="s">
        <v>78</v>
      </c>
      <c r="AH7736" t="s">
        <v>55</v>
      </c>
      <c r="AI7736" t="s">
        <v>78</v>
      </c>
      <c r="AK7736" t="s">
        <v>365</v>
      </c>
    </row>
    <row r="7737" spans="1:37">
      <c r="B7737" t="s">
        <v>56</v>
      </c>
      <c r="C7737" t="s">
        <v>56</v>
      </c>
      <c r="D7737" t="s">
        <v>56</v>
      </c>
      <c r="E7737" t="s">
        <v>56</v>
      </c>
      <c r="F7737" t="s">
        <v>56</v>
      </c>
      <c r="G7737" t="s">
        <v>176</v>
      </c>
      <c r="H7737" t="s">
        <v>211</v>
      </c>
      <c r="I7737" t="s">
        <v>231</v>
      </c>
      <c r="J7737" t="s">
        <v>250</v>
      </c>
      <c r="K7737" t="s">
        <v>264</v>
      </c>
      <c r="L7737" t="s">
        <v>276</v>
      </c>
      <c r="M7737" t="s">
        <v>285</v>
      </c>
      <c r="N7737" t="s">
        <v>295</v>
      </c>
      <c r="O7737" t="s">
        <v>303</v>
      </c>
      <c r="P7737" t="s">
        <v>56</v>
      </c>
      <c r="Q7737" t="s">
        <v>317</v>
      </c>
      <c r="R7737" t="s">
        <v>324</v>
      </c>
      <c r="S7737" t="s">
        <v>331</v>
      </c>
      <c r="T7737" t="s">
        <v>334</v>
      </c>
      <c r="U7737" t="s">
        <v>338</v>
      </c>
      <c r="V7737" t="s">
        <v>342</v>
      </c>
      <c r="W7737" t="s">
        <v>346</v>
      </c>
      <c r="X7737" t="s">
        <v>351</v>
      </c>
      <c r="AK7737" t="s">
        <v>365</v>
      </c>
    </row>
    <row r="7738" spans="1:37">
      <c r="B7738" t="s">
        <v>57</v>
      </c>
      <c r="C7738" t="s">
        <v>79</v>
      </c>
      <c r="D7738" t="s">
        <v>98</v>
      </c>
      <c r="E7738" t="s">
        <v>117</v>
      </c>
      <c r="F7738" t="s">
        <v>151</v>
      </c>
      <c r="G7738" t="s">
        <v>177</v>
      </c>
      <c r="H7738" t="s">
        <v>212</v>
      </c>
      <c r="I7738" t="s">
        <v>232</v>
      </c>
      <c r="J7738" t="s">
        <v>251</v>
      </c>
      <c r="K7738" t="s">
        <v>265</v>
      </c>
      <c r="L7738" t="s">
        <v>277</v>
      </c>
      <c r="M7738" t="s">
        <v>286</v>
      </c>
      <c r="N7738" t="s">
        <v>296</v>
      </c>
      <c r="O7738" t="s">
        <v>304</v>
      </c>
      <c r="P7738" t="s">
        <v>311</v>
      </c>
      <c r="Q7738" t="s">
        <v>318</v>
      </c>
      <c r="R7738" t="s">
        <v>185</v>
      </c>
      <c r="S7738" t="s">
        <v>159</v>
      </c>
      <c r="T7738" t="s">
        <v>185</v>
      </c>
      <c r="U7738" t="s">
        <v>339</v>
      </c>
      <c r="V7738" t="s">
        <v>72</v>
      </c>
      <c r="W7738" t="s">
        <v>347</v>
      </c>
      <c r="X7738" t="s">
        <v>72</v>
      </c>
      <c r="Y7738" t="s">
        <v>96</v>
      </c>
      <c r="AK7738" t="s">
        <v>365</v>
      </c>
    </row>
    <row r="7739" spans="1:37">
      <c r="B7739" t="s">
        <v>58</v>
      </c>
      <c r="C7739" t="s">
        <v>80</v>
      </c>
      <c r="D7739" t="s">
        <v>99</v>
      </c>
      <c r="E7739" t="s">
        <v>118</v>
      </c>
      <c r="F7739" t="s">
        <v>152</v>
      </c>
      <c r="G7739" t="s">
        <v>178</v>
      </c>
      <c r="H7739" t="s">
        <v>213</v>
      </c>
      <c r="I7739" t="s">
        <v>233</v>
      </c>
      <c r="J7739" t="s">
        <v>252</v>
      </c>
      <c r="K7739" t="s">
        <v>266</v>
      </c>
      <c r="L7739" t="s">
        <v>278</v>
      </c>
      <c r="M7739" t="s">
        <v>287</v>
      </c>
      <c r="N7739" t="s">
        <v>297</v>
      </c>
      <c r="O7739" t="s">
        <v>305</v>
      </c>
      <c r="P7739" t="s">
        <v>312</v>
      </c>
      <c r="Q7739" t="s">
        <v>319</v>
      </c>
      <c r="R7739">
        <f>&gt;10       ветра      5.2     17   5 13</f>
        <v>0</v>
      </c>
      <c r="AK7739" t="s">
        <v>365</v>
      </c>
    </row>
    <row r="7740" spans="1:37">
      <c r="A7740" t="s">
        <v>40</v>
      </c>
      <c r="B7740" t="s">
        <v>59</v>
      </c>
      <c r="C7740" t="s">
        <v>81</v>
      </c>
      <c r="D7740" t="s">
        <v>100</v>
      </c>
      <c r="E7740" t="s">
        <v>119</v>
      </c>
      <c r="F7740" t="s">
        <v>153</v>
      </c>
      <c r="G7740" t="s">
        <v>179</v>
      </c>
      <c r="H7740" t="s">
        <v>214</v>
      </c>
      <c r="I7740" t="s">
        <v>234</v>
      </c>
      <c r="AK7740" t="s">
        <v>365</v>
      </c>
    </row>
    <row r="7741" spans="1:37">
      <c r="A7741" t="s">
        <v>40</v>
      </c>
      <c r="B7741" t="s">
        <v>60</v>
      </c>
      <c r="C7741" t="s">
        <v>82</v>
      </c>
      <c r="D7741" t="s">
        <v>101</v>
      </c>
      <c r="E7741" t="s">
        <v>120</v>
      </c>
      <c r="F7741" t="s">
        <v>154</v>
      </c>
      <c r="G7741" t="s">
        <v>180</v>
      </c>
      <c r="H7741" t="s">
        <v>215</v>
      </c>
      <c r="I7741" t="s">
        <v>235</v>
      </c>
      <c r="J7741" t="s">
        <v>253</v>
      </c>
      <c r="K7741" t="s">
        <v>267</v>
      </c>
      <c r="L7741" t="s">
        <v>279</v>
      </c>
      <c r="M7741" t="s">
        <v>288</v>
      </c>
      <c r="N7741" t="s">
        <v>100</v>
      </c>
      <c r="O7741" t="s">
        <v>306</v>
      </c>
      <c r="P7741" t="s">
        <v>313</v>
      </c>
      <c r="Q7741" t="s">
        <v>320</v>
      </c>
      <c r="R7741" t="s">
        <v>325</v>
      </c>
      <c r="S7741" t="s">
        <v>332</v>
      </c>
      <c r="T7741" t="s">
        <v>119</v>
      </c>
      <c r="U7741" t="s">
        <v>234</v>
      </c>
      <c r="V7741" t="s">
        <v>343</v>
      </c>
      <c r="W7741" t="s">
        <v>348</v>
      </c>
      <c r="X7741" t="s">
        <v>352</v>
      </c>
      <c r="Y7741" t="s">
        <v>354</v>
      </c>
      <c r="AK7741" t="s">
        <v>365</v>
      </c>
    </row>
    <row r="7742" spans="1:37">
      <c r="A7742" t="s">
        <v>41</v>
      </c>
      <c r="B7742" t="s">
        <v>61</v>
      </c>
      <c r="C7742" t="s">
        <v>83</v>
      </c>
      <c r="D7742" t="s">
        <v>102</v>
      </c>
      <c r="E7742" t="s">
        <v>121</v>
      </c>
      <c r="F7742" t="s">
        <v>155</v>
      </c>
      <c r="G7742" t="s">
        <v>181</v>
      </c>
      <c r="H7742" t="s">
        <v>216</v>
      </c>
      <c r="I7742" t="s">
        <v>236</v>
      </c>
      <c r="AK7742" t="s">
        <v>365</v>
      </c>
    </row>
    <row r="7743" spans="1:37">
      <c r="A7743" t="s">
        <v>42</v>
      </c>
      <c r="B7743" t="s">
        <v>62</v>
      </c>
      <c r="C7743" t="s">
        <v>84</v>
      </c>
      <c r="D7743" t="s">
        <v>103</v>
      </c>
      <c r="E7743" t="s">
        <v>122</v>
      </c>
      <c r="F7743" t="s">
        <v>156</v>
      </c>
      <c r="G7743" t="s">
        <v>182</v>
      </c>
      <c r="H7743" t="s">
        <v>83</v>
      </c>
      <c r="I7743" t="s">
        <v>237</v>
      </c>
      <c r="J7743" t="s">
        <v>254</v>
      </c>
      <c r="K7743" t="s">
        <v>268</v>
      </c>
      <c r="L7743" t="s">
        <v>280</v>
      </c>
      <c r="M7743" t="s">
        <v>289</v>
      </c>
      <c r="N7743" t="s">
        <v>298</v>
      </c>
      <c r="O7743" t="s">
        <v>307</v>
      </c>
      <c r="P7743" t="s">
        <v>314</v>
      </c>
      <c r="Q7743" t="s">
        <v>216</v>
      </c>
      <c r="R7743" t="s">
        <v>326</v>
      </c>
      <c r="S7743" t="s">
        <v>333</v>
      </c>
      <c r="T7743" t="s">
        <v>335</v>
      </c>
      <c r="U7743" t="s">
        <v>340</v>
      </c>
      <c r="V7743" t="s">
        <v>344</v>
      </c>
      <c r="W7743" t="s">
        <v>349</v>
      </c>
      <c r="AK7743" t="s">
        <v>365</v>
      </c>
    </row>
    <row r="7744" spans="1:37">
      <c r="A7744" t="s">
        <v>43</v>
      </c>
      <c r="B7744" t="s">
        <v>63</v>
      </c>
      <c r="C7744" t="s">
        <v>85</v>
      </c>
      <c r="D7744" t="s">
        <v>104</v>
      </c>
      <c r="E7744" t="s">
        <v>123</v>
      </c>
      <c r="F7744" t="s">
        <v>157</v>
      </c>
      <c r="G7744" t="s">
        <v>183</v>
      </c>
      <c r="AK7744" t="s">
        <v>365</v>
      </c>
    </row>
    <row r="7745" spans="1:37">
      <c r="A7745" t="s">
        <v>44</v>
      </c>
      <c r="B7745" t="s">
        <v>64</v>
      </c>
      <c r="C7745" t="s">
        <v>86</v>
      </c>
      <c r="D7745" t="s">
        <v>105</v>
      </c>
      <c r="E7745" t="s">
        <v>124</v>
      </c>
      <c r="F7745" t="s">
        <v>158</v>
      </c>
      <c r="G7745" t="s">
        <v>184</v>
      </c>
      <c r="AK7745" t="s">
        <v>365</v>
      </c>
    </row>
    <row r="7746" spans="1:37">
      <c r="A7746" t="s">
        <v>45</v>
      </c>
      <c r="B7746" t="s">
        <v>65</v>
      </c>
      <c r="C7746" t="s">
        <v>87</v>
      </c>
      <c r="D7746" t="s">
        <v>106</v>
      </c>
      <c r="E7746" t="s">
        <v>125</v>
      </c>
      <c r="F7746" t="s">
        <v>159</v>
      </c>
      <c r="G7746" t="s">
        <v>185</v>
      </c>
      <c r="H7746" t="s">
        <v>159</v>
      </c>
      <c r="I7746" t="s">
        <v>185</v>
      </c>
      <c r="J7746" t="s">
        <v>255</v>
      </c>
      <c r="AK7746" t="s">
        <v>365</v>
      </c>
    </row>
    <row r="7747" spans="1:37">
      <c r="A7747" t="s">
        <v>46</v>
      </c>
      <c r="B7747" t="s">
        <v>66</v>
      </c>
      <c r="C7747" t="s">
        <v>88</v>
      </c>
      <c r="D7747" t="s">
        <v>76</v>
      </c>
      <c r="E7747" t="s">
        <v>126</v>
      </c>
      <c r="F7747" t="s">
        <v>160</v>
      </c>
      <c r="G7747" t="s">
        <v>186</v>
      </c>
      <c r="H7747" t="s">
        <v>217</v>
      </c>
      <c r="I7747" t="s">
        <v>238</v>
      </c>
      <c r="J7747" t="s">
        <v>256</v>
      </c>
      <c r="K7747" t="s">
        <v>265</v>
      </c>
      <c r="L7747" t="s">
        <v>281</v>
      </c>
      <c r="M7747" t="s">
        <v>290</v>
      </c>
      <c r="N7747" t="s">
        <v>299</v>
      </c>
      <c r="O7747" t="s">
        <v>308</v>
      </c>
      <c r="P7747" t="s">
        <v>228</v>
      </c>
      <c r="Q7747" t="s">
        <v>72</v>
      </c>
      <c r="R7747" t="s">
        <v>327</v>
      </c>
      <c r="S7747" t="s">
        <v>327</v>
      </c>
      <c r="T7747" t="s">
        <v>336</v>
      </c>
      <c r="U7747" t="s">
        <v>336</v>
      </c>
      <c r="V7747" t="s">
        <v>336</v>
      </c>
      <c r="W7747" t="s">
        <v>336</v>
      </c>
      <c r="X7747" t="s">
        <v>353</v>
      </c>
      <c r="AK7747" t="s">
        <v>365</v>
      </c>
    </row>
    <row r="7748" spans="1:37">
      <c r="B7748" t="s">
        <v>67</v>
      </c>
      <c r="C7748" t="s">
        <v>89</v>
      </c>
      <c r="D7748" t="s">
        <v>107</v>
      </c>
      <c r="AK7748" t="s">
        <v>365</v>
      </c>
    </row>
    <row r="7749" spans="1:37">
      <c r="B7749" t="s">
        <v>68</v>
      </c>
      <c r="C7749" t="s">
        <v>90</v>
      </c>
      <c r="D7749" t="s">
        <v>108</v>
      </c>
      <c r="AK7749" t="s">
        <v>365</v>
      </c>
    </row>
    <row r="7750" spans="1:37">
      <c r="A7750" t="s">
        <v>47</v>
      </c>
      <c r="B7750" t="s">
        <v>69</v>
      </c>
      <c r="C7750" t="s">
        <v>91</v>
      </c>
      <c r="D7750" t="s">
        <v>109</v>
      </c>
      <c r="E7750" t="s">
        <v>109</v>
      </c>
      <c r="F7750" t="s">
        <v>109</v>
      </c>
      <c r="G7750" t="s">
        <v>109</v>
      </c>
      <c r="H7750" t="s">
        <v>109</v>
      </c>
      <c r="I7750" t="s">
        <v>239</v>
      </c>
      <c r="AK7750" t="s">
        <v>365</v>
      </c>
    </row>
    <row r="7751" spans="1:37">
      <c r="B7751" t="s">
        <v>70</v>
      </c>
      <c r="C7751" t="s">
        <v>92</v>
      </c>
      <c r="D7751" t="s">
        <v>110</v>
      </c>
      <c r="E7751" t="s">
        <v>127</v>
      </c>
      <c r="F7751" t="s">
        <v>161</v>
      </c>
      <c r="G7751" t="s">
        <v>187</v>
      </c>
      <c r="H7751" t="s">
        <v>218</v>
      </c>
      <c r="AK7751" t="s">
        <v>365</v>
      </c>
    </row>
    <row r="7752" spans="1:37">
      <c r="B7752" t="s">
        <v>71</v>
      </c>
      <c r="C7752" t="s">
        <v>93</v>
      </c>
      <c r="D7752" t="s">
        <v>111</v>
      </c>
      <c r="E7752" t="s">
        <v>128</v>
      </c>
      <c r="F7752" t="s">
        <v>162</v>
      </c>
      <c r="G7752" t="s">
        <v>188</v>
      </c>
      <c r="H7752" t="s">
        <v>219</v>
      </c>
      <c r="I7752" t="s">
        <v>240</v>
      </c>
      <c r="J7752" t="s">
        <v>257</v>
      </c>
      <c r="K7752" t="s">
        <v>269</v>
      </c>
      <c r="L7752" t="s">
        <v>109</v>
      </c>
      <c r="M7752" t="s">
        <v>109</v>
      </c>
      <c r="N7752" t="s">
        <v>109</v>
      </c>
      <c r="O7752" t="s">
        <v>109</v>
      </c>
      <c r="P7752" t="s">
        <v>109</v>
      </c>
      <c r="Q7752" t="s">
        <v>321</v>
      </c>
      <c r="AK7752" t="s">
        <v>365</v>
      </c>
    </row>
    <row r="7753" spans="1:37">
      <c r="A7753" t="s">
        <v>48</v>
      </c>
      <c r="B7753" t="s">
        <v>71</v>
      </c>
      <c r="C7753" t="s">
        <v>93</v>
      </c>
      <c r="D7753" t="s">
        <v>111</v>
      </c>
      <c r="E7753" t="s">
        <v>128</v>
      </c>
      <c r="F7753" t="s">
        <v>163</v>
      </c>
      <c r="G7753" t="s">
        <v>189</v>
      </c>
      <c r="H7753" t="s">
        <v>220</v>
      </c>
      <c r="I7753" t="s">
        <v>241</v>
      </c>
      <c r="J7753" t="s">
        <v>258</v>
      </c>
      <c r="K7753" t="s">
        <v>270</v>
      </c>
      <c r="AK7753" t="s">
        <v>365</v>
      </c>
    </row>
    <row r="7754" spans="1:37">
      <c r="B7754" t="s">
        <v>72</v>
      </c>
      <c r="C7754" t="s">
        <v>72</v>
      </c>
      <c r="D7754" t="s">
        <v>72</v>
      </c>
      <c r="E7754" t="s">
        <v>143</v>
      </c>
      <c r="F7754" t="s">
        <v>139</v>
      </c>
      <c r="G7754" t="s">
        <v>192</v>
      </c>
      <c r="H7754" t="s">
        <v>192</v>
      </c>
      <c r="I7754" t="s">
        <v>192</v>
      </c>
      <c r="J7754" t="s">
        <v>192</v>
      </c>
      <c r="K7754" t="s">
        <v>271</v>
      </c>
      <c r="AK7754" t="s">
        <v>365</v>
      </c>
    </row>
    <row r="7755" spans="1:37">
      <c r="A7755" t="s">
        <v>37</v>
      </c>
      <c r="B7755" t="s">
        <v>49</v>
      </c>
      <c r="C7755" t="s">
        <v>73</v>
      </c>
      <c r="D7755" t="s">
        <v>94</v>
      </c>
      <c r="E7755" t="s">
        <v>112</v>
      </c>
      <c r="F7755" t="s">
        <v>146</v>
      </c>
      <c r="G7755" t="s">
        <v>172</v>
      </c>
      <c r="H7755" t="s">
        <v>207</v>
      </c>
      <c r="I7755" t="s">
        <v>226</v>
      </c>
      <c r="J7755" t="s">
        <v>246</v>
      </c>
      <c r="K7755" t="s">
        <v>259</v>
      </c>
      <c r="AK7755" t="s">
        <v>365</v>
      </c>
    </row>
    <row r="7756" spans="1:37">
      <c r="A7756" t="s">
        <v>38</v>
      </c>
      <c r="B7756" t="s">
        <v>50</v>
      </c>
      <c r="C7756" t="s">
        <v>74</v>
      </c>
      <c r="D7756" t="s">
        <v>95</v>
      </c>
      <c r="E7756" t="s">
        <v>113</v>
      </c>
      <c r="F7756" t="s">
        <v>147</v>
      </c>
      <c r="G7756" t="s">
        <v>173</v>
      </c>
      <c r="H7756" t="s">
        <v>208</v>
      </c>
      <c r="I7756" t="s">
        <v>227</v>
      </c>
      <c r="J7756" t="s">
        <v>115</v>
      </c>
      <c r="K7756" t="s">
        <v>260</v>
      </c>
      <c r="L7756" t="s">
        <v>273</v>
      </c>
      <c r="M7756" t="s">
        <v>282</v>
      </c>
      <c r="N7756" t="s">
        <v>291</v>
      </c>
      <c r="AK7756" t="s">
        <v>365</v>
      </c>
    </row>
    <row r="7757" spans="1:37">
      <c r="B7757" t="s">
        <v>51</v>
      </c>
      <c r="C7757" t="s">
        <v>75</v>
      </c>
      <c r="D7757" t="s">
        <v>52</v>
      </c>
      <c r="E7757" t="s">
        <v>114</v>
      </c>
      <c r="F7757" t="s">
        <v>148</v>
      </c>
      <c r="G7757" t="s">
        <v>148</v>
      </c>
      <c r="H7757" t="s">
        <v>209</v>
      </c>
      <c r="I7757" t="s">
        <v>228</v>
      </c>
      <c r="J7757" t="s">
        <v>247</v>
      </c>
      <c r="K7757" t="s">
        <v>261</v>
      </c>
      <c r="L7757" t="s">
        <v>274</v>
      </c>
      <c r="M7757" t="s">
        <v>283</v>
      </c>
      <c r="N7757" t="s">
        <v>292</v>
      </c>
      <c r="O7757" t="s">
        <v>300</v>
      </c>
      <c r="AK7757" t="s">
        <v>365</v>
      </c>
    </row>
    <row r="7758" spans="1:37">
      <c r="B7758" t="s">
        <v>52</v>
      </c>
      <c r="C7758" t="s">
        <v>76</v>
      </c>
      <c r="D7758" t="s">
        <v>96</v>
      </c>
      <c r="E7758" t="s">
        <v>115</v>
      </c>
      <c r="F7758" t="s">
        <v>149</v>
      </c>
      <c r="G7758" t="s">
        <v>174</v>
      </c>
      <c r="H7758" t="s">
        <v>96</v>
      </c>
      <c r="I7758" t="s">
        <v>229</v>
      </c>
      <c r="J7758" t="s">
        <v>248</v>
      </c>
      <c r="K7758" t="s">
        <v>262</v>
      </c>
      <c r="L7758" t="s">
        <v>52</v>
      </c>
      <c r="M7758" t="s">
        <v>76</v>
      </c>
      <c r="N7758" t="s">
        <v>293</v>
      </c>
      <c r="O7758" t="s">
        <v>301</v>
      </c>
      <c r="P7758" t="s">
        <v>309</v>
      </c>
      <c r="Q7758" t="s">
        <v>315</v>
      </c>
      <c r="R7758" t="s">
        <v>228</v>
      </c>
      <c r="S7758" t="s">
        <v>328</v>
      </c>
      <c r="T7758" t="s">
        <v>149</v>
      </c>
      <c r="U7758" t="s">
        <v>337</v>
      </c>
      <c r="V7758" t="s">
        <v>341</v>
      </c>
      <c r="W7758" t="s">
        <v>345</v>
      </c>
      <c r="X7758" t="s">
        <v>350</v>
      </c>
      <c r="AK7758" t="s">
        <v>365</v>
      </c>
    </row>
    <row r="7759" spans="1:37">
      <c r="B7759" t="s">
        <v>53</v>
      </c>
      <c r="C7759" t="s">
        <v>77</v>
      </c>
      <c r="D7759" t="s">
        <v>97</v>
      </c>
      <c r="E7759" t="s">
        <v>116</v>
      </c>
      <c r="F7759" t="s">
        <v>150</v>
      </c>
      <c r="G7759" t="s">
        <v>175</v>
      </c>
      <c r="H7759" t="s">
        <v>210</v>
      </c>
      <c r="I7759" t="s">
        <v>230</v>
      </c>
      <c r="J7759" t="s">
        <v>249</v>
      </c>
      <c r="K7759" t="s">
        <v>263</v>
      </c>
      <c r="L7759" t="s">
        <v>275</v>
      </c>
      <c r="M7759" t="s">
        <v>284</v>
      </c>
      <c r="N7759" t="s">
        <v>294</v>
      </c>
      <c r="O7759" t="s">
        <v>302</v>
      </c>
      <c r="P7759" t="s">
        <v>310</v>
      </c>
      <c r="Q7759" t="s">
        <v>316</v>
      </c>
      <c r="R7759" t="s">
        <v>322</v>
      </c>
      <c r="S7759" t="s">
        <v>329</v>
      </c>
      <c r="AK7759" t="s">
        <v>365</v>
      </c>
    </row>
    <row r="7760" spans="1:37">
      <c r="A7760" t="s">
        <v>39</v>
      </c>
      <c r="B7760" t="s">
        <v>54</v>
      </c>
      <c r="C7760" t="s">
        <v>54</v>
      </c>
      <c r="D7760" t="s">
        <v>54</v>
      </c>
      <c r="E7760" t="s">
        <v>54</v>
      </c>
      <c r="F7760" t="s">
        <v>54</v>
      </c>
      <c r="G7760" t="s">
        <v>54</v>
      </c>
      <c r="H7760" t="s">
        <v>54</v>
      </c>
      <c r="I7760" t="s">
        <v>54</v>
      </c>
      <c r="J7760" t="s">
        <v>54</v>
      </c>
      <c r="K7760" t="s">
        <v>54</v>
      </c>
      <c r="L7760" t="s">
        <v>54</v>
      </c>
      <c r="M7760" t="s">
        <v>54</v>
      </c>
      <c r="N7760" t="s">
        <v>54</v>
      </c>
      <c r="O7760" t="s">
        <v>54</v>
      </c>
      <c r="P7760" t="s">
        <v>54</v>
      </c>
      <c r="Q7760" t="s">
        <v>54</v>
      </c>
      <c r="R7760" t="s">
        <v>323</v>
      </c>
      <c r="S7760" t="s">
        <v>330</v>
      </c>
      <c r="AK7760" t="s">
        <v>365</v>
      </c>
    </row>
    <row r="7761" spans="1:37">
      <c r="B7761" t="s">
        <v>55</v>
      </c>
      <c r="C7761" t="s">
        <v>78</v>
      </c>
      <c r="D7761" t="s">
        <v>55</v>
      </c>
      <c r="E7761" t="s">
        <v>78</v>
      </c>
      <c r="F7761" t="s">
        <v>55</v>
      </c>
      <c r="G7761" t="s">
        <v>78</v>
      </c>
      <c r="H7761" t="s">
        <v>55</v>
      </c>
      <c r="I7761" t="s">
        <v>78</v>
      </c>
      <c r="J7761" t="s">
        <v>55</v>
      </c>
      <c r="K7761" t="s">
        <v>78</v>
      </c>
      <c r="L7761" t="s">
        <v>55</v>
      </c>
      <c r="M7761" t="s">
        <v>78</v>
      </c>
      <c r="N7761" t="s">
        <v>55</v>
      </c>
      <c r="O7761" t="s">
        <v>78</v>
      </c>
      <c r="P7761" t="s">
        <v>55</v>
      </c>
      <c r="Q7761" t="s">
        <v>78</v>
      </c>
      <c r="R7761" t="s">
        <v>55</v>
      </c>
      <c r="S7761" t="s">
        <v>78</v>
      </c>
      <c r="T7761" t="s">
        <v>55</v>
      </c>
      <c r="U7761" t="s">
        <v>78</v>
      </c>
      <c r="V7761" t="s">
        <v>55</v>
      </c>
      <c r="W7761" t="s">
        <v>78</v>
      </c>
      <c r="X7761" t="s">
        <v>55</v>
      </c>
      <c r="Y7761" t="s">
        <v>78</v>
      </c>
      <c r="Z7761" t="s">
        <v>55</v>
      </c>
      <c r="AA7761" t="s">
        <v>78</v>
      </c>
      <c r="AB7761" t="s">
        <v>55</v>
      </c>
      <c r="AC7761" t="s">
        <v>78</v>
      </c>
      <c r="AD7761" t="s">
        <v>55</v>
      </c>
      <c r="AE7761" t="s">
        <v>78</v>
      </c>
      <c r="AF7761" t="s">
        <v>55</v>
      </c>
      <c r="AG7761" t="s">
        <v>78</v>
      </c>
      <c r="AH7761" t="s">
        <v>55</v>
      </c>
      <c r="AI7761" t="s">
        <v>78</v>
      </c>
      <c r="AK7761" t="s">
        <v>365</v>
      </c>
    </row>
    <row r="7762" spans="1:37">
      <c r="B7762" t="s">
        <v>56</v>
      </c>
      <c r="C7762" t="s">
        <v>56</v>
      </c>
      <c r="D7762" t="s">
        <v>56</v>
      </c>
      <c r="E7762" t="s">
        <v>56</v>
      </c>
      <c r="F7762" t="s">
        <v>56</v>
      </c>
      <c r="G7762" t="s">
        <v>176</v>
      </c>
      <c r="H7762" t="s">
        <v>211</v>
      </c>
      <c r="I7762" t="s">
        <v>231</v>
      </c>
      <c r="J7762" t="s">
        <v>250</v>
      </c>
      <c r="K7762" t="s">
        <v>264</v>
      </c>
      <c r="L7762" t="s">
        <v>276</v>
      </c>
      <c r="M7762" t="s">
        <v>285</v>
      </c>
      <c r="N7762" t="s">
        <v>295</v>
      </c>
      <c r="O7762" t="s">
        <v>303</v>
      </c>
      <c r="P7762" t="s">
        <v>56</v>
      </c>
      <c r="Q7762" t="s">
        <v>317</v>
      </c>
      <c r="R7762" t="s">
        <v>324</v>
      </c>
      <c r="S7762" t="s">
        <v>331</v>
      </c>
      <c r="T7762" t="s">
        <v>334</v>
      </c>
      <c r="U7762" t="s">
        <v>338</v>
      </c>
      <c r="V7762" t="s">
        <v>342</v>
      </c>
      <c r="W7762" t="s">
        <v>346</v>
      </c>
      <c r="X7762" t="s">
        <v>351</v>
      </c>
      <c r="AK7762" t="s">
        <v>365</v>
      </c>
    </row>
    <row r="7763" spans="1:37">
      <c r="B7763" t="s">
        <v>57</v>
      </c>
      <c r="C7763" t="s">
        <v>79</v>
      </c>
      <c r="D7763" t="s">
        <v>98</v>
      </c>
      <c r="E7763" t="s">
        <v>117</v>
      </c>
      <c r="F7763" t="s">
        <v>151</v>
      </c>
      <c r="G7763" t="s">
        <v>177</v>
      </c>
      <c r="H7763" t="s">
        <v>212</v>
      </c>
      <c r="I7763" t="s">
        <v>232</v>
      </c>
      <c r="J7763" t="s">
        <v>251</v>
      </c>
      <c r="K7763" t="s">
        <v>265</v>
      </c>
      <c r="L7763" t="s">
        <v>277</v>
      </c>
      <c r="M7763" t="s">
        <v>286</v>
      </c>
      <c r="N7763" t="s">
        <v>296</v>
      </c>
      <c r="O7763" t="s">
        <v>304</v>
      </c>
      <c r="P7763" t="s">
        <v>311</v>
      </c>
      <c r="Q7763" t="s">
        <v>318</v>
      </c>
      <c r="R7763" t="s">
        <v>185</v>
      </c>
      <c r="S7763" t="s">
        <v>159</v>
      </c>
      <c r="T7763" t="s">
        <v>185</v>
      </c>
      <c r="U7763" t="s">
        <v>339</v>
      </c>
      <c r="V7763" t="s">
        <v>72</v>
      </c>
      <c r="W7763" t="s">
        <v>347</v>
      </c>
      <c r="X7763" t="s">
        <v>72</v>
      </c>
      <c r="Y7763" t="s">
        <v>96</v>
      </c>
      <c r="AK7763" t="s">
        <v>365</v>
      </c>
    </row>
    <row r="7764" spans="1:37">
      <c r="B7764" t="s">
        <v>58</v>
      </c>
      <c r="C7764" t="s">
        <v>80</v>
      </c>
      <c r="D7764" t="s">
        <v>99</v>
      </c>
      <c r="E7764" t="s">
        <v>118</v>
      </c>
      <c r="F7764" t="s">
        <v>152</v>
      </c>
      <c r="G7764" t="s">
        <v>178</v>
      </c>
      <c r="H7764" t="s">
        <v>213</v>
      </c>
      <c r="I7764" t="s">
        <v>233</v>
      </c>
      <c r="J7764" t="s">
        <v>252</v>
      </c>
      <c r="K7764" t="s">
        <v>266</v>
      </c>
      <c r="L7764" t="s">
        <v>278</v>
      </c>
      <c r="M7764" t="s">
        <v>287</v>
      </c>
      <c r="N7764" t="s">
        <v>297</v>
      </c>
      <c r="O7764" t="s">
        <v>305</v>
      </c>
      <c r="P7764" t="s">
        <v>312</v>
      </c>
      <c r="Q7764" t="s">
        <v>319</v>
      </c>
      <c r="R7764">
        <f>&gt;10       ветра      3.5     18   4  6</f>
        <v>0</v>
      </c>
      <c r="AK7764" t="s">
        <v>365</v>
      </c>
    </row>
    <row r="7765" spans="1:37">
      <c r="A7765" t="s">
        <v>40</v>
      </c>
      <c r="B7765" t="s">
        <v>59</v>
      </c>
      <c r="C7765" t="s">
        <v>81</v>
      </c>
      <c r="D7765" t="s">
        <v>100</v>
      </c>
      <c r="E7765" t="s">
        <v>119</v>
      </c>
      <c r="F7765" t="s">
        <v>153</v>
      </c>
      <c r="G7765" t="s">
        <v>179</v>
      </c>
      <c r="H7765" t="s">
        <v>214</v>
      </c>
      <c r="I7765" t="s">
        <v>234</v>
      </c>
      <c r="AK7765" t="s">
        <v>365</v>
      </c>
    </row>
    <row r="7766" spans="1:37">
      <c r="A7766" t="s">
        <v>40</v>
      </c>
      <c r="B7766" t="s">
        <v>60</v>
      </c>
      <c r="C7766" t="s">
        <v>82</v>
      </c>
      <c r="D7766" t="s">
        <v>101</v>
      </c>
      <c r="E7766" t="s">
        <v>120</v>
      </c>
      <c r="F7766" t="s">
        <v>154</v>
      </c>
      <c r="G7766" t="s">
        <v>180</v>
      </c>
      <c r="H7766" t="s">
        <v>215</v>
      </c>
      <c r="I7766" t="s">
        <v>235</v>
      </c>
      <c r="J7766" t="s">
        <v>253</v>
      </c>
      <c r="K7766" t="s">
        <v>267</v>
      </c>
      <c r="L7766" t="s">
        <v>279</v>
      </c>
      <c r="M7766" t="s">
        <v>288</v>
      </c>
      <c r="N7766" t="s">
        <v>100</v>
      </c>
      <c r="O7766" t="s">
        <v>306</v>
      </c>
      <c r="P7766" t="s">
        <v>313</v>
      </c>
      <c r="Q7766" t="s">
        <v>320</v>
      </c>
      <c r="R7766" t="s">
        <v>325</v>
      </c>
      <c r="S7766" t="s">
        <v>332</v>
      </c>
      <c r="T7766" t="s">
        <v>119</v>
      </c>
      <c r="U7766" t="s">
        <v>234</v>
      </c>
      <c r="V7766" t="s">
        <v>343</v>
      </c>
      <c r="W7766" t="s">
        <v>348</v>
      </c>
      <c r="X7766" t="s">
        <v>352</v>
      </c>
      <c r="Y7766" t="s">
        <v>354</v>
      </c>
      <c r="AK7766" t="s">
        <v>365</v>
      </c>
    </row>
    <row r="7767" spans="1:37">
      <c r="A7767" t="s">
        <v>41</v>
      </c>
      <c r="B7767" t="s">
        <v>61</v>
      </c>
      <c r="C7767" t="s">
        <v>83</v>
      </c>
      <c r="D7767" t="s">
        <v>102</v>
      </c>
      <c r="E7767" t="s">
        <v>121</v>
      </c>
      <c r="F7767" t="s">
        <v>155</v>
      </c>
      <c r="G7767" t="s">
        <v>181</v>
      </c>
      <c r="H7767" t="s">
        <v>216</v>
      </c>
      <c r="I7767" t="s">
        <v>236</v>
      </c>
      <c r="AK7767" t="s">
        <v>365</v>
      </c>
    </row>
    <row r="7768" spans="1:37">
      <c r="A7768" t="s">
        <v>42</v>
      </c>
      <c r="B7768" t="s">
        <v>62</v>
      </c>
      <c r="C7768" t="s">
        <v>84</v>
      </c>
      <c r="D7768" t="s">
        <v>103</v>
      </c>
      <c r="E7768" t="s">
        <v>122</v>
      </c>
      <c r="F7768" t="s">
        <v>156</v>
      </c>
      <c r="G7768" t="s">
        <v>182</v>
      </c>
      <c r="H7768" t="s">
        <v>83</v>
      </c>
      <c r="I7768" t="s">
        <v>237</v>
      </c>
      <c r="J7768" t="s">
        <v>254</v>
      </c>
      <c r="K7768" t="s">
        <v>268</v>
      </c>
      <c r="L7768" t="s">
        <v>280</v>
      </c>
      <c r="M7768" t="s">
        <v>289</v>
      </c>
      <c r="N7768" t="s">
        <v>298</v>
      </c>
      <c r="O7768" t="s">
        <v>307</v>
      </c>
      <c r="P7768" t="s">
        <v>314</v>
      </c>
      <c r="Q7768" t="s">
        <v>216</v>
      </c>
      <c r="R7768" t="s">
        <v>326</v>
      </c>
      <c r="S7768" t="s">
        <v>333</v>
      </c>
      <c r="T7768" t="s">
        <v>335</v>
      </c>
      <c r="U7768" t="s">
        <v>340</v>
      </c>
      <c r="V7768" t="s">
        <v>344</v>
      </c>
      <c r="W7768" t="s">
        <v>349</v>
      </c>
      <c r="AK7768" t="s">
        <v>365</v>
      </c>
    </row>
    <row r="7769" spans="1:37">
      <c r="A7769" t="s">
        <v>43</v>
      </c>
      <c r="B7769" t="s">
        <v>63</v>
      </c>
      <c r="C7769" t="s">
        <v>85</v>
      </c>
      <c r="D7769" t="s">
        <v>104</v>
      </c>
      <c r="E7769" t="s">
        <v>123</v>
      </c>
      <c r="F7769" t="s">
        <v>157</v>
      </c>
      <c r="G7769" t="s">
        <v>183</v>
      </c>
      <c r="AK7769" t="s">
        <v>365</v>
      </c>
    </row>
    <row r="7770" spans="1:37">
      <c r="A7770" t="s">
        <v>44</v>
      </c>
      <c r="B7770" t="s">
        <v>64</v>
      </c>
      <c r="C7770" t="s">
        <v>86</v>
      </c>
      <c r="D7770" t="s">
        <v>105</v>
      </c>
      <c r="E7770" t="s">
        <v>124</v>
      </c>
      <c r="F7770" t="s">
        <v>158</v>
      </c>
      <c r="G7770" t="s">
        <v>184</v>
      </c>
      <c r="AK7770" t="s">
        <v>365</v>
      </c>
    </row>
    <row r="7771" spans="1:37">
      <c r="A7771" t="s">
        <v>45</v>
      </c>
      <c r="B7771" t="s">
        <v>65</v>
      </c>
      <c r="C7771" t="s">
        <v>87</v>
      </c>
      <c r="D7771" t="s">
        <v>106</v>
      </c>
      <c r="E7771" t="s">
        <v>125</v>
      </c>
      <c r="F7771" t="s">
        <v>159</v>
      </c>
      <c r="G7771" t="s">
        <v>185</v>
      </c>
      <c r="H7771" t="s">
        <v>159</v>
      </c>
      <c r="I7771" t="s">
        <v>185</v>
      </c>
      <c r="J7771" t="s">
        <v>255</v>
      </c>
      <c r="AK7771" t="s">
        <v>365</v>
      </c>
    </row>
    <row r="7772" spans="1:37">
      <c r="A7772" t="s">
        <v>46</v>
      </c>
      <c r="B7772" t="s">
        <v>66</v>
      </c>
      <c r="C7772" t="s">
        <v>88</v>
      </c>
      <c r="D7772" t="s">
        <v>76</v>
      </c>
      <c r="E7772" t="s">
        <v>126</v>
      </c>
      <c r="F7772" t="s">
        <v>160</v>
      </c>
      <c r="G7772" t="s">
        <v>186</v>
      </c>
      <c r="H7772" t="s">
        <v>217</v>
      </c>
      <c r="I7772" t="s">
        <v>238</v>
      </c>
      <c r="J7772" t="s">
        <v>256</v>
      </c>
      <c r="K7772" t="s">
        <v>265</v>
      </c>
      <c r="L7772" t="s">
        <v>281</v>
      </c>
      <c r="M7772" t="s">
        <v>290</v>
      </c>
      <c r="N7772" t="s">
        <v>299</v>
      </c>
      <c r="O7772" t="s">
        <v>308</v>
      </c>
      <c r="P7772" t="s">
        <v>228</v>
      </c>
      <c r="Q7772" t="s">
        <v>72</v>
      </c>
      <c r="R7772" t="s">
        <v>327</v>
      </c>
      <c r="S7772" t="s">
        <v>327</v>
      </c>
      <c r="T7772" t="s">
        <v>336</v>
      </c>
      <c r="U7772" t="s">
        <v>336</v>
      </c>
      <c r="V7772" t="s">
        <v>336</v>
      </c>
      <c r="W7772" t="s">
        <v>336</v>
      </c>
      <c r="X7772" t="s">
        <v>353</v>
      </c>
      <c r="AK7772" t="s">
        <v>365</v>
      </c>
    </row>
    <row r="7773" spans="1:37">
      <c r="A7773" t="s">
        <v>37</v>
      </c>
      <c r="B7773" t="s">
        <v>49</v>
      </c>
      <c r="C7773" t="s">
        <v>73</v>
      </c>
      <c r="D7773" t="s">
        <v>94</v>
      </c>
      <c r="E7773" t="s">
        <v>112</v>
      </c>
      <c r="F7773" t="s">
        <v>146</v>
      </c>
      <c r="G7773" t="s">
        <v>172</v>
      </c>
      <c r="H7773" t="s">
        <v>207</v>
      </c>
      <c r="I7773" t="s">
        <v>226</v>
      </c>
      <c r="J7773" t="s">
        <v>246</v>
      </c>
      <c r="K7773" t="s">
        <v>259</v>
      </c>
      <c r="AK7773" t="s">
        <v>365</v>
      </c>
    </row>
    <row r="7774" spans="1:37">
      <c r="A7774" t="s">
        <v>38</v>
      </c>
      <c r="B7774" t="s">
        <v>50</v>
      </c>
      <c r="C7774" t="s">
        <v>74</v>
      </c>
      <c r="D7774" t="s">
        <v>95</v>
      </c>
      <c r="E7774" t="s">
        <v>113</v>
      </c>
      <c r="F7774" t="s">
        <v>147</v>
      </c>
      <c r="G7774" t="s">
        <v>173</v>
      </c>
      <c r="H7774" t="s">
        <v>208</v>
      </c>
      <c r="I7774" t="s">
        <v>227</v>
      </c>
      <c r="J7774" t="s">
        <v>115</v>
      </c>
      <c r="K7774" t="s">
        <v>260</v>
      </c>
      <c r="L7774" t="s">
        <v>273</v>
      </c>
      <c r="M7774" t="s">
        <v>282</v>
      </c>
      <c r="N7774" t="s">
        <v>291</v>
      </c>
      <c r="AK7774" t="s">
        <v>365</v>
      </c>
    </row>
    <row r="7775" spans="1:37">
      <c r="B7775" t="s">
        <v>51</v>
      </c>
      <c r="C7775" t="s">
        <v>75</v>
      </c>
      <c r="D7775" t="s">
        <v>52</v>
      </c>
      <c r="E7775" t="s">
        <v>114</v>
      </c>
      <c r="F7775" t="s">
        <v>148</v>
      </c>
      <c r="G7775" t="s">
        <v>148</v>
      </c>
      <c r="H7775" t="s">
        <v>209</v>
      </c>
      <c r="I7775" t="s">
        <v>228</v>
      </c>
      <c r="J7775" t="s">
        <v>247</v>
      </c>
      <c r="K7775" t="s">
        <v>261</v>
      </c>
      <c r="L7775" t="s">
        <v>274</v>
      </c>
      <c r="M7775" t="s">
        <v>283</v>
      </c>
      <c r="N7775" t="s">
        <v>292</v>
      </c>
      <c r="O7775" t="s">
        <v>300</v>
      </c>
      <c r="AK7775" t="s">
        <v>365</v>
      </c>
    </row>
    <row r="7776" spans="1:37">
      <c r="B7776" t="s">
        <v>52</v>
      </c>
      <c r="C7776" t="s">
        <v>76</v>
      </c>
      <c r="D7776" t="s">
        <v>96</v>
      </c>
      <c r="E7776" t="s">
        <v>115</v>
      </c>
      <c r="F7776" t="s">
        <v>149</v>
      </c>
      <c r="G7776" t="s">
        <v>174</v>
      </c>
      <c r="H7776" t="s">
        <v>96</v>
      </c>
      <c r="I7776" t="s">
        <v>229</v>
      </c>
      <c r="J7776" t="s">
        <v>248</v>
      </c>
      <c r="K7776" t="s">
        <v>262</v>
      </c>
      <c r="L7776" t="s">
        <v>52</v>
      </c>
      <c r="M7776" t="s">
        <v>76</v>
      </c>
      <c r="N7776" t="s">
        <v>293</v>
      </c>
      <c r="O7776" t="s">
        <v>301</v>
      </c>
      <c r="P7776" t="s">
        <v>309</v>
      </c>
      <c r="Q7776" t="s">
        <v>315</v>
      </c>
      <c r="R7776" t="s">
        <v>228</v>
      </c>
      <c r="S7776" t="s">
        <v>328</v>
      </c>
      <c r="T7776" t="s">
        <v>149</v>
      </c>
      <c r="U7776" t="s">
        <v>337</v>
      </c>
      <c r="V7776" t="s">
        <v>341</v>
      </c>
      <c r="W7776" t="s">
        <v>345</v>
      </c>
      <c r="X7776" t="s">
        <v>350</v>
      </c>
      <c r="AK7776" t="s">
        <v>365</v>
      </c>
    </row>
    <row r="7777" spans="1:37">
      <c r="B7777" t="s">
        <v>53</v>
      </c>
      <c r="C7777" t="s">
        <v>77</v>
      </c>
      <c r="D7777" t="s">
        <v>97</v>
      </c>
      <c r="E7777" t="s">
        <v>116</v>
      </c>
      <c r="F7777" t="s">
        <v>150</v>
      </c>
      <c r="G7777" t="s">
        <v>175</v>
      </c>
      <c r="H7777" t="s">
        <v>210</v>
      </c>
      <c r="I7777" t="s">
        <v>230</v>
      </c>
      <c r="J7777" t="s">
        <v>249</v>
      </c>
      <c r="K7777" t="s">
        <v>263</v>
      </c>
      <c r="L7777" t="s">
        <v>275</v>
      </c>
      <c r="M7777" t="s">
        <v>284</v>
      </c>
      <c r="N7777" t="s">
        <v>294</v>
      </c>
      <c r="O7777" t="s">
        <v>302</v>
      </c>
      <c r="P7777" t="s">
        <v>310</v>
      </c>
      <c r="Q7777" t="s">
        <v>316</v>
      </c>
      <c r="R7777" t="s">
        <v>322</v>
      </c>
      <c r="S7777" t="s">
        <v>329</v>
      </c>
      <c r="AK7777" t="s">
        <v>365</v>
      </c>
    </row>
    <row r="7778" spans="1:37">
      <c r="A7778" t="s">
        <v>39</v>
      </c>
      <c r="B7778" t="s">
        <v>54</v>
      </c>
      <c r="C7778" t="s">
        <v>54</v>
      </c>
      <c r="D7778" t="s">
        <v>54</v>
      </c>
      <c r="E7778" t="s">
        <v>54</v>
      </c>
      <c r="F7778" t="s">
        <v>54</v>
      </c>
      <c r="G7778" t="s">
        <v>54</v>
      </c>
      <c r="H7778" t="s">
        <v>54</v>
      </c>
      <c r="I7778" t="s">
        <v>54</v>
      </c>
      <c r="J7778" t="s">
        <v>54</v>
      </c>
      <c r="K7778" t="s">
        <v>54</v>
      </c>
      <c r="L7778" t="s">
        <v>54</v>
      </c>
      <c r="M7778" t="s">
        <v>54</v>
      </c>
      <c r="N7778" t="s">
        <v>54</v>
      </c>
      <c r="O7778" t="s">
        <v>54</v>
      </c>
      <c r="P7778" t="s">
        <v>54</v>
      </c>
      <c r="Q7778" t="s">
        <v>54</v>
      </c>
      <c r="R7778" t="s">
        <v>323</v>
      </c>
      <c r="S7778" t="s">
        <v>330</v>
      </c>
      <c r="AK7778" t="s">
        <v>365</v>
      </c>
    </row>
    <row r="7779" spans="1:37">
      <c r="B7779" t="s">
        <v>55</v>
      </c>
      <c r="C7779" t="s">
        <v>78</v>
      </c>
      <c r="D7779" t="s">
        <v>55</v>
      </c>
      <c r="E7779" t="s">
        <v>78</v>
      </c>
      <c r="F7779" t="s">
        <v>55</v>
      </c>
      <c r="G7779" t="s">
        <v>78</v>
      </c>
      <c r="H7779" t="s">
        <v>55</v>
      </c>
      <c r="I7779" t="s">
        <v>78</v>
      </c>
      <c r="J7779" t="s">
        <v>55</v>
      </c>
      <c r="K7779" t="s">
        <v>78</v>
      </c>
      <c r="L7779" t="s">
        <v>55</v>
      </c>
      <c r="M7779" t="s">
        <v>78</v>
      </c>
      <c r="N7779" t="s">
        <v>55</v>
      </c>
      <c r="O7779" t="s">
        <v>78</v>
      </c>
      <c r="P7779" t="s">
        <v>55</v>
      </c>
      <c r="Q7779" t="s">
        <v>78</v>
      </c>
      <c r="R7779" t="s">
        <v>55</v>
      </c>
      <c r="S7779" t="s">
        <v>78</v>
      </c>
      <c r="T7779" t="s">
        <v>55</v>
      </c>
      <c r="U7779" t="s">
        <v>78</v>
      </c>
      <c r="V7779" t="s">
        <v>55</v>
      </c>
      <c r="W7779" t="s">
        <v>78</v>
      </c>
      <c r="X7779" t="s">
        <v>55</v>
      </c>
      <c r="Y7779" t="s">
        <v>78</v>
      </c>
      <c r="Z7779" t="s">
        <v>55</v>
      </c>
      <c r="AA7779" t="s">
        <v>78</v>
      </c>
      <c r="AB7779" t="s">
        <v>55</v>
      </c>
      <c r="AC7779" t="s">
        <v>78</v>
      </c>
      <c r="AD7779" t="s">
        <v>55</v>
      </c>
      <c r="AE7779" t="s">
        <v>78</v>
      </c>
      <c r="AF7779" t="s">
        <v>55</v>
      </c>
      <c r="AG7779" t="s">
        <v>78</v>
      </c>
      <c r="AH7779" t="s">
        <v>55</v>
      </c>
      <c r="AI7779" t="s">
        <v>78</v>
      </c>
      <c r="AK7779" t="s">
        <v>365</v>
      </c>
    </row>
    <row r="7780" spans="1:37">
      <c r="B7780" t="s">
        <v>56</v>
      </c>
      <c r="C7780" t="s">
        <v>56</v>
      </c>
      <c r="D7780" t="s">
        <v>56</v>
      </c>
      <c r="E7780" t="s">
        <v>56</v>
      </c>
      <c r="F7780" t="s">
        <v>56</v>
      </c>
      <c r="G7780" t="s">
        <v>176</v>
      </c>
      <c r="H7780" t="s">
        <v>211</v>
      </c>
      <c r="I7780" t="s">
        <v>231</v>
      </c>
      <c r="J7780" t="s">
        <v>250</v>
      </c>
      <c r="K7780" t="s">
        <v>264</v>
      </c>
      <c r="L7780" t="s">
        <v>276</v>
      </c>
      <c r="M7780" t="s">
        <v>285</v>
      </c>
      <c r="N7780" t="s">
        <v>295</v>
      </c>
      <c r="O7780" t="s">
        <v>303</v>
      </c>
      <c r="P7780" t="s">
        <v>56</v>
      </c>
      <c r="Q7780" t="s">
        <v>317</v>
      </c>
      <c r="R7780" t="s">
        <v>324</v>
      </c>
      <c r="S7780" t="s">
        <v>331</v>
      </c>
      <c r="T7780" t="s">
        <v>334</v>
      </c>
      <c r="U7780" t="s">
        <v>338</v>
      </c>
      <c r="V7780" t="s">
        <v>342</v>
      </c>
      <c r="W7780" t="s">
        <v>346</v>
      </c>
      <c r="X7780" t="s">
        <v>351</v>
      </c>
      <c r="AK7780" t="s">
        <v>365</v>
      </c>
    </row>
    <row r="7781" spans="1:37">
      <c r="B7781" t="s">
        <v>57</v>
      </c>
      <c r="C7781" t="s">
        <v>79</v>
      </c>
      <c r="D7781" t="s">
        <v>98</v>
      </c>
      <c r="E7781" t="s">
        <v>117</v>
      </c>
      <c r="F7781" t="s">
        <v>151</v>
      </c>
      <c r="G7781" t="s">
        <v>177</v>
      </c>
      <c r="H7781" t="s">
        <v>212</v>
      </c>
      <c r="I7781" t="s">
        <v>232</v>
      </c>
      <c r="J7781" t="s">
        <v>251</v>
      </c>
      <c r="K7781" t="s">
        <v>265</v>
      </c>
      <c r="L7781" t="s">
        <v>277</v>
      </c>
      <c r="M7781" t="s">
        <v>286</v>
      </c>
      <c r="N7781" t="s">
        <v>296</v>
      </c>
      <c r="O7781" t="s">
        <v>304</v>
      </c>
      <c r="P7781" t="s">
        <v>311</v>
      </c>
      <c r="Q7781" t="s">
        <v>318</v>
      </c>
      <c r="R7781" t="s">
        <v>185</v>
      </c>
      <c r="S7781" t="s">
        <v>159</v>
      </c>
      <c r="T7781" t="s">
        <v>185</v>
      </c>
      <c r="U7781" t="s">
        <v>339</v>
      </c>
      <c r="V7781" t="s">
        <v>72</v>
      </c>
      <c r="W7781" t="s">
        <v>347</v>
      </c>
      <c r="X7781" t="s">
        <v>72</v>
      </c>
      <c r="Y7781" t="s">
        <v>96</v>
      </c>
      <c r="AK7781" t="s">
        <v>365</v>
      </c>
    </row>
    <row r="7782" spans="1:37">
      <c r="B7782" t="s">
        <v>58</v>
      </c>
      <c r="C7782" t="s">
        <v>80</v>
      </c>
      <c r="D7782" t="s">
        <v>99</v>
      </c>
      <c r="E7782" t="s">
        <v>118</v>
      </c>
      <c r="F7782" t="s">
        <v>152</v>
      </c>
      <c r="G7782" t="s">
        <v>178</v>
      </c>
      <c r="H7782" t="s">
        <v>213</v>
      </c>
      <c r="I7782" t="s">
        <v>233</v>
      </c>
      <c r="J7782" t="s">
        <v>252</v>
      </c>
      <c r="K7782" t="s">
        <v>266</v>
      </c>
      <c r="L7782" t="s">
        <v>278</v>
      </c>
      <c r="M7782" t="s">
        <v>287</v>
      </c>
      <c r="N7782" t="s">
        <v>297</v>
      </c>
      <c r="O7782" t="s">
        <v>305</v>
      </c>
      <c r="P7782" t="s">
        <v>312</v>
      </c>
      <c r="Q7782" t="s">
        <v>319</v>
      </c>
      <c r="R7782">
        <f>&gt;10       ветра      1.3     18  29</f>
        <v>0</v>
      </c>
      <c r="AK7782" t="s">
        <v>365</v>
      </c>
    </row>
    <row r="7783" spans="1:37">
      <c r="A7783" t="s">
        <v>40</v>
      </c>
      <c r="B7783" t="s">
        <v>59</v>
      </c>
      <c r="C7783" t="s">
        <v>81</v>
      </c>
      <c r="D7783" t="s">
        <v>100</v>
      </c>
      <c r="E7783" t="s">
        <v>119</v>
      </c>
      <c r="F7783" t="s">
        <v>153</v>
      </c>
      <c r="G7783" t="s">
        <v>179</v>
      </c>
      <c r="H7783" t="s">
        <v>214</v>
      </c>
      <c r="I7783" t="s">
        <v>234</v>
      </c>
      <c r="AK7783" t="s">
        <v>365</v>
      </c>
    </row>
    <row r="7784" spans="1:37">
      <c r="A7784" t="s">
        <v>40</v>
      </c>
      <c r="B7784" t="s">
        <v>60</v>
      </c>
      <c r="C7784" t="s">
        <v>82</v>
      </c>
      <c r="D7784" t="s">
        <v>101</v>
      </c>
      <c r="E7784" t="s">
        <v>120</v>
      </c>
      <c r="F7784" t="s">
        <v>154</v>
      </c>
      <c r="G7784" t="s">
        <v>180</v>
      </c>
      <c r="H7784" t="s">
        <v>215</v>
      </c>
      <c r="I7784" t="s">
        <v>235</v>
      </c>
      <c r="J7784" t="s">
        <v>253</v>
      </c>
      <c r="K7784" t="s">
        <v>267</v>
      </c>
      <c r="L7784" t="s">
        <v>279</v>
      </c>
      <c r="M7784" t="s">
        <v>288</v>
      </c>
      <c r="N7784" t="s">
        <v>100</v>
      </c>
      <c r="O7784" t="s">
        <v>306</v>
      </c>
      <c r="P7784" t="s">
        <v>313</v>
      </c>
      <c r="Q7784" t="s">
        <v>320</v>
      </c>
      <c r="R7784" t="s">
        <v>325</v>
      </c>
      <c r="S7784" t="s">
        <v>332</v>
      </c>
      <c r="T7784" t="s">
        <v>119</v>
      </c>
      <c r="U7784" t="s">
        <v>234</v>
      </c>
      <c r="V7784" t="s">
        <v>343</v>
      </c>
      <c r="W7784" t="s">
        <v>348</v>
      </c>
      <c r="X7784" t="s">
        <v>352</v>
      </c>
      <c r="Y7784" t="s">
        <v>354</v>
      </c>
      <c r="AK7784" t="s">
        <v>365</v>
      </c>
    </row>
    <row r="7785" spans="1:37">
      <c r="A7785" t="s">
        <v>41</v>
      </c>
      <c r="B7785" t="s">
        <v>61</v>
      </c>
      <c r="C7785" t="s">
        <v>83</v>
      </c>
      <c r="D7785" t="s">
        <v>102</v>
      </c>
      <c r="E7785" t="s">
        <v>121</v>
      </c>
      <c r="F7785" t="s">
        <v>155</v>
      </c>
      <c r="G7785" t="s">
        <v>181</v>
      </c>
      <c r="H7785" t="s">
        <v>216</v>
      </c>
      <c r="I7785" t="s">
        <v>236</v>
      </c>
      <c r="AK7785" t="s">
        <v>365</v>
      </c>
    </row>
    <row r="7786" spans="1:37">
      <c r="A7786" t="s">
        <v>42</v>
      </c>
      <c r="B7786" t="s">
        <v>62</v>
      </c>
      <c r="C7786" t="s">
        <v>84</v>
      </c>
      <c r="D7786" t="s">
        <v>103</v>
      </c>
      <c r="E7786" t="s">
        <v>122</v>
      </c>
      <c r="F7786" t="s">
        <v>156</v>
      </c>
      <c r="G7786" t="s">
        <v>182</v>
      </c>
      <c r="H7786" t="s">
        <v>83</v>
      </c>
      <c r="I7786" t="s">
        <v>237</v>
      </c>
      <c r="J7786" t="s">
        <v>254</v>
      </c>
      <c r="K7786" t="s">
        <v>268</v>
      </c>
      <c r="L7786" t="s">
        <v>280</v>
      </c>
      <c r="M7786" t="s">
        <v>289</v>
      </c>
      <c r="N7786" t="s">
        <v>298</v>
      </c>
      <c r="O7786" t="s">
        <v>307</v>
      </c>
      <c r="P7786" t="s">
        <v>314</v>
      </c>
      <c r="Q7786" t="s">
        <v>216</v>
      </c>
      <c r="R7786" t="s">
        <v>326</v>
      </c>
      <c r="S7786" t="s">
        <v>333</v>
      </c>
      <c r="T7786" t="s">
        <v>335</v>
      </c>
      <c r="U7786" t="s">
        <v>340</v>
      </c>
      <c r="V7786" t="s">
        <v>344</v>
      </c>
      <c r="W7786" t="s">
        <v>349</v>
      </c>
      <c r="AK7786" t="s">
        <v>365</v>
      </c>
    </row>
    <row r="7787" spans="1:37">
      <c r="A7787" t="s">
        <v>43</v>
      </c>
      <c r="B7787" t="s">
        <v>63</v>
      </c>
      <c r="C7787" t="s">
        <v>85</v>
      </c>
      <c r="D7787" t="s">
        <v>104</v>
      </c>
      <c r="E7787" t="s">
        <v>123</v>
      </c>
      <c r="F7787" t="s">
        <v>157</v>
      </c>
      <c r="G7787" t="s">
        <v>183</v>
      </c>
      <c r="AK7787" t="s">
        <v>365</v>
      </c>
    </row>
    <row r="7788" spans="1:37">
      <c r="A7788" t="s">
        <v>44</v>
      </c>
      <c r="B7788" t="s">
        <v>64</v>
      </c>
      <c r="C7788" t="s">
        <v>86</v>
      </c>
      <c r="D7788" t="s">
        <v>105</v>
      </c>
      <c r="E7788" t="s">
        <v>124</v>
      </c>
      <c r="F7788" t="s">
        <v>158</v>
      </c>
      <c r="G7788" t="s">
        <v>184</v>
      </c>
      <c r="AK7788" t="s">
        <v>365</v>
      </c>
    </row>
    <row r="7789" spans="1:37">
      <c r="A7789" t="s">
        <v>45</v>
      </c>
      <c r="B7789" t="s">
        <v>65</v>
      </c>
      <c r="C7789" t="s">
        <v>87</v>
      </c>
      <c r="D7789" t="s">
        <v>106</v>
      </c>
      <c r="E7789" t="s">
        <v>125</v>
      </c>
      <c r="F7789" t="s">
        <v>159</v>
      </c>
      <c r="G7789" t="s">
        <v>185</v>
      </c>
      <c r="H7789" t="s">
        <v>159</v>
      </c>
      <c r="I7789" t="s">
        <v>185</v>
      </c>
      <c r="J7789" t="s">
        <v>255</v>
      </c>
      <c r="AK7789" t="s">
        <v>365</v>
      </c>
    </row>
    <row r="7790" spans="1:37">
      <c r="A7790" t="s">
        <v>46</v>
      </c>
      <c r="B7790" t="s">
        <v>66</v>
      </c>
      <c r="C7790" t="s">
        <v>88</v>
      </c>
      <c r="D7790" t="s">
        <v>76</v>
      </c>
      <c r="E7790" t="s">
        <v>126</v>
      </c>
      <c r="F7790" t="s">
        <v>160</v>
      </c>
      <c r="G7790" t="s">
        <v>186</v>
      </c>
      <c r="H7790" t="s">
        <v>217</v>
      </c>
      <c r="I7790" t="s">
        <v>238</v>
      </c>
      <c r="J7790" t="s">
        <v>256</v>
      </c>
      <c r="K7790" t="s">
        <v>265</v>
      </c>
      <c r="L7790" t="s">
        <v>281</v>
      </c>
      <c r="M7790" t="s">
        <v>290</v>
      </c>
      <c r="N7790" t="s">
        <v>299</v>
      </c>
      <c r="O7790" t="s">
        <v>308</v>
      </c>
      <c r="P7790" t="s">
        <v>228</v>
      </c>
      <c r="Q7790" t="s">
        <v>72</v>
      </c>
      <c r="R7790" t="s">
        <v>327</v>
      </c>
      <c r="S7790" t="s">
        <v>327</v>
      </c>
      <c r="T7790" t="s">
        <v>336</v>
      </c>
      <c r="U7790" t="s">
        <v>336</v>
      </c>
      <c r="V7790" t="s">
        <v>336</v>
      </c>
      <c r="W7790" t="s">
        <v>336</v>
      </c>
      <c r="X7790" t="s">
        <v>353</v>
      </c>
      <c r="AK7790" t="s">
        <v>365</v>
      </c>
    </row>
    <row r="7791" spans="1:37">
      <c r="A7791" t="s">
        <v>37</v>
      </c>
      <c r="B7791" t="s">
        <v>49</v>
      </c>
      <c r="C7791" t="s">
        <v>73</v>
      </c>
      <c r="D7791" t="s">
        <v>94</v>
      </c>
      <c r="E7791" t="s">
        <v>112</v>
      </c>
      <c r="F7791" t="s">
        <v>146</v>
      </c>
      <c r="G7791" t="s">
        <v>172</v>
      </c>
      <c r="H7791" t="s">
        <v>207</v>
      </c>
      <c r="I7791" t="s">
        <v>226</v>
      </c>
      <c r="J7791" t="s">
        <v>246</v>
      </c>
      <c r="K7791" t="s">
        <v>259</v>
      </c>
      <c r="AK7791" t="s">
        <v>365</v>
      </c>
    </row>
    <row r="7792" spans="1:37">
      <c r="A7792" t="s">
        <v>38</v>
      </c>
      <c r="B7792" t="s">
        <v>50</v>
      </c>
      <c r="C7792" t="s">
        <v>74</v>
      </c>
      <c r="D7792" t="s">
        <v>95</v>
      </c>
      <c r="E7792" t="s">
        <v>113</v>
      </c>
      <c r="F7792" t="s">
        <v>147</v>
      </c>
      <c r="G7792" t="s">
        <v>173</v>
      </c>
      <c r="H7792" t="s">
        <v>208</v>
      </c>
      <c r="I7792" t="s">
        <v>227</v>
      </c>
      <c r="J7792" t="s">
        <v>115</v>
      </c>
      <c r="K7792" t="s">
        <v>260</v>
      </c>
      <c r="L7792" t="s">
        <v>273</v>
      </c>
      <c r="M7792" t="s">
        <v>282</v>
      </c>
      <c r="N7792" t="s">
        <v>291</v>
      </c>
      <c r="AK7792" t="s">
        <v>365</v>
      </c>
    </row>
    <row r="7793" spans="1:37">
      <c r="B7793" t="s">
        <v>51</v>
      </c>
      <c r="C7793" t="s">
        <v>75</v>
      </c>
      <c r="D7793" t="s">
        <v>52</v>
      </c>
      <c r="E7793" t="s">
        <v>114</v>
      </c>
      <c r="F7793" t="s">
        <v>148</v>
      </c>
      <c r="G7793" t="s">
        <v>148</v>
      </c>
      <c r="H7793" t="s">
        <v>209</v>
      </c>
      <c r="I7793" t="s">
        <v>228</v>
      </c>
      <c r="J7793" t="s">
        <v>247</v>
      </c>
      <c r="K7793" t="s">
        <v>261</v>
      </c>
      <c r="L7793" t="s">
        <v>274</v>
      </c>
      <c r="M7793" t="s">
        <v>283</v>
      </c>
      <c r="N7793" t="s">
        <v>292</v>
      </c>
      <c r="O7793" t="s">
        <v>300</v>
      </c>
      <c r="AK7793" t="s">
        <v>365</v>
      </c>
    </row>
    <row r="7794" spans="1:37">
      <c r="B7794" t="s">
        <v>52</v>
      </c>
      <c r="C7794" t="s">
        <v>76</v>
      </c>
      <c r="D7794" t="s">
        <v>96</v>
      </c>
      <c r="E7794" t="s">
        <v>115</v>
      </c>
      <c r="F7794" t="s">
        <v>149</v>
      </c>
      <c r="G7794" t="s">
        <v>174</v>
      </c>
      <c r="H7794" t="s">
        <v>96</v>
      </c>
      <c r="I7794" t="s">
        <v>229</v>
      </c>
      <c r="J7794" t="s">
        <v>248</v>
      </c>
      <c r="K7794" t="s">
        <v>262</v>
      </c>
      <c r="L7794" t="s">
        <v>52</v>
      </c>
      <c r="M7794" t="s">
        <v>76</v>
      </c>
      <c r="N7794" t="s">
        <v>293</v>
      </c>
      <c r="O7794" t="s">
        <v>301</v>
      </c>
      <c r="P7794" t="s">
        <v>309</v>
      </c>
      <c r="Q7794" t="s">
        <v>315</v>
      </c>
      <c r="R7794" t="s">
        <v>228</v>
      </c>
      <c r="S7794" t="s">
        <v>328</v>
      </c>
      <c r="T7794" t="s">
        <v>149</v>
      </c>
      <c r="U7794" t="s">
        <v>337</v>
      </c>
      <c r="V7794" t="s">
        <v>341</v>
      </c>
      <c r="W7794" t="s">
        <v>345</v>
      </c>
      <c r="X7794" t="s">
        <v>350</v>
      </c>
      <c r="AK7794" t="s">
        <v>365</v>
      </c>
    </row>
    <row r="7795" spans="1:37">
      <c r="B7795" t="s">
        <v>53</v>
      </c>
      <c r="C7795" t="s">
        <v>77</v>
      </c>
      <c r="D7795" t="s">
        <v>97</v>
      </c>
      <c r="E7795" t="s">
        <v>116</v>
      </c>
      <c r="F7795" t="s">
        <v>150</v>
      </c>
      <c r="G7795" t="s">
        <v>175</v>
      </c>
      <c r="H7795" t="s">
        <v>210</v>
      </c>
      <c r="I7795" t="s">
        <v>230</v>
      </c>
      <c r="J7795" t="s">
        <v>249</v>
      </c>
      <c r="K7795" t="s">
        <v>263</v>
      </c>
      <c r="L7795" t="s">
        <v>275</v>
      </c>
      <c r="M7795" t="s">
        <v>284</v>
      </c>
      <c r="N7795" t="s">
        <v>294</v>
      </c>
      <c r="O7795" t="s">
        <v>302</v>
      </c>
      <c r="P7795" t="s">
        <v>310</v>
      </c>
      <c r="Q7795" t="s">
        <v>316</v>
      </c>
      <c r="R7795" t="s">
        <v>322</v>
      </c>
      <c r="S7795" t="s">
        <v>329</v>
      </c>
      <c r="AK7795" t="s">
        <v>365</v>
      </c>
    </row>
    <row r="7796" spans="1:37">
      <c r="A7796" t="s">
        <v>39</v>
      </c>
      <c r="B7796" t="s">
        <v>54</v>
      </c>
      <c r="C7796" t="s">
        <v>54</v>
      </c>
      <c r="D7796" t="s">
        <v>54</v>
      </c>
      <c r="E7796" t="s">
        <v>54</v>
      </c>
      <c r="F7796" t="s">
        <v>54</v>
      </c>
      <c r="G7796" t="s">
        <v>54</v>
      </c>
      <c r="H7796" t="s">
        <v>54</v>
      </c>
      <c r="I7796" t="s">
        <v>54</v>
      </c>
      <c r="J7796" t="s">
        <v>54</v>
      </c>
      <c r="K7796" t="s">
        <v>54</v>
      </c>
      <c r="L7796" t="s">
        <v>54</v>
      </c>
      <c r="M7796" t="s">
        <v>54</v>
      </c>
      <c r="N7796" t="s">
        <v>54</v>
      </c>
      <c r="O7796" t="s">
        <v>54</v>
      </c>
      <c r="P7796" t="s">
        <v>54</v>
      </c>
      <c r="Q7796" t="s">
        <v>54</v>
      </c>
      <c r="R7796" t="s">
        <v>323</v>
      </c>
      <c r="S7796" t="s">
        <v>330</v>
      </c>
      <c r="AK7796" t="s">
        <v>365</v>
      </c>
    </row>
    <row r="7797" spans="1:37">
      <c r="B7797" t="s">
        <v>55</v>
      </c>
      <c r="C7797" t="s">
        <v>78</v>
      </c>
      <c r="D7797" t="s">
        <v>55</v>
      </c>
      <c r="E7797" t="s">
        <v>78</v>
      </c>
      <c r="F7797" t="s">
        <v>55</v>
      </c>
      <c r="G7797" t="s">
        <v>78</v>
      </c>
      <c r="H7797" t="s">
        <v>55</v>
      </c>
      <c r="I7797" t="s">
        <v>78</v>
      </c>
      <c r="J7797" t="s">
        <v>55</v>
      </c>
      <c r="K7797" t="s">
        <v>78</v>
      </c>
      <c r="L7797" t="s">
        <v>55</v>
      </c>
      <c r="M7797" t="s">
        <v>78</v>
      </c>
      <c r="N7797" t="s">
        <v>55</v>
      </c>
      <c r="O7797" t="s">
        <v>78</v>
      </c>
      <c r="P7797" t="s">
        <v>55</v>
      </c>
      <c r="Q7797" t="s">
        <v>78</v>
      </c>
      <c r="R7797" t="s">
        <v>55</v>
      </c>
      <c r="S7797" t="s">
        <v>78</v>
      </c>
      <c r="T7797" t="s">
        <v>55</v>
      </c>
      <c r="U7797" t="s">
        <v>78</v>
      </c>
      <c r="V7797" t="s">
        <v>55</v>
      </c>
      <c r="W7797" t="s">
        <v>78</v>
      </c>
      <c r="X7797" t="s">
        <v>55</v>
      </c>
      <c r="Y7797" t="s">
        <v>78</v>
      </c>
      <c r="Z7797" t="s">
        <v>55</v>
      </c>
      <c r="AA7797" t="s">
        <v>78</v>
      </c>
      <c r="AB7797" t="s">
        <v>55</v>
      </c>
      <c r="AC7797" t="s">
        <v>78</v>
      </c>
      <c r="AD7797" t="s">
        <v>55</v>
      </c>
      <c r="AE7797" t="s">
        <v>78</v>
      </c>
      <c r="AF7797" t="s">
        <v>55</v>
      </c>
      <c r="AG7797" t="s">
        <v>78</v>
      </c>
      <c r="AH7797" t="s">
        <v>55</v>
      </c>
      <c r="AI7797" t="s">
        <v>78</v>
      </c>
      <c r="AK7797" t="s">
        <v>365</v>
      </c>
    </row>
    <row r="7798" spans="1:37">
      <c r="B7798" t="s">
        <v>56</v>
      </c>
      <c r="C7798" t="s">
        <v>56</v>
      </c>
      <c r="D7798" t="s">
        <v>56</v>
      </c>
      <c r="E7798" t="s">
        <v>56</v>
      </c>
      <c r="F7798" t="s">
        <v>56</v>
      </c>
      <c r="G7798" t="s">
        <v>176</v>
      </c>
      <c r="H7798" t="s">
        <v>211</v>
      </c>
      <c r="I7798" t="s">
        <v>231</v>
      </c>
      <c r="J7798" t="s">
        <v>250</v>
      </c>
      <c r="K7798" t="s">
        <v>264</v>
      </c>
      <c r="L7798" t="s">
        <v>276</v>
      </c>
      <c r="M7798" t="s">
        <v>285</v>
      </c>
      <c r="N7798" t="s">
        <v>295</v>
      </c>
      <c r="O7798" t="s">
        <v>303</v>
      </c>
      <c r="P7798" t="s">
        <v>56</v>
      </c>
      <c r="Q7798" t="s">
        <v>317</v>
      </c>
      <c r="R7798" t="s">
        <v>324</v>
      </c>
      <c r="S7798" t="s">
        <v>331</v>
      </c>
      <c r="T7798" t="s">
        <v>334</v>
      </c>
      <c r="U7798" t="s">
        <v>338</v>
      </c>
      <c r="V7798" t="s">
        <v>342</v>
      </c>
      <c r="W7798" t="s">
        <v>346</v>
      </c>
      <c r="X7798" t="s">
        <v>351</v>
      </c>
      <c r="AK7798" t="s">
        <v>365</v>
      </c>
    </row>
    <row r="7799" spans="1:37">
      <c r="B7799" t="s">
        <v>57</v>
      </c>
      <c r="C7799" t="s">
        <v>79</v>
      </c>
      <c r="D7799" t="s">
        <v>98</v>
      </c>
      <c r="E7799" t="s">
        <v>117</v>
      </c>
      <c r="F7799" t="s">
        <v>151</v>
      </c>
      <c r="G7799" t="s">
        <v>177</v>
      </c>
      <c r="H7799" t="s">
        <v>212</v>
      </c>
      <c r="I7799" t="s">
        <v>232</v>
      </c>
      <c r="J7799" t="s">
        <v>251</v>
      </c>
      <c r="K7799" t="s">
        <v>265</v>
      </c>
      <c r="L7799" t="s">
        <v>277</v>
      </c>
      <c r="M7799" t="s">
        <v>286</v>
      </c>
      <c r="N7799" t="s">
        <v>296</v>
      </c>
      <c r="O7799" t="s">
        <v>304</v>
      </c>
      <c r="P7799" t="s">
        <v>311</v>
      </c>
      <c r="Q7799" t="s">
        <v>318</v>
      </c>
      <c r="R7799" t="s">
        <v>185</v>
      </c>
      <c r="S7799" t="s">
        <v>159</v>
      </c>
      <c r="T7799" t="s">
        <v>185</v>
      </c>
      <c r="U7799" t="s">
        <v>339</v>
      </c>
      <c r="V7799" t="s">
        <v>72</v>
      </c>
      <c r="W7799" t="s">
        <v>347</v>
      </c>
      <c r="X7799" t="s">
        <v>72</v>
      </c>
      <c r="Y7799" t="s">
        <v>96</v>
      </c>
      <c r="AK7799" t="s">
        <v>365</v>
      </c>
    </row>
    <row r="7800" spans="1:37">
      <c r="B7800" t="s">
        <v>58</v>
      </c>
      <c r="C7800" t="s">
        <v>80</v>
      </c>
      <c r="D7800" t="s">
        <v>99</v>
      </c>
      <c r="E7800" t="s">
        <v>118</v>
      </c>
      <c r="F7800" t="s">
        <v>152</v>
      </c>
      <c r="G7800" t="s">
        <v>178</v>
      </c>
      <c r="H7800" t="s">
        <v>213</v>
      </c>
      <c r="I7800" t="s">
        <v>233</v>
      </c>
      <c r="J7800" t="s">
        <v>252</v>
      </c>
      <c r="K7800" t="s">
        <v>266</v>
      </c>
      <c r="L7800" t="s">
        <v>278</v>
      </c>
      <c r="M7800" t="s">
        <v>287</v>
      </c>
      <c r="N7800" t="s">
        <v>297</v>
      </c>
      <c r="O7800" t="s">
        <v>305</v>
      </c>
      <c r="P7800" t="s">
        <v>312</v>
      </c>
      <c r="Q7800" t="s">
        <v>319</v>
      </c>
      <c r="R7800">
        <f>&gt;10       ветра      3.4     19  13</f>
        <v>0</v>
      </c>
      <c r="AK7800" t="s">
        <v>365</v>
      </c>
    </row>
    <row r="7801" spans="1:37">
      <c r="A7801" t="s">
        <v>40</v>
      </c>
      <c r="B7801" t="s">
        <v>59</v>
      </c>
      <c r="C7801" t="s">
        <v>81</v>
      </c>
      <c r="D7801" t="s">
        <v>100</v>
      </c>
      <c r="E7801" t="s">
        <v>119</v>
      </c>
      <c r="F7801" t="s">
        <v>153</v>
      </c>
      <c r="G7801" t="s">
        <v>179</v>
      </c>
      <c r="H7801" t="s">
        <v>214</v>
      </c>
      <c r="I7801" t="s">
        <v>234</v>
      </c>
      <c r="AK7801" t="s">
        <v>365</v>
      </c>
    </row>
    <row r="7802" spans="1:37">
      <c r="A7802" t="s">
        <v>40</v>
      </c>
      <c r="B7802" t="s">
        <v>60</v>
      </c>
      <c r="C7802" t="s">
        <v>82</v>
      </c>
      <c r="D7802" t="s">
        <v>101</v>
      </c>
      <c r="E7802" t="s">
        <v>120</v>
      </c>
      <c r="F7802" t="s">
        <v>154</v>
      </c>
      <c r="G7802" t="s">
        <v>180</v>
      </c>
      <c r="H7802" t="s">
        <v>215</v>
      </c>
      <c r="I7802" t="s">
        <v>235</v>
      </c>
      <c r="J7802" t="s">
        <v>253</v>
      </c>
      <c r="K7802" t="s">
        <v>267</v>
      </c>
      <c r="L7802" t="s">
        <v>279</v>
      </c>
      <c r="M7802" t="s">
        <v>288</v>
      </c>
      <c r="N7802" t="s">
        <v>100</v>
      </c>
      <c r="O7802" t="s">
        <v>306</v>
      </c>
      <c r="P7802" t="s">
        <v>313</v>
      </c>
      <c r="Q7802" t="s">
        <v>320</v>
      </c>
      <c r="R7802" t="s">
        <v>325</v>
      </c>
      <c r="S7802" t="s">
        <v>332</v>
      </c>
      <c r="T7802" t="s">
        <v>119</v>
      </c>
      <c r="U7802" t="s">
        <v>234</v>
      </c>
      <c r="V7802" t="s">
        <v>343</v>
      </c>
      <c r="W7802" t="s">
        <v>348</v>
      </c>
      <c r="X7802" t="s">
        <v>352</v>
      </c>
      <c r="Y7802" t="s">
        <v>354</v>
      </c>
      <c r="AK7802" t="s">
        <v>365</v>
      </c>
    </row>
    <row r="7803" spans="1:37">
      <c r="A7803" t="s">
        <v>41</v>
      </c>
      <c r="B7803" t="s">
        <v>61</v>
      </c>
      <c r="C7803" t="s">
        <v>83</v>
      </c>
      <c r="D7803" t="s">
        <v>102</v>
      </c>
      <c r="E7803" t="s">
        <v>121</v>
      </c>
      <c r="F7803" t="s">
        <v>155</v>
      </c>
      <c r="G7803" t="s">
        <v>181</v>
      </c>
      <c r="H7803" t="s">
        <v>216</v>
      </c>
      <c r="I7803" t="s">
        <v>236</v>
      </c>
      <c r="AK7803" t="s">
        <v>365</v>
      </c>
    </row>
    <row r="7804" spans="1:37">
      <c r="A7804" t="s">
        <v>42</v>
      </c>
      <c r="B7804" t="s">
        <v>62</v>
      </c>
      <c r="C7804" t="s">
        <v>84</v>
      </c>
      <c r="D7804" t="s">
        <v>103</v>
      </c>
      <c r="E7804" t="s">
        <v>122</v>
      </c>
      <c r="F7804" t="s">
        <v>156</v>
      </c>
      <c r="G7804" t="s">
        <v>182</v>
      </c>
      <c r="H7804" t="s">
        <v>83</v>
      </c>
      <c r="I7804" t="s">
        <v>237</v>
      </c>
      <c r="J7804" t="s">
        <v>254</v>
      </c>
      <c r="K7804" t="s">
        <v>268</v>
      </c>
      <c r="L7804" t="s">
        <v>280</v>
      </c>
      <c r="M7804" t="s">
        <v>289</v>
      </c>
      <c r="N7804" t="s">
        <v>298</v>
      </c>
      <c r="O7804" t="s">
        <v>307</v>
      </c>
      <c r="P7804" t="s">
        <v>314</v>
      </c>
      <c r="Q7804" t="s">
        <v>216</v>
      </c>
      <c r="R7804" t="s">
        <v>326</v>
      </c>
      <c r="S7804" t="s">
        <v>333</v>
      </c>
      <c r="T7804" t="s">
        <v>335</v>
      </c>
      <c r="U7804" t="s">
        <v>340</v>
      </c>
      <c r="V7804" t="s">
        <v>344</v>
      </c>
      <c r="W7804" t="s">
        <v>349</v>
      </c>
      <c r="AK7804" t="s">
        <v>365</v>
      </c>
    </row>
    <row r="7805" spans="1:37">
      <c r="A7805" t="s">
        <v>43</v>
      </c>
      <c r="B7805" t="s">
        <v>63</v>
      </c>
      <c r="C7805" t="s">
        <v>85</v>
      </c>
      <c r="D7805" t="s">
        <v>104</v>
      </c>
      <c r="E7805" t="s">
        <v>123</v>
      </c>
      <c r="F7805" t="s">
        <v>157</v>
      </c>
      <c r="G7805" t="s">
        <v>183</v>
      </c>
      <c r="AK7805" t="s">
        <v>365</v>
      </c>
    </row>
    <row r="7806" spans="1:37">
      <c r="A7806" t="s">
        <v>44</v>
      </c>
      <c r="B7806" t="s">
        <v>64</v>
      </c>
      <c r="C7806" t="s">
        <v>86</v>
      </c>
      <c r="D7806" t="s">
        <v>105</v>
      </c>
      <c r="E7806" t="s">
        <v>124</v>
      </c>
      <c r="F7806" t="s">
        <v>158</v>
      </c>
      <c r="G7806" t="s">
        <v>184</v>
      </c>
      <c r="AK7806" t="s">
        <v>365</v>
      </c>
    </row>
    <row r="7807" spans="1:37">
      <c r="A7807" t="s">
        <v>45</v>
      </c>
      <c r="B7807" t="s">
        <v>65</v>
      </c>
      <c r="C7807" t="s">
        <v>87</v>
      </c>
      <c r="D7807" t="s">
        <v>106</v>
      </c>
      <c r="E7807" t="s">
        <v>125</v>
      </c>
      <c r="F7807" t="s">
        <v>159</v>
      </c>
      <c r="G7807" t="s">
        <v>185</v>
      </c>
      <c r="H7807" t="s">
        <v>159</v>
      </c>
      <c r="I7807" t="s">
        <v>185</v>
      </c>
      <c r="J7807" t="s">
        <v>255</v>
      </c>
      <c r="AK7807" t="s">
        <v>365</v>
      </c>
    </row>
    <row r="7808" spans="1:37">
      <c r="A7808" t="s">
        <v>46</v>
      </c>
      <c r="B7808" t="s">
        <v>66</v>
      </c>
      <c r="C7808" t="s">
        <v>88</v>
      </c>
      <c r="D7808" t="s">
        <v>76</v>
      </c>
      <c r="E7808" t="s">
        <v>126</v>
      </c>
      <c r="F7808" t="s">
        <v>160</v>
      </c>
      <c r="G7808" t="s">
        <v>186</v>
      </c>
      <c r="H7808" t="s">
        <v>217</v>
      </c>
      <c r="I7808" t="s">
        <v>238</v>
      </c>
      <c r="J7808" t="s">
        <v>256</v>
      </c>
      <c r="K7808" t="s">
        <v>265</v>
      </c>
      <c r="L7808" t="s">
        <v>281</v>
      </c>
      <c r="M7808" t="s">
        <v>290</v>
      </c>
      <c r="N7808" t="s">
        <v>299</v>
      </c>
      <c r="O7808" t="s">
        <v>308</v>
      </c>
      <c r="P7808" t="s">
        <v>228</v>
      </c>
      <c r="Q7808" t="s">
        <v>72</v>
      </c>
      <c r="R7808" t="s">
        <v>327</v>
      </c>
      <c r="S7808" t="s">
        <v>327</v>
      </c>
      <c r="T7808" t="s">
        <v>336</v>
      </c>
      <c r="U7808" t="s">
        <v>336</v>
      </c>
      <c r="V7808" t="s">
        <v>336</v>
      </c>
      <c r="W7808" t="s">
        <v>336</v>
      </c>
      <c r="X7808" t="s">
        <v>353</v>
      </c>
      <c r="AK7808" t="s">
        <v>365</v>
      </c>
    </row>
    <row r="7809" spans="1:37">
      <c r="B7809" t="s">
        <v>67</v>
      </c>
      <c r="C7809" t="s">
        <v>89</v>
      </c>
      <c r="D7809" t="s">
        <v>107</v>
      </c>
      <c r="AK7809" t="s">
        <v>365</v>
      </c>
    </row>
    <row r="7810" spans="1:37">
      <c r="B7810" t="s">
        <v>68</v>
      </c>
      <c r="C7810" t="s">
        <v>90</v>
      </c>
      <c r="D7810" t="s">
        <v>108</v>
      </c>
      <c r="AK7810" t="s">
        <v>365</v>
      </c>
    </row>
    <row r="7811" spans="1:37">
      <c r="A7811" t="s">
        <v>47</v>
      </c>
      <c r="B7811" t="s">
        <v>69</v>
      </c>
      <c r="C7811" t="s">
        <v>91</v>
      </c>
      <c r="D7811" t="s">
        <v>109</v>
      </c>
      <c r="E7811" t="s">
        <v>109</v>
      </c>
      <c r="F7811" t="s">
        <v>109</v>
      </c>
      <c r="G7811" t="s">
        <v>109</v>
      </c>
      <c r="H7811" t="s">
        <v>109</v>
      </c>
      <c r="I7811" t="s">
        <v>239</v>
      </c>
      <c r="AK7811" t="s">
        <v>365</v>
      </c>
    </row>
    <row r="7812" spans="1:37">
      <c r="B7812" t="s">
        <v>70</v>
      </c>
      <c r="C7812" t="s">
        <v>92</v>
      </c>
      <c r="D7812" t="s">
        <v>110</v>
      </c>
      <c r="E7812" t="s">
        <v>127</v>
      </c>
      <c r="F7812" t="s">
        <v>161</v>
      </c>
      <c r="G7812" t="s">
        <v>187</v>
      </c>
      <c r="H7812" t="s">
        <v>218</v>
      </c>
      <c r="AK7812" t="s">
        <v>365</v>
      </c>
    </row>
    <row r="7813" spans="1:37">
      <c r="B7813" t="s">
        <v>71</v>
      </c>
      <c r="C7813" t="s">
        <v>93</v>
      </c>
      <c r="D7813" t="s">
        <v>111</v>
      </c>
      <c r="E7813" t="s">
        <v>128</v>
      </c>
      <c r="F7813" t="s">
        <v>162</v>
      </c>
      <c r="G7813" t="s">
        <v>188</v>
      </c>
      <c r="H7813" t="s">
        <v>219</v>
      </c>
      <c r="I7813" t="s">
        <v>240</v>
      </c>
      <c r="J7813" t="s">
        <v>257</v>
      </c>
      <c r="K7813" t="s">
        <v>269</v>
      </c>
      <c r="L7813" t="s">
        <v>109</v>
      </c>
      <c r="M7813" t="s">
        <v>109</v>
      </c>
      <c r="N7813" t="s">
        <v>109</v>
      </c>
      <c r="O7813" t="s">
        <v>109</v>
      </c>
      <c r="P7813" t="s">
        <v>109</v>
      </c>
      <c r="Q7813" t="s">
        <v>321</v>
      </c>
      <c r="AK7813" t="s">
        <v>365</v>
      </c>
    </row>
    <row r="7814" spans="1:37">
      <c r="A7814" t="s">
        <v>48</v>
      </c>
      <c r="B7814" t="s">
        <v>71</v>
      </c>
      <c r="C7814" t="s">
        <v>93</v>
      </c>
      <c r="D7814" t="s">
        <v>111</v>
      </c>
      <c r="E7814" t="s">
        <v>128</v>
      </c>
      <c r="F7814" t="s">
        <v>163</v>
      </c>
      <c r="G7814" t="s">
        <v>189</v>
      </c>
      <c r="H7814" t="s">
        <v>220</v>
      </c>
      <c r="I7814" t="s">
        <v>241</v>
      </c>
      <c r="J7814" t="s">
        <v>258</v>
      </c>
      <c r="K7814" t="s">
        <v>270</v>
      </c>
      <c r="AK7814" t="s">
        <v>365</v>
      </c>
    </row>
    <row r="7815" spans="1:37">
      <c r="B7815" t="s">
        <v>72</v>
      </c>
      <c r="C7815" t="s">
        <v>72</v>
      </c>
      <c r="D7815" t="s">
        <v>72</v>
      </c>
      <c r="E7815" t="s">
        <v>139</v>
      </c>
      <c r="F7815" t="s">
        <v>139</v>
      </c>
      <c r="G7815" t="s">
        <v>192</v>
      </c>
      <c r="H7815" t="s">
        <v>192</v>
      </c>
      <c r="I7815" t="s">
        <v>192</v>
      </c>
      <c r="J7815" t="s">
        <v>192</v>
      </c>
      <c r="K7815" t="s">
        <v>271</v>
      </c>
      <c r="AK7815" t="s">
        <v>365</v>
      </c>
    </row>
    <row r="7816" spans="1:37">
      <c r="A7816" t="s">
        <v>37</v>
      </c>
      <c r="B7816" t="s">
        <v>49</v>
      </c>
      <c r="C7816" t="s">
        <v>73</v>
      </c>
      <c r="D7816" t="s">
        <v>94</v>
      </c>
      <c r="E7816" t="s">
        <v>112</v>
      </c>
      <c r="F7816" t="s">
        <v>146</v>
      </c>
      <c r="G7816" t="s">
        <v>172</v>
      </c>
      <c r="H7816" t="s">
        <v>207</v>
      </c>
      <c r="I7816" t="s">
        <v>226</v>
      </c>
      <c r="J7816" t="s">
        <v>246</v>
      </c>
      <c r="K7816" t="s">
        <v>259</v>
      </c>
      <c r="AK7816" t="s">
        <v>365</v>
      </c>
    </row>
    <row r="7817" spans="1:37">
      <c r="A7817" t="s">
        <v>38</v>
      </c>
      <c r="B7817" t="s">
        <v>50</v>
      </c>
      <c r="C7817" t="s">
        <v>74</v>
      </c>
      <c r="D7817" t="s">
        <v>95</v>
      </c>
      <c r="E7817" t="s">
        <v>113</v>
      </c>
      <c r="F7817" t="s">
        <v>147</v>
      </c>
      <c r="G7817" t="s">
        <v>173</v>
      </c>
      <c r="H7817" t="s">
        <v>208</v>
      </c>
      <c r="I7817" t="s">
        <v>227</v>
      </c>
      <c r="J7817" t="s">
        <v>115</v>
      </c>
      <c r="K7817" t="s">
        <v>260</v>
      </c>
      <c r="L7817" t="s">
        <v>273</v>
      </c>
      <c r="M7817" t="s">
        <v>282</v>
      </c>
      <c r="N7817" t="s">
        <v>291</v>
      </c>
      <c r="AK7817" t="s">
        <v>365</v>
      </c>
    </row>
    <row r="7818" spans="1:37">
      <c r="B7818" t="s">
        <v>51</v>
      </c>
      <c r="C7818" t="s">
        <v>75</v>
      </c>
      <c r="D7818" t="s">
        <v>52</v>
      </c>
      <c r="E7818" t="s">
        <v>114</v>
      </c>
      <c r="F7818" t="s">
        <v>148</v>
      </c>
      <c r="G7818" t="s">
        <v>148</v>
      </c>
      <c r="H7818" t="s">
        <v>209</v>
      </c>
      <c r="I7818" t="s">
        <v>228</v>
      </c>
      <c r="J7818" t="s">
        <v>247</v>
      </c>
      <c r="K7818" t="s">
        <v>261</v>
      </c>
      <c r="L7818" t="s">
        <v>274</v>
      </c>
      <c r="M7818" t="s">
        <v>283</v>
      </c>
      <c r="N7818" t="s">
        <v>292</v>
      </c>
      <c r="O7818" t="s">
        <v>300</v>
      </c>
      <c r="AK7818" t="s">
        <v>365</v>
      </c>
    </row>
    <row r="7819" spans="1:37">
      <c r="B7819" t="s">
        <v>52</v>
      </c>
      <c r="C7819" t="s">
        <v>76</v>
      </c>
      <c r="D7819" t="s">
        <v>96</v>
      </c>
      <c r="E7819" t="s">
        <v>115</v>
      </c>
      <c r="F7819" t="s">
        <v>149</v>
      </c>
      <c r="G7819" t="s">
        <v>174</v>
      </c>
      <c r="H7819" t="s">
        <v>96</v>
      </c>
      <c r="I7819" t="s">
        <v>229</v>
      </c>
      <c r="J7819" t="s">
        <v>248</v>
      </c>
      <c r="K7819" t="s">
        <v>262</v>
      </c>
      <c r="L7819" t="s">
        <v>52</v>
      </c>
      <c r="M7819" t="s">
        <v>76</v>
      </c>
      <c r="N7819" t="s">
        <v>293</v>
      </c>
      <c r="O7819" t="s">
        <v>301</v>
      </c>
      <c r="P7819" t="s">
        <v>309</v>
      </c>
      <c r="Q7819" t="s">
        <v>315</v>
      </c>
      <c r="R7819" t="s">
        <v>228</v>
      </c>
      <c r="S7819" t="s">
        <v>328</v>
      </c>
      <c r="T7819" t="s">
        <v>149</v>
      </c>
      <c r="U7819" t="s">
        <v>337</v>
      </c>
      <c r="V7819" t="s">
        <v>341</v>
      </c>
      <c r="W7819" t="s">
        <v>345</v>
      </c>
      <c r="X7819" t="s">
        <v>350</v>
      </c>
      <c r="AK7819" t="s">
        <v>365</v>
      </c>
    </row>
    <row r="7820" spans="1:37">
      <c r="B7820" t="s">
        <v>53</v>
      </c>
      <c r="C7820" t="s">
        <v>77</v>
      </c>
      <c r="D7820" t="s">
        <v>97</v>
      </c>
      <c r="E7820" t="s">
        <v>116</v>
      </c>
      <c r="F7820" t="s">
        <v>150</v>
      </c>
      <c r="G7820" t="s">
        <v>175</v>
      </c>
      <c r="H7820" t="s">
        <v>210</v>
      </c>
      <c r="I7820" t="s">
        <v>230</v>
      </c>
      <c r="J7820" t="s">
        <v>249</v>
      </c>
      <c r="K7820" t="s">
        <v>263</v>
      </c>
      <c r="L7820" t="s">
        <v>275</v>
      </c>
      <c r="M7820" t="s">
        <v>284</v>
      </c>
      <c r="N7820" t="s">
        <v>294</v>
      </c>
      <c r="O7820" t="s">
        <v>302</v>
      </c>
      <c r="P7820" t="s">
        <v>310</v>
      </c>
      <c r="Q7820" t="s">
        <v>316</v>
      </c>
      <c r="R7820" t="s">
        <v>322</v>
      </c>
      <c r="S7820" t="s">
        <v>329</v>
      </c>
      <c r="AK7820" t="s">
        <v>365</v>
      </c>
    </row>
    <row r="7821" spans="1:37">
      <c r="A7821" t="s">
        <v>39</v>
      </c>
      <c r="B7821" t="s">
        <v>54</v>
      </c>
      <c r="C7821" t="s">
        <v>54</v>
      </c>
      <c r="D7821" t="s">
        <v>54</v>
      </c>
      <c r="E7821" t="s">
        <v>54</v>
      </c>
      <c r="F7821" t="s">
        <v>54</v>
      </c>
      <c r="G7821" t="s">
        <v>54</v>
      </c>
      <c r="H7821" t="s">
        <v>54</v>
      </c>
      <c r="I7821" t="s">
        <v>54</v>
      </c>
      <c r="J7821" t="s">
        <v>54</v>
      </c>
      <c r="K7821" t="s">
        <v>54</v>
      </c>
      <c r="L7821" t="s">
        <v>54</v>
      </c>
      <c r="M7821" t="s">
        <v>54</v>
      </c>
      <c r="N7821" t="s">
        <v>54</v>
      </c>
      <c r="O7821" t="s">
        <v>54</v>
      </c>
      <c r="P7821" t="s">
        <v>54</v>
      </c>
      <c r="Q7821" t="s">
        <v>54</v>
      </c>
      <c r="R7821" t="s">
        <v>323</v>
      </c>
      <c r="S7821" t="s">
        <v>330</v>
      </c>
      <c r="AK7821" t="s">
        <v>365</v>
      </c>
    </row>
    <row r="7822" spans="1:37">
      <c r="B7822" t="s">
        <v>55</v>
      </c>
      <c r="C7822" t="s">
        <v>78</v>
      </c>
      <c r="D7822" t="s">
        <v>55</v>
      </c>
      <c r="E7822" t="s">
        <v>78</v>
      </c>
      <c r="F7822" t="s">
        <v>55</v>
      </c>
      <c r="G7822" t="s">
        <v>78</v>
      </c>
      <c r="H7822" t="s">
        <v>55</v>
      </c>
      <c r="I7822" t="s">
        <v>78</v>
      </c>
      <c r="J7822" t="s">
        <v>55</v>
      </c>
      <c r="K7822" t="s">
        <v>78</v>
      </c>
      <c r="L7822" t="s">
        <v>55</v>
      </c>
      <c r="M7822" t="s">
        <v>78</v>
      </c>
      <c r="N7822" t="s">
        <v>55</v>
      </c>
      <c r="O7822" t="s">
        <v>78</v>
      </c>
      <c r="P7822" t="s">
        <v>55</v>
      </c>
      <c r="Q7822" t="s">
        <v>78</v>
      </c>
      <c r="R7822" t="s">
        <v>55</v>
      </c>
      <c r="S7822" t="s">
        <v>78</v>
      </c>
      <c r="T7822" t="s">
        <v>55</v>
      </c>
      <c r="U7822" t="s">
        <v>78</v>
      </c>
      <c r="V7822" t="s">
        <v>55</v>
      </c>
      <c r="W7822" t="s">
        <v>78</v>
      </c>
      <c r="X7822" t="s">
        <v>55</v>
      </c>
      <c r="Y7822" t="s">
        <v>78</v>
      </c>
      <c r="Z7822" t="s">
        <v>55</v>
      </c>
      <c r="AA7822" t="s">
        <v>78</v>
      </c>
      <c r="AB7822" t="s">
        <v>55</v>
      </c>
      <c r="AC7822" t="s">
        <v>78</v>
      </c>
      <c r="AD7822" t="s">
        <v>55</v>
      </c>
      <c r="AE7822" t="s">
        <v>78</v>
      </c>
      <c r="AF7822" t="s">
        <v>55</v>
      </c>
      <c r="AG7822" t="s">
        <v>78</v>
      </c>
      <c r="AH7822" t="s">
        <v>55</v>
      </c>
      <c r="AI7822" t="s">
        <v>78</v>
      </c>
      <c r="AK7822" t="s">
        <v>365</v>
      </c>
    </row>
    <row r="7823" spans="1:37">
      <c r="B7823" t="s">
        <v>56</v>
      </c>
      <c r="C7823" t="s">
        <v>56</v>
      </c>
      <c r="D7823" t="s">
        <v>56</v>
      </c>
      <c r="E7823" t="s">
        <v>56</v>
      </c>
      <c r="F7823" t="s">
        <v>56</v>
      </c>
      <c r="G7823" t="s">
        <v>176</v>
      </c>
      <c r="H7823" t="s">
        <v>211</v>
      </c>
      <c r="I7823" t="s">
        <v>231</v>
      </c>
      <c r="J7823" t="s">
        <v>250</v>
      </c>
      <c r="K7823" t="s">
        <v>264</v>
      </c>
      <c r="L7823" t="s">
        <v>276</v>
      </c>
      <c r="M7823" t="s">
        <v>285</v>
      </c>
      <c r="N7823" t="s">
        <v>295</v>
      </c>
      <c r="O7823" t="s">
        <v>303</v>
      </c>
      <c r="P7823" t="s">
        <v>56</v>
      </c>
      <c r="Q7823" t="s">
        <v>317</v>
      </c>
      <c r="R7823" t="s">
        <v>324</v>
      </c>
      <c r="S7823" t="s">
        <v>331</v>
      </c>
      <c r="T7823" t="s">
        <v>334</v>
      </c>
      <c r="U7823" t="s">
        <v>338</v>
      </c>
      <c r="V7823" t="s">
        <v>342</v>
      </c>
      <c r="W7823" t="s">
        <v>346</v>
      </c>
      <c r="X7823" t="s">
        <v>351</v>
      </c>
      <c r="AK7823" t="s">
        <v>365</v>
      </c>
    </row>
    <row r="7824" spans="1:37">
      <c r="B7824" t="s">
        <v>57</v>
      </c>
      <c r="C7824" t="s">
        <v>79</v>
      </c>
      <c r="D7824" t="s">
        <v>98</v>
      </c>
      <c r="E7824" t="s">
        <v>117</v>
      </c>
      <c r="F7824" t="s">
        <v>151</v>
      </c>
      <c r="G7824" t="s">
        <v>177</v>
      </c>
      <c r="H7824" t="s">
        <v>212</v>
      </c>
      <c r="I7824" t="s">
        <v>232</v>
      </c>
      <c r="J7824" t="s">
        <v>251</v>
      </c>
      <c r="K7824" t="s">
        <v>265</v>
      </c>
      <c r="L7824" t="s">
        <v>277</v>
      </c>
      <c r="M7824" t="s">
        <v>286</v>
      </c>
      <c r="N7824" t="s">
        <v>296</v>
      </c>
      <c r="O7824" t="s">
        <v>304</v>
      </c>
      <c r="P7824" t="s">
        <v>311</v>
      </c>
      <c r="Q7824" t="s">
        <v>318</v>
      </c>
      <c r="R7824" t="s">
        <v>185</v>
      </c>
      <c r="S7824" t="s">
        <v>159</v>
      </c>
      <c r="T7824" t="s">
        <v>185</v>
      </c>
      <c r="U7824" t="s">
        <v>339</v>
      </c>
      <c r="V7824" t="s">
        <v>72</v>
      </c>
      <c r="W7824" t="s">
        <v>347</v>
      </c>
      <c r="X7824" t="s">
        <v>72</v>
      </c>
      <c r="Y7824" t="s">
        <v>96</v>
      </c>
      <c r="AK7824" t="s">
        <v>365</v>
      </c>
    </row>
    <row r="7825" spans="1:37">
      <c r="B7825" t="s">
        <v>58</v>
      </c>
      <c r="C7825" t="s">
        <v>80</v>
      </c>
      <c r="D7825" t="s">
        <v>99</v>
      </c>
      <c r="E7825" t="s">
        <v>118</v>
      </c>
      <c r="F7825" t="s">
        <v>152</v>
      </c>
      <c r="G7825" t="s">
        <v>178</v>
      </c>
      <c r="H7825" t="s">
        <v>213</v>
      </c>
      <c r="I7825" t="s">
        <v>233</v>
      </c>
      <c r="J7825" t="s">
        <v>252</v>
      </c>
      <c r="K7825" t="s">
        <v>266</v>
      </c>
      <c r="L7825" t="s">
        <v>278</v>
      </c>
      <c r="M7825" t="s">
        <v>287</v>
      </c>
      <c r="N7825" t="s">
        <v>297</v>
      </c>
      <c r="O7825" t="s">
        <v>305</v>
      </c>
      <c r="P7825" t="s">
        <v>312</v>
      </c>
      <c r="Q7825" t="s">
        <v>319</v>
      </c>
      <c r="R7825">
        <f>&gt;10       ветра      3.2     17   8</f>
        <v>0</v>
      </c>
      <c r="AK7825" t="s">
        <v>365</v>
      </c>
    </row>
    <row r="7826" spans="1:37">
      <c r="A7826" t="s">
        <v>40</v>
      </c>
      <c r="B7826" t="s">
        <v>59</v>
      </c>
      <c r="C7826" t="s">
        <v>81</v>
      </c>
      <c r="D7826" t="s">
        <v>100</v>
      </c>
      <c r="E7826" t="s">
        <v>119</v>
      </c>
      <c r="F7826" t="s">
        <v>153</v>
      </c>
      <c r="G7826" t="s">
        <v>179</v>
      </c>
      <c r="H7826" t="s">
        <v>214</v>
      </c>
      <c r="I7826" t="s">
        <v>234</v>
      </c>
      <c r="AK7826" t="s">
        <v>365</v>
      </c>
    </row>
    <row r="7827" spans="1:37">
      <c r="A7827" t="s">
        <v>40</v>
      </c>
      <c r="B7827" t="s">
        <v>60</v>
      </c>
      <c r="C7827" t="s">
        <v>82</v>
      </c>
      <c r="D7827" t="s">
        <v>101</v>
      </c>
      <c r="E7827" t="s">
        <v>120</v>
      </c>
      <c r="F7827" t="s">
        <v>154</v>
      </c>
      <c r="G7827" t="s">
        <v>180</v>
      </c>
      <c r="H7827" t="s">
        <v>215</v>
      </c>
      <c r="I7827" t="s">
        <v>235</v>
      </c>
      <c r="J7827" t="s">
        <v>253</v>
      </c>
      <c r="K7827" t="s">
        <v>267</v>
      </c>
      <c r="L7827" t="s">
        <v>279</v>
      </c>
      <c r="M7827" t="s">
        <v>288</v>
      </c>
      <c r="N7827" t="s">
        <v>100</v>
      </c>
      <c r="O7827" t="s">
        <v>306</v>
      </c>
      <c r="P7827" t="s">
        <v>313</v>
      </c>
      <c r="Q7827" t="s">
        <v>320</v>
      </c>
      <c r="R7827" t="s">
        <v>325</v>
      </c>
      <c r="S7827" t="s">
        <v>332</v>
      </c>
      <c r="T7827" t="s">
        <v>119</v>
      </c>
      <c r="U7827" t="s">
        <v>234</v>
      </c>
      <c r="V7827" t="s">
        <v>343</v>
      </c>
      <c r="W7827" t="s">
        <v>348</v>
      </c>
      <c r="X7827" t="s">
        <v>352</v>
      </c>
      <c r="Y7827" t="s">
        <v>354</v>
      </c>
      <c r="AK7827" t="s">
        <v>365</v>
      </c>
    </row>
    <row r="7828" spans="1:37">
      <c r="A7828" t="s">
        <v>41</v>
      </c>
      <c r="B7828" t="s">
        <v>61</v>
      </c>
      <c r="C7828" t="s">
        <v>83</v>
      </c>
      <c r="D7828" t="s">
        <v>102</v>
      </c>
      <c r="E7828" t="s">
        <v>121</v>
      </c>
      <c r="F7828" t="s">
        <v>155</v>
      </c>
      <c r="G7828" t="s">
        <v>181</v>
      </c>
      <c r="H7828" t="s">
        <v>216</v>
      </c>
      <c r="I7828" t="s">
        <v>236</v>
      </c>
      <c r="AK7828" t="s">
        <v>365</v>
      </c>
    </row>
    <row r="7829" spans="1:37">
      <c r="A7829" t="s">
        <v>42</v>
      </c>
      <c r="B7829" t="s">
        <v>62</v>
      </c>
      <c r="C7829" t="s">
        <v>84</v>
      </c>
      <c r="D7829" t="s">
        <v>103</v>
      </c>
      <c r="E7829" t="s">
        <v>122</v>
      </c>
      <c r="F7829" t="s">
        <v>156</v>
      </c>
      <c r="G7829" t="s">
        <v>182</v>
      </c>
      <c r="H7829" t="s">
        <v>83</v>
      </c>
      <c r="I7829" t="s">
        <v>237</v>
      </c>
      <c r="J7829" t="s">
        <v>254</v>
      </c>
      <c r="K7829" t="s">
        <v>268</v>
      </c>
      <c r="L7829" t="s">
        <v>280</v>
      </c>
      <c r="M7829" t="s">
        <v>289</v>
      </c>
      <c r="N7829" t="s">
        <v>298</v>
      </c>
      <c r="O7829" t="s">
        <v>307</v>
      </c>
      <c r="P7829" t="s">
        <v>314</v>
      </c>
      <c r="Q7829" t="s">
        <v>216</v>
      </c>
      <c r="R7829" t="s">
        <v>326</v>
      </c>
      <c r="S7829" t="s">
        <v>333</v>
      </c>
      <c r="T7829" t="s">
        <v>335</v>
      </c>
      <c r="U7829" t="s">
        <v>340</v>
      </c>
      <c r="V7829" t="s">
        <v>344</v>
      </c>
      <c r="W7829" t="s">
        <v>349</v>
      </c>
      <c r="AK7829" t="s">
        <v>365</v>
      </c>
    </row>
    <row r="7830" spans="1:37">
      <c r="A7830" t="s">
        <v>43</v>
      </c>
      <c r="B7830" t="s">
        <v>63</v>
      </c>
      <c r="C7830" t="s">
        <v>85</v>
      </c>
      <c r="D7830" t="s">
        <v>104</v>
      </c>
      <c r="E7830" t="s">
        <v>123</v>
      </c>
      <c r="F7830" t="s">
        <v>157</v>
      </c>
      <c r="G7830" t="s">
        <v>183</v>
      </c>
      <c r="AK7830" t="s">
        <v>365</v>
      </c>
    </row>
    <row r="7831" spans="1:37">
      <c r="A7831" t="s">
        <v>44</v>
      </c>
      <c r="B7831" t="s">
        <v>64</v>
      </c>
      <c r="C7831" t="s">
        <v>86</v>
      </c>
      <c r="D7831" t="s">
        <v>105</v>
      </c>
      <c r="E7831" t="s">
        <v>124</v>
      </c>
      <c r="F7831" t="s">
        <v>158</v>
      </c>
      <c r="G7831" t="s">
        <v>184</v>
      </c>
      <c r="AK7831" t="s">
        <v>365</v>
      </c>
    </row>
    <row r="7832" spans="1:37">
      <c r="A7832" t="s">
        <v>45</v>
      </c>
      <c r="B7832" t="s">
        <v>65</v>
      </c>
      <c r="C7832" t="s">
        <v>87</v>
      </c>
      <c r="D7832" t="s">
        <v>106</v>
      </c>
      <c r="E7832" t="s">
        <v>125</v>
      </c>
      <c r="F7832" t="s">
        <v>159</v>
      </c>
      <c r="G7832" t="s">
        <v>185</v>
      </c>
      <c r="H7832" t="s">
        <v>159</v>
      </c>
      <c r="I7832" t="s">
        <v>185</v>
      </c>
      <c r="J7832" t="s">
        <v>255</v>
      </c>
      <c r="AK7832" t="s">
        <v>365</v>
      </c>
    </row>
    <row r="7833" spans="1:37">
      <c r="A7833" t="s">
        <v>46</v>
      </c>
      <c r="B7833" t="s">
        <v>66</v>
      </c>
      <c r="C7833" t="s">
        <v>88</v>
      </c>
      <c r="D7833" t="s">
        <v>76</v>
      </c>
      <c r="E7833" t="s">
        <v>126</v>
      </c>
      <c r="F7833" t="s">
        <v>160</v>
      </c>
      <c r="G7833" t="s">
        <v>186</v>
      </c>
      <c r="H7833" t="s">
        <v>217</v>
      </c>
      <c r="I7833" t="s">
        <v>238</v>
      </c>
      <c r="J7833" t="s">
        <v>256</v>
      </c>
      <c r="K7833" t="s">
        <v>265</v>
      </c>
      <c r="L7833" t="s">
        <v>281</v>
      </c>
      <c r="M7833" t="s">
        <v>290</v>
      </c>
      <c r="N7833" t="s">
        <v>299</v>
      </c>
      <c r="O7833" t="s">
        <v>308</v>
      </c>
      <c r="P7833" t="s">
        <v>228</v>
      </c>
      <c r="Q7833" t="s">
        <v>72</v>
      </c>
      <c r="R7833" t="s">
        <v>327</v>
      </c>
      <c r="S7833" t="s">
        <v>327</v>
      </c>
      <c r="T7833" t="s">
        <v>336</v>
      </c>
      <c r="U7833" t="s">
        <v>336</v>
      </c>
      <c r="V7833" t="s">
        <v>336</v>
      </c>
      <c r="W7833" t="s">
        <v>336</v>
      </c>
      <c r="X7833" t="s">
        <v>353</v>
      </c>
      <c r="AK7833" t="s">
        <v>365</v>
      </c>
    </row>
    <row r="7834" spans="1:37">
      <c r="A7834" t="s">
        <v>37</v>
      </c>
      <c r="B7834" t="s">
        <v>49</v>
      </c>
      <c r="C7834" t="s">
        <v>73</v>
      </c>
      <c r="D7834" t="s">
        <v>94</v>
      </c>
      <c r="E7834" t="s">
        <v>112</v>
      </c>
      <c r="F7834" t="s">
        <v>146</v>
      </c>
      <c r="G7834" t="s">
        <v>172</v>
      </c>
      <c r="H7834" t="s">
        <v>207</v>
      </c>
      <c r="I7834" t="s">
        <v>226</v>
      </c>
      <c r="J7834" t="s">
        <v>246</v>
      </c>
      <c r="K7834" t="s">
        <v>259</v>
      </c>
      <c r="AK7834" t="s">
        <v>366</v>
      </c>
    </row>
    <row r="7835" spans="1:37">
      <c r="A7835" t="s">
        <v>38</v>
      </c>
      <c r="B7835" t="s">
        <v>50</v>
      </c>
      <c r="C7835" t="s">
        <v>74</v>
      </c>
      <c r="D7835" t="s">
        <v>95</v>
      </c>
      <c r="E7835" t="s">
        <v>113</v>
      </c>
      <c r="F7835" t="s">
        <v>147</v>
      </c>
      <c r="G7835" t="s">
        <v>173</v>
      </c>
      <c r="H7835" t="s">
        <v>208</v>
      </c>
      <c r="I7835" t="s">
        <v>227</v>
      </c>
      <c r="J7835" t="s">
        <v>115</v>
      </c>
      <c r="K7835" t="s">
        <v>260</v>
      </c>
      <c r="L7835" t="s">
        <v>273</v>
      </c>
      <c r="M7835" t="s">
        <v>282</v>
      </c>
      <c r="N7835" t="s">
        <v>291</v>
      </c>
      <c r="AK7835" t="s">
        <v>366</v>
      </c>
    </row>
    <row r="7836" spans="1:37">
      <c r="B7836" t="s">
        <v>51</v>
      </c>
      <c r="C7836" t="s">
        <v>75</v>
      </c>
      <c r="D7836" t="s">
        <v>52</v>
      </c>
      <c r="E7836" t="s">
        <v>114</v>
      </c>
      <c r="F7836" t="s">
        <v>148</v>
      </c>
      <c r="G7836" t="s">
        <v>148</v>
      </c>
      <c r="H7836" t="s">
        <v>209</v>
      </c>
      <c r="I7836" t="s">
        <v>228</v>
      </c>
      <c r="J7836" t="s">
        <v>247</v>
      </c>
      <c r="K7836" t="s">
        <v>261</v>
      </c>
      <c r="L7836" t="s">
        <v>274</v>
      </c>
      <c r="M7836" t="s">
        <v>283</v>
      </c>
      <c r="N7836" t="s">
        <v>292</v>
      </c>
      <c r="O7836" t="s">
        <v>300</v>
      </c>
      <c r="AK7836" t="s">
        <v>366</v>
      </c>
    </row>
    <row r="7837" spans="1:37">
      <c r="B7837" t="s">
        <v>52</v>
      </c>
      <c r="C7837" t="s">
        <v>76</v>
      </c>
      <c r="D7837" t="s">
        <v>96</v>
      </c>
      <c r="E7837" t="s">
        <v>115</v>
      </c>
      <c r="F7837" t="s">
        <v>149</v>
      </c>
      <c r="G7837" t="s">
        <v>174</v>
      </c>
      <c r="H7837" t="s">
        <v>96</v>
      </c>
      <c r="I7837" t="s">
        <v>229</v>
      </c>
      <c r="J7837" t="s">
        <v>248</v>
      </c>
      <c r="K7837" t="s">
        <v>262</v>
      </c>
      <c r="L7837" t="s">
        <v>52</v>
      </c>
      <c r="M7837" t="s">
        <v>76</v>
      </c>
      <c r="N7837" t="s">
        <v>293</v>
      </c>
      <c r="O7837" t="s">
        <v>301</v>
      </c>
      <c r="P7837" t="s">
        <v>309</v>
      </c>
      <c r="Q7837" t="s">
        <v>315</v>
      </c>
      <c r="R7837" t="s">
        <v>228</v>
      </c>
      <c r="S7837" t="s">
        <v>328</v>
      </c>
      <c r="T7837" t="s">
        <v>149</v>
      </c>
      <c r="U7837" t="s">
        <v>337</v>
      </c>
      <c r="V7837" t="s">
        <v>341</v>
      </c>
      <c r="W7837" t="s">
        <v>345</v>
      </c>
      <c r="X7837" t="s">
        <v>350</v>
      </c>
      <c r="AK7837" t="s">
        <v>366</v>
      </c>
    </row>
    <row r="7838" spans="1:37">
      <c r="B7838" t="s">
        <v>53</v>
      </c>
      <c r="C7838" t="s">
        <v>77</v>
      </c>
      <c r="D7838" t="s">
        <v>97</v>
      </c>
      <c r="E7838" t="s">
        <v>116</v>
      </c>
      <c r="F7838" t="s">
        <v>150</v>
      </c>
      <c r="G7838" t="s">
        <v>175</v>
      </c>
      <c r="H7838" t="s">
        <v>210</v>
      </c>
      <c r="I7838" t="s">
        <v>230</v>
      </c>
      <c r="J7838" t="s">
        <v>249</v>
      </c>
      <c r="K7838" t="s">
        <v>263</v>
      </c>
      <c r="L7838" t="s">
        <v>275</v>
      </c>
      <c r="M7838" t="s">
        <v>284</v>
      </c>
      <c r="N7838" t="s">
        <v>294</v>
      </c>
      <c r="O7838" t="s">
        <v>302</v>
      </c>
      <c r="P7838" t="s">
        <v>310</v>
      </c>
      <c r="Q7838" t="s">
        <v>316</v>
      </c>
      <c r="R7838" t="s">
        <v>322</v>
      </c>
      <c r="S7838" t="s">
        <v>329</v>
      </c>
      <c r="AK7838" t="s">
        <v>366</v>
      </c>
    </row>
    <row r="7839" spans="1:37">
      <c r="A7839" t="s">
        <v>39</v>
      </c>
      <c r="B7839" t="s">
        <v>54</v>
      </c>
      <c r="C7839" t="s">
        <v>54</v>
      </c>
      <c r="D7839" t="s">
        <v>54</v>
      </c>
      <c r="E7839" t="s">
        <v>54</v>
      </c>
      <c r="F7839" t="s">
        <v>54</v>
      </c>
      <c r="G7839" t="s">
        <v>54</v>
      </c>
      <c r="H7839" t="s">
        <v>54</v>
      </c>
      <c r="I7839" t="s">
        <v>54</v>
      </c>
      <c r="J7839" t="s">
        <v>54</v>
      </c>
      <c r="K7839" t="s">
        <v>54</v>
      </c>
      <c r="L7839" t="s">
        <v>54</v>
      </c>
      <c r="M7839" t="s">
        <v>54</v>
      </c>
      <c r="N7839" t="s">
        <v>54</v>
      </c>
      <c r="O7839" t="s">
        <v>54</v>
      </c>
      <c r="P7839" t="s">
        <v>54</v>
      </c>
      <c r="Q7839" t="s">
        <v>54</v>
      </c>
      <c r="R7839" t="s">
        <v>323</v>
      </c>
      <c r="S7839" t="s">
        <v>330</v>
      </c>
      <c r="AK7839" t="s">
        <v>366</v>
      </c>
    </row>
    <row r="7840" spans="1:37">
      <c r="B7840" t="s">
        <v>55</v>
      </c>
      <c r="C7840" t="s">
        <v>78</v>
      </c>
      <c r="D7840" t="s">
        <v>55</v>
      </c>
      <c r="E7840" t="s">
        <v>78</v>
      </c>
      <c r="F7840" t="s">
        <v>55</v>
      </c>
      <c r="G7840" t="s">
        <v>78</v>
      </c>
      <c r="H7840" t="s">
        <v>55</v>
      </c>
      <c r="I7840" t="s">
        <v>78</v>
      </c>
      <c r="J7840" t="s">
        <v>55</v>
      </c>
      <c r="K7840" t="s">
        <v>78</v>
      </c>
      <c r="L7840" t="s">
        <v>55</v>
      </c>
      <c r="M7840" t="s">
        <v>78</v>
      </c>
      <c r="N7840" t="s">
        <v>55</v>
      </c>
      <c r="O7840" t="s">
        <v>78</v>
      </c>
      <c r="P7840" t="s">
        <v>55</v>
      </c>
      <c r="Q7840" t="s">
        <v>78</v>
      </c>
      <c r="R7840" t="s">
        <v>55</v>
      </c>
      <c r="S7840" t="s">
        <v>78</v>
      </c>
      <c r="T7840" t="s">
        <v>55</v>
      </c>
      <c r="U7840" t="s">
        <v>78</v>
      </c>
      <c r="V7840" t="s">
        <v>55</v>
      </c>
      <c r="W7840" t="s">
        <v>78</v>
      </c>
      <c r="X7840" t="s">
        <v>55</v>
      </c>
      <c r="Y7840" t="s">
        <v>78</v>
      </c>
      <c r="Z7840" t="s">
        <v>55</v>
      </c>
      <c r="AA7840" t="s">
        <v>78</v>
      </c>
      <c r="AB7840" t="s">
        <v>55</v>
      </c>
      <c r="AC7840" t="s">
        <v>78</v>
      </c>
      <c r="AD7840" t="s">
        <v>55</v>
      </c>
      <c r="AE7840" t="s">
        <v>78</v>
      </c>
      <c r="AF7840" t="s">
        <v>55</v>
      </c>
      <c r="AG7840" t="s">
        <v>78</v>
      </c>
      <c r="AH7840" t="s">
        <v>55</v>
      </c>
      <c r="AI7840" t="s">
        <v>78</v>
      </c>
      <c r="AK7840" t="s">
        <v>366</v>
      </c>
    </row>
    <row r="7841" spans="1:37">
      <c r="B7841" t="s">
        <v>56</v>
      </c>
      <c r="C7841" t="s">
        <v>56</v>
      </c>
      <c r="D7841" t="s">
        <v>56</v>
      </c>
      <c r="E7841" t="s">
        <v>56</v>
      </c>
      <c r="F7841" t="s">
        <v>56</v>
      </c>
      <c r="G7841" t="s">
        <v>176</v>
      </c>
      <c r="H7841" t="s">
        <v>211</v>
      </c>
      <c r="I7841" t="s">
        <v>231</v>
      </c>
      <c r="J7841" t="s">
        <v>250</v>
      </c>
      <c r="K7841" t="s">
        <v>264</v>
      </c>
      <c r="L7841" t="s">
        <v>276</v>
      </c>
      <c r="M7841" t="s">
        <v>285</v>
      </c>
      <c r="N7841" t="s">
        <v>295</v>
      </c>
      <c r="O7841" t="s">
        <v>303</v>
      </c>
      <c r="P7841" t="s">
        <v>56</v>
      </c>
      <c r="Q7841" t="s">
        <v>317</v>
      </c>
      <c r="R7841" t="s">
        <v>324</v>
      </c>
      <c r="S7841" t="s">
        <v>331</v>
      </c>
      <c r="T7841" t="s">
        <v>334</v>
      </c>
      <c r="U7841" t="s">
        <v>338</v>
      </c>
      <c r="V7841" t="s">
        <v>342</v>
      </c>
      <c r="W7841" t="s">
        <v>346</v>
      </c>
      <c r="X7841" t="s">
        <v>351</v>
      </c>
      <c r="AK7841" t="s">
        <v>366</v>
      </c>
    </row>
    <row r="7842" spans="1:37">
      <c r="B7842" t="s">
        <v>57</v>
      </c>
      <c r="C7842" t="s">
        <v>79</v>
      </c>
      <c r="D7842" t="s">
        <v>98</v>
      </c>
      <c r="E7842" t="s">
        <v>117</v>
      </c>
      <c r="F7842" t="s">
        <v>151</v>
      </c>
      <c r="G7842" t="s">
        <v>177</v>
      </c>
      <c r="H7842" t="s">
        <v>212</v>
      </c>
      <c r="I7842" t="s">
        <v>232</v>
      </c>
      <c r="J7842" t="s">
        <v>251</v>
      </c>
      <c r="K7842" t="s">
        <v>265</v>
      </c>
      <c r="L7842" t="s">
        <v>277</v>
      </c>
      <c r="M7842" t="s">
        <v>286</v>
      </c>
      <c r="N7842" t="s">
        <v>296</v>
      </c>
      <c r="O7842" t="s">
        <v>304</v>
      </c>
      <c r="P7842" t="s">
        <v>311</v>
      </c>
      <c r="Q7842" t="s">
        <v>318</v>
      </c>
      <c r="R7842" t="s">
        <v>185</v>
      </c>
      <c r="S7842" t="s">
        <v>159</v>
      </c>
      <c r="T7842" t="s">
        <v>185</v>
      </c>
      <c r="U7842" t="s">
        <v>339</v>
      </c>
      <c r="V7842" t="s">
        <v>72</v>
      </c>
      <c r="W7842" t="s">
        <v>347</v>
      </c>
      <c r="X7842" t="s">
        <v>72</v>
      </c>
      <c r="Y7842" t="s">
        <v>96</v>
      </c>
      <c r="AK7842" t="s">
        <v>366</v>
      </c>
    </row>
    <row r="7843" spans="1:37">
      <c r="B7843" t="s">
        <v>58</v>
      </c>
      <c r="C7843" t="s">
        <v>80</v>
      </c>
      <c r="D7843" t="s">
        <v>99</v>
      </c>
      <c r="E7843" t="s">
        <v>118</v>
      </c>
      <c r="F7843" t="s">
        <v>152</v>
      </c>
      <c r="G7843" t="s">
        <v>178</v>
      </c>
      <c r="H7843" t="s">
        <v>213</v>
      </c>
      <c r="I7843" t="s">
        <v>233</v>
      </c>
      <c r="J7843" t="s">
        <v>252</v>
      </c>
      <c r="K7843" t="s">
        <v>266</v>
      </c>
      <c r="L7843" t="s">
        <v>278</v>
      </c>
      <c r="M7843" t="s">
        <v>287</v>
      </c>
      <c r="N7843" t="s">
        <v>297</v>
      </c>
      <c r="O7843" t="s">
        <v>305</v>
      </c>
      <c r="P7843" t="s">
        <v>312</v>
      </c>
      <c r="Q7843" t="s">
        <v>319</v>
      </c>
      <c r="R7843">
        <f>&gt;10       ветра      0.9     13   7</f>
        <v>0</v>
      </c>
      <c r="AK7843" t="s">
        <v>366</v>
      </c>
    </row>
    <row r="7844" spans="1:37">
      <c r="A7844" t="s">
        <v>40</v>
      </c>
      <c r="B7844" t="s">
        <v>59</v>
      </c>
      <c r="C7844" t="s">
        <v>81</v>
      </c>
      <c r="D7844" t="s">
        <v>100</v>
      </c>
      <c r="E7844" t="s">
        <v>119</v>
      </c>
      <c r="F7844" t="s">
        <v>153</v>
      </c>
      <c r="G7844" t="s">
        <v>179</v>
      </c>
      <c r="H7844" t="s">
        <v>214</v>
      </c>
      <c r="I7844" t="s">
        <v>234</v>
      </c>
      <c r="AK7844" t="s">
        <v>366</v>
      </c>
    </row>
    <row r="7845" spans="1:37">
      <c r="A7845" t="s">
        <v>40</v>
      </c>
      <c r="B7845" t="s">
        <v>60</v>
      </c>
      <c r="C7845" t="s">
        <v>82</v>
      </c>
      <c r="D7845" t="s">
        <v>101</v>
      </c>
      <c r="E7845" t="s">
        <v>120</v>
      </c>
      <c r="F7845" t="s">
        <v>154</v>
      </c>
      <c r="G7845" t="s">
        <v>180</v>
      </c>
      <c r="H7845" t="s">
        <v>215</v>
      </c>
      <c r="I7845" t="s">
        <v>235</v>
      </c>
      <c r="J7845" t="s">
        <v>253</v>
      </c>
      <c r="K7845" t="s">
        <v>267</v>
      </c>
      <c r="L7845" t="s">
        <v>279</v>
      </c>
      <c r="M7845" t="s">
        <v>288</v>
      </c>
      <c r="N7845" t="s">
        <v>100</v>
      </c>
      <c r="O7845" t="s">
        <v>306</v>
      </c>
      <c r="P7845" t="s">
        <v>313</v>
      </c>
      <c r="Q7845" t="s">
        <v>320</v>
      </c>
      <c r="R7845" t="s">
        <v>325</v>
      </c>
      <c r="S7845" t="s">
        <v>332</v>
      </c>
      <c r="T7845" t="s">
        <v>119</v>
      </c>
      <c r="U7845" t="s">
        <v>234</v>
      </c>
      <c r="V7845" t="s">
        <v>343</v>
      </c>
      <c r="W7845" t="s">
        <v>348</v>
      </c>
      <c r="X7845" t="s">
        <v>352</v>
      </c>
      <c r="Y7845" t="s">
        <v>354</v>
      </c>
      <c r="AK7845" t="s">
        <v>366</v>
      </c>
    </row>
    <row r="7846" spans="1:37">
      <c r="A7846" t="s">
        <v>41</v>
      </c>
      <c r="B7846" t="s">
        <v>61</v>
      </c>
      <c r="C7846" t="s">
        <v>83</v>
      </c>
      <c r="D7846" t="s">
        <v>102</v>
      </c>
      <c r="E7846" t="s">
        <v>121</v>
      </c>
      <c r="F7846" t="s">
        <v>155</v>
      </c>
      <c r="G7846" t="s">
        <v>181</v>
      </c>
      <c r="H7846" t="s">
        <v>216</v>
      </c>
      <c r="I7846" t="s">
        <v>236</v>
      </c>
      <c r="AK7846" t="s">
        <v>366</v>
      </c>
    </row>
    <row r="7847" spans="1:37">
      <c r="A7847" t="s">
        <v>42</v>
      </c>
      <c r="B7847" t="s">
        <v>62</v>
      </c>
      <c r="C7847" t="s">
        <v>84</v>
      </c>
      <c r="D7847" t="s">
        <v>103</v>
      </c>
      <c r="E7847" t="s">
        <v>122</v>
      </c>
      <c r="F7847" t="s">
        <v>156</v>
      </c>
      <c r="G7847" t="s">
        <v>182</v>
      </c>
      <c r="H7847" t="s">
        <v>83</v>
      </c>
      <c r="I7847" t="s">
        <v>237</v>
      </c>
      <c r="J7847" t="s">
        <v>254</v>
      </c>
      <c r="K7847" t="s">
        <v>268</v>
      </c>
      <c r="L7847" t="s">
        <v>280</v>
      </c>
      <c r="M7847" t="s">
        <v>289</v>
      </c>
      <c r="N7847" t="s">
        <v>298</v>
      </c>
      <c r="O7847" t="s">
        <v>307</v>
      </c>
      <c r="P7847" t="s">
        <v>314</v>
      </c>
      <c r="Q7847" t="s">
        <v>216</v>
      </c>
      <c r="R7847" t="s">
        <v>326</v>
      </c>
      <c r="S7847" t="s">
        <v>333</v>
      </c>
      <c r="T7847" t="s">
        <v>335</v>
      </c>
      <c r="U7847" t="s">
        <v>340</v>
      </c>
      <c r="V7847" t="s">
        <v>344</v>
      </c>
      <c r="W7847" t="s">
        <v>349</v>
      </c>
      <c r="AK7847" t="s">
        <v>366</v>
      </c>
    </row>
    <row r="7848" spans="1:37">
      <c r="A7848" t="s">
        <v>43</v>
      </c>
      <c r="B7848" t="s">
        <v>63</v>
      </c>
      <c r="C7848" t="s">
        <v>85</v>
      </c>
      <c r="D7848" t="s">
        <v>104</v>
      </c>
      <c r="E7848" t="s">
        <v>123</v>
      </c>
      <c r="F7848" t="s">
        <v>157</v>
      </c>
      <c r="G7848" t="s">
        <v>183</v>
      </c>
      <c r="AK7848" t="s">
        <v>366</v>
      </c>
    </row>
    <row r="7849" spans="1:37">
      <c r="A7849" t="s">
        <v>44</v>
      </c>
      <c r="B7849" t="s">
        <v>64</v>
      </c>
      <c r="C7849" t="s">
        <v>86</v>
      </c>
      <c r="D7849" t="s">
        <v>105</v>
      </c>
      <c r="E7849" t="s">
        <v>124</v>
      </c>
      <c r="F7849" t="s">
        <v>158</v>
      </c>
      <c r="G7849" t="s">
        <v>184</v>
      </c>
      <c r="AK7849" t="s">
        <v>366</v>
      </c>
    </row>
    <row r="7850" spans="1:37">
      <c r="A7850" t="s">
        <v>45</v>
      </c>
      <c r="B7850" t="s">
        <v>65</v>
      </c>
      <c r="C7850" t="s">
        <v>87</v>
      </c>
      <c r="D7850" t="s">
        <v>106</v>
      </c>
      <c r="E7850" t="s">
        <v>125</v>
      </c>
      <c r="F7850" t="s">
        <v>159</v>
      </c>
      <c r="G7850" t="s">
        <v>185</v>
      </c>
      <c r="H7850" t="s">
        <v>159</v>
      </c>
      <c r="I7850" t="s">
        <v>185</v>
      </c>
      <c r="J7850" t="s">
        <v>255</v>
      </c>
      <c r="AK7850" t="s">
        <v>366</v>
      </c>
    </row>
    <row r="7851" spans="1:37">
      <c r="A7851" t="s">
        <v>46</v>
      </c>
      <c r="B7851" t="s">
        <v>66</v>
      </c>
      <c r="C7851" t="s">
        <v>88</v>
      </c>
      <c r="D7851" t="s">
        <v>76</v>
      </c>
      <c r="E7851" t="s">
        <v>126</v>
      </c>
      <c r="F7851" t="s">
        <v>160</v>
      </c>
      <c r="G7851" t="s">
        <v>186</v>
      </c>
      <c r="H7851" t="s">
        <v>217</v>
      </c>
      <c r="I7851" t="s">
        <v>238</v>
      </c>
      <c r="J7851" t="s">
        <v>256</v>
      </c>
      <c r="K7851" t="s">
        <v>265</v>
      </c>
      <c r="L7851" t="s">
        <v>281</v>
      </c>
      <c r="M7851" t="s">
        <v>290</v>
      </c>
      <c r="N7851" t="s">
        <v>299</v>
      </c>
      <c r="O7851" t="s">
        <v>308</v>
      </c>
      <c r="P7851" t="s">
        <v>228</v>
      </c>
      <c r="Q7851" t="s">
        <v>72</v>
      </c>
      <c r="R7851" t="s">
        <v>327</v>
      </c>
      <c r="S7851" t="s">
        <v>327</v>
      </c>
      <c r="T7851" t="s">
        <v>336</v>
      </c>
      <c r="U7851" t="s">
        <v>336</v>
      </c>
      <c r="V7851" t="s">
        <v>336</v>
      </c>
      <c r="W7851" t="s">
        <v>336</v>
      </c>
      <c r="X7851" t="s">
        <v>353</v>
      </c>
      <c r="AK7851" t="s">
        <v>366</v>
      </c>
    </row>
    <row r="7852" spans="1:37">
      <c r="A7852" t="s">
        <v>37</v>
      </c>
      <c r="B7852" t="s">
        <v>49</v>
      </c>
      <c r="C7852" t="s">
        <v>73</v>
      </c>
      <c r="D7852" t="s">
        <v>94</v>
      </c>
      <c r="E7852" t="s">
        <v>112</v>
      </c>
      <c r="F7852" t="s">
        <v>146</v>
      </c>
      <c r="G7852" t="s">
        <v>172</v>
      </c>
      <c r="H7852" t="s">
        <v>207</v>
      </c>
      <c r="I7852" t="s">
        <v>226</v>
      </c>
      <c r="J7852" t="s">
        <v>246</v>
      </c>
      <c r="K7852" t="s">
        <v>259</v>
      </c>
      <c r="AK7852" t="s">
        <v>366</v>
      </c>
    </row>
    <row r="7853" spans="1:37">
      <c r="A7853" t="s">
        <v>38</v>
      </c>
      <c r="B7853" t="s">
        <v>50</v>
      </c>
      <c r="C7853" t="s">
        <v>74</v>
      </c>
      <c r="D7853" t="s">
        <v>95</v>
      </c>
      <c r="E7853" t="s">
        <v>113</v>
      </c>
      <c r="F7853" t="s">
        <v>147</v>
      </c>
      <c r="G7853" t="s">
        <v>173</v>
      </c>
      <c r="H7853" t="s">
        <v>208</v>
      </c>
      <c r="I7853" t="s">
        <v>227</v>
      </c>
      <c r="J7853" t="s">
        <v>115</v>
      </c>
      <c r="K7853" t="s">
        <v>260</v>
      </c>
      <c r="L7853" t="s">
        <v>273</v>
      </c>
      <c r="M7853" t="s">
        <v>282</v>
      </c>
      <c r="N7853" t="s">
        <v>291</v>
      </c>
      <c r="AK7853" t="s">
        <v>366</v>
      </c>
    </row>
    <row r="7854" spans="1:37">
      <c r="B7854" t="s">
        <v>51</v>
      </c>
      <c r="C7854" t="s">
        <v>75</v>
      </c>
      <c r="D7854" t="s">
        <v>52</v>
      </c>
      <c r="E7854" t="s">
        <v>114</v>
      </c>
      <c r="F7854" t="s">
        <v>148</v>
      </c>
      <c r="G7854" t="s">
        <v>148</v>
      </c>
      <c r="H7854" t="s">
        <v>209</v>
      </c>
      <c r="I7854" t="s">
        <v>228</v>
      </c>
      <c r="J7854" t="s">
        <v>247</v>
      </c>
      <c r="K7854" t="s">
        <v>261</v>
      </c>
      <c r="L7854" t="s">
        <v>274</v>
      </c>
      <c r="M7854" t="s">
        <v>283</v>
      </c>
      <c r="N7854" t="s">
        <v>292</v>
      </c>
      <c r="O7854" t="s">
        <v>300</v>
      </c>
      <c r="AK7854" t="s">
        <v>366</v>
      </c>
    </row>
    <row r="7855" spans="1:37">
      <c r="B7855" t="s">
        <v>52</v>
      </c>
      <c r="C7855" t="s">
        <v>76</v>
      </c>
      <c r="D7855" t="s">
        <v>96</v>
      </c>
      <c r="E7855" t="s">
        <v>115</v>
      </c>
      <c r="F7855" t="s">
        <v>149</v>
      </c>
      <c r="G7855" t="s">
        <v>174</v>
      </c>
      <c r="H7855" t="s">
        <v>96</v>
      </c>
      <c r="I7855" t="s">
        <v>229</v>
      </c>
      <c r="J7855" t="s">
        <v>248</v>
      </c>
      <c r="K7855" t="s">
        <v>262</v>
      </c>
      <c r="L7855" t="s">
        <v>52</v>
      </c>
      <c r="M7855" t="s">
        <v>76</v>
      </c>
      <c r="N7855" t="s">
        <v>293</v>
      </c>
      <c r="O7855" t="s">
        <v>301</v>
      </c>
      <c r="P7855" t="s">
        <v>309</v>
      </c>
      <c r="Q7855" t="s">
        <v>315</v>
      </c>
      <c r="R7855" t="s">
        <v>228</v>
      </c>
      <c r="S7855" t="s">
        <v>328</v>
      </c>
      <c r="T7855" t="s">
        <v>149</v>
      </c>
      <c r="U7855" t="s">
        <v>337</v>
      </c>
      <c r="V7855" t="s">
        <v>341</v>
      </c>
      <c r="W7855" t="s">
        <v>345</v>
      </c>
      <c r="X7855" t="s">
        <v>350</v>
      </c>
      <c r="AK7855" t="s">
        <v>366</v>
      </c>
    </row>
    <row r="7856" spans="1:37">
      <c r="B7856" t="s">
        <v>53</v>
      </c>
      <c r="C7856" t="s">
        <v>77</v>
      </c>
      <c r="D7856" t="s">
        <v>97</v>
      </c>
      <c r="E7856" t="s">
        <v>116</v>
      </c>
      <c r="F7856" t="s">
        <v>150</v>
      </c>
      <c r="G7856" t="s">
        <v>175</v>
      </c>
      <c r="H7856" t="s">
        <v>210</v>
      </c>
      <c r="I7856" t="s">
        <v>230</v>
      </c>
      <c r="J7856" t="s">
        <v>249</v>
      </c>
      <c r="K7856" t="s">
        <v>263</v>
      </c>
      <c r="L7856" t="s">
        <v>275</v>
      </c>
      <c r="M7856" t="s">
        <v>284</v>
      </c>
      <c r="N7856" t="s">
        <v>294</v>
      </c>
      <c r="O7856" t="s">
        <v>302</v>
      </c>
      <c r="P7856" t="s">
        <v>310</v>
      </c>
      <c r="Q7856" t="s">
        <v>316</v>
      </c>
      <c r="R7856" t="s">
        <v>322</v>
      </c>
      <c r="S7856" t="s">
        <v>329</v>
      </c>
      <c r="AK7856" t="s">
        <v>366</v>
      </c>
    </row>
    <row r="7857" spans="1:37">
      <c r="A7857" t="s">
        <v>39</v>
      </c>
      <c r="B7857" t="s">
        <v>54</v>
      </c>
      <c r="C7857" t="s">
        <v>54</v>
      </c>
      <c r="D7857" t="s">
        <v>54</v>
      </c>
      <c r="E7857" t="s">
        <v>54</v>
      </c>
      <c r="F7857" t="s">
        <v>54</v>
      </c>
      <c r="G7857" t="s">
        <v>54</v>
      </c>
      <c r="H7857" t="s">
        <v>54</v>
      </c>
      <c r="I7857" t="s">
        <v>54</v>
      </c>
      <c r="J7857" t="s">
        <v>54</v>
      </c>
      <c r="K7857" t="s">
        <v>54</v>
      </c>
      <c r="L7857" t="s">
        <v>54</v>
      </c>
      <c r="M7857" t="s">
        <v>54</v>
      </c>
      <c r="N7857" t="s">
        <v>54</v>
      </c>
      <c r="O7857" t="s">
        <v>54</v>
      </c>
      <c r="P7857" t="s">
        <v>54</v>
      </c>
      <c r="Q7857" t="s">
        <v>54</v>
      </c>
      <c r="R7857" t="s">
        <v>323</v>
      </c>
      <c r="S7857" t="s">
        <v>330</v>
      </c>
      <c r="AK7857" t="s">
        <v>366</v>
      </c>
    </row>
    <row r="7858" spans="1:37">
      <c r="B7858" t="s">
        <v>55</v>
      </c>
      <c r="C7858" t="s">
        <v>78</v>
      </c>
      <c r="D7858" t="s">
        <v>55</v>
      </c>
      <c r="E7858" t="s">
        <v>78</v>
      </c>
      <c r="F7858" t="s">
        <v>55</v>
      </c>
      <c r="G7858" t="s">
        <v>78</v>
      </c>
      <c r="H7858" t="s">
        <v>55</v>
      </c>
      <c r="I7858" t="s">
        <v>78</v>
      </c>
      <c r="J7858" t="s">
        <v>55</v>
      </c>
      <c r="K7858" t="s">
        <v>78</v>
      </c>
      <c r="L7858" t="s">
        <v>55</v>
      </c>
      <c r="M7858" t="s">
        <v>78</v>
      </c>
      <c r="N7858" t="s">
        <v>55</v>
      </c>
      <c r="O7858" t="s">
        <v>78</v>
      </c>
      <c r="P7858" t="s">
        <v>55</v>
      </c>
      <c r="Q7858" t="s">
        <v>78</v>
      </c>
      <c r="R7858" t="s">
        <v>55</v>
      </c>
      <c r="S7858" t="s">
        <v>78</v>
      </c>
      <c r="T7858" t="s">
        <v>55</v>
      </c>
      <c r="U7858" t="s">
        <v>78</v>
      </c>
      <c r="V7858" t="s">
        <v>55</v>
      </c>
      <c r="W7858" t="s">
        <v>78</v>
      </c>
      <c r="X7858" t="s">
        <v>55</v>
      </c>
      <c r="Y7858" t="s">
        <v>78</v>
      </c>
      <c r="Z7858" t="s">
        <v>55</v>
      </c>
      <c r="AA7858" t="s">
        <v>78</v>
      </c>
      <c r="AB7858" t="s">
        <v>55</v>
      </c>
      <c r="AC7858" t="s">
        <v>78</v>
      </c>
      <c r="AD7858" t="s">
        <v>55</v>
      </c>
      <c r="AE7858" t="s">
        <v>78</v>
      </c>
      <c r="AF7858" t="s">
        <v>55</v>
      </c>
      <c r="AG7858" t="s">
        <v>78</v>
      </c>
      <c r="AH7858" t="s">
        <v>55</v>
      </c>
      <c r="AI7858" t="s">
        <v>78</v>
      </c>
      <c r="AK7858" t="s">
        <v>366</v>
      </c>
    </row>
    <row r="7859" spans="1:37">
      <c r="B7859" t="s">
        <v>56</v>
      </c>
      <c r="C7859" t="s">
        <v>56</v>
      </c>
      <c r="D7859" t="s">
        <v>56</v>
      </c>
      <c r="E7859" t="s">
        <v>56</v>
      </c>
      <c r="F7859" t="s">
        <v>56</v>
      </c>
      <c r="G7859" t="s">
        <v>176</v>
      </c>
      <c r="H7859" t="s">
        <v>211</v>
      </c>
      <c r="I7859" t="s">
        <v>231</v>
      </c>
      <c r="J7859" t="s">
        <v>250</v>
      </c>
      <c r="K7859" t="s">
        <v>264</v>
      </c>
      <c r="L7859" t="s">
        <v>276</v>
      </c>
      <c r="M7859" t="s">
        <v>285</v>
      </c>
      <c r="N7859" t="s">
        <v>295</v>
      </c>
      <c r="O7859" t="s">
        <v>303</v>
      </c>
      <c r="P7859" t="s">
        <v>56</v>
      </c>
      <c r="Q7859" t="s">
        <v>317</v>
      </c>
      <c r="R7859" t="s">
        <v>324</v>
      </c>
      <c r="S7859" t="s">
        <v>331</v>
      </c>
      <c r="T7859" t="s">
        <v>334</v>
      </c>
      <c r="U7859" t="s">
        <v>338</v>
      </c>
      <c r="V7859" t="s">
        <v>342</v>
      </c>
      <c r="W7859" t="s">
        <v>346</v>
      </c>
      <c r="X7859" t="s">
        <v>351</v>
      </c>
      <c r="AK7859" t="s">
        <v>366</v>
      </c>
    </row>
    <row r="7860" spans="1:37">
      <c r="B7860" t="s">
        <v>57</v>
      </c>
      <c r="C7860" t="s">
        <v>79</v>
      </c>
      <c r="D7860" t="s">
        <v>98</v>
      </c>
      <c r="E7860" t="s">
        <v>117</v>
      </c>
      <c r="F7860" t="s">
        <v>151</v>
      </c>
      <c r="G7860" t="s">
        <v>177</v>
      </c>
      <c r="H7860" t="s">
        <v>212</v>
      </c>
      <c r="I7860" t="s">
        <v>232</v>
      </c>
      <c r="J7860" t="s">
        <v>251</v>
      </c>
      <c r="K7860" t="s">
        <v>265</v>
      </c>
      <c r="L7860" t="s">
        <v>277</v>
      </c>
      <c r="M7860" t="s">
        <v>286</v>
      </c>
      <c r="N7860" t="s">
        <v>296</v>
      </c>
      <c r="O7860" t="s">
        <v>304</v>
      </c>
      <c r="P7860" t="s">
        <v>311</v>
      </c>
      <c r="Q7860" t="s">
        <v>318</v>
      </c>
      <c r="R7860" t="s">
        <v>185</v>
      </c>
      <c r="S7860" t="s">
        <v>159</v>
      </c>
      <c r="T7860" t="s">
        <v>185</v>
      </c>
      <c r="U7860" t="s">
        <v>339</v>
      </c>
      <c r="V7860" t="s">
        <v>72</v>
      </c>
      <c r="W7860" t="s">
        <v>347</v>
      </c>
      <c r="X7860" t="s">
        <v>72</v>
      </c>
      <c r="Y7860" t="s">
        <v>96</v>
      </c>
      <c r="AK7860" t="s">
        <v>366</v>
      </c>
    </row>
    <row r="7861" spans="1:37">
      <c r="B7861" t="s">
        <v>58</v>
      </c>
      <c r="C7861" t="s">
        <v>80</v>
      </c>
      <c r="D7861" t="s">
        <v>99</v>
      </c>
      <c r="E7861" t="s">
        <v>118</v>
      </c>
      <c r="F7861" t="s">
        <v>152</v>
      </c>
      <c r="G7861" t="s">
        <v>178</v>
      </c>
      <c r="H7861" t="s">
        <v>213</v>
      </c>
      <c r="I7861" t="s">
        <v>233</v>
      </c>
      <c r="J7861" t="s">
        <v>252</v>
      </c>
      <c r="K7861" t="s">
        <v>266</v>
      </c>
      <c r="L7861" t="s">
        <v>278</v>
      </c>
      <c r="M7861" t="s">
        <v>287</v>
      </c>
      <c r="N7861" t="s">
        <v>297</v>
      </c>
      <c r="O7861" t="s">
        <v>305</v>
      </c>
      <c r="P7861" t="s">
        <v>312</v>
      </c>
      <c r="Q7861" t="s">
        <v>319</v>
      </c>
      <c r="R7861">
        <f>&gt;10       ветра      2.5     16   7</f>
        <v>0</v>
      </c>
      <c r="AK7861" t="s">
        <v>366</v>
      </c>
    </row>
    <row r="7862" spans="1:37">
      <c r="A7862" t="s">
        <v>40</v>
      </c>
      <c r="B7862" t="s">
        <v>59</v>
      </c>
      <c r="C7862" t="s">
        <v>81</v>
      </c>
      <c r="D7862" t="s">
        <v>100</v>
      </c>
      <c r="E7862" t="s">
        <v>119</v>
      </c>
      <c r="F7862" t="s">
        <v>153</v>
      </c>
      <c r="G7862" t="s">
        <v>179</v>
      </c>
      <c r="H7862" t="s">
        <v>214</v>
      </c>
      <c r="I7862" t="s">
        <v>234</v>
      </c>
      <c r="AK7862" t="s">
        <v>366</v>
      </c>
    </row>
    <row r="7863" spans="1:37">
      <c r="A7863" t="s">
        <v>40</v>
      </c>
      <c r="B7863" t="s">
        <v>60</v>
      </c>
      <c r="C7863" t="s">
        <v>82</v>
      </c>
      <c r="D7863" t="s">
        <v>101</v>
      </c>
      <c r="E7863" t="s">
        <v>120</v>
      </c>
      <c r="F7863" t="s">
        <v>154</v>
      </c>
      <c r="G7863" t="s">
        <v>180</v>
      </c>
      <c r="H7863" t="s">
        <v>215</v>
      </c>
      <c r="I7863" t="s">
        <v>235</v>
      </c>
      <c r="J7863" t="s">
        <v>253</v>
      </c>
      <c r="K7863" t="s">
        <v>267</v>
      </c>
      <c r="L7863" t="s">
        <v>279</v>
      </c>
      <c r="M7863" t="s">
        <v>288</v>
      </c>
      <c r="N7863" t="s">
        <v>100</v>
      </c>
      <c r="O7863" t="s">
        <v>306</v>
      </c>
      <c r="P7863" t="s">
        <v>313</v>
      </c>
      <c r="Q7863" t="s">
        <v>320</v>
      </c>
      <c r="R7863" t="s">
        <v>325</v>
      </c>
      <c r="S7863" t="s">
        <v>332</v>
      </c>
      <c r="T7863" t="s">
        <v>119</v>
      </c>
      <c r="U7863" t="s">
        <v>234</v>
      </c>
      <c r="V7863" t="s">
        <v>343</v>
      </c>
      <c r="W7863" t="s">
        <v>348</v>
      </c>
      <c r="X7863" t="s">
        <v>352</v>
      </c>
      <c r="Y7863" t="s">
        <v>354</v>
      </c>
      <c r="AK7863" t="s">
        <v>366</v>
      </c>
    </row>
    <row r="7864" spans="1:37">
      <c r="A7864" t="s">
        <v>41</v>
      </c>
      <c r="B7864" t="s">
        <v>61</v>
      </c>
      <c r="C7864" t="s">
        <v>83</v>
      </c>
      <c r="D7864" t="s">
        <v>102</v>
      </c>
      <c r="E7864" t="s">
        <v>121</v>
      </c>
      <c r="F7864" t="s">
        <v>155</v>
      </c>
      <c r="G7864" t="s">
        <v>181</v>
      </c>
      <c r="H7864" t="s">
        <v>216</v>
      </c>
      <c r="I7864" t="s">
        <v>236</v>
      </c>
      <c r="AK7864" t="s">
        <v>366</v>
      </c>
    </row>
    <row r="7865" spans="1:37">
      <c r="A7865" t="s">
        <v>42</v>
      </c>
      <c r="B7865" t="s">
        <v>62</v>
      </c>
      <c r="C7865" t="s">
        <v>84</v>
      </c>
      <c r="D7865" t="s">
        <v>103</v>
      </c>
      <c r="E7865" t="s">
        <v>122</v>
      </c>
      <c r="F7865" t="s">
        <v>156</v>
      </c>
      <c r="G7865" t="s">
        <v>182</v>
      </c>
      <c r="H7865" t="s">
        <v>83</v>
      </c>
      <c r="I7865" t="s">
        <v>237</v>
      </c>
      <c r="J7865" t="s">
        <v>254</v>
      </c>
      <c r="K7865" t="s">
        <v>268</v>
      </c>
      <c r="L7865" t="s">
        <v>280</v>
      </c>
      <c r="M7865" t="s">
        <v>289</v>
      </c>
      <c r="N7865" t="s">
        <v>298</v>
      </c>
      <c r="O7865" t="s">
        <v>307</v>
      </c>
      <c r="P7865" t="s">
        <v>314</v>
      </c>
      <c r="Q7865" t="s">
        <v>216</v>
      </c>
      <c r="R7865" t="s">
        <v>326</v>
      </c>
      <c r="S7865" t="s">
        <v>333</v>
      </c>
      <c r="T7865" t="s">
        <v>335</v>
      </c>
      <c r="U7865" t="s">
        <v>340</v>
      </c>
      <c r="V7865" t="s">
        <v>344</v>
      </c>
      <c r="W7865" t="s">
        <v>349</v>
      </c>
      <c r="AK7865" t="s">
        <v>366</v>
      </c>
    </row>
    <row r="7866" spans="1:37">
      <c r="A7866" t="s">
        <v>43</v>
      </c>
      <c r="B7866" t="s">
        <v>63</v>
      </c>
      <c r="C7866" t="s">
        <v>85</v>
      </c>
      <c r="D7866" t="s">
        <v>104</v>
      </c>
      <c r="E7866" t="s">
        <v>123</v>
      </c>
      <c r="F7866" t="s">
        <v>157</v>
      </c>
      <c r="G7866" t="s">
        <v>183</v>
      </c>
      <c r="AK7866" t="s">
        <v>366</v>
      </c>
    </row>
    <row r="7867" spans="1:37">
      <c r="A7867" t="s">
        <v>44</v>
      </c>
      <c r="B7867" t="s">
        <v>64</v>
      </c>
      <c r="C7867" t="s">
        <v>86</v>
      </c>
      <c r="D7867" t="s">
        <v>105</v>
      </c>
      <c r="E7867" t="s">
        <v>124</v>
      </c>
      <c r="F7867" t="s">
        <v>158</v>
      </c>
      <c r="G7867" t="s">
        <v>184</v>
      </c>
      <c r="AK7867" t="s">
        <v>366</v>
      </c>
    </row>
    <row r="7868" spans="1:37">
      <c r="A7868" t="s">
        <v>45</v>
      </c>
      <c r="B7868" t="s">
        <v>65</v>
      </c>
      <c r="C7868" t="s">
        <v>87</v>
      </c>
      <c r="D7868" t="s">
        <v>106</v>
      </c>
      <c r="E7868" t="s">
        <v>125</v>
      </c>
      <c r="F7868" t="s">
        <v>159</v>
      </c>
      <c r="G7868" t="s">
        <v>185</v>
      </c>
      <c r="H7868" t="s">
        <v>159</v>
      </c>
      <c r="I7868" t="s">
        <v>185</v>
      </c>
      <c r="J7868" t="s">
        <v>255</v>
      </c>
      <c r="AK7868" t="s">
        <v>366</v>
      </c>
    </row>
    <row r="7869" spans="1:37">
      <c r="A7869" t="s">
        <v>46</v>
      </c>
      <c r="B7869" t="s">
        <v>66</v>
      </c>
      <c r="C7869" t="s">
        <v>88</v>
      </c>
      <c r="D7869" t="s">
        <v>76</v>
      </c>
      <c r="E7869" t="s">
        <v>126</v>
      </c>
      <c r="F7869" t="s">
        <v>160</v>
      </c>
      <c r="G7869" t="s">
        <v>186</v>
      </c>
      <c r="H7869" t="s">
        <v>217</v>
      </c>
      <c r="I7869" t="s">
        <v>238</v>
      </c>
      <c r="J7869" t="s">
        <v>256</v>
      </c>
      <c r="K7869" t="s">
        <v>265</v>
      </c>
      <c r="L7869" t="s">
        <v>281</v>
      </c>
      <c r="M7869" t="s">
        <v>290</v>
      </c>
      <c r="N7869" t="s">
        <v>299</v>
      </c>
      <c r="O7869" t="s">
        <v>308</v>
      </c>
      <c r="P7869" t="s">
        <v>228</v>
      </c>
      <c r="Q7869" t="s">
        <v>72</v>
      </c>
      <c r="R7869" t="s">
        <v>327</v>
      </c>
      <c r="S7869" t="s">
        <v>327</v>
      </c>
      <c r="T7869" t="s">
        <v>336</v>
      </c>
      <c r="U7869" t="s">
        <v>336</v>
      </c>
      <c r="V7869" t="s">
        <v>336</v>
      </c>
      <c r="W7869" t="s">
        <v>336</v>
      </c>
      <c r="X7869" t="s">
        <v>353</v>
      </c>
      <c r="AK7869" t="s">
        <v>366</v>
      </c>
    </row>
    <row r="7870" spans="1:37">
      <c r="B7870" t="s">
        <v>67</v>
      </c>
      <c r="C7870" t="s">
        <v>89</v>
      </c>
      <c r="D7870" t="s">
        <v>107</v>
      </c>
      <c r="AK7870" t="s">
        <v>366</v>
      </c>
    </row>
    <row r="7871" spans="1:37">
      <c r="B7871" t="s">
        <v>68</v>
      </c>
      <c r="C7871" t="s">
        <v>90</v>
      </c>
      <c r="D7871" t="s">
        <v>108</v>
      </c>
      <c r="AK7871" t="s">
        <v>366</v>
      </c>
    </row>
    <row r="7872" spans="1:37">
      <c r="A7872" t="s">
        <v>47</v>
      </c>
      <c r="B7872" t="s">
        <v>69</v>
      </c>
      <c r="C7872" t="s">
        <v>91</v>
      </c>
      <c r="D7872" t="s">
        <v>109</v>
      </c>
      <c r="E7872" t="s">
        <v>109</v>
      </c>
      <c r="F7872" t="s">
        <v>109</v>
      </c>
      <c r="G7872" t="s">
        <v>109</v>
      </c>
      <c r="H7872" t="s">
        <v>109</v>
      </c>
      <c r="I7872" t="s">
        <v>239</v>
      </c>
      <c r="AK7872" t="s">
        <v>366</v>
      </c>
    </row>
    <row r="7873" spans="1:37">
      <c r="B7873" t="s">
        <v>70</v>
      </c>
      <c r="C7873" t="s">
        <v>92</v>
      </c>
      <c r="D7873" t="s">
        <v>110</v>
      </c>
      <c r="E7873" t="s">
        <v>127</v>
      </c>
      <c r="F7873" t="s">
        <v>161</v>
      </c>
      <c r="G7873" t="s">
        <v>187</v>
      </c>
      <c r="H7873" t="s">
        <v>218</v>
      </c>
      <c r="AK7873" t="s">
        <v>366</v>
      </c>
    </row>
    <row r="7874" spans="1:37">
      <c r="B7874" t="s">
        <v>71</v>
      </c>
      <c r="C7874" t="s">
        <v>93</v>
      </c>
      <c r="D7874" t="s">
        <v>111</v>
      </c>
      <c r="E7874" t="s">
        <v>128</v>
      </c>
      <c r="F7874" t="s">
        <v>162</v>
      </c>
      <c r="G7874" t="s">
        <v>188</v>
      </c>
      <c r="H7874" t="s">
        <v>219</v>
      </c>
      <c r="I7874" t="s">
        <v>240</v>
      </c>
      <c r="J7874" t="s">
        <v>257</v>
      </c>
      <c r="K7874" t="s">
        <v>269</v>
      </c>
      <c r="L7874" t="s">
        <v>109</v>
      </c>
      <c r="M7874" t="s">
        <v>109</v>
      </c>
      <c r="N7874" t="s">
        <v>109</v>
      </c>
      <c r="O7874" t="s">
        <v>109</v>
      </c>
      <c r="P7874" t="s">
        <v>109</v>
      </c>
      <c r="Q7874" t="s">
        <v>321</v>
      </c>
      <c r="AK7874" t="s">
        <v>366</v>
      </c>
    </row>
    <row r="7875" spans="1:37">
      <c r="A7875" t="s">
        <v>48</v>
      </c>
      <c r="B7875" t="s">
        <v>71</v>
      </c>
      <c r="C7875" t="s">
        <v>93</v>
      </c>
      <c r="D7875" t="s">
        <v>111</v>
      </c>
      <c r="E7875" t="s">
        <v>128</v>
      </c>
      <c r="F7875" t="s">
        <v>163</v>
      </c>
      <c r="G7875" t="s">
        <v>189</v>
      </c>
      <c r="H7875" t="s">
        <v>220</v>
      </c>
      <c r="I7875" t="s">
        <v>241</v>
      </c>
      <c r="J7875" t="s">
        <v>258</v>
      </c>
      <c r="K7875" t="s">
        <v>270</v>
      </c>
      <c r="AK7875" t="s">
        <v>366</v>
      </c>
    </row>
    <row r="7876" spans="1:37">
      <c r="B7876" t="s">
        <v>72</v>
      </c>
      <c r="C7876" t="s">
        <v>72</v>
      </c>
      <c r="D7876" t="s">
        <v>72</v>
      </c>
      <c r="E7876" t="s">
        <v>144</v>
      </c>
      <c r="F7876" t="s">
        <v>166</v>
      </c>
      <c r="G7876" t="s">
        <v>204</v>
      </c>
      <c r="H7876" t="s">
        <v>192</v>
      </c>
      <c r="I7876" t="s">
        <v>192</v>
      </c>
      <c r="J7876" t="s">
        <v>192</v>
      </c>
      <c r="K7876" t="s">
        <v>271</v>
      </c>
      <c r="AK7876" t="s">
        <v>366</v>
      </c>
    </row>
    <row r="7877" spans="1:37">
      <c r="A7877" t="s">
        <v>37</v>
      </c>
      <c r="B7877" t="s">
        <v>49</v>
      </c>
      <c r="C7877" t="s">
        <v>73</v>
      </c>
      <c r="D7877" t="s">
        <v>94</v>
      </c>
      <c r="E7877" t="s">
        <v>112</v>
      </c>
      <c r="F7877" t="s">
        <v>146</v>
      </c>
      <c r="G7877" t="s">
        <v>172</v>
      </c>
      <c r="H7877" t="s">
        <v>207</v>
      </c>
      <c r="I7877" t="s">
        <v>226</v>
      </c>
      <c r="J7877" t="s">
        <v>246</v>
      </c>
      <c r="K7877" t="s">
        <v>259</v>
      </c>
      <c r="AK7877" t="s">
        <v>366</v>
      </c>
    </row>
    <row r="7878" spans="1:37">
      <c r="A7878" t="s">
        <v>38</v>
      </c>
      <c r="B7878" t="s">
        <v>50</v>
      </c>
      <c r="C7878" t="s">
        <v>74</v>
      </c>
      <c r="D7878" t="s">
        <v>95</v>
      </c>
      <c r="E7878" t="s">
        <v>113</v>
      </c>
      <c r="F7878" t="s">
        <v>147</v>
      </c>
      <c r="G7878" t="s">
        <v>173</v>
      </c>
      <c r="H7878" t="s">
        <v>208</v>
      </c>
      <c r="I7878" t="s">
        <v>227</v>
      </c>
      <c r="J7878" t="s">
        <v>115</v>
      </c>
      <c r="K7878" t="s">
        <v>260</v>
      </c>
      <c r="L7878" t="s">
        <v>273</v>
      </c>
      <c r="M7878" t="s">
        <v>282</v>
      </c>
      <c r="N7878" t="s">
        <v>291</v>
      </c>
      <c r="AK7878" t="s">
        <v>366</v>
      </c>
    </row>
    <row r="7879" spans="1:37">
      <c r="B7879" t="s">
        <v>51</v>
      </c>
      <c r="C7879" t="s">
        <v>75</v>
      </c>
      <c r="D7879" t="s">
        <v>52</v>
      </c>
      <c r="E7879" t="s">
        <v>114</v>
      </c>
      <c r="F7879" t="s">
        <v>148</v>
      </c>
      <c r="G7879" t="s">
        <v>148</v>
      </c>
      <c r="H7879" t="s">
        <v>209</v>
      </c>
      <c r="I7879" t="s">
        <v>228</v>
      </c>
      <c r="J7879" t="s">
        <v>247</v>
      </c>
      <c r="K7879" t="s">
        <v>261</v>
      </c>
      <c r="L7879" t="s">
        <v>274</v>
      </c>
      <c r="M7879" t="s">
        <v>283</v>
      </c>
      <c r="N7879" t="s">
        <v>292</v>
      </c>
      <c r="O7879" t="s">
        <v>300</v>
      </c>
      <c r="AK7879" t="s">
        <v>366</v>
      </c>
    </row>
    <row r="7880" spans="1:37">
      <c r="B7880" t="s">
        <v>52</v>
      </c>
      <c r="C7880" t="s">
        <v>76</v>
      </c>
      <c r="D7880" t="s">
        <v>96</v>
      </c>
      <c r="E7880" t="s">
        <v>115</v>
      </c>
      <c r="F7880" t="s">
        <v>149</v>
      </c>
      <c r="G7880" t="s">
        <v>174</v>
      </c>
      <c r="H7880" t="s">
        <v>96</v>
      </c>
      <c r="I7880" t="s">
        <v>229</v>
      </c>
      <c r="J7880" t="s">
        <v>248</v>
      </c>
      <c r="K7880" t="s">
        <v>262</v>
      </c>
      <c r="L7880" t="s">
        <v>52</v>
      </c>
      <c r="M7880" t="s">
        <v>76</v>
      </c>
      <c r="N7880" t="s">
        <v>293</v>
      </c>
      <c r="O7880" t="s">
        <v>301</v>
      </c>
      <c r="P7880" t="s">
        <v>309</v>
      </c>
      <c r="Q7880" t="s">
        <v>315</v>
      </c>
      <c r="R7880" t="s">
        <v>228</v>
      </c>
      <c r="S7880" t="s">
        <v>328</v>
      </c>
      <c r="T7880" t="s">
        <v>149</v>
      </c>
      <c r="U7880" t="s">
        <v>337</v>
      </c>
      <c r="V7880" t="s">
        <v>341</v>
      </c>
      <c r="W7880" t="s">
        <v>345</v>
      </c>
      <c r="X7880" t="s">
        <v>350</v>
      </c>
      <c r="AK7880" t="s">
        <v>366</v>
      </c>
    </row>
    <row r="7881" spans="1:37">
      <c r="B7881" t="s">
        <v>53</v>
      </c>
      <c r="C7881" t="s">
        <v>77</v>
      </c>
      <c r="D7881" t="s">
        <v>97</v>
      </c>
      <c r="E7881" t="s">
        <v>116</v>
      </c>
      <c r="F7881" t="s">
        <v>150</v>
      </c>
      <c r="G7881" t="s">
        <v>175</v>
      </c>
      <c r="H7881" t="s">
        <v>210</v>
      </c>
      <c r="I7881" t="s">
        <v>230</v>
      </c>
      <c r="J7881" t="s">
        <v>249</v>
      </c>
      <c r="K7881" t="s">
        <v>263</v>
      </c>
      <c r="L7881" t="s">
        <v>275</v>
      </c>
      <c r="M7881" t="s">
        <v>284</v>
      </c>
      <c r="N7881" t="s">
        <v>294</v>
      </c>
      <c r="O7881" t="s">
        <v>302</v>
      </c>
      <c r="P7881" t="s">
        <v>310</v>
      </c>
      <c r="Q7881" t="s">
        <v>316</v>
      </c>
      <c r="R7881" t="s">
        <v>322</v>
      </c>
      <c r="S7881" t="s">
        <v>329</v>
      </c>
      <c r="AK7881" t="s">
        <v>366</v>
      </c>
    </row>
    <row r="7882" spans="1:37">
      <c r="A7882" t="s">
        <v>39</v>
      </c>
      <c r="B7882" t="s">
        <v>54</v>
      </c>
      <c r="C7882" t="s">
        <v>54</v>
      </c>
      <c r="D7882" t="s">
        <v>54</v>
      </c>
      <c r="E7882" t="s">
        <v>54</v>
      </c>
      <c r="F7882" t="s">
        <v>54</v>
      </c>
      <c r="G7882" t="s">
        <v>54</v>
      </c>
      <c r="H7882" t="s">
        <v>54</v>
      </c>
      <c r="I7882" t="s">
        <v>54</v>
      </c>
      <c r="J7882" t="s">
        <v>54</v>
      </c>
      <c r="K7882" t="s">
        <v>54</v>
      </c>
      <c r="L7882" t="s">
        <v>54</v>
      </c>
      <c r="M7882" t="s">
        <v>54</v>
      </c>
      <c r="N7882" t="s">
        <v>54</v>
      </c>
      <c r="O7882" t="s">
        <v>54</v>
      </c>
      <c r="P7882" t="s">
        <v>54</v>
      </c>
      <c r="Q7882" t="s">
        <v>54</v>
      </c>
      <c r="R7882" t="s">
        <v>323</v>
      </c>
      <c r="S7882" t="s">
        <v>330</v>
      </c>
      <c r="AK7882" t="s">
        <v>366</v>
      </c>
    </row>
    <row r="7883" spans="1:37">
      <c r="B7883" t="s">
        <v>55</v>
      </c>
      <c r="C7883" t="s">
        <v>78</v>
      </c>
      <c r="D7883" t="s">
        <v>55</v>
      </c>
      <c r="E7883" t="s">
        <v>78</v>
      </c>
      <c r="F7883" t="s">
        <v>55</v>
      </c>
      <c r="G7883" t="s">
        <v>78</v>
      </c>
      <c r="H7883" t="s">
        <v>55</v>
      </c>
      <c r="I7883" t="s">
        <v>78</v>
      </c>
      <c r="J7883" t="s">
        <v>55</v>
      </c>
      <c r="K7883" t="s">
        <v>78</v>
      </c>
      <c r="L7883" t="s">
        <v>55</v>
      </c>
      <c r="M7883" t="s">
        <v>78</v>
      </c>
      <c r="N7883" t="s">
        <v>55</v>
      </c>
      <c r="O7883" t="s">
        <v>78</v>
      </c>
      <c r="P7883" t="s">
        <v>55</v>
      </c>
      <c r="Q7883" t="s">
        <v>78</v>
      </c>
      <c r="R7883" t="s">
        <v>55</v>
      </c>
      <c r="S7883" t="s">
        <v>78</v>
      </c>
      <c r="T7883" t="s">
        <v>55</v>
      </c>
      <c r="U7883" t="s">
        <v>78</v>
      </c>
      <c r="V7883" t="s">
        <v>55</v>
      </c>
      <c r="W7883" t="s">
        <v>78</v>
      </c>
      <c r="X7883" t="s">
        <v>55</v>
      </c>
      <c r="Y7883" t="s">
        <v>78</v>
      </c>
      <c r="Z7883" t="s">
        <v>55</v>
      </c>
      <c r="AA7883" t="s">
        <v>78</v>
      </c>
      <c r="AB7883" t="s">
        <v>55</v>
      </c>
      <c r="AC7883" t="s">
        <v>78</v>
      </c>
      <c r="AD7883" t="s">
        <v>55</v>
      </c>
      <c r="AE7883" t="s">
        <v>78</v>
      </c>
      <c r="AF7883" t="s">
        <v>55</v>
      </c>
      <c r="AG7883" t="s">
        <v>78</v>
      </c>
      <c r="AH7883" t="s">
        <v>55</v>
      </c>
      <c r="AI7883" t="s">
        <v>78</v>
      </c>
      <c r="AK7883" t="s">
        <v>366</v>
      </c>
    </row>
    <row r="7884" spans="1:37">
      <c r="B7884" t="s">
        <v>56</v>
      </c>
      <c r="C7884" t="s">
        <v>56</v>
      </c>
      <c r="D7884" t="s">
        <v>56</v>
      </c>
      <c r="E7884" t="s">
        <v>56</v>
      </c>
      <c r="F7884" t="s">
        <v>56</v>
      </c>
      <c r="G7884" t="s">
        <v>176</v>
      </c>
      <c r="H7884" t="s">
        <v>211</v>
      </c>
      <c r="I7884" t="s">
        <v>231</v>
      </c>
      <c r="J7884" t="s">
        <v>250</v>
      </c>
      <c r="K7884" t="s">
        <v>264</v>
      </c>
      <c r="L7884" t="s">
        <v>276</v>
      </c>
      <c r="M7884" t="s">
        <v>285</v>
      </c>
      <c r="N7884" t="s">
        <v>295</v>
      </c>
      <c r="O7884" t="s">
        <v>303</v>
      </c>
      <c r="P7884" t="s">
        <v>56</v>
      </c>
      <c r="Q7884" t="s">
        <v>317</v>
      </c>
      <c r="R7884" t="s">
        <v>324</v>
      </c>
      <c r="S7884" t="s">
        <v>331</v>
      </c>
      <c r="T7884" t="s">
        <v>334</v>
      </c>
      <c r="U7884" t="s">
        <v>338</v>
      </c>
      <c r="V7884" t="s">
        <v>342</v>
      </c>
      <c r="W7884" t="s">
        <v>346</v>
      </c>
      <c r="X7884" t="s">
        <v>351</v>
      </c>
      <c r="AK7884" t="s">
        <v>366</v>
      </c>
    </row>
    <row r="7885" spans="1:37">
      <c r="B7885" t="s">
        <v>57</v>
      </c>
      <c r="C7885" t="s">
        <v>79</v>
      </c>
      <c r="D7885" t="s">
        <v>98</v>
      </c>
      <c r="E7885" t="s">
        <v>117</v>
      </c>
      <c r="F7885" t="s">
        <v>151</v>
      </c>
      <c r="G7885" t="s">
        <v>177</v>
      </c>
      <c r="H7885" t="s">
        <v>212</v>
      </c>
      <c r="I7885" t="s">
        <v>232</v>
      </c>
      <c r="J7885" t="s">
        <v>251</v>
      </c>
      <c r="K7885" t="s">
        <v>265</v>
      </c>
      <c r="L7885" t="s">
        <v>277</v>
      </c>
      <c r="M7885" t="s">
        <v>286</v>
      </c>
      <c r="N7885" t="s">
        <v>296</v>
      </c>
      <c r="O7885" t="s">
        <v>304</v>
      </c>
      <c r="P7885" t="s">
        <v>311</v>
      </c>
      <c r="Q7885" t="s">
        <v>318</v>
      </c>
      <c r="R7885" t="s">
        <v>185</v>
      </c>
      <c r="S7885" t="s">
        <v>159</v>
      </c>
      <c r="T7885" t="s">
        <v>185</v>
      </c>
      <c r="U7885" t="s">
        <v>339</v>
      </c>
      <c r="V7885" t="s">
        <v>72</v>
      </c>
      <c r="W7885" t="s">
        <v>347</v>
      </c>
      <c r="X7885" t="s">
        <v>72</v>
      </c>
      <c r="Y7885" t="s">
        <v>96</v>
      </c>
      <c r="AK7885" t="s">
        <v>366</v>
      </c>
    </row>
    <row r="7886" spans="1:37">
      <c r="B7886" t="s">
        <v>58</v>
      </c>
      <c r="C7886" t="s">
        <v>80</v>
      </c>
      <c r="D7886" t="s">
        <v>99</v>
      </c>
      <c r="E7886" t="s">
        <v>118</v>
      </c>
      <c r="F7886" t="s">
        <v>152</v>
      </c>
      <c r="G7886" t="s">
        <v>178</v>
      </c>
      <c r="H7886" t="s">
        <v>213</v>
      </c>
      <c r="I7886" t="s">
        <v>233</v>
      </c>
      <c r="J7886" t="s">
        <v>252</v>
      </c>
      <c r="K7886" t="s">
        <v>266</v>
      </c>
      <c r="L7886" t="s">
        <v>278</v>
      </c>
      <c r="M7886" t="s">
        <v>287</v>
      </c>
      <c r="N7886" t="s">
        <v>297</v>
      </c>
      <c r="O7886" t="s">
        <v>305</v>
      </c>
      <c r="P7886" t="s">
        <v>312</v>
      </c>
      <c r="Q7886" t="s">
        <v>319</v>
      </c>
      <c r="R7886">
        <f>&gt;10       ветра      1.5     21   7</f>
        <v>0</v>
      </c>
      <c r="AK7886" t="s">
        <v>366</v>
      </c>
    </row>
    <row r="7887" spans="1:37">
      <c r="A7887" t="s">
        <v>40</v>
      </c>
      <c r="B7887" t="s">
        <v>59</v>
      </c>
      <c r="C7887" t="s">
        <v>81</v>
      </c>
      <c r="D7887" t="s">
        <v>100</v>
      </c>
      <c r="E7887" t="s">
        <v>119</v>
      </c>
      <c r="F7887" t="s">
        <v>153</v>
      </c>
      <c r="G7887" t="s">
        <v>179</v>
      </c>
      <c r="H7887" t="s">
        <v>214</v>
      </c>
      <c r="I7887" t="s">
        <v>234</v>
      </c>
      <c r="AK7887" t="s">
        <v>366</v>
      </c>
    </row>
    <row r="7888" spans="1:37">
      <c r="A7888" t="s">
        <v>40</v>
      </c>
      <c r="B7888" t="s">
        <v>60</v>
      </c>
      <c r="C7888" t="s">
        <v>82</v>
      </c>
      <c r="D7888" t="s">
        <v>101</v>
      </c>
      <c r="E7888" t="s">
        <v>120</v>
      </c>
      <c r="F7888" t="s">
        <v>154</v>
      </c>
      <c r="G7888" t="s">
        <v>180</v>
      </c>
      <c r="H7888" t="s">
        <v>215</v>
      </c>
      <c r="I7888" t="s">
        <v>235</v>
      </c>
      <c r="J7888" t="s">
        <v>253</v>
      </c>
      <c r="K7888" t="s">
        <v>267</v>
      </c>
      <c r="L7888" t="s">
        <v>279</v>
      </c>
      <c r="M7888" t="s">
        <v>288</v>
      </c>
      <c r="N7888" t="s">
        <v>100</v>
      </c>
      <c r="O7888" t="s">
        <v>306</v>
      </c>
      <c r="P7888" t="s">
        <v>313</v>
      </c>
      <c r="Q7888" t="s">
        <v>320</v>
      </c>
      <c r="R7888" t="s">
        <v>325</v>
      </c>
      <c r="S7888" t="s">
        <v>332</v>
      </c>
      <c r="T7888" t="s">
        <v>119</v>
      </c>
      <c r="U7888" t="s">
        <v>234</v>
      </c>
      <c r="V7888" t="s">
        <v>343</v>
      </c>
      <c r="W7888" t="s">
        <v>348</v>
      </c>
      <c r="X7888" t="s">
        <v>352</v>
      </c>
      <c r="Y7888" t="s">
        <v>354</v>
      </c>
      <c r="AK7888" t="s">
        <v>366</v>
      </c>
    </row>
    <row r="7889" spans="1:37">
      <c r="A7889" t="s">
        <v>41</v>
      </c>
      <c r="B7889" t="s">
        <v>61</v>
      </c>
      <c r="C7889" t="s">
        <v>83</v>
      </c>
      <c r="D7889" t="s">
        <v>102</v>
      </c>
      <c r="E7889" t="s">
        <v>121</v>
      </c>
      <c r="F7889" t="s">
        <v>155</v>
      </c>
      <c r="G7889" t="s">
        <v>181</v>
      </c>
      <c r="H7889" t="s">
        <v>216</v>
      </c>
      <c r="I7889" t="s">
        <v>236</v>
      </c>
      <c r="AK7889" t="s">
        <v>366</v>
      </c>
    </row>
    <row r="7890" spans="1:37">
      <c r="A7890" t="s">
        <v>42</v>
      </c>
      <c r="B7890" t="s">
        <v>62</v>
      </c>
      <c r="C7890" t="s">
        <v>84</v>
      </c>
      <c r="D7890" t="s">
        <v>103</v>
      </c>
      <c r="E7890" t="s">
        <v>122</v>
      </c>
      <c r="F7890" t="s">
        <v>156</v>
      </c>
      <c r="G7890" t="s">
        <v>182</v>
      </c>
      <c r="H7890" t="s">
        <v>83</v>
      </c>
      <c r="I7890" t="s">
        <v>237</v>
      </c>
      <c r="J7890" t="s">
        <v>254</v>
      </c>
      <c r="K7890" t="s">
        <v>268</v>
      </c>
      <c r="L7890" t="s">
        <v>280</v>
      </c>
      <c r="M7890" t="s">
        <v>289</v>
      </c>
      <c r="N7890" t="s">
        <v>298</v>
      </c>
      <c r="O7890" t="s">
        <v>307</v>
      </c>
      <c r="P7890" t="s">
        <v>314</v>
      </c>
      <c r="Q7890" t="s">
        <v>216</v>
      </c>
      <c r="R7890" t="s">
        <v>326</v>
      </c>
      <c r="S7890" t="s">
        <v>333</v>
      </c>
      <c r="T7890" t="s">
        <v>335</v>
      </c>
      <c r="U7890" t="s">
        <v>340</v>
      </c>
      <c r="V7890" t="s">
        <v>344</v>
      </c>
      <c r="W7890" t="s">
        <v>349</v>
      </c>
      <c r="AK7890" t="s">
        <v>366</v>
      </c>
    </row>
    <row r="7891" spans="1:37">
      <c r="A7891" t="s">
        <v>43</v>
      </c>
      <c r="B7891" t="s">
        <v>63</v>
      </c>
      <c r="C7891" t="s">
        <v>85</v>
      </c>
      <c r="D7891" t="s">
        <v>104</v>
      </c>
      <c r="E7891" t="s">
        <v>123</v>
      </c>
      <c r="F7891" t="s">
        <v>157</v>
      </c>
      <c r="G7891" t="s">
        <v>183</v>
      </c>
      <c r="AK7891" t="s">
        <v>366</v>
      </c>
    </row>
    <row r="7892" spans="1:37">
      <c r="A7892" t="s">
        <v>44</v>
      </c>
      <c r="B7892" t="s">
        <v>64</v>
      </c>
      <c r="C7892" t="s">
        <v>86</v>
      </c>
      <c r="D7892" t="s">
        <v>105</v>
      </c>
      <c r="E7892" t="s">
        <v>124</v>
      </c>
      <c r="F7892" t="s">
        <v>158</v>
      </c>
      <c r="G7892" t="s">
        <v>184</v>
      </c>
      <c r="AK7892" t="s">
        <v>366</v>
      </c>
    </row>
    <row r="7893" spans="1:37">
      <c r="A7893" t="s">
        <v>45</v>
      </c>
      <c r="B7893" t="s">
        <v>65</v>
      </c>
      <c r="C7893" t="s">
        <v>87</v>
      </c>
      <c r="D7893" t="s">
        <v>106</v>
      </c>
      <c r="E7893" t="s">
        <v>125</v>
      </c>
      <c r="F7893" t="s">
        <v>159</v>
      </c>
      <c r="G7893" t="s">
        <v>185</v>
      </c>
      <c r="H7893" t="s">
        <v>159</v>
      </c>
      <c r="I7893" t="s">
        <v>185</v>
      </c>
      <c r="J7893" t="s">
        <v>255</v>
      </c>
      <c r="AK7893" t="s">
        <v>366</v>
      </c>
    </row>
    <row r="7894" spans="1:37">
      <c r="A7894" t="s">
        <v>46</v>
      </c>
      <c r="B7894" t="s">
        <v>66</v>
      </c>
      <c r="C7894" t="s">
        <v>88</v>
      </c>
      <c r="D7894" t="s">
        <v>76</v>
      </c>
      <c r="E7894" t="s">
        <v>126</v>
      </c>
      <c r="F7894" t="s">
        <v>160</v>
      </c>
      <c r="G7894" t="s">
        <v>186</v>
      </c>
      <c r="H7894" t="s">
        <v>217</v>
      </c>
      <c r="I7894" t="s">
        <v>238</v>
      </c>
      <c r="J7894" t="s">
        <v>256</v>
      </c>
      <c r="K7894" t="s">
        <v>265</v>
      </c>
      <c r="L7894" t="s">
        <v>281</v>
      </c>
      <c r="M7894" t="s">
        <v>290</v>
      </c>
      <c r="N7894" t="s">
        <v>299</v>
      </c>
      <c r="O7894" t="s">
        <v>308</v>
      </c>
      <c r="P7894" t="s">
        <v>228</v>
      </c>
      <c r="Q7894" t="s">
        <v>72</v>
      </c>
      <c r="R7894" t="s">
        <v>327</v>
      </c>
      <c r="S7894" t="s">
        <v>327</v>
      </c>
      <c r="T7894" t="s">
        <v>336</v>
      </c>
      <c r="U7894" t="s">
        <v>336</v>
      </c>
      <c r="V7894" t="s">
        <v>336</v>
      </c>
      <c r="W7894" t="s">
        <v>336</v>
      </c>
      <c r="X7894" t="s">
        <v>353</v>
      </c>
      <c r="AK7894" t="s">
        <v>366</v>
      </c>
    </row>
    <row r="7895" spans="1:37">
      <c r="A7895" t="s">
        <v>37</v>
      </c>
      <c r="B7895" t="s">
        <v>49</v>
      </c>
      <c r="C7895" t="s">
        <v>73</v>
      </c>
      <c r="D7895" t="s">
        <v>94</v>
      </c>
      <c r="E7895" t="s">
        <v>112</v>
      </c>
      <c r="F7895" t="s">
        <v>146</v>
      </c>
      <c r="G7895" t="s">
        <v>172</v>
      </c>
      <c r="H7895" t="s">
        <v>207</v>
      </c>
      <c r="I7895" t="s">
        <v>226</v>
      </c>
      <c r="J7895" t="s">
        <v>246</v>
      </c>
      <c r="K7895" t="s">
        <v>259</v>
      </c>
      <c r="AK7895" t="s">
        <v>366</v>
      </c>
    </row>
    <row r="7896" spans="1:37">
      <c r="A7896" t="s">
        <v>38</v>
      </c>
      <c r="B7896" t="s">
        <v>50</v>
      </c>
      <c r="C7896" t="s">
        <v>74</v>
      </c>
      <c r="D7896" t="s">
        <v>95</v>
      </c>
      <c r="E7896" t="s">
        <v>113</v>
      </c>
      <c r="F7896" t="s">
        <v>147</v>
      </c>
      <c r="G7896" t="s">
        <v>173</v>
      </c>
      <c r="H7896" t="s">
        <v>208</v>
      </c>
      <c r="I7896" t="s">
        <v>227</v>
      </c>
      <c r="J7896" t="s">
        <v>115</v>
      </c>
      <c r="K7896" t="s">
        <v>260</v>
      </c>
      <c r="L7896" t="s">
        <v>273</v>
      </c>
      <c r="M7896" t="s">
        <v>282</v>
      </c>
      <c r="N7896" t="s">
        <v>291</v>
      </c>
      <c r="AK7896" t="s">
        <v>366</v>
      </c>
    </row>
    <row r="7897" spans="1:37">
      <c r="B7897" t="s">
        <v>51</v>
      </c>
      <c r="C7897" t="s">
        <v>75</v>
      </c>
      <c r="D7897" t="s">
        <v>52</v>
      </c>
      <c r="E7897" t="s">
        <v>114</v>
      </c>
      <c r="F7897" t="s">
        <v>148</v>
      </c>
      <c r="G7897" t="s">
        <v>148</v>
      </c>
      <c r="H7897" t="s">
        <v>209</v>
      </c>
      <c r="I7897" t="s">
        <v>228</v>
      </c>
      <c r="J7897" t="s">
        <v>247</v>
      </c>
      <c r="K7897" t="s">
        <v>261</v>
      </c>
      <c r="L7897" t="s">
        <v>274</v>
      </c>
      <c r="M7897" t="s">
        <v>283</v>
      </c>
      <c r="N7897" t="s">
        <v>292</v>
      </c>
      <c r="O7897" t="s">
        <v>300</v>
      </c>
      <c r="AK7897" t="s">
        <v>366</v>
      </c>
    </row>
    <row r="7898" spans="1:37">
      <c r="B7898" t="s">
        <v>52</v>
      </c>
      <c r="C7898" t="s">
        <v>76</v>
      </c>
      <c r="D7898" t="s">
        <v>96</v>
      </c>
      <c r="E7898" t="s">
        <v>115</v>
      </c>
      <c r="F7898" t="s">
        <v>149</v>
      </c>
      <c r="G7898" t="s">
        <v>174</v>
      </c>
      <c r="H7898" t="s">
        <v>96</v>
      </c>
      <c r="I7898" t="s">
        <v>229</v>
      </c>
      <c r="J7898" t="s">
        <v>248</v>
      </c>
      <c r="K7898" t="s">
        <v>262</v>
      </c>
      <c r="L7898" t="s">
        <v>52</v>
      </c>
      <c r="M7898" t="s">
        <v>76</v>
      </c>
      <c r="N7898" t="s">
        <v>293</v>
      </c>
      <c r="O7898" t="s">
        <v>301</v>
      </c>
      <c r="P7898" t="s">
        <v>309</v>
      </c>
      <c r="Q7898" t="s">
        <v>315</v>
      </c>
      <c r="R7898" t="s">
        <v>228</v>
      </c>
      <c r="S7898" t="s">
        <v>328</v>
      </c>
      <c r="T7898" t="s">
        <v>149</v>
      </c>
      <c r="U7898" t="s">
        <v>337</v>
      </c>
      <c r="V7898" t="s">
        <v>341</v>
      </c>
      <c r="W7898" t="s">
        <v>345</v>
      </c>
      <c r="X7898" t="s">
        <v>350</v>
      </c>
      <c r="AK7898" t="s">
        <v>366</v>
      </c>
    </row>
    <row r="7899" spans="1:37">
      <c r="B7899" t="s">
        <v>53</v>
      </c>
      <c r="C7899" t="s">
        <v>77</v>
      </c>
      <c r="D7899" t="s">
        <v>97</v>
      </c>
      <c r="E7899" t="s">
        <v>116</v>
      </c>
      <c r="F7899" t="s">
        <v>150</v>
      </c>
      <c r="G7899" t="s">
        <v>175</v>
      </c>
      <c r="H7899" t="s">
        <v>210</v>
      </c>
      <c r="I7899" t="s">
        <v>230</v>
      </c>
      <c r="J7899" t="s">
        <v>249</v>
      </c>
      <c r="K7899" t="s">
        <v>263</v>
      </c>
      <c r="L7899" t="s">
        <v>275</v>
      </c>
      <c r="M7899" t="s">
        <v>284</v>
      </c>
      <c r="N7899" t="s">
        <v>294</v>
      </c>
      <c r="O7899" t="s">
        <v>302</v>
      </c>
      <c r="P7899" t="s">
        <v>310</v>
      </c>
      <c r="Q7899" t="s">
        <v>316</v>
      </c>
      <c r="R7899" t="s">
        <v>322</v>
      </c>
      <c r="S7899" t="s">
        <v>329</v>
      </c>
      <c r="AK7899" t="s">
        <v>366</v>
      </c>
    </row>
    <row r="7900" spans="1:37">
      <c r="A7900" t="s">
        <v>39</v>
      </c>
      <c r="B7900" t="s">
        <v>54</v>
      </c>
      <c r="C7900" t="s">
        <v>54</v>
      </c>
      <c r="D7900" t="s">
        <v>54</v>
      </c>
      <c r="E7900" t="s">
        <v>54</v>
      </c>
      <c r="F7900" t="s">
        <v>54</v>
      </c>
      <c r="G7900" t="s">
        <v>54</v>
      </c>
      <c r="H7900" t="s">
        <v>54</v>
      </c>
      <c r="I7900" t="s">
        <v>54</v>
      </c>
      <c r="J7900" t="s">
        <v>54</v>
      </c>
      <c r="K7900" t="s">
        <v>54</v>
      </c>
      <c r="L7900" t="s">
        <v>54</v>
      </c>
      <c r="M7900" t="s">
        <v>54</v>
      </c>
      <c r="N7900" t="s">
        <v>54</v>
      </c>
      <c r="O7900" t="s">
        <v>54</v>
      </c>
      <c r="P7900" t="s">
        <v>54</v>
      </c>
      <c r="Q7900" t="s">
        <v>54</v>
      </c>
      <c r="R7900" t="s">
        <v>323</v>
      </c>
      <c r="S7900" t="s">
        <v>330</v>
      </c>
      <c r="AK7900" t="s">
        <v>366</v>
      </c>
    </row>
    <row r="7901" spans="1:37">
      <c r="B7901" t="s">
        <v>55</v>
      </c>
      <c r="C7901" t="s">
        <v>78</v>
      </c>
      <c r="D7901" t="s">
        <v>55</v>
      </c>
      <c r="E7901" t="s">
        <v>78</v>
      </c>
      <c r="F7901" t="s">
        <v>55</v>
      </c>
      <c r="G7901" t="s">
        <v>78</v>
      </c>
      <c r="H7901" t="s">
        <v>55</v>
      </c>
      <c r="I7901" t="s">
        <v>78</v>
      </c>
      <c r="J7901" t="s">
        <v>55</v>
      </c>
      <c r="K7901" t="s">
        <v>78</v>
      </c>
      <c r="L7901" t="s">
        <v>55</v>
      </c>
      <c r="M7901" t="s">
        <v>78</v>
      </c>
      <c r="N7901" t="s">
        <v>55</v>
      </c>
      <c r="O7901" t="s">
        <v>78</v>
      </c>
      <c r="P7901" t="s">
        <v>55</v>
      </c>
      <c r="Q7901" t="s">
        <v>78</v>
      </c>
      <c r="R7901" t="s">
        <v>55</v>
      </c>
      <c r="S7901" t="s">
        <v>78</v>
      </c>
      <c r="T7901" t="s">
        <v>55</v>
      </c>
      <c r="U7901" t="s">
        <v>78</v>
      </c>
      <c r="V7901" t="s">
        <v>55</v>
      </c>
      <c r="W7901" t="s">
        <v>78</v>
      </c>
      <c r="X7901" t="s">
        <v>55</v>
      </c>
      <c r="Y7901" t="s">
        <v>78</v>
      </c>
      <c r="Z7901" t="s">
        <v>55</v>
      </c>
      <c r="AA7901" t="s">
        <v>78</v>
      </c>
      <c r="AB7901" t="s">
        <v>55</v>
      </c>
      <c r="AC7901" t="s">
        <v>78</v>
      </c>
      <c r="AD7901" t="s">
        <v>55</v>
      </c>
      <c r="AE7901" t="s">
        <v>78</v>
      </c>
      <c r="AF7901" t="s">
        <v>55</v>
      </c>
      <c r="AG7901" t="s">
        <v>78</v>
      </c>
      <c r="AH7901" t="s">
        <v>55</v>
      </c>
      <c r="AI7901" t="s">
        <v>78</v>
      </c>
      <c r="AK7901" t="s">
        <v>366</v>
      </c>
    </row>
    <row r="7902" spans="1:37">
      <c r="B7902" t="s">
        <v>56</v>
      </c>
      <c r="C7902" t="s">
        <v>56</v>
      </c>
      <c r="D7902" t="s">
        <v>56</v>
      </c>
      <c r="E7902" t="s">
        <v>56</v>
      </c>
      <c r="F7902" t="s">
        <v>56</v>
      </c>
      <c r="G7902" t="s">
        <v>176</v>
      </c>
      <c r="H7902" t="s">
        <v>211</v>
      </c>
      <c r="I7902" t="s">
        <v>231</v>
      </c>
      <c r="J7902" t="s">
        <v>250</v>
      </c>
      <c r="K7902" t="s">
        <v>264</v>
      </c>
      <c r="L7902" t="s">
        <v>276</v>
      </c>
      <c r="M7902" t="s">
        <v>285</v>
      </c>
      <c r="N7902" t="s">
        <v>295</v>
      </c>
      <c r="O7902" t="s">
        <v>303</v>
      </c>
      <c r="P7902" t="s">
        <v>56</v>
      </c>
      <c r="Q7902" t="s">
        <v>317</v>
      </c>
      <c r="R7902" t="s">
        <v>324</v>
      </c>
      <c r="S7902" t="s">
        <v>331</v>
      </c>
      <c r="T7902" t="s">
        <v>334</v>
      </c>
      <c r="U7902" t="s">
        <v>338</v>
      </c>
      <c r="V7902" t="s">
        <v>342</v>
      </c>
      <c r="W7902" t="s">
        <v>346</v>
      </c>
      <c r="X7902" t="s">
        <v>351</v>
      </c>
      <c r="AK7902" t="s">
        <v>366</v>
      </c>
    </row>
    <row r="7903" spans="1:37">
      <c r="B7903" t="s">
        <v>57</v>
      </c>
      <c r="C7903" t="s">
        <v>79</v>
      </c>
      <c r="D7903" t="s">
        <v>98</v>
      </c>
      <c r="E7903" t="s">
        <v>117</v>
      </c>
      <c r="F7903" t="s">
        <v>151</v>
      </c>
      <c r="G7903" t="s">
        <v>177</v>
      </c>
      <c r="H7903" t="s">
        <v>212</v>
      </c>
      <c r="I7903" t="s">
        <v>232</v>
      </c>
      <c r="J7903" t="s">
        <v>251</v>
      </c>
      <c r="K7903" t="s">
        <v>265</v>
      </c>
      <c r="L7903" t="s">
        <v>277</v>
      </c>
      <c r="M7903" t="s">
        <v>286</v>
      </c>
      <c r="N7903" t="s">
        <v>296</v>
      </c>
      <c r="O7903" t="s">
        <v>304</v>
      </c>
      <c r="P7903" t="s">
        <v>311</v>
      </c>
      <c r="Q7903" t="s">
        <v>318</v>
      </c>
      <c r="R7903" t="s">
        <v>185</v>
      </c>
      <c r="S7903" t="s">
        <v>159</v>
      </c>
      <c r="T7903" t="s">
        <v>185</v>
      </c>
      <c r="U7903" t="s">
        <v>339</v>
      </c>
      <c r="V7903" t="s">
        <v>72</v>
      </c>
      <c r="W7903" t="s">
        <v>347</v>
      </c>
      <c r="X7903" t="s">
        <v>72</v>
      </c>
      <c r="Y7903" t="s">
        <v>96</v>
      </c>
      <c r="AK7903" t="s">
        <v>366</v>
      </c>
    </row>
    <row r="7904" spans="1:37">
      <c r="B7904" t="s">
        <v>58</v>
      </c>
      <c r="C7904" t="s">
        <v>80</v>
      </c>
      <c r="D7904" t="s">
        <v>99</v>
      </c>
      <c r="E7904" t="s">
        <v>118</v>
      </c>
      <c r="F7904" t="s">
        <v>152</v>
      </c>
      <c r="G7904" t="s">
        <v>178</v>
      </c>
      <c r="H7904" t="s">
        <v>213</v>
      </c>
      <c r="I7904" t="s">
        <v>233</v>
      </c>
      <c r="J7904" t="s">
        <v>252</v>
      </c>
      <c r="K7904" t="s">
        <v>266</v>
      </c>
      <c r="L7904" t="s">
        <v>278</v>
      </c>
      <c r="M7904" t="s">
        <v>287</v>
      </c>
      <c r="N7904" t="s">
        <v>297</v>
      </c>
      <c r="O7904" t="s">
        <v>305</v>
      </c>
      <c r="P7904" t="s">
        <v>312</v>
      </c>
      <c r="Q7904" t="s">
        <v>319</v>
      </c>
      <c r="R7904">
        <f>&gt;10       ветра      2.1     14   7</f>
        <v>0</v>
      </c>
      <c r="AK7904" t="s">
        <v>366</v>
      </c>
    </row>
    <row r="7905" spans="1:37">
      <c r="A7905" t="s">
        <v>40</v>
      </c>
      <c r="B7905" t="s">
        <v>59</v>
      </c>
      <c r="C7905" t="s">
        <v>81</v>
      </c>
      <c r="D7905" t="s">
        <v>100</v>
      </c>
      <c r="E7905" t="s">
        <v>119</v>
      </c>
      <c r="F7905" t="s">
        <v>153</v>
      </c>
      <c r="G7905" t="s">
        <v>179</v>
      </c>
      <c r="H7905" t="s">
        <v>214</v>
      </c>
      <c r="I7905" t="s">
        <v>234</v>
      </c>
      <c r="AK7905" t="s">
        <v>366</v>
      </c>
    </row>
    <row r="7906" spans="1:37">
      <c r="A7906" t="s">
        <v>40</v>
      </c>
      <c r="B7906" t="s">
        <v>60</v>
      </c>
      <c r="C7906" t="s">
        <v>82</v>
      </c>
      <c r="D7906" t="s">
        <v>101</v>
      </c>
      <c r="E7906" t="s">
        <v>120</v>
      </c>
      <c r="F7906" t="s">
        <v>154</v>
      </c>
      <c r="G7906" t="s">
        <v>180</v>
      </c>
      <c r="H7906" t="s">
        <v>215</v>
      </c>
      <c r="I7906" t="s">
        <v>235</v>
      </c>
      <c r="J7906" t="s">
        <v>253</v>
      </c>
      <c r="K7906" t="s">
        <v>267</v>
      </c>
      <c r="L7906" t="s">
        <v>279</v>
      </c>
      <c r="M7906" t="s">
        <v>288</v>
      </c>
      <c r="N7906" t="s">
        <v>100</v>
      </c>
      <c r="O7906" t="s">
        <v>306</v>
      </c>
      <c r="P7906" t="s">
        <v>313</v>
      </c>
      <c r="Q7906" t="s">
        <v>320</v>
      </c>
      <c r="R7906" t="s">
        <v>325</v>
      </c>
      <c r="S7906" t="s">
        <v>332</v>
      </c>
      <c r="T7906" t="s">
        <v>119</v>
      </c>
      <c r="U7906" t="s">
        <v>234</v>
      </c>
      <c r="V7906" t="s">
        <v>343</v>
      </c>
      <c r="W7906" t="s">
        <v>348</v>
      </c>
      <c r="X7906" t="s">
        <v>352</v>
      </c>
      <c r="Y7906" t="s">
        <v>354</v>
      </c>
      <c r="AK7906" t="s">
        <v>366</v>
      </c>
    </row>
    <row r="7907" spans="1:37">
      <c r="A7907" t="s">
        <v>41</v>
      </c>
      <c r="B7907" t="s">
        <v>61</v>
      </c>
      <c r="C7907" t="s">
        <v>83</v>
      </c>
      <c r="D7907" t="s">
        <v>102</v>
      </c>
      <c r="E7907" t="s">
        <v>121</v>
      </c>
      <c r="F7907" t="s">
        <v>155</v>
      </c>
      <c r="G7907" t="s">
        <v>181</v>
      </c>
      <c r="H7907" t="s">
        <v>216</v>
      </c>
      <c r="I7907" t="s">
        <v>236</v>
      </c>
      <c r="AK7907" t="s">
        <v>366</v>
      </c>
    </row>
    <row r="7908" spans="1:37">
      <c r="A7908" t="s">
        <v>42</v>
      </c>
      <c r="B7908" t="s">
        <v>62</v>
      </c>
      <c r="C7908" t="s">
        <v>84</v>
      </c>
      <c r="D7908" t="s">
        <v>103</v>
      </c>
      <c r="E7908" t="s">
        <v>122</v>
      </c>
      <c r="F7908" t="s">
        <v>156</v>
      </c>
      <c r="G7908" t="s">
        <v>182</v>
      </c>
      <c r="H7908" t="s">
        <v>83</v>
      </c>
      <c r="I7908" t="s">
        <v>237</v>
      </c>
      <c r="J7908" t="s">
        <v>254</v>
      </c>
      <c r="K7908" t="s">
        <v>268</v>
      </c>
      <c r="L7908" t="s">
        <v>280</v>
      </c>
      <c r="M7908" t="s">
        <v>289</v>
      </c>
      <c r="N7908" t="s">
        <v>298</v>
      </c>
      <c r="O7908" t="s">
        <v>307</v>
      </c>
      <c r="P7908" t="s">
        <v>314</v>
      </c>
      <c r="Q7908" t="s">
        <v>216</v>
      </c>
      <c r="R7908" t="s">
        <v>326</v>
      </c>
      <c r="S7908" t="s">
        <v>333</v>
      </c>
      <c r="T7908" t="s">
        <v>335</v>
      </c>
      <c r="U7908" t="s">
        <v>340</v>
      </c>
      <c r="V7908" t="s">
        <v>344</v>
      </c>
      <c r="W7908" t="s">
        <v>349</v>
      </c>
      <c r="AK7908" t="s">
        <v>366</v>
      </c>
    </row>
    <row r="7909" spans="1:37">
      <c r="A7909" t="s">
        <v>43</v>
      </c>
      <c r="B7909" t="s">
        <v>63</v>
      </c>
      <c r="C7909" t="s">
        <v>85</v>
      </c>
      <c r="D7909" t="s">
        <v>104</v>
      </c>
      <c r="E7909" t="s">
        <v>123</v>
      </c>
      <c r="F7909" t="s">
        <v>157</v>
      </c>
      <c r="G7909" t="s">
        <v>183</v>
      </c>
      <c r="AK7909" t="s">
        <v>366</v>
      </c>
    </row>
    <row r="7910" spans="1:37">
      <c r="A7910" t="s">
        <v>44</v>
      </c>
      <c r="B7910" t="s">
        <v>64</v>
      </c>
      <c r="C7910" t="s">
        <v>86</v>
      </c>
      <c r="D7910" t="s">
        <v>105</v>
      </c>
      <c r="E7910" t="s">
        <v>124</v>
      </c>
      <c r="F7910" t="s">
        <v>158</v>
      </c>
      <c r="G7910" t="s">
        <v>184</v>
      </c>
      <c r="AK7910" t="s">
        <v>366</v>
      </c>
    </row>
    <row r="7911" spans="1:37">
      <c r="A7911" t="s">
        <v>45</v>
      </c>
      <c r="B7911" t="s">
        <v>65</v>
      </c>
      <c r="C7911" t="s">
        <v>87</v>
      </c>
      <c r="D7911" t="s">
        <v>106</v>
      </c>
      <c r="E7911" t="s">
        <v>125</v>
      </c>
      <c r="F7911" t="s">
        <v>159</v>
      </c>
      <c r="G7911" t="s">
        <v>185</v>
      </c>
      <c r="H7911" t="s">
        <v>159</v>
      </c>
      <c r="I7911" t="s">
        <v>185</v>
      </c>
      <c r="J7911" t="s">
        <v>255</v>
      </c>
      <c r="AK7911" t="s">
        <v>366</v>
      </c>
    </row>
    <row r="7912" spans="1:37">
      <c r="A7912" t="s">
        <v>46</v>
      </c>
      <c r="B7912" t="s">
        <v>66</v>
      </c>
      <c r="C7912" t="s">
        <v>88</v>
      </c>
      <c r="D7912" t="s">
        <v>76</v>
      </c>
      <c r="E7912" t="s">
        <v>126</v>
      </c>
      <c r="F7912" t="s">
        <v>160</v>
      </c>
      <c r="G7912" t="s">
        <v>186</v>
      </c>
      <c r="H7912" t="s">
        <v>217</v>
      </c>
      <c r="I7912" t="s">
        <v>238</v>
      </c>
      <c r="J7912" t="s">
        <v>256</v>
      </c>
      <c r="K7912" t="s">
        <v>265</v>
      </c>
      <c r="L7912" t="s">
        <v>281</v>
      </c>
      <c r="M7912" t="s">
        <v>290</v>
      </c>
      <c r="N7912" t="s">
        <v>299</v>
      </c>
      <c r="O7912" t="s">
        <v>308</v>
      </c>
      <c r="P7912" t="s">
        <v>228</v>
      </c>
      <c r="Q7912" t="s">
        <v>72</v>
      </c>
      <c r="R7912" t="s">
        <v>327</v>
      </c>
      <c r="S7912" t="s">
        <v>327</v>
      </c>
      <c r="T7912" t="s">
        <v>336</v>
      </c>
      <c r="U7912" t="s">
        <v>336</v>
      </c>
      <c r="V7912" t="s">
        <v>336</v>
      </c>
      <c r="W7912" t="s">
        <v>336</v>
      </c>
      <c r="X7912" t="s">
        <v>353</v>
      </c>
      <c r="AK7912" t="s">
        <v>366</v>
      </c>
    </row>
    <row r="7913" spans="1:37">
      <c r="B7913" t="s">
        <v>67</v>
      </c>
      <c r="C7913" t="s">
        <v>89</v>
      </c>
      <c r="D7913" t="s">
        <v>107</v>
      </c>
      <c r="AK7913" t="s">
        <v>366</v>
      </c>
    </row>
    <row r="7914" spans="1:37">
      <c r="B7914" t="s">
        <v>68</v>
      </c>
      <c r="C7914" t="s">
        <v>90</v>
      </c>
      <c r="D7914" t="s">
        <v>108</v>
      </c>
      <c r="AK7914" t="s">
        <v>366</v>
      </c>
    </row>
    <row r="7915" spans="1:37">
      <c r="A7915" t="s">
        <v>47</v>
      </c>
      <c r="B7915" t="s">
        <v>69</v>
      </c>
      <c r="C7915" t="s">
        <v>91</v>
      </c>
      <c r="D7915" t="s">
        <v>109</v>
      </c>
      <c r="E7915" t="s">
        <v>109</v>
      </c>
      <c r="F7915" t="s">
        <v>109</v>
      </c>
      <c r="G7915" t="s">
        <v>109</v>
      </c>
      <c r="H7915" t="s">
        <v>109</v>
      </c>
      <c r="I7915" t="s">
        <v>239</v>
      </c>
      <c r="AK7915" t="s">
        <v>366</v>
      </c>
    </row>
    <row r="7916" spans="1:37">
      <c r="B7916" t="s">
        <v>70</v>
      </c>
      <c r="C7916" t="s">
        <v>92</v>
      </c>
      <c r="D7916" t="s">
        <v>110</v>
      </c>
      <c r="E7916" t="s">
        <v>127</v>
      </c>
      <c r="F7916" t="s">
        <v>161</v>
      </c>
      <c r="G7916" t="s">
        <v>187</v>
      </c>
      <c r="H7916" t="s">
        <v>218</v>
      </c>
      <c r="AK7916" t="s">
        <v>366</v>
      </c>
    </row>
    <row r="7917" spans="1:37">
      <c r="B7917" t="s">
        <v>71</v>
      </c>
      <c r="C7917" t="s">
        <v>93</v>
      </c>
      <c r="D7917" t="s">
        <v>111</v>
      </c>
      <c r="E7917" t="s">
        <v>128</v>
      </c>
      <c r="F7917" t="s">
        <v>162</v>
      </c>
      <c r="G7917" t="s">
        <v>188</v>
      </c>
      <c r="H7917" t="s">
        <v>219</v>
      </c>
      <c r="I7917" t="s">
        <v>240</v>
      </c>
      <c r="J7917" t="s">
        <v>257</v>
      </c>
      <c r="K7917" t="s">
        <v>269</v>
      </c>
      <c r="L7917" t="s">
        <v>109</v>
      </c>
      <c r="M7917" t="s">
        <v>109</v>
      </c>
      <c r="N7917" t="s">
        <v>109</v>
      </c>
      <c r="O7917" t="s">
        <v>109</v>
      </c>
      <c r="P7917" t="s">
        <v>109</v>
      </c>
      <c r="Q7917" t="s">
        <v>321</v>
      </c>
      <c r="AK7917" t="s">
        <v>366</v>
      </c>
    </row>
    <row r="7918" spans="1:37">
      <c r="A7918" t="s">
        <v>48</v>
      </c>
      <c r="B7918" t="s">
        <v>71</v>
      </c>
      <c r="C7918" t="s">
        <v>93</v>
      </c>
      <c r="D7918" t="s">
        <v>111</v>
      </c>
      <c r="E7918" t="s">
        <v>128</v>
      </c>
      <c r="F7918" t="s">
        <v>163</v>
      </c>
      <c r="G7918" t="s">
        <v>189</v>
      </c>
      <c r="H7918" t="s">
        <v>220</v>
      </c>
      <c r="I7918" t="s">
        <v>241</v>
      </c>
      <c r="J7918" t="s">
        <v>258</v>
      </c>
      <c r="K7918" t="s">
        <v>270</v>
      </c>
      <c r="AK7918" t="s">
        <v>366</v>
      </c>
    </row>
    <row r="7919" spans="1:37">
      <c r="B7919" t="s">
        <v>72</v>
      </c>
      <c r="C7919" t="s">
        <v>72</v>
      </c>
      <c r="D7919" t="s">
        <v>72</v>
      </c>
      <c r="E7919" t="s">
        <v>132</v>
      </c>
      <c r="F7919" t="s">
        <v>136</v>
      </c>
      <c r="G7919" t="s">
        <v>192</v>
      </c>
      <c r="H7919" t="s">
        <v>192</v>
      </c>
      <c r="I7919" t="s">
        <v>192</v>
      </c>
      <c r="J7919" t="s">
        <v>192</v>
      </c>
      <c r="K7919" t="s">
        <v>271</v>
      </c>
      <c r="AK7919" t="s">
        <v>366</v>
      </c>
    </row>
    <row r="7920" spans="1:37">
      <c r="A7920" t="s">
        <v>37</v>
      </c>
      <c r="B7920" t="s">
        <v>49</v>
      </c>
      <c r="C7920" t="s">
        <v>73</v>
      </c>
      <c r="D7920" t="s">
        <v>94</v>
      </c>
      <c r="E7920" t="s">
        <v>112</v>
      </c>
      <c r="F7920" t="s">
        <v>146</v>
      </c>
      <c r="G7920" t="s">
        <v>172</v>
      </c>
      <c r="H7920" t="s">
        <v>207</v>
      </c>
      <c r="I7920" t="s">
        <v>226</v>
      </c>
      <c r="J7920" t="s">
        <v>246</v>
      </c>
      <c r="K7920" t="s">
        <v>259</v>
      </c>
      <c r="AK7920" t="s">
        <v>366</v>
      </c>
    </row>
    <row r="7921" spans="1:37">
      <c r="A7921" t="s">
        <v>38</v>
      </c>
      <c r="B7921" t="s">
        <v>50</v>
      </c>
      <c r="C7921" t="s">
        <v>74</v>
      </c>
      <c r="D7921" t="s">
        <v>95</v>
      </c>
      <c r="E7921" t="s">
        <v>113</v>
      </c>
      <c r="F7921" t="s">
        <v>147</v>
      </c>
      <c r="G7921" t="s">
        <v>173</v>
      </c>
      <c r="H7921" t="s">
        <v>208</v>
      </c>
      <c r="I7921" t="s">
        <v>227</v>
      </c>
      <c r="J7921" t="s">
        <v>115</v>
      </c>
      <c r="K7921" t="s">
        <v>260</v>
      </c>
      <c r="L7921" t="s">
        <v>273</v>
      </c>
      <c r="M7921" t="s">
        <v>282</v>
      </c>
      <c r="N7921" t="s">
        <v>291</v>
      </c>
      <c r="AK7921" t="s">
        <v>366</v>
      </c>
    </row>
    <row r="7922" spans="1:37">
      <c r="B7922" t="s">
        <v>51</v>
      </c>
      <c r="C7922" t="s">
        <v>75</v>
      </c>
      <c r="D7922" t="s">
        <v>52</v>
      </c>
      <c r="E7922" t="s">
        <v>114</v>
      </c>
      <c r="F7922" t="s">
        <v>148</v>
      </c>
      <c r="G7922" t="s">
        <v>148</v>
      </c>
      <c r="H7922" t="s">
        <v>209</v>
      </c>
      <c r="I7922" t="s">
        <v>228</v>
      </c>
      <c r="J7922" t="s">
        <v>247</v>
      </c>
      <c r="K7922" t="s">
        <v>261</v>
      </c>
      <c r="L7922" t="s">
        <v>274</v>
      </c>
      <c r="M7922" t="s">
        <v>283</v>
      </c>
      <c r="N7922" t="s">
        <v>292</v>
      </c>
      <c r="O7922" t="s">
        <v>300</v>
      </c>
      <c r="AK7922" t="s">
        <v>366</v>
      </c>
    </row>
    <row r="7923" spans="1:37">
      <c r="B7923" t="s">
        <v>52</v>
      </c>
      <c r="C7923" t="s">
        <v>76</v>
      </c>
      <c r="D7923" t="s">
        <v>96</v>
      </c>
      <c r="E7923" t="s">
        <v>115</v>
      </c>
      <c r="F7923" t="s">
        <v>149</v>
      </c>
      <c r="G7923" t="s">
        <v>174</v>
      </c>
      <c r="H7923" t="s">
        <v>96</v>
      </c>
      <c r="I7923" t="s">
        <v>229</v>
      </c>
      <c r="J7923" t="s">
        <v>248</v>
      </c>
      <c r="K7923" t="s">
        <v>262</v>
      </c>
      <c r="L7923" t="s">
        <v>52</v>
      </c>
      <c r="M7923" t="s">
        <v>76</v>
      </c>
      <c r="N7923" t="s">
        <v>293</v>
      </c>
      <c r="O7923" t="s">
        <v>301</v>
      </c>
      <c r="P7923" t="s">
        <v>309</v>
      </c>
      <c r="Q7923" t="s">
        <v>315</v>
      </c>
      <c r="R7923" t="s">
        <v>228</v>
      </c>
      <c r="S7923" t="s">
        <v>328</v>
      </c>
      <c r="T7923" t="s">
        <v>149</v>
      </c>
      <c r="U7923" t="s">
        <v>337</v>
      </c>
      <c r="V7923" t="s">
        <v>341</v>
      </c>
      <c r="W7923" t="s">
        <v>345</v>
      </c>
      <c r="X7923" t="s">
        <v>350</v>
      </c>
      <c r="AK7923" t="s">
        <v>366</v>
      </c>
    </row>
    <row r="7924" spans="1:37">
      <c r="B7924" t="s">
        <v>53</v>
      </c>
      <c r="C7924" t="s">
        <v>77</v>
      </c>
      <c r="D7924" t="s">
        <v>97</v>
      </c>
      <c r="E7924" t="s">
        <v>116</v>
      </c>
      <c r="F7924" t="s">
        <v>150</v>
      </c>
      <c r="G7924" t="s">
        <v>175</v>
      </c>
      <c r="H7924" t="s">
        <v>210</v>
      </c>
      <c r="I7924" t="s">
        <v>230</v>
      </c>
      <c r="J7924" t="s">
        <v>249</v>
      </c>
      <c r="K7924" t="s">
        <v>263</v>
      </c>
      <c r="L7924" t="s">
        <v>275</v>
      </c>
      <c r="M7924" t="s">
        <v>284</v>
      </c>
      <c r="N7924" t="s">
        <v>294</v>
      </c>
      <c r="O7924" t="s">
        <v>302</v>
      </c>
      <c r="P7924" t="s">
        <v>310</v>
      </c>
      <c r="Q7924" t="s">
        <v>316</v>
      </c>
      <c r="R7924" t="s">
        <v>322</v>
      </c>
      <c r="S7924" t="s">
        <v>329</v>
      </c>
      <c r="AK7924" t="s">
        <v>366</v>
      </c>
    </row>
    <row r="7925" spans="1:37">
      <c r="A7925" t="s">
        <v>39</v>
      </c>
      <c r="B7925" t="s">
        <v>54</v>
      </c>
      <c r="C7925" t="s">
        <v>54</v>
      </c>
      <c r="D7925" t="s">
        <v>54</v>
      </c>
      <c r="E7925" t="s">
        <v>54</v>
      </c>
      <c r="F7925" t="s">
        <v>54</v>
      </c>
      <c r="G7925" t="s">
        <v>54</v>
      </c>
      <c r="H7925" t="s">
        <v>54</v>
      </c>
      <c r="I7925" t="s">
        <v>54</v>
      </c>
      <c r="J7925" t="s">
        <v>54</v>
      </c>
      <c r="K7925" t="s">
        <v>54</v>
      </c>
      <c r="L7925" t="s">
        <v>54</v>
      </c>
      <c r="M7925" t="s">
        <v>54</v>
      </c>
      <c r="N7925" t="s">
        <v>54</v>
      </c>
      <c r="O7925" t="s">
        <v>54</v>
      </c>
      <c r="P7925" t="s">
        <v>54</v>
      </c>
      <c r="Q7925" t="s">
        <v>54</v>
      </c>
      <c r="R7925" t="s">
        <v>323</v>
      </c>
      <c r="S7925" t="s">
        <v>330</v>
      </c>
      <c r="AK7925" t="s">
        <v>366</v>
      </c>
    </row>
    <row r="7926" spans="1:37">
      <c r="B7926" t="s">
        <v>55</v>
      </c>
      <c r="C7926" t="s">
        <v>78</v>
      </c>
      <c r="D7926" t="s">
        <v>55</v>
      </c>
      <c r="E7926" t="s">
        <v>78</v>
      </c>
      <c r="F7926" t="s">
        <v>55</v>
      </c>
      <c r="G7926" t="s">
        <v>78</v>
      </c>
      <c r="H7926" t="s">
        <v>55</v>
      </c>
      <c r="I7926" t="s">
        <v>78</v>
      </c>
      <c r="J7926" t="s">
        <v>55</v>
      </c>
      <c r="K7926" t="s">
        <v>78</v>
      </c>
      <c r="L7926" t="s">
        <v>55</v>
      </c>
      <c r="M7926" t="s">
        <v>78</v>
      </c>
      <c r="N7926" t="s">
        <v>55</v>
      </c>
      <c r="O7926" t="s">
        <v>78</v>
      </c>
      <c r="P7926" t="s">
        <v>55</v>
      </c>
      <c r="Q7926" t="s">
        <v>78</v>
      </c>
      <c r="R7926" t="s">
        <v>55</v>
      </c>
      <c r="S7926" t="s">
        <v>78</v>
      </c>
      <c r="T7926" t="s">
        <v>55</v>
      </c>
      <c r="U7926" t="s">
        <v>78</v>
      </c>
      <c r="V7926" t="s">
        <v>55</v>
      </c>
      <c r="W7926" t="s">
        <v>78</v>
      </c>
      <c r="X7926" t="s">
        <v>55</v>
      </c>
      <c r="Y7926" t="s">
        <v>78</v>
      </c>
      <c r="Z7926" t="s">
        <v>55</v>
      </c>
      <c r="AA7926" t="s">
        <v>78</v>
      </c>
      <c r="AB7926" t="s">
        <v>55</v>
      </c>
      <c r="AC7926" t="s">
        <v>78</v>
      </c>
      <c r="AD7926" t="s">
        <v>55</v>
      </c>
      <c r="AE7926" t="s">
        <v>78</v>
      </c>
      <c r="AF7926" t="s">
        <v>55</v>
      </c>
      <c r="AG7926" t="s">
        <v>78</v>
      </c>
      <c r="AH7926" t="s">
        <v>55</v>
      </c>
      <c r="AI7926" t="s">
        <v>78</v>
      </c>
      <c r="AK7926" t="s">
        <v>366</v>
      </c>
    </row>
    <row r="7927" spans="1:37">
      <c r="B7927" t="s">
        <v>56</v>
      </c>
      <c r="C7927" t="s">
        <v>56</v>
      </c>
      <c r="D7927" t="s">
        <v>56</v>
      </c>
      <c r="E7927" t="s">
        <v>56</v>
      </c>
      <c r="F7927" t="s">
        <v>56</v>
      </c>
      <c r="G7927" t="s">
        <v>176</v>
      </c>
      <c r="H7927" t="s">
        <v>211</v>
      </c>
      <c r="I7927" t="s">
        <v>231</v>
      </c>
      <c r="J7927" t="s">
        <v>250</v>
      </c>
      <c r="K7927" t="s">
        <v>264</v>
      </c>
      <c r="L7927" t="s">
        <v>276</v>
      </c>
      <c r="M7927" t="s">
        <v>285</v>
      </c>
      <c r="N7927" t="s">
        <v>295</v>
      </c>
      <c r="O7927" t="s">
        <v>303</v>
      </c>
      <c r="P7927" t="s">
        <v>56</v>
      </c>
      <c r="Q7927" t="s">
        <v>317</v>
      </c>
      <c r="R7927" t="s">
        <v>324</v>
      </c>
      <c r="S7927" t="s">
        <v>331</v>
      </c>
      <c r="T7927" t="s">
        <v>334</v>
      </c>
      <c r="U7927" t="s">
        <v>338</v>
      </c>
      <c r="V7927" t="s">
        <v>342</v>
      </c>
      <c r="W7927" t="s">
        <v>346</v>
      </c>
      <c r="X7927" t="s">
        <v>351</v>
      </c>
      <c r="AK7927" t="s">
        <v>366</v>
      </c>
    </row>
    <row r="7928" spans="1:37">
      <c r="B7928" t="s">
        <v>57</v>
      </c>
      <c r="C7928" t="s">
        <v>79</v>
      </c>
      <c r="D7928" t="s">
        <v>98</v>
      </c>
      <c r="E7928" t="s">
        <v>117</v>
      </c>
      <c r="F7928" t="s">
        <v>151</v>
      </c>
      <c r="G7928" t="s">
        <v>177</v>
      </c>
      <c r="H7928" t="s">
        <v>212</v>
      </c>
      <c r="I7928" t="s">
        <v>232</v>
      </c>
      <c r="J7928" t="s">
        <v>251</v>
      </c>
      <c r="K7928" t="s">
        <v>265</v>
      </c>
      <c r="L7928" t="s">
        <v>277</v>
      </c>
      <c r="M7928" t="s">
        <v>286</v>
      </c>
      <c r="N7928" t="s">
        <v>296</v>
      </c>
      <c r="O7928" t="s">
        <v>304</v>
      </c>
      <c r="P7928" t="s">
        <v>311</v>
      </c>
      <c r="Q7928" t="s">
        <v>318</v>
      </c>
      <c r="R7928" t="s">
        <v>185</v>
      </c>
      <c r="S7928" t="s">
        <v>159</v>
      </c>
      <c r="T7928" t="s">
        <v>185</v>
      </c>
      <c r="U7928" t="s">
        <v>339</v>
      </c>
      <c r="V7928" t="s">
        <v>72</v>
      </c>
      <c r="W7928" t="s">
        <v>347</v>
      </c>
      <c r="X7928" t="s">
        <v>72</v>
      </c>
      <c r="Y7928" t="s">
        <v>96</v>
      </c>
      <c r="AK7928" t="s">
        <v>366</v>
      </c>
    </row>
    <row r="7929" spans="1:37">
      <c r="B7929" t="s">
        <v>58</v>
      </c>
      <c r="C7929" t="s">
        <v>80</v>
      </c>
      <c r="D7929" t="s">
        <v>99</v>
      </c>
      <c r="E7929" t="s">
        <v>118</v>
      </c>
      <c r="F7929" t="s">
        <v>152</v>
      </c>
      <c r="G7929" t="s">
        <v>178</v>
      </c>
      <c r="H7929" t="s">
        <v>213</v>
      </c>
      <c r="I7929" t="s">
        <v>233</v>
      </c>
      <c r="J7929" t="s">
        <v>252</v>
      </c>
      <c r="K7929" t="s">
        <v>266</v>
      </c>
      <c r="L7929" t="s">
        <v>278</v>
      </c>
      <c r="M7929" t="s">
        <v>287</v>
      </c>
      <c r="N7929" t="s">
        <v>297</v>
      </c>
      <c r="O7929" t="s">
        <v>305</v>
      </c>
      <c r="P7929" t="s">
        <v>312</v>
      </c>
      <c r="Q7929" t="s">
        <v>319</v>
      </c>
      <c r="R7929">
        <f>&gt;10       ветра      2.3     17   7</f>
        <v>0</v>
      </c>
      <c r="AK7929" t="s">
        <v>366</v>
      </c>
    </row>
    <row r="7930" spans="1:37">
      <c r="A7930" t="s">
        <v>40</v>
      </c>
      <c r="B7930" t="s">
        <v>59</v>
      </c>
      <c r="C7930" t="s">
        <v>81</v>
      </c>
      <c r="D7930" t="s">
        <v>100</v>
      </c>
      <c r="E7930" t="s">
        <v>119</v>
      </c>
      <c r="F7930" t="s">
        <v>153</v>
      </c>
      <c r="G7930" t="s">
        <v>179</v>
      </c>
      <c r="H7930" t="s">
        <v>214</v>
      </c>
      <c r="I7930" t="s">
        <v>234</v>
      </c>
      <c r="AK7930" t="s">
        <v>366</v>
      </c>
    </row>
    <row r="7931" spans="1:37">
      <c r="A7931" t="s">
        <v>40</v>
      </c>
      <c r="B7931" t="s">
        <v>60</v>
      </c>
      <c r="C7931" t="s">
        <v>82</v>
      </c>
      <c r="D7931" t="s">
        <v>101</v>
      </c>
      <c r="E7931" t="s">
        <v>120</v>
      </c>
      <c r="F7931" t="s">
        <v>154</v>
      </c>
      <c r="G7931" t="s">
        <v>180</v>
      </c>
      <c r="H7931" t="s">
        <v>215</v>
      </c>
      <c r="I7931" t="s">
        <v>235</v>
      </c>
      <c r="J7931" t="s">
        <v>253</v>
      </c>
      <c r="K7931" t="s">
        <v>267</v>
      </c>
      <c r="L7931" t="s">
        <v>279</v>
      </c>
      <c r="M7931" t="s">
        <v>288</v>
      </c>
      <c r="N7931" t="s">
        <v>100</v>
      </c>
      <c r="O7931" t="s">
        <v>306</v>
      </c>
      <c r="P7931" t="s">
        <v>313</v>
      </c>
      <c r="Q7931" t="s">
        <v>320</v>
      </c>
      <c r="R7931" t="s">
        <v>325</v>
      </c>
      <c r="S7931" t="s">
        <v>332</v>
      </c>
      <c r="T7931" t="s">
        <v>119</v>
      </c>
      <c r="U7931" t="s">
        <v>234</v>
      </c>
      <c r="V7931" t="s">
        <v>343</v>
      </c>
      <c r="W7931" t="s">
        <v>348</v>
      </c>
      <c r="X7931" t="s">
        <v>352</v>
      </c>
      <c r="Y7931" t="s">
        <v>354</v>
      </c>
      <c r="AK7931" t="s">
        <v>366</v>
      </c>
    </row>
    <row r="7932" spans="1:37">
      <c r="A7932" t="s">
        <v>41</v>
      </c>
      <c r="B7932" t="s">
        <v>61</v>
      </c>
      <c r="C7932" t="s">
        <v>83</v>
      </c>
      <c r="D7932" t="s">
        <v>102</v>
      </c>
      <c r="E7932" t="s">
        <v>121</v>
      </c>
      <c r="F7932" t="s">
        <v>155</v>
      </c>
      <c r="G7932" t="s">
        <v>181</v>
      </c>
      <c r="H7932" t="s">
        <v>216</v>
      </c>
      <c r="I7932" t="s">
        <v>236</v>
      </c>
      <c r="AK7932" t="s">
        <v>366</v>
      </c>
    </row>
    <row r="7933" spans="1:37">
      <c r="A7933" t="s">
        <v>42</v>
      </c>
      <c r="B7933" t="s">
        <v>62</v>
      </c>
      <c r="C7933" t="s">
        <v>84</v>
      </c>
      <c r="D7933" t="s">
        <v>103</v>
      </c>
      <c r="E7933" t="s">
        <v>122</v>
      </c>
      <c r="F7933" t="s">
        <v>156</v>
      </c>
      <c r="G7933" t="s">
        <v>182</v>
      </c>
      <c r="H7933" t="s">
        <v>83</v>
      </c>
      <c r="I7933" t="s">
        <v>237</v>
      </c>
      <c r="J7933" t="s">
        <v>254</v>
      </c>
      <c r="K7933" t="s">
        <v>268</v>
      </c>
      <c r="L7933" t="s">
        <v>280</v>
      </c>
      <c r="M7933" t="s">
        <v>289</v>
      </c>
      <c r="N7933" t="s">
        <v>298</v>
      </c>
      <c r="O7933" t="s">
        <v>307</v>
      </c>
      <c r="P7933" t="s">
        <v>314</v>
      </c>
      <c r="Q7933" t="s">
        <v>216</v>
      </c>
      <c r="R7933" t="s">
        <v>326</v>
      </c>
      <c r="S7933" t="s">
        <v>333</v>
      </c>
      <c r="T7933" t="s">
        <v>335</v>
      </c>
      <c r="U7933" t="s">
        <v>340</v>
      </c>
      <c r="V7933" t="s">
        <v>344</v>
      </c>
      <c r="W7933" t="s">
        <v>349</v>
      </c>
      <c r="AK7933" t="s">
        <v>366</v>
      </c>
    </row>
    <row r="7934" spans="1:37">
      <c r="A7934" t="s">
        <v>43</v>
      </c>
      <c r="B7934" t="s">
        <v>63</v>
      </c>
      <c r="C7934" t="s">
        <v>85</v>
      </c>
      <c r="D7934" t="s">
        <v>104</v>
      </c>
      <c r="E7934" t="s">
        <v>123</v>
      </c>
      <c r="F7934" t="s">
        <v>157</v>
      </c>
      <c r="G7934" t="s">
        <v>183</v>
      </c>
      <c r="AK7934" t="s">
        <v>366</v>
      </c>
    </row>
    <row r="7935" spans="1:37">
      <c r="A7935" t="s">
        <v>44</v>
      </c>
      <c r="B7935" t="s">
        <v>64</v>
      </c>
      <c r="C7935" t="s">
        <v>86</v>
      </c>
      <c r="D7935" t="s">
        <v>105</v>
      </c>
      <c r="E7935" t="s">
        <v>124</v>
      </c>
      <c r="F7935" t="s">
        <v>158</v>
      </c>
      <c r="G7935" t="s">
        <v>184</v>
      </c>
      <c r="AK7935" t="s">
        <v>366</v>
      </c>
    </row>
    <row r="7936" spans="1:37">
      <c r="A7936" t="s">
        <v>45</v>
      </c>
      <c r="B7936" t="s">
        <v>65</v>
      </c>
      <c r="C7936" t="s">
        <v>87</v>
      </c>
      <c r="D7936" t="s">
        <v>106</v>
      </c>
      <c r="E7936" t="s">
        <v>125</v>
      </c>
      <c r="F7936" t="s">
        <v>159</v>
      </c>
      <c r="G7936" t="s">
        <v>185</v>
      </c>
      <c r="H7936" t="s">
        <v>159</v>
      </c>
      <c r="I7936" t="s">
        <v>185</v>
      </c>
      <c r="J7936" t="s">
        <v>255</v>
      </c>
      <c r="AK7936" t="s">
        <v>366</v>
      </c>
    </row>
    <row r="7937" spans="1:37">
      <c r="A7937" t="s">
        <v>46</v>
      </c>
      <c r="B7937" t="s">
        <v>66</v>
      </c>
      <c r="C7937" t="s">
        <v>88</v>
      </c>
      <c r="D7937" t="s">
        <v>76</v>
      </c>
      <c r="E7937" t="s">
        <v>126</v>
      </c>
      <c r="F7937" t="s">
        <v>160</v>
      </c>
      <c r="G7937" t="s">
        <v>186</v>
      </c>
      <c r="H7937" t="s">
        <v>217</v>
      </c>
      <c r="I7937" t="s">
        <v>238</v>
      </c>
      <c r="J7937" t="s">
        <v>256</v>
      </c>
      <c r="K7937" t="s">
        <v>265</v>
      </c>
      <c r="L7937" t="s">
        <v>281</v>
      </c>
      <c r="M7937" t="s">
        <v>290</v>
      </c>
      <c r="N7937" t="s">
        <v>299</v>
      </c>
      <c r="O7937" t="s">
        <v>308</v>
      </c>
      <c r="P7937" t="s">
        <v>228</v>
      </c>
      <c r="Q7937" t="s">
        <v>72</v>
      </c>
      <c r="R7937" t="s">
        <v>327</v>
      </c>
      <c r="S7937" t="s">
        <v>327</v>
      </c>
      <c r="T7937" t="s">
        <v>336</v>
      </c>
      <c r="U7937" t="s">
        <v>336</v>
      </c>
      <c r="V7937" t="s">
        <v>336</v>
      </c>
      <c r="W7937" t="s">
        <v>336</v>
      </c>
      <c r="X7937" t="s">
        <v>353</v>
      </c>
      <c r="AK7937" t="s">
        <v>366</v>
      </c>
    </row>
    <row r="7938" spans="1:37">
      <c r="A7938" t="s">
        <v>37</v>
      </c>
      <c r="B7938" t="s">
        <v>49</v>
      </c>
      <c r="C7938" t="s">
        <v>73</v>
      </c>
      <c r="D7938" t="s">
        <v>94</v>
      </c>
      <c r="E7938" t="s">
        <v>112</v>
      </c>
      <c r="F7938" t="s">
        <v>146</v>
      </c>
      <c r="G7938" t="s">
        <v>172</v>
      </c>
      <c r="H7938" t="s">
        <v>207</v>
      </c>
      <c r="I7938" t="s">
        <v>226</v>
      </c>
      <c r="J7938" t="s">
        <v>246</v>
      </c>
      <c r="K7938" t="s">
        <v>259</v>
      </c>
      <c r="AK7938" t="s">
        <v>366</v>
      </c>
    </row>
    <row r="7939" spans="1:37">
      <c r="A7939" t="s">
        <v>38</v>
      </c>
      <c r="B7939" t="s">
        <v>50</v>
      </c>
      <c r="C7939" t="s">
        <v>74</v>
      </c>
      <c r="D7939" t="s">
        <v>95</v>
      </c>
      <c r="E7939" t="s">
        <v>113</v>
      </c>
      <c r="F7939" t="s">
        <v>147</v>
      </c>
      <c r="G7939" t="s">
        <v>173</v>
      </c>
      <c r="H7939" t="s">
        <v>208</v>
      </c>
      <c r="I7939" t="s">
        <v>227</v>
      </c>
      <c r="J7939" t="s">
        <v>115</v>
      </c>
      <c r="K7939" t="s">
        <v>260</v>
      </c>
      <c r="L7939" t="s">
        <v>273</v>
      </c>
      <c r="M7939" t="s">
        <v>282</v>
      </c>
      <c r="N7939" t="s">
        <v>291</v>
      </c>
      <c r="AK7939" t="s">
        <v>366</v>
      </c>
    </row>
    <row r="7940" spans="1:37">
      <c r="B7940" t="s">
        <v>51</v>
      </c>
      <c r="C7940" t="s">
        <v>75</v>
      </c>
      <c r="D7940" t="s">
        <v>52</v>
      </c>
      <c r="E7940" t="s">
        <v>114</v>
      </c>
      <c r="F7940" t="s">
        <v>148</v>
      </c>
      <c r="G7940" t="s">
        <v>148</v>
      </c>
      <c r="H7940" t="s">
        <v>209</v>
      </c>
      <c r="I7940" t="s">
        <v>228</v>
      </c>
      <c r="J7940" t="s">
        <v>247</v>
      </c>
      <c r="K7940" t="s">
        <v>261</v>
      </c>
      <c r="L7940" t="s">
        <v>274</v>
      </c>
      <c r="M7940" t="s">
        <v>283</v>
      </c>
      <c r="N7940" t="s">
        <v>292</v>
      </c>
      <c r="O7940" t="s">
        <v>300</v>
      </c>
      <c r="AK7940" t="s">
        <v>366</v>
      </c>
    </row>
    <row r="7941" spans="1:37">
      <c r="B7941" t="s">
        <v>52</v>
      </c>
      <c r="C7941" t="s">
        <v>76</v>
      </c>
      <c r="D7941" t="s">
        <v>96</v>
      </c>
      <c r="E7941" t="s">
        <v>115</v>
      </c>
      <c r="F7941" t="s">
        <v>149</v>
      </c>
      <c r="G7941" t="s">
        <v>174</v>
      </c>
      <c r="H7941" t="s">
        <v>96</v>
      </c>
      <c r="I7941" t="s">
        <v>229</v>
      </c>
      <c r="J7941" t="s">
        <v>248</v>
      </c>
      <c r="K7941" t="s">
        <v>262</v>
      </c>
      <c r="L7941" t="s">
        <v>52</v>
      </c>
      <c r="M7941" t="s">
        <v>76</v>
      </c>
      <c r="N7941" t="s">
        <v>293</v>
      </c>
      <c r="O7941" t="s">
        <v>301</v>
      </c>
      <c r="P7941" t="s">
        <v>309</v>
      </c>
      <c r="Q7941" t="s">
        <v>315</v>
      </c>
      <c r="R7941" t="s">
        <v>228</v>
      </c>
      <c r="S7941" t="s">
        <v>328</v>
      </c>
      <c r="T7941" t="s">
        <v>149</v>
      </c>
      <c r="U7941" t="s">
        <v>337</v>
      </c>
      <c r="V7941" t="s">
        <v>341</v>
      </c>
      <c r="W7941" t="s">
        <v>345</v>
      </c>
      <c r="X7941" t="s">
        <v>350</v>
      </c>
      <c r="AK7941" t="s">
        <v>366</v>
      </c>
    </row>
    <row r="7942" spans="1:37">
      <c r="B7942" t="s">
        <v>53</v>
      </c>
      <c r="C7942" t="s">
        <v>77</v>
      </c>
      <c r="D7942" t="s">
        <v>97</v>
      </c>
      <c r="E7942" t="s">
        <v>116</v>
      </c>
      <c r="F7942" t="s">
        <v>150</v>
      </c>
      <c r="G7942" t="s">
        <v>175</v>
      </c>
      <c r="H7942" t="s">
        <v>210</v>
      </c>
      <c r="I7942" t="s">
        <v>230</v>
      </c>
      <c r="J7942" t="s">
        <v>249</v>
      </c>
      <c r="K7942" t="s">
        <v>263</v>
      </c>
      <c r="L7942" t="s">
        <v>275</v>
      </c>
      <c r="M7942" t="s">
        <v>284</v>
      </c>
      <c r="N7942" t="s">
        <v>294</v>
      </c>
      <c r="O7942" t="s">
        <v>302</v>
      </c>
      <c r="P7942" t="s">
        <v>310</v>
      </c>
      <c r="Q7942" t="s">
        <v>316</v>
      </c>
      <c r="R7942" t="s">
        <v>322</v>
      </c>
      <c r="S7942" t="s">
        <v>329</v>
      </c>
      <c r="AK7942" t="s">
        <v>366</v>
      </c>
    </row>
    <row r="7943" spans="1:37">
      <c r="A7943" t="s">
        <v>39</v>
      </c>
      <c r="B7943" t="s">
        <v>54</v>
      </c>
      <c r="C7943" t="s">
        <v>54</v>
      </c>
      <c r="D7943" t="s">
        <v>54</v>
      </c>
      <c r="E7943" t="s">
        <v>54</v>
      </c>
      <c r="F7943" t="s">
        <v>54</v>
      </c>
      <c r="G7943" t="s">
        <v>54</v>
      </c>
      <c r="H7943" t="s">
        <v>54</v>
      </c>
      <c r="I7943" t="s">
        <v>54</v>
      </c>
      <c r="J7943" t="s">
        <v>54</v>
      </c>
      <c r="K7943" t="s">
        <v>54</v>
      </c>
      <c r="L7943" t="s">
        <v>54</v>
      </c>
      <c r="M7943" t="s">
        <v>54</v>
      </c>
      <c r="N7943" t="s">
        <v>54</v>
      </c>
      <c r="O7943" t="s">
        <v>54</v>
      </c>
      <c r="P7943" t="s">
        <v>54</v>
      </c>
      <c r="Q7943" t="s">
        <v>54</v>
      </c>
      <c r="R7943" t="s">
        <v>323</v>
      </c>
      <c r="S7943" t="s">
        <v>330</v>
      </c>
      <c r="AK7943" t="s">
        <v>366</v>
      </c>
    </row>
    <row r="7944" spans="1:37">
      <c r="B7944" t="s">
        <v>55</v>
      </c>
      <c r="C7944" t="s">
        <v>78</v>
      </c>
      <c r="D7944" t="s">
        <v>55</v>
      </c>
      <c r="E7944" t="s">
        <v>78</v>
      </c>
      <c r="F7944" t="s">
        <v>55</v>
      </c>
      <c r="G7944" t="s">
        <v>78</v>
      </c>
      <c r="H7944" t="s">
        <v>55</v>
      </c>
      <c r="I7944" t="s">
        <v>78</v>
      </c>
      <c r="J7944" t="s">
        <v>55</v>
      </c>
      <c r="K7944" t="s">
        <v>78</v>
      </c>
      <c r="L7944" t="s">
        <v>55</v>
      </c>
      <c r="M7944" t="s">
        <v>78</v>
      </c>
      <c r="N7944" t="s">
        <v>55</v>
      </c>
      <c r="O7944" t="s">
        <v>78</v>
      </c>
      <c r="P7944" t="s">
        <v>55</v>
      </c>
      <c r="Q7944" t="s">
        <v>78</v>
      </c>
      <c r="R7944" t="s">
        <v>55</v>
      </c>
      <c r="S7944" t="s">
        <v>78</v>
      </c>
      <c r="T7944" t="s">
        <v>55</v>
      </c>
      <c r="U7944" t="s">
        <v>78</v>
      </c>
      <c r="V7944" t="s">
        <v>55</v>
      </c>
      <c r="W7944" t="s">
        <v>78</v>
      </c>
      <c r="X7944" t="s">
        <v>55</v>
      </c>
      <c r="Y7944" t="s">
        <v>78</v>
      </c>
      <c r="Z7944" t="s">
        <v>55</v>
      </c>
      <c r="AA7944" t="s">
        <v>78</v>
      </c>
      <c r="AB7944" t="s">
        <v>55</v>
      </c>
      <c r="AC7944" t="s">
        <v>78</v>
      </c>
      <c r="AD7944" t="s">
        <v>55</v>
      </c>
      <c r="AE7944" t="s">
        <v>78</v>
      </c>
      <c r="AF7944" t="s">
        <v>55</v>
      </c>
      <c r="AG7944" t="s">
        <v>78</v>
      </c>
      <c r="AH7944" t="s">
        <v>55</v>
      </c>
      <c r="AI7944" t="s">
        <v>78</v>
      </c>
      <c r="AK7944" t="s">
        <v>366</v>
      </c>
    </row>
    <row r="7945" spans="1:37">
      <c r="B7945" t="s">
        <v>56</v>
      </c>
      <c r="C7945" t="s">
        <v>56</v>
      </c>
      <c r="D7945" t="s">
        <v>56</v>
      </c>
      <c r="E7945" t="s">
        <v>56</v>
      </c>
      <c r="F7945" t="s">
        <v>56</v>
      </c>
      <c r="G7945" t="s">
        <v>176</v>
      </c>
      <c r="H7945" t="s">
        <v>211</v>
      </c>
      <c r="I7945" t="s">
        <v>231</v>
      </c>
      <c r="J7945" t="s">
        <v>250</v>
      </c>
      <c r="K7945" t="s">
        <v>264</v>
      </c>
      <c r="L7945" t="s">
        <v>276</v>
      </c>
      <c r="M7945" t="s">
        <v>285</v>
      </c>
      <c r="N7945" t="s">
        <v>295</v>
      </c>
      <c r="O7945" t="s">
        <v>303</v>
      </c>
      <c r="P7945" t="s">
        <v>56</v>
      </c>
      <c r="Q7945" t="s">
        <v>317</v>
      </c>
      <c r="R7945" t="s">
        <v>324</v>
      </c>
      <c r="S7945" t="s">
        <v>331</v>
      </c>
      <c r="T7945" t="s">
        <v>334</v>
      </c>
      <c r="U7945" t="s">
        <v>338</v>
      </c>
      <c r="V7945" t="s">
        <v>342</v>
      </c>
      <c r="W7945" t="s">
        <v>346</v>
      </c>
      <c r="X7945" t="s">
        <v>351</v>
      </c>
      <c r="AK7945" t="s">
        <v>366</v>
      </c>
    </row>
    <row r="7946" spans="1:37">
      <c r="B7946" t="s">
        <v>57</v>
      </c>
      <c r="C7946" t="s">
        <v>79</v>
      </c>
      <c r="D7946" t="s">
        <v>98</v>
      </c>
      <c r="E7946" t="s">
        <v>117</v>
      </c>
      <c r="F7946" t="s">
        <v>151</v>
      </c>
      <c r="G7946" t="s">
        <v>177</v>
      </c>
      <c r="H7946" t="s">
        <v>212</v>
      </c>
      <c r="I7946" t="s">
        <v>232</v>
      </c>
      <c r="J7946" t="s">
        <v>251</v>
      </c>
      <c r="K7946" t="s">
        <v>265</v>
      </c>
      <c r="L7946" t="s">
        <v>277</v>
      </c>
      <c r="M7946" t="s">
        <v>286</v>
      </c>
      <c r="N7946" t="s">
        <v>296</v>
      </c>
      <c r="O7946" t="s">
        <v>304</v>
      </c>
      <c r="P7946" t="s">
        <v>311</v>
      </c>
      <c r="Q7946" t="s">
        <v>318</v>
      </c>
      <c r="R7946" t="s">
        <v>185</v>
      </c>
      <c r="S7946" t="s">
        <v>159</v>
      </c>
      <c r="T7946" t="s">
        <v>185</v>
      </c>
      <c r="U7946" t="s">
        <v>339</v>
      </c>
      <c r="V7946" t="s">
        <v>72</v>
      </c>
      <c r="W7946" t="s">
        <v>347</v>
      </c>
      <c r="X7946" t="s">
        <v>72</v>
      </c>
      <c r="Y7946" t="s">
        <v>96</v>
      </c>
      <c r="AK7946" t="s">
        <v>366</v>
      </c>
    </row>
    <row r="7947" spans="1:37">
      <c r="B7947" t="s">
        <v>58</v>
      </c>
      <c r="C7947" t="s">
        <v>80</v>
      </c>
      <c r="D7947" t="s">
        <v>99</v>
      </c>
      <c r="E7947" t="s">
        <v>118</v>
      </c>
      <c r="F7947" t="s">
        <v>152</v>
      </c>
      <c r="G7947" t="s">
        <v>178</v>
      </c>
      <c r="H7947" t="s">
        <v>213</v>
      </c>
      <c r="I7947" t="s">
        <v>233</v>
      </c>
      <c r="J7947" t="s">
        <v>252</v>
      </c>
      <c r="K7947" t="s">
        <v>266</v>
      </c>
      <c r="L7947" t="s">
        <v>278</v>
      </c>
      <c r="M7947" t="s">
        <v>287</v>
      </c>
      <c r="N7947" t="s">
        <v>297</v>
      </c>
      <c r="O7947" t="s">
        <v>305</v>
      </c>
      <c r="P7947" t="s">
        <v>312</v>
      </c>
      <c r="Q7947" t="s">
        <v>319</v>
      </c>
      <c r="R7947">
        <f>&gt;10       ветра      2.0     17  10</f>
        <v>0</v>
      </c>
      <c r="AK7947" t="s">
        <v>366</v>
      </c>
    </row>
    <row r="7948" spans="1:37">
      <c r="A7948" t="s">
        <v>40</v>
      </c>
      <c r="B7948" t="s">
        <v>59</v>
      </c>
      <c r="C7948" t="s">
        <v>81</v>
      </c>
      <c r="D7948" t="s">
        <v>100</v>
      </c>
      <c r="E7948" t="s">
        <v>119</v>
      </c>
      <c r="F7948" t="s">
        <v>153</v>
      </c>
      <c r="G7948" t="s">
        <v>179</v>
      </c>
      <c r="H7948" t="s">
        <v>214</v>
      </c>
      <c r="I7948" t="s">
        <v>234</v>
      </c>
      <c r="AK7948" t="s">
        <v>366</v>
      </c>
    </row>
    <row r="7949" spans="1:37">
      <c r="A7949" t="s">
        <v>40</v>
      </c>
      <c r="B7949" t="s">
        <v>60</v>
      </c>
      <c r="C7949" t="s">
        <v>82</v>
      </c>
      <c r="D7949" t="s">
        <v>101</v>
      </c>
      <c r="E7949" t="s">
        <v>120</v>
      </c>
      <c r="F7949" t="s">
        <v>154</v>
      </c>
      <c r="G7949" t="s">
        <v>180</v>
      </c>
      <c r="H7949" t="s">
        <v>215</v>
      </c>
      <c r="I7949" t="s">
        <v>235</v>
      </c>
      <c r="J7949" t="s">
        <v>253</v>
      </c>
      <c r="K7949" t="s">
        <v>267</v>
      </c>
      <c r="L7949" t="s">
        <v>279</v>
      </c>
      <c r="M7949" t="s">
        <v>288</v>
      </c>
      <c r="N7949" t="s">
        <v>100</v>
      </c>
      <c r="O7949" t="s">
        <v>306</v>
      </c>
      <c r="P7949" t="s">
        <v>313</v>
      </c>
      <c r="Q7949" t="s">
        <v>320</v>
      </c>
      <c r="R7949" t="s">
        <v>325</v>
      </c>
      <c r="S7949" t="s">
        <v>332</v>
      </c>
      <c r="T7949" t="s">
        <v>119</v>
      </c>
      <c r="U7949" t="s">
        <v>234</v>
      </c>
      <c r="V7949" t="s">
        <v>343</v>
      </c>
      <c r="W7949" t="s">
        <v>348</v>
      </c>
      <c r="X7949" t="s">
        <v>352</v>
      </c>
      <c r="Y7949" t="s">
        <v>354</v>
      </c>
      <c r="AK7949" t="s">
        <v>366</v>
      </c>
    </row>
    <row r="7950" spans="1:37">
      <c r="A7950" t="s">
        <v>41</v>
      </c>
      <c r="B7950" t="s">
        <v>61</v>
      </c>
      <c r="C7950" t="s">
        <v>83</v>
      </c>
      <c r="D7950" t="s">
        <v>102</v>
      </c>
      <c r="E7950" t="s">
        <v>121</v>
      </c>
      <c r="F7950" t="s">
        <v>155</v>
      </c>
      <c r="G7950" t="s">
        <v>181</v>
      </c>
      <c r="H7950" t="s">
        <v>216</v>
      </c>
      <c r="I7950" t="s">
        <v>236</v>
      </c>
      <c r="AK7950" t="s">
        <v>366</v>
      </c>
    </row>
    <row r="7951" spans="1:37">
      <c r="A7951" t="s">
        <v>42</v>
      </c>
      <c r="B7951" t="s">
        <v>62</v>
      </c>
      <c r="C7951" t="s">
        <v>84</v>
      </c>
      <c r="D7951" t="s">
        <v>103</v>
      </c>
      <c r="E7951" t="s">
        <v>122</v>
      </c>
      <c r="F7951" t="s">
        <v>156</v>
      </c>
      <c r="G7951" t="s">
        <v>182</v>
      </c>
      <c r="H7951" t="s">
        <v>83</v>
      </c>
      <c r="I7951" t="s">
        <v>237</v>
      </c>
      <c r="J7951" t="s">
        <v>254</v>
      </c>
      <c r="K7951" t="s">
        <v>268</v>
      </c>
      <c r="L7951" t="s">
        <v>280</v>
      </c>
      <c r="M7951" t="s">
        <v>289</v>
      </c>
      <c r="N7951" t="s">
        <v>298</v>
      </c>
      <c r="O7951" t="s">
        <v>307</v>
      </c>
      <c r="P7951" t="s">
        <v>314</v>
      </c>
      <c r="Q7951" t="s">
        <v>216</v>
      </c>
      <c r="R7951" t="s">
        <v>326</v>
      </c>
      <c r="S7951" t="s">
        <v>333</v>
      </c>
      <c r="T7951" t="s">
        <v>335</v>
      </c>
      <c r="U7951" t="s">
        <v>340</v>
      </c>
      <c r="V7951" t="s">
        <v>344</v>
      </c>
      <c r="W7951" t="s">
        <v>349</v>
      </c>
      <c r="AK7951" t="s">
        <v>366</v>
      </c>
    </row>
    <row r="7952" spans="1:37">
      <c r="A7952" t="s">
        <v>43</v>
      </c>
      <c r="B7952" t="s">
        <v>63</v>
      </c>
      <c r="C7952" t="s">
        <v>85</v>
      </c>
      <c r="D7952" t="s">
        <v>104</v>
      </c>
      <c r="E7952" t="s">
        <v>123</v>
      </c>
      <c r="F7952" t="s">
        <v>157</v>
      </c>
      <c r="G7952" t="s">
        <v>183</v>
      </c>
      <c r="AK7952" t="s">
        <v>366</v>
      </c>
    </row>
    <row r="7953" spans="1:37">
      <c r="A7953" t="s">
        <v>44</v>
      </c>
      <c r="B7953" t="s">
        <v>64</v>
      </c>
      <c r="C7953" t="s">
        <v>86</v>
      </c>
      <c r="D7953" t="s">
        <v>105</v>
      </c>
      <c r="E7953" t="s">
        <v>124</v>
      </c>
      <c r="F7953" t="s">
        <v>158</v>
      </c>
      <c r="G7953" t="s">
        <v>184</v>
      </c>
      <c r="AK7953" t="s">
        <v>366</v>
      </c>
    </row>
    <row r="7954" spans="1:37">
      <c r="A7954" t="s">
        <v>45</v>
      </c>
      <c r="B7954" t="s">
        <v>65</v>
      </c>
      <c r="C7954" t="s">
        <v>87</v>
      </c>
      <c r="D7954" t="s">
        <v>106</v>
      </c>
      <c r="E7954" t="s">
        <v>125</v>
      </c>
      <c r="F7954" t="s">
        <v>159</v>
      </c>
      <c r="G7954" t="s">
        <v>185</v>
      </c>
      <c r="H7954" t="s">
        <v>159</v>
      </c>
      <c r="I7954" t="s">
        <v>185</v>
      </c>
      <c r="J7954" t="s">
        <v>255</v>
      </c>
      <c r="AK7954" t="s">
        <v>366</v>
      </c>
    </row>
    <row r="7955" spans="1:37">
      <c r="A7955" t="s">
        <v>46</v>
      </c>
      <c r="B7955" t="s">
        <v>66</v>
      </c>
      <c r="C7955" t="s">
        <v>88</v>
      </c>
      <c r="D7955" t="s">
        <v>76</v>
      </c>
      <c r="E7955" t="s">
        <v>126</v>
      </c>
      <c r="F7955" t="s">
        <v>160</v>
      </c>
      <c r="G7955" t="s">
        <v>186</v>
      </c>
      <c r="H7955" t="s">
        <v>217</v>
      </c>
      <c r="I7955" t="s">
        <v>238</v>
      </c>
      <c r="J7955" t="s">
        <v>256</v>
      </c>
      <c r="K7955" t="s">
        <v>265</v>
      </c>
      <c r="L7955" t="s">
        <v>281</v>
      </c>
      <c r="M7955" t="s">
        <v>290</v>
      </c>
      <c r="N7955" t="s">
        <v>299</v>
      </c>
      <c r="O7955" t="s">
        <v>308</v>
      </c>
      <c r="P7955" t="s">
        <v>228</v>
      </c>
      <c r="Q7955" t="s">
        <v>72</v>
      </c>
      <c r="R7955" t="s">
        <v>327</v>
      </c>
      <c r="S7955" t="s">
        <v>327</v>
      </c>
      <c r="T7955" t="s">
        <v>336</v>
      </c>
      <c r="U7955" t="s">
        <v>336</v>
      </c>
      <c r="V7955" t="s">
        <v>336</v>
      </c>
      <c r="W7955" t="s">
        <v>336</v>
      </c>
      <c r="X7955" t="s">
        <v>353</v>
      </c>
      <c r="AK7955" t="s">
        <v>366</v>
      </c>
    </row>
    <row r="7956" spans="1:37">
      <c r="A7956" t="s">
        <v>37</v>
      </c>
      <c r="B7956" t="s">
        <v>49</v>
      </c>
      <c r="C7956" t="s">
        <v>73</v>
      </c>
      <c r="D7956" t="s">
        <v>94</v>
      </c>
      <c r="E7956" t="s">
        <v>112</v>
      </c>
      <c r="F7956" t="s">
        <v>146</v>
      </c>
      <c r="G7956" t="s">
        <v>172</v>
      </c>
      <c r="H7956" t="s">
        <v>207</v>
      </c>
      <c r="I7956" t="s">
        <v>226</v>
      </c>
      <c r="J7956" t="s">
        <v>246</v>
      </c>
      <c r="K7956" t="s">
        <v>259</v>
      </c>
      <c r="AK7956" t="s">
        <v>366</v>
      </c>
    </row>
    <row r="7957" spans="1:37">
      <c r="A7957" t="s">
        <v>38</v>
      </c>
      <c r="B7957" t="s">
        <v>50</v>
      </c>
      <c r="C7957" t="s">
        <v>74</v>
      </c>
      <c r="D7957" t="s">
        <v>95</v>
      </c>
      <c r="E7957" t="s">
        <v>113</v>
      </c>
      <c r="F7957" t="s">
        <v>147</v>
      </c>
      <c r="G7957" t="s">
        <v>173</v>
      </c>
      <c r="H7957" t="s">
        <v>208</v>
      </c>
      <c r="I7957" t="s">
        <v>227</v>
      </c>
      <c r="J7957" t="s">
        <v>115</v>
      </c>
      <c r="K7957" t="s">
        <v>260</v>
      </c>
      <c r="L7957" t="s">
        <v>273</v>
      </c>
      <c r="M7957" t="s">
        <v>282</v>
      </c>
      <c r="N7957" t="s">
        <v>291</v>
      </c>
      <c r="AK7957" t="s">
        <v>366</v>
      </c>
    </row>
    <row r="7958" spans="1:37">
      <c r="B7958" t="s">
        <v>51</v>
      </c>
      <c r="C7958" t="s">
        <v>75</v>
      </c>
      <c r="D7958" t="s">
        <v>52</v>
      </c>
      <c r="E7958" t="s">
        <v>114</v>
      </c>
      <c r="F7958" t="s">
        <v>148</v>
      </c>
      <c r="G7958" t="s">
        <v>148</v>
      </c>
      <c r="H7958" t="s">
        <v>209</v>
      </c>
      <c r="I7958" t="s">
        <v>228</v>
      </c>
      <c r="J7958" t="s">
        <v>247</v>
      </c>
      <c r="K7958" t="s">
        <v>261</v>
      </c>
      <c r="L7958" t="s">
        <v>274</v>
      </c>
      <c r="M7958" t="s">
        <v>283</v>
      </c>
      <c r="N7958" t="s">
        <v>292</v>
      </c>
      <c r="O7958" t="s">
        <v>300</v>
      </c>
      <c r="AK7958" t="s">
        <v>366</v>
      </c>
    </row>
    <row r="7959" spans="1:37">
      <c r="B7959" t="s">
        <v>52</v>
      </c>
      <c r="C7959" t="s">
        <v>76</v>
      </c>
      <c r="D7959" t="s">
        <v>96</v>
      </c>
      <c r="E7959" t="s">
        <v>115</v>
      </c>
      <c r="F7959" t="s">
        <v>149</v>
      </c>
      <c r="G7959" t="s">
        <v>174</v>
      </c>
      <c r="H7959" t="s">
        <v>96</v>
      </c>
      <c r="I7959" t="s">
        <v>229</v>
      </c>
      <c r="J7959" t="s">
        <v>248</v>
      </c>
      <c r="K7959" t="s">
        <v>262</v>
      </c>
      <c r="L7959" t="s">
        <v>52</v>
      </c>
      <c r="M7959" t="s">
        <v>76</v>
      </c>
      <c r="N7959" t="s">
        <v>293</v>
      </c>
      <c r="O7959" t="s">
        <v>301</v>
      </c>
      <c r="P7959" t="s">
        <v>309</v>
      </c>
      <c r="Q7959" t="s">
        <v>315</v>
      </c>
      <c r="R7959" t="s">
        <v>228</v>
      </c>
      <c r="S7959" t="s">
        <v>328</v>
      </c>
      <c r="T7959" t="s">
        <v>149</v>
      </c>
      <c r="U7959" t="s">
        <v>337</v>
      </c>
      <c r="V7959" t="s">
        <v>341</v>
      </c>
      <c r="W7959" t="s">
        <v>345</v>
      </c>
      <c r="X7959" t="s">
        <v>350</v>
      </c>
      <c r="AK7959" t="s">
        <v>366</v>
      </c>
    </row>
    <row r="7960" spans="1:37">
      <c r="B7960" t="s">
        <v>53</v>
      </c>
      <c r="C7960" t="s">
        <v>77</v>
      </c>
      <c r="D7960" t="s">
        <v>97</v>
      </c>
      <c r="E7960" t="s">
        <v>116</v>
      </c>
      <c r="F7960" t="s">
        <v>150</v>
      </c>
      <c r="G7960" t="s">
        <v>175</v>
      </c>
      <c r="H7960" t="s">
        <v>210</v>
      </c>
      <c r="I7960" t="s">
        <v>230</v>
      </c>
      <c r="J7960" t="s">
        <v>249</v>
      </c>
      <c r="K7960" t="s">
        <v>263</v>
      </c>
      <c r="L7960" t="s">
        <v>275</v>
      </c>
      <c r="M7960" t="s">
        <v>284</v>
      </c>
      <c r="N7960" t="s">
        <v>294</v>
      </c>
      <c r="O7960" t="s">
        <v>302</v>
      </c>
      <c r="P7960" t="s">
        <v>310</v>
      </c>
      <c r="Q7960" t="s">
        <v>316</v>
      </c>
      <c r="R7960" t="s">
        <v>322</v>
      </c>
      <c r="S7960" t="s">
        <v>329</v>
      </c>
      <c r="AK7960" t="s">
        <v>366</v>
      </c>
    </row>
    <row r="7961" spans="1:37">
      <c r="A7961" t="s">
        <v>39</v>
      </c>
      <c r="B7961" t="s">
        <v>54</v>
      </c>
      <c r="C7961" t="s">
        <v>54</v>
      </c>
      <c r="D7961" t="s">
        <v>54</v>
      </c>
      <c r="E7961" t="s">
        <v>54</v>
      </c>
      <c r="F7961" t="s">
        <v>54</v>
      </c>
      <c r="G7961" t="s">
        <v>54</v>
      </c>
      <c r="H7961" t="s">
        <v>54</v>
      </c>
      <c r="I7961" t="s">
        <v>54</v>
      </c>
      <c r="J7961" t="s">
        <v>54</v>
      </c>
      <c r="K7961" t="s">
        <v>54</v>
      </c>
      <c r="L7961" t="s">
        <v>54</v>
      </c>
      <c r="M7961" t="s">
        <v>54</v>
      </c>
      <c r="N7961" t="s">
        <v>54</v>
      </c>
      <c r="O7961" t="s">
        <v>54</v>
      </c>
      <c r="P7961" t="s">
        <v>54</v>
      </c>
      <c r="Q7961" t="s">
        <v>54</v>
      </c>
      <c r="R7961" t="s">
        <v>323</v>
      </c>
      <c r="S7961" t="s">
        <v>330</v>
      </c>
      <c r="AK7961" t="s">
        <v>366</v>
      </c>
    </row>
    <row r="7962" spans="1:37">
      <c r="B7962" t="s">
        <v>55</v>
      </c>
      <c r="C7962" t="s">
        <v>78</v>
      </c>
      <c r="D7962" t="s">
        <v>55</v>
      </c>
      <c r="E7962" t="s">
        <v>78</v>
      </c>
      <c r="F7962" t="s">
        <v>55</v>
      </c>
      <c r="G7962" t="s">
        <v>78</v>
      </c>
      <c r="H7962" t="s">
        <v>55</v>
      </c>
      <c r="I7962" t="s">
        <v>78</v>
      </c>
      <c r="J7962" t="s">
        <v>55</v>
      </c>
      <c r="K7962" t="s">
        <v>78</v>
      </c>
      <c r="L7962" t="s">
        <v>55</v>
      </c>
      <c r="M7962" t="s">
        <v>78</v>
      </c>
      <c r="N7962" t="s">
        <v>55</v>
      </c>
      <c r="O7962" t="s">
        <v>78</v>
      </c>
      <c r="P7962" t="s">
        <v>55</v>
      </c>
      <c r="Q7962" t="s">
        <v>78</v>
      </c>
      <c r="R7962" t="s">
        <v>55</v>
      </c>
      <c r="S7962" t="s">
        <v>78</v>
      </c>
      <c r="T7962" t="s">
        <v>55</v>
      </c>
      <c r="U7962" t="s">
        <v>78</v>
      </c>
      <c r="V7962" t="s">
        <v>55</v>
      </c>
      <c r="W7962" t="s">
        <v>78</v>
      </c>
      <c r="X7962" t="s">
        <v>55</v>
      </c>
      <c r="Y7962" t="s">
        <v>78</v>
      </c>
      <c r="Z7962" t="s">
        <v>55</v>
      </c>
      <c r="AA7962" t="s">
        <v>78</v>
      </c>
      <c r="AB7962" t="s">
        <v>55</v>
      </c>
      <c r="AC7962" t="s">
        <v>78</v>
      </c>
      <c r="AD7962" t="s">
        <v>55</v>
      </c>
      <c r="AE7962" t="s">
        <v>78</v>
      </c>
      <c r="AF7962" t="s">
        <v>55</v>
      </c>
      <c r="AG7962" t="s">
        <v>78</v>
      </c>
      <c r="AH7962" t="s">
        <v>55</v>
      </c>
      <c r="AI7962" t="s">
        <v>78</v>
      </c>
      <c r="AK7962" t="s">
        <v>366</v>
      </c>
    </row>
    <row r="7963" spans="1:37">
      <c r="B7963" t="s">
        <v>56</v>
      </c>
      <c r="C7963" t="s">
        <v>56</v>
      </c>
      <c r="D7963" t="s">
        <v>56</v>
      </c>
      <c r="E7963" t="s">
        <v>56</v>
      </c>
      <c r="F7963" t="s">
        <v>56</v>
      </c>
      <c r="G7963" t="s">
        <v>176</v>
      </c>
      <c r="H7963" t="s">
        <v>211</v>
      </c>
      <c r="I7963" t="s">
        <v>231</v>
      </c>
      <c r="J7963" t="s">
        <v>250</v>
      </c>
      <c r="K7963" t="s">
        <v>264</v>
      </c>
      <c r="L7963" t="s">
        <v>276</v>
      </c>
      <c r="M7963" t="s">
        <v>285</v>
      </c>
      <c r="N7963" t="s">
        <v>295</v>
      </c>
      <c r="O7963" t="s">
        <v>303</v>
      </c>
      <c r="P7963" t="s">
        <v>56</v>
      </c>
      <c r="Q7963" t="s">
        <v>317</v>
      </c>
      <c r="R7963" t="s">
        <v>324</v>
      </c>
      <c r="S7963" t="s">
        <v>331</v>
      </c>
      <c r="T7963" t="s">
        <v>334</v>
      </c>
      <c r="U7963" t="s">
        <v>338</v>
      </c>
      <c r="V7963" t="s">
        <v>342</v>
      </c>
      <c r="W7963" t="s">
        <v>346</v>
      </c>
      <c r="X7963" t="s">
        <v>351</v>
      </c>
      <c r="AK7963" t="s">
        <v>366</v>
      </c>
    </row>
    <row r="7964" spans="1:37">
      <c r="B7964" t="s">
        <v>57</v>
      </c>
      <c r="C7964" t="s">
        <v>79</v>
      </c>
      <c r="D7964" t="s">
        <v>98</v>
      </c>
      <c r="E7964" t="s">
        <v>117</v>
      </c>
      <c r="F7964" t="s">
        <v>151</v>
      </c>
      <c r="G7964" t="s">
        <v>177</v>
      </c>
      <c r="H7964" t="s">
        <v>212</v>
      </c>
      <c r="I7964" t="s">
        <v>232</v>
      </c>
      <c r="J7964" t="s">
        <v>251</v>
      </c>
      <c r="K7964" t="s">
        <v>265</v>
      </c>
      <c r="L7964" t="s">
        <v>277</v>
      </c>
      <c r="M7964" t="s">
        <v>286</v>
      </c>
      <c r="N7964" t="s">
        <v>296</v>
      </c>
      <c r="O7964" t="s">
        <v>304</v>
      </c>
      <c r="P7964" t="s">
        <v>311</v>
      </c>
      <c r="Q7964" t="s">
        <v>318</v>
      </c>
      <c r="R7964" t="s">
        <v>185</v>
      </c>
      <c r="S7964" t="s">
        <v>159</v>
      </c>
      <c r="T7964" t="s">
        <v>185</v>
      </c>
      <c r="U7964" t="s">
        <v>339</v>
      </c>
      <c r="V7964" t="s">
        <v>72</v>
      </c>
      <c r="W7964" t="s">
        <v>347</v>
      </c>
      <c r="X7964" t="s">
        <v>72</v>
      </c>
      <c r="Y7964" t="s">
        <v>96</v>
      </c>
      <c r="AK7964" t="s">
        <v>366</v>
      </c>
    </row>
    <row r="7965" spans="1:37">
      <c r="B7965" t="s">
        <v>58</v>
      </c>
      <c r="C7965" t="s">
        <v>80</v>
      </c>
      <c r="D7965" t="s">
        <v>99</v>
      </c>
      <c r="E7965" t="s">
        <v>118</v>
      </c>
      <c r="F7965" t="s">
        <v>152</v>
      </c>
      <c r="G7965" t="s">
        <v>178</v>
      </c>
      <c r="H7965" t="s">
        <v>213</v>
      </c>
      <c r="I7965" t="s">
        <v>233</v>
      </c>
      <c r="J7965" t="s">
        <v>252</v>
      </c>
      <c r="K7965" t="s">
        <v>266</v>
      </c>
      <c r="L7965" t="s">
        <v>278</v>
      </c>
      <c r="M7965" t="s">
        <v>287</v>
      </c>
      <c r="N7965" t="s">
        <v>297</v>
      </c>
      <c r="O7965" t="s">
        <v>305</v>
      </c>
      <c r="P7965" t="s">
        <v>312</v>
      </c>
      <c r="Q7965" t="s">
        <v>319</v>
      </c>
      <c r="R7965">
        <f>&gt;10       ветра      1.7     14   7</f>
        <v>0</v>
      </c>
      <c r="AK7965" t="s">
        <v>366</v>
      </c>
    </row>
    <row r="7966" spans="1:37">
      <c r="A7966" t="s">
        <v>40</v>
      </c>
      <c r="B7966" t="s">
        <v>59</v>
      </c>
      <c r="C7966" t="s">
        <v>81</v>
      </c>
      <c r="D7966" t="s">
        <v>100</v>
      </c>
      <c r="E7966" t="s">
        <v>119</v>
      </c>
      <c r="F7966" t="s">
        <v>153</v>
      </c>
      <c r="G7966" t="s">
        <v>179</v>
      </c>
      <c r="H7966" t="s">
        <v>214</v>
      </c>
      <c r="I7966" t="s">
        <v>234</v>
      </c>
      <c r="AK7966" t="s">
        <v>366</v>
      </c>
    </row>
    <row r="7967" spans="1:37">
      <c r="A7967" t="s">
        <v>40</v>
      </c>
      <c r="B7967" t="s">
        <v>60</v>
      </c>
      <c r="C7967" t="s">
        <v>82</v>
      </c>
      <c r="D7967" t="s">
        <v>101</v>
      </c>
      <c r="E7967" t="s">
        <v>120</v>
      </c>
      <c r="F7967" t="s">
        <v>154</v>
      </c>
      <c r="G7967" t="s">
        <v>180</v>
      </c>
      <c r="H7967" t="s">
        <v>215</v>
      </c>
      <c r="I7967" t="s">
        <v>235</v>
      </c>
      <c r="J7967" t="s">
        <v>253</v>
      </c>
      <c r="K7967" t="s">
        <v>267</v>
      </c>
      <c r="L7967" t="s">
        <v>279</v>
      </c>
      <c r="M7967" t="s">
        <v>288</v>
      </c>
      <c r="N7967" t="s">
        <v>100</v>
      </c>
      <c r="O7967" t="s">
        <v>306</v>
      </c>
      <c r="P7967" t="s">
        <v>313</v>
      </c>
      <c r="Q7967" t="s">
        <v>320</v>
      </c>
      <c r="R7967" t="s">
        <v>325</v>
      </c>
      <c r="S7967" t="s">
        <v>332</v>
      </c>
      <c r="T7967" t="s">
        <v>119</v>
      </c>
      <c r="U7967" t="s">
        <v>234</v>
      </c>
      <c r="V7967" t="s">
        <v>343</v>
      </c>
      <c r="W7967" t="s">
        <v>348</v>
      </c>
      <c r="X7967" t="s">
        <v>352</v>
      </c>
      <c r="Y7967" t="s">
        <v>354</v>
      </c>
      <c r="AK7967" t="s">
        <v>366</v>
      </c>
    </row>
    <row r="7968" spans="1:37">
      <c r="A7968" t="s">
        <v>41</v>
      </c>
      <c r="B7968" t="s">
        <v>61</v>
      </c>
      <c r="C7968" t="s">
        <v>83</v>
      </c>
      <c r="D7968" t="s">
        <v>102</v>
      </c>
      <c r="E7968" t="s">
        <v>121</v>
      </c>
      <c r="F7968" t="s">
        <v>155</v>
      </c>
      <c r="G7968" t="s">
        <v>181</v>
      </c>
      <c r="H7968" t="s">
        <v>216</v>
      </c>
      <c r="I7968" t="s">
        <v>236</v>
      </c>
      <c r="AK7968" t="s">
        <v>366</v>
      </c>
    </row>
    <row r="7969" spans="1:37">
      <c r="A7969" t="s">
        <v>42</v>
      </c>
      <c r="B7969" t="s">
        <v>62</v>
      </c>
      <c r="C7969" t="s">
        <v>84</v>
      </c>
      <c r="D7969" t="s">
        <v>103</v>
      </c>
      <c r="E7969" t="s">
        <v>122</v>
      </c>
      <c r="F7969" t="s">
        <v>156</v>
      </c>
      <c r="G7969" t="s">
        <v>182</v>
      </c>
      <c r="H7969" t="s">
        <v>83</v>
      </c>
      <c r="I7969" t="s">
        <v>237</v>
      </c>
      <c r="J7969" t="s">
        <v>254</v>
      </c>
      <c r="K7969" t="s">
        <v>268</v>
      </c>
      <c r="L7969" t="s">
        <v>280</v>
      </c>
      <c r="M7969" t="s">
        <v>289</v>
      </c>
      <c r="N7969" t="s">
        <v>298</v>
      </c>
      <c r="O7969" t="s">
        <v>307</v>
      </c>
      <c r="P7969" t="s">
        <v>314</v>
      </c>
      <c r="Q7969" t="s">
        <v>216</v>
      </c>
      <c r="R7969" t="s">
        <v>326</v>
      </c>
      <c r="S7969" t="s">
        <v>333</v>
      </c>
      <c r="T7969" t="s">
        <v>335</v>
      </c>
      <c r="U7969" t="s">
        <v>340</v>
      </c>
      <c r="V7969" t="s">
        <v>344</v>
      </c>
      <c r="W7969" t="s">
        <v>349</v>
      </c>
      <c r="AK7969" t="s">
        <v>366</v>
      </c>
    </row>
    <row r="7970" spans="1:37">
      <c r="A7970" t="s">
        <v>43</v>
      </c>
      <c r="B7970" t="s">
        <v>63</v>
      </c>
      <c r="C7970" t="s">
        <v>85</v>
      </c>
      <c r="D7970" t="s">
        <v>104</v>
      </c>
      <c r="E7970" t="s">
        <v>123</v>
      </c>
      <c r="F7970" t="s">
        <v>157</v>
      </c>
      <c r="G7970" t="s">
        <v>183</v>
      </c>
      <c r="AK7970" t="s">
        <v>366</v>
      </c>
    </row>
    <row r="7971" spans="1:37">
      <c r="A7971" t="s">
        <v>44</v>
      </c>
      <c r="B7971" t="s">
        <v>64</v>
      </c>
      <c r="C7971" t="s">
        <v>86</v>
      </c>
      <c r="D7971" t="s">
        <v>105</v>
      </c>
      <c r="E7971" t="s">
        <v>124</v>
      </c>
      <c r="F7971" t="s">
        <v>158</v>
      </c>
      <c r="G7971" t="s">
        <v>184</v>
      </c>
      <c r="AK7971" t="s">
        <v>366</v>
      </c>
    </row>
    <row r="7972" spans="1:37">
      <c r="A7972" t="s">
        <v>45</v>
      </c>
      <c r="B7972" t="s">
        <v>65</v>
      </c>
      <c r="C7972" t="s">
        <v>87</v>
      </c>
      <c r="D7972" t="s">
        <v>106</v>
      </c>
      <c r="E7972" t="s">
        <v>125</v>
      </c>
      <c r="F7972" t="s">
        <v>159</v>
      </c>
      <c r="G7972" t="s">
        <v>185</v>
      </c>
      <c r="H7972" t="s">
        <v>159</v>
      </c>
      <c r="I7972" t="s">
        <v>185</v>
      </c>
      <c r="J7972" t="s">
        <v>255</v>
      </c>
      <c r="AK7972" t="s">
        <v>366</v>
      </c>
    </row>
    <row r="7973" spans="1:37">
      <c r="A7973" t="s">
        <v>46</v>
      </c>
      <c r="B7973" t="s">
        <v>66</v>
      </c>
      <c r="C7973" t="s">
        <v>88</v>
      </c>
      <c r="D7973" t="s">
        <v>76</v>
      </c>
      <c r="E7973" t="s">
        <v>126</v>
      </c>
      <c r="F7973" t="s">
        <v>160</v>
      </c>
      <c r="G7973" t="s">
        <v>186</v>
      </c>
      <c r="H7973" t="s">
        <v>217</v>
      </c>
      <c r="I7973" t="s">
        <v>238</v>
      </c>
      <c r="J7973" t="s">
        <v>256</v>
      </c>
      <c r="K7973" t="s">
        <v>265</v>
      </c>
      <c r="L7973" t="s">
        <v>281</v>
      </c>
      <c r="M7973" t="s">
        <v>290</v>
      </c>
      <c r="N7973" t="s">
        <v>299</v>
      </c>
      <c r="O7973" t="s">
        <v>308</v>
      </c>
      <c r="P7973" t="s">
        <v>228</v>
      </c>
      <c r="Q7973" t="s">
        <v>72</v>
      </c>
      <c r="R7973" t="s">
        <v>327</v>
      </c>
      <c r="S7973" t="s">
        <v>327</v>
      </c>
      <c r="T7973" t="s">
        <v>336</v>
      </c>
      <c r="U7973" t="s">
        <v>336</v>
      </c>
      <c r="V7973" t="s">
        <v>336</v>
      </c>
      <c r="W7973" t="s">
        <v>336</v>
      </c>
      <c r="X7973" t="s">
        <v>353</v>
      </c>
      <c r="AK7973" t="s">
        <v>366</v>
      </c>
    </row>
    <row r="7974" spans="1:37">
      <c r="B7974" t="s">
        <v>67</v>
      </c>
      <c r="C7974" t="s">
        <v>89</v>
      </c>
      <c r="D7974" t="s">
        <v>107</v>
      </c>
      <c r="AK7974" t="s">
        <v>366</v>
      </c>
    </row>
    <row r="7975" spans="1:37">
      <c r="B7975" t="s">
        <v>68</v>
      </c>
      <c r="C7975" t="s">
        <v>90</v>
      </c>
      <c r="D7975" t="s">
        <v>108</v>
      </c>
      <c r="AK7975" t="s">
        <v>366</v>
      </c>
    </row>
    <row r="7976" spans="1:37">
      <c r="A7976" t="s">
        <v>47</v>
      </c>
      <c r="B7976" t="s">
        <v>69</v>
      </c>
      <c r="C7976" t="s">
        <v>91</v>
      </c>
      <c r="D7976" t="s">
        <v>109</v>
      </c>
      <c r="E7976" t="s">
        <v>109</v>
      </c>
      <c r="F7976" t="s">
        <v>109</v>
      </c>
      <c r="G7976" t="s">
        <v>109</v>
      </c>
      <c r="H7976" t="s">
        <v>109</v>
      </c>
      <c r="I7976" t="s">
        <v>239</v>
      </c>
      <c r="AK7976" t="s">
        <v>366</v>
      </c>
    </row>
    <row r="7977" spans="1:37">
      <c r="B7977" t="s">
        <v>70</v>
      </c>
      <c r="C7977" t="s">
        <v>92</v>
      </c>
      <c r="D7977" t="s">
        <v>110</v>
      </c>
      <c r="E7977" t="s">
        <v>127</v>
      </c>
      <c r="F7977" t="s">
        <v>161</v>
      </c>
      <c r="G7977" t="s">
        <v>187</v>
      </c>
      <c r="H7977" t="s">
        <v>218</v>
      </c>
      <c r="AK7977" t="s">
        <v>366</v>
      </c>
    </row>
    <row r="7978" spans="1:37">
      <c r="B7978" t="s">
        <v>71</v>
      </c>
      <c r="C7978" t="s">
        <v>93</v>
      </c>
      <c r="D7978" t="s">
        <v>111</v>
      </c>
      <c r="E7978" t="s">
        <v>128</v>
      </c>
      <c r="F7978" t="s">
        <v>162</v>
      </c>
      <c r="G7978" t="s">
        <v>188</v>
      </c>
      <c r="H7978" t="s">
        <v>219</v>
      </c>
      <c r="I7978" t="s">
        <v>240</v>
      </c>
      <c r="J7978" t="s">
        <v>257</v>
      </c>
      <c r="K7978" t="s">
        <v>269</v>
      </c>
      <c r="L7978" t="s">
        <v>109</v>
      </c>
      <c r="M7978" t="s">
        <v>109</v>
      </c>
      <c r="N7978" t="s">
        <v>109</v>
      </c>
      <c r="O7978" t="s">
        <v>109</v>
      </c>
      <c r="P7978" t="s">
        <v>109</v>
      </c>
      <c r="Q7978" t="s">
        <v>321</v>
      </c>
      <c r="AK7978" t="s">
        <v>366</v>
      </c>
    </row>
    <row r="7979" spans="1:37">
      <c r="A7979" t="s">
        <v>48</v>
      </c>
      <c r="B7979" t="s">
        <v>71</v>
      </c>
      <c r="C7979" t="s">
        <v>93</v>
      </c>
      <c r="D7979" t="s">
        <v>111</v>
      </c>
      <c r="E7979" t="s">
        <v>128</v>
      </c>
      <c r="F7979" t="s">
        <v>163</v>
      </c>
      <c r="G7979" t="s">
        <v>189</v>
      </c>
      <c r="H7979" t="s">
        <v>220</v>
      </c>
      <c r="I7979" t="s">
        <v>241</v>
      </c>
      <c r="J7979" t="s">
        <v>258</v>
      </c>
      <c r="K7979" t="s">
        <v>270</v>
      </c>
      <c r="AK7979" t="s">
        <v>366</v>
      </c>
    </row>
    <row r="7980" spans="1:37">
      <c r="B7980" t="s">
        <v>72</v>
      </c>
      <c r="C7980" t="s">
        <v>72</v>
      </c>
      <c r="D7980" t="s">
        <v>72</v>
      </c>
      <c r="E7980" t="s">
        <v>139</v>
      </c>
      <c r="F7980" t="s">
        <v>139</v>
      </c>
      <c r="G7980" t="s">
        <v>192</v>
      </c>
      <c r="H7980" t="s">
        <v>192</v>
      </c>
      <c r="I7980" t="s">
        <v>192</v>
      </c>
      <c r="J7980" t="s">
        <v>192</v>
      </c>
      <c r="K7980" t="s">
        <v>271</v>
      </c>
      <c r="AK7980" t="s">
        <v>366</v>
      </c>
    </row>
    <row r="7981" spans="1:37">
      <c r="A7981" t="s">
        <v>37</v>
      </c>
      <c r="B7981" t="s">
        <v>49</v>
      </c>
      <c r="C7981" t="s">
        <v>73</v>
      </c>
      <c r="D7981" t="s">
        <v>94</v>
      </c>
      <c r="E7981" t="s">
        <v>112</v>
      </c>
      <c r="F7981" t="s">
        <v>146</v>
      </c>
      <c r="G7981" t="s">
        <v>172</v>
      </c>
      <c r="H7981" t="s">
        <v>207</v>
      </c>
      <c r="I7981" t="s">
        <v>226</v>
      </c>
      <c r="J7981" t="s">
        <v>246</v>
      </c>
      <c r="K7981" t="s">
        <v>259</v>
      </c>
      <c r="AK7981" t="s">
        <v>366</v>
      </c>
    </row>
    <row r="7982" spans="1:37">
      <c r="A7982" t="s">
        <v>38</v>
      </c>
      <c r="B7982" t="s">
        <v>50</v>
      </c>
      <c r="C7982" t="s">
        <v>74</v>
      </c>
      <c r="D7982" t="s">
        <v>95</v>
      </c>
      <c r="E7982" t="s">
        <v>113</v>
      </c>
      <c r="F7982" t="s">
        <v>147</v>
      </c>
      <c r="G7982" t="s">
        <v>173</v>
      </c>
      <c r="H7982" t="s">
        <v>208</v>
      </c>
      <c r="I7982" t="s">
        <v>227</v>
      </c>
      <c r="J7982" t="s">
        <v>115</v>
      </c>
      <c r="K7982" t="s">
        <v>260</v>
      </c>
      <c r="L7982" t="s">
        <v>273</v>
      </c>
      <c r="M7982" t="s">
        <v>282</v>
      </c>
      <c r="N7982" t="s">
        <v>291</v>
      </c>
      <c r="AK7982" t="s">
        <v>366</v>
      </c>
    </row>
    <row r="7983" spans="1:37">
      <c r="B7983" t="s">
        <v>51</v>
      </c>
      <c r="C7983" t="s">
        <v>75</v>
      </c>
      <c r="D7983" t="s">
        <v>52</v>
      </c>
      <c r="E7983" t="s">
        <v>114</v>
      </c>
      <c r="F7983" t="s">
        <v>148</v>
      </c>
      <c r="G7983" t="s">
        <v>148</v>
      </c>
      <c r="H7983" t="s">
        <v>209</v>
      </c>
      <c r="I7983" t="s">
        <v>228</v>
      </c>
      <c r="J7983" t="s">
        <v>247</v>
      </c>
      <c r="K7983" t="s">
        <v>261</v>
      </c>
      <c r="L7983" t="s">
        <v>274</v>
      </c>
      <c r="M7983" t="s">
        <v>283</v>
      </c>
      <c r="N7983" t="s">
        <v>292</v>
      </c>
      <c r="O7983" t="s">
        <v>300</v>
      </c>
      <c r="AK7983" t="s">
        <v>366</v>
      </c>
    </row>
    <row r="7984" spans="1:37">
      <c r="B7984" t="s">
        <v>52</v>
      </c>
      <c r="C7984" t="s">
        <v>76</v>
      </c>
      <c r="D7984" t="s">
        <v>96</v>
      </c>
      <c r="E7984" t="s">
        <v>115</v>
      </c>
      <c r="F7984" t="s">
        <v>149</v>
      </c>
      <c r="G7984" t="s">
        <v>174</v>
      </c>
      <c r="H7984" t="s">
        <v>96</v>
      </c>
      <c r="I7984" t="s">
        <v>229</v>
      </c>
      <c r="J7984" t="s">
        <v>248</v>
      </c>
      <c r="K7984" t="s">
        <v>262</v>
      </c>
      <c r="L7984" t="s">
        <v>52</v>
      </c>
      <c r="M7984" t="s">
        <v>76</v>
      </c>
      <c r="N7984" t="s">
        <v>293</v>
      </c>
      <c r="O7984" t="s">
        <v>301</v>
      </c>
      <c r="P7984" t="s">
        <v>309</v>
      </c>
      <c r="Q7984" t="s">
        <v>315</v>
      </c>
      <c r="R7984" t="s">
        <v>228</v>
      </c>
      <c r="S7984" t="s">
        <v>328</v>
      </c>
      <c r="T7984" t="s">
        <v>149</v>
      </c>
      <c r="U7984" t="s">
        <v>337</v>
      </c>
      <c r="V7984" t="s">
        <v>341</v>
      </c>
      <c r="W7984" t="s">
        <v>345</v>
      </c>
      <c r="X7984" t="s">
        <v>350</v>
      </c>
      <c r="AK7984" t="s">
        <v>366</v>
      </c>
    </row>
    <row r="7985" spans="1:37">
      <c r="B7985" t="s">
        <v>53</v>
      </c>
      <c r="C7985" t="s">
        <v>77</v>
      </c>
      <c r="D7985" t="s">
        <v>97</v>
      </c>
      <c r="E7985" t="s">
        <v>116</v>
      </c>
      <c r="F7985" t="s">
        <v>150</v>
      </c>
      <c r="G7985" t="s">
        <v>175</v>
      </c>
      <c r="H7985" t="s">
        <v>210</v>
      </c>
      <c r="I7985" t="s">
        <v>230</v>
      </c>
      <c r="J7985" t="s">
        <v>249</v>
      </c>
      <c r="K7985" t="s">
        <v>263</v>
      </c>
      <c r="L7985" t="s">
        <v>275</v>
      </c>
      <c r="M7985" t="s">
        <v>284</v>
      </c>
      <c r="N7985" t="s">
        <v>294</v>
      </c>
      <c r="O7985" t="s">
        <v>302</v>
      </c>
      <c r="P7985" t="s">
        <v>310</v>
      </c>
      <c r="Q7985" t="s">
        <v>316</v>
      </c>
      <c r="R7985" t="s">
        <v>322</v>
      </c>
      <c r="S7985" t="s">
        <v>329</v>
      </c>
      <c r="AK7985" t="s">
        <v>366</v>
      </c>
    </row>
    <row r="7986" spans="1:37">
      <c r="A7986" t="s">
        <v>39</v>
      </c>
      <c r="B7986" t="s">
        <v>54</v>
      </c>
      <c r="C7986" t="s">
        <v>54</v>
      </c>
      <c r="D7986" t="s">
        <v>54</v>
      </c>
      <c r="E7986" t="s">
        <v>54</v>
      </c>
      <c r="F7986" t="s">
        <v>54</v>
      </c>
      <c r="G7986" t="s">
        <v>54</v>
      </c>
      <c r="H7986" t="s">
        <v>54</v>
      </c>
      <c r="I7986" t="s">
        <v>54</v>
      </c>
      <c r="J7986" t="s">
        <v>54</v>
      </c>
      <c r="K7986" t="s">
        <v>54</v>
      </c>
      <c r="L7986" t="s">
        <v>54</v>
      </c>
      <c r="M7986" t="s">
        <v>54</v>
      </c>
      <c r="N7986" t="s">
        <v>54</v>
      </c>
      <c r="O7986" t="s">
        <v>54</v>
      </c>
      <c r="P7986" t="s">
        <v>54</v>
      </c>
      <c r="Q7986" t="s">
        <v>54</v>
      </c>
      <c r="R7986" t="s">
        <v>323</v>
      </c>
      <c r="S7986" t="s">
        <v>330</v>
      </c>
      <c r="AK7986" t="s">
        <v>366</v>
      </c>
    </row>
    <row r="7987" spans="1:37">
      <c r="B7987" t="s">
        <v>55</v>
      </c>
      <c r="C7987" t="s">
        <v>78</v>
      </c>
      <c r="D7987" t="s">
        <v>55</v>
      </c>
      <c r="E7987" t="s">
        <v>78</v>
      </c>
      <c r="F7987" t="s">
        <v>55</v>
      </c>
      <c r="G7987" t="s">
        <v>78</v>
      </c>
      <c r="H7987" t="s">
        <v>55</v>
      </c>
      <c r="I7987" t="s">
        <v>78</v>
      </c>
      <c r="J7987" t="s">
        <v>55</v>
      </c>
      <c r="K7987" t="s">
        <v>78</v>
      </c>
      <c r="L7987" t="s">
        <v>55</v>
      </c>
      <c r="M7987" t="s">
        <v>78</v>
      </c>
      <c r="N7987" t="s">
        <v>55</v>
      </c>
      <c r="O7987" t="s">
        <v>78</v>
      </c>
      <c r="P7987" t="s">
        <v>55</v>
      </c>
      <c r="Q7987" t="s">
        <v>78</v>
      </c>
      <c r="R7987" t="s">
        <v>55</v>
      </c>
      <c r="S7987" t="s">
        <v>78</v>
      </c>
      <c r="T7987" t="s">
        <v>55</v>
      </c>
      <c r="U7987" t="s">
        <v>78</v>
      </c>
      <c r="V7987" t="s">
        <v>55</v>
      </c>
      <c r="W7987" t="s">
        <v>78</v>
      </c>
      <c r="X7987" t="s">
        <v>55</v>
      </c>
      <c r="Y7987" t="s">
        <v>78</v>
      </c>
      <c r="Z7987" t="s">
        <v>55</v>
      </c>
      <c r="AA7987" t="s">
        <v>78</v>
      </c>
      <c r="AB7987" t="s">
        <v>55</v>
      </c>
      <c r="AC7987" t="s">
        <v>78</v>
      </c>
      <c r="AD7987" t="s">
        <v>55</v>
      </c>
      <c r="AE7987" t="s">
        <v>78</v>
      </c>
      <c r="AF7987" t="s">
        <v>55</v>
      </c>
      <c r="AG7987" t="s">
        <v>78</v>
      </c>
      <c r="AH7987" t="s">
        <v>55</v>
      </c>
      <c r="AI7987" t="s">
        <v>78</v>
      </c>
      <c r="AK7987" t="s">
        <v>366</v>
      </c>
    </row>
    <row r="7988" spans="1:37">
      <c r="B7988" t="s">
        <v>56</v>
      </c>
      <c r="C7988" t="s">
        <v>56</v>
      </c>
      <c r="D7988" t="s">
        <v>56</v>
      </c>
      <c r="E7988" t="s">
        <v>56</v>
      </c>
      <c r="F7988" t="s">
        <v>56</v>
      </c>
      <c r="G7988" t="s">
        <v>176</v>
      </c>
      <c r="H7988" t="s">
        <v>211</v>
      </c>
      <c r="I7988" t="s">
        <v>231</v>
      </c>
      <c r="J7988" t="s">
        <v>250</v>
      </c>
      <c r="K7988" t="s">
        <v>264</v>
      </c>
      <c r="L7988" t="s">
        <v>276</v>
      </c>
      <c r="M7988" t="s">
        <v>285</v>
      </c>
      <c r="N7988" t="s">
        <v>295</v>
      </c>
      <c r="O7988" t="s">
        <v>303</v>
      </c>
      <c r="P7988" t="s">
        <v>56</v>
      </c>
      <c r="Q7988" t="s">
        <v>317</v>
      </c>
      <c r="R7988" t="s">
        <v>324</v>
      </c>
      <c r="S7988" t="s">
        <v>331</v>
      </c>
      <c r="T7988" t="s">
        <v>334</v>
      </c>
      <c r="U7988" t="s">
        <v>338</v>
      </c>
      <c r="V7988" t="s">
        <v>342</v>
      </c>
      <c r="W7988" t="s">
        <v>346</v>
      </c>
      <c r="X7988" t="s">
        <v>351</v>
      </c>
      <c r="AK7988" t="s">
        <v>366</v>
      </c>
    </row>
    <row r="7989" spans="1:37">
      <c r="B7989" t="s">
        <v>57</v>
      </c>
      <c r="C7989" t="s">
        <v>79</v>
      </c>
      <c r="D7989" t="s">
        <v>98</v>
      </c>
      <c r="E7989" t="s">
        <v>117</v>
      </c>
      <c r="F7989" t="s">
        <v>151</v>
      </c>
      <c r="G7989" t="s">
        <v>177</v>
      </c>
      <c r="H7989" t="s">
        <v>212</v>
      </c>
      <c r="I7989" t="s">
        <v>232</v>
      </c>
      <c r="J7989" t="s">
        <v>251</v>
      </c>
      <c r="K7989" t="s">
        <v>265</v>
      </c>
      <c r="L7989" t="s">
        <v>277</v>
      </c>
      <c r="M7989" t="s">
        <v>286</v>
      </c>
      <c r="N7989" t="s">
        <v>296</v>
      </c>
      <c r="O7989" t="s">
        <v>304</v>
      </c>
      <c r="P7989" t="s">
        <v>311</v>
      </c>
      <c r="Q7989" t="s">
        <v>318</v>
      </c>
      <c r="R7989" t="s">
        <v>185</v>
      </c>
      <c r="S7989" t="s">
        <v>159</v>
      </c>
      <c r="T7989" t="s">
        <v>185</v>
      </c>
      <c r="U7989" t="s">
        <v>339</v>
      </c>
      <c r="V7989" t="s">
        <v>72</v>
      </c>
      <c r="W7989" t="s">
        <v>347</v>
      </c>
      <c r="X7989" t="s">
        <v>72</v>
      </c>
      <c r="Y7989" t="s">
        <v>96</v>
      </c>
      <c r="AK7989" t="s">
        <v>366</v>
      </c>
    </row>
    <row r="7990" spans="1:37">
      <c r="B7990" t="s">
        <v>58</v>
      </c>
      <c r="C7990" t="s">
        <v>80</v>
      </c>
      <c r="D7990" t="s">
        <v>99</v>
      </c>
      <c r="E7990" t="s">
        <v>118</v>
      </c>
      <c r="F7990" t="s">
        <v>152</v>
      </c>
      <c r="G7990" t="s">
        <v>178</v>
      </c>
      <c r="H7990" t="s">
        <v>213</v>
      </c>
      <c r="I7990" t="s">
        <v>233</v>
      </c>
      <c r="J7990" t="s">
        <v>252</v>
      </c>
      <c r="K7990" t="s">
        <v>266</v>
      </c>
      <c r="L7990" t="s">
        <v>278</v>
      </c>
      <c r="M7990" t="s">
        <v>287</v>
      </c>
      <c r="N7990" t="s">
        <v>297</v>
      </c>
      <c r="O7990" t="s">
        <v>305</v>
      </c>
      <c r="P7990" t="s">
        <v>312</v>
      </c>
      <c r="Q7990" t="s">
        <v>319</v>
      </c>
      <c r="R7990">
        <f>&gt;10       ветра      2.8     16   7</f>
        <v>0</v>
      </c>
      <c r="AK7990" t="s">
        <v>366</v>
      </c>
    </row>
    <row r="7991" spans="1:37">
      <c r="A7991" t="s">
        <v>40</v>
      </c>
      <c r="B7991" t="s">
        <v>59</v>
      </c>
      <c r="C7991" t="s">
        <v>81</v>
      </c>
      <c r="D7991" t="s">
        <v>100</v>
      </c>
      <c r="E7991" t="s">
        <v>119</v>
      </c>
      <c r="F7991" t="s">
        <v>153</v>
      </c>
      <c r="G7991" t="s">
        <v>179</v>
      </c>
      <c r="H7991" t="s">
        <v>214</v>
      </c>
      <c r="I7991" t="s">
        <v>234</v>
      </c>
      <c r="AK7991" t="s">
        <v>366</v>
      </c>
    </row>
    <row r="7992" spans="1:37">
      <c r="A7992" t="s">
        <v>40</v>
      </c>
      <c r="B7992" t="s">
        <v>60</v>
      </c>
      <c r="C7992" t="s">
        <v>82</v>
      </c>
      <c r="D7992" t="s">
        <v>101</v>
      </c>
      <c r="E7992" t="s">
        <v>120</v>
      </c>
      <c r="F7992" t="s">
        <v>154</v>
      </c>
      <c r="G7992" t="s">
        <v>180</v>
      </c>
      <c r="H7992" t="s">
        <v>215</v>
      </c>
      <c r="I7992" t="s">
        <v>235</v>
      </c>
      <c r="J7992" t="s">
        <v>253</v>
      </c>
      <c r="K7992" t="s">
        <v>267</v>
      </c>
      <c r="L7992" t="s">
        <v>279</v>
      </c>
      <c r="M7992" t="s">
        <v>288</v>
      </c>
      <c r="N7992" t="s">
        <v>100</v>
      </c>
      <c r="O7992" t="s">
        <v>306</v>
      </c>
      <c r="P7992" t="s">
        <v>313</v>
      </c>
      <c r="Q7992" t="s">
        <v>320</v>
      </c>
      <c r="R7992" t="s">
        <v>325</v>
      </c>
      <c r="S7992" t="s">
        <v>332</v>
      </c>
      <c r="T7992" t="s">
        <v>119</v>
      </c>
      <c r="U7992" t="s">
        <v>234</v>
      </c>
      <c r="V7992" t="s">
        <v>343</v>
      </c>
      <c r="W7992" t="s">
        <v>348</v>
      </c>
      <c r="X7992" t="s">
        <v>352</v>
      </c>
      <c r="Y7992" t="s">
        <v>354</v>
      </c>
      <c r="AK7992" t="s">
        <v>366</v>
      </c>
    </row>
    <row r="7993" spans="1:37">
      <c r="A7993" t="s">
        <v>41</v>
      </c>
      <c r="B7993" t="s">
        <v>61</v>
      </c>
      <c r="C7993" t="s">
        <v>83</v>
      </c>
      <c r="D7993" t="s">
        <v>102</v>
      </c>
      <c r="E7993" t="s">
        <v>121</v>
      </c>
      <c r="F7993" t="s">
        <v>155</v>
      </c>
      <c r="G7993" t="s">
        <v>181</v>
      </c>
      <c r="H7993" t="s">
        <v>216</v>
      </c>
      <c r="I7993" t="s">
        <v>236</v>
      </c>
      <c r="AK7993" t="s">
        <v>366</v>
      </c>
    </row>
    <row r="7994" spans="1:37">
      <c r="A7994" t="s">
        <v>42</v>
      </c>
      <c r="B7994" t="s">
        <v>62</v>
      </c>
      <c r="C7994" t="s">
        <v>84</v>
      </c>
      <c r="D7994" t="s">
        <v>103</v>
      </c>
      <c r="E7994" t="s">
        <v>122</v>
      </c>
      <c r="F7994" t="s">
        <v>156</v>
      </c>
      <c r="G7994" t="s">
        <v>182</v>
      </c>
      <c r="H7994" t="s">
        <v>83</v>
      </c>
      <c r="I7994" t="s">
        <v>237</v>
      </c>
      <c r="J7994" t="s">
        <v>254</v>
      </c>
      <c r="K7994" t="s">
        <v>268</v>
      </c>
      <c r="L7994" t="s">
        <v>280</v>
      </c>
      <c r="M7994" t="s">
        <v>289</v>
      </c>
      <c r="N7994" t="s">
        <v>298</v>
      </c>
      <c r="O7994" t="s">
        <v>307</v>
      </c>
      <c r="P7994" t="s">
        <v>314</v>
      </c>
      <c r="Q7994" t="s">
        <v>216</v>
      </c>
      <c r="R7994" t="s">
        <v>326</v>
      </c>
      <c r="S7994" t="s">
        <v>333</v>
      </c>
      <c r="T7994" t="s">
        <v>335</v>
      </c>
      <c r="U7994" t="s">
        <v>340</v>
      </c>
      <c r="V7994" t="s">
        <v>344</v>
      </c>
      <c r="W7994" t="s">
        <v>349</v>
      </c>
      <c r="AK7994" t="s">
        <v>366</v>
      </c>
    </row>
    <row r="7995" spans="1:37">
      <c r="A7995" t="s">
        <v>43</v>
      </c>
      <c r="B7995" t="s">
        <v>63</v>
      </c>
      <c r="C7995" t="s">
        <v>85</v>
      </c>
      <c r="D7995" t="s">
        <v>104</v>
      </c>
      <c r="E7995" t="s">
        <v>123</v>
      </c>
      <c r="F7995" t="s">
        <v>157</v>
      </c>
      <c r="G7995" t="s">
        <v>183</v>
      </c>
      <c r="AK7995" t="s">
        <v>366</v>
      </c>
    </row>
    <row r="7996" spans="1:37">
      <c r="A7996" t="s">
        <v>44</v>
      </c>
      <c r="B7996" t="s">
        <v>64</v>
      </c>
      <c r="C7996" t="s">
        <v>86</v>
      </c>
      <c r="D7996" t="s">
        <v>105</v>
      </c>
      <c r="E7996" t="s">
        <v>124</v>
      </c>
      <c r="F7996" t="s">
        <v>158</v>
      </c>
      <c r="G7996" t="s">
        <v>184</v>
      </c>
      <c r="AK7996" t="s">
        <v>366</v>
      </c>
    </row>
    <row r="7997" spans="1:37">
      <c r="A7997" t="s">
        <v>45</v>
      </c>
      <c r="B7997" t="s">
        <v>65</v>
      </c>
      <c r="C7997" t="s">
        <v>87</v>
      </c>
      <c r="D7997" t="s">
        <v>106</v>
      </c>
      <c r="E7997" t="s">
        <v>125</v>
      </c>
      <c r="F7997" t="s">
        <v>159</v>
      </c>
      <c r="G7997" t="s">
        <v>185</v>
      </c>
      <c r="H7997" t="s">
        <v>159</v>
      </c>
      <c r="I7997" t="s">
        <v>185</v>
      </c>
      <c r="J7997" t="s">
        <v>255</v>
      </c>
      <c r="AK7997" t="s">
        <v>366</v>
      </c>
    </row>
    <row r="7998" spans="1:37">
      <c r="A7998" t="s">
        <v>46</v>
      </c>
      <c r="B7998" t="s">
        <v>66</v>
      </c>
      <c r="C7998" t="s">
        <v>88</v>
      </c>
      <c r="D7998" t="s">
        <v>76</v>
      </c>
      <c r="E7998" t="s">
        <v>126</v>
      </c>
      <c r="F7998" t="s">
        <v>160</v>
      </c>
      <c r="G7998" t="s">
        <v>186</v>
      </c>
      <c r="H7998" t="s">
        <v>217</v>
      </c>
      <c r="I7998" t="s">
        <v>238</v>
      </c>
      <c r="J7998" t="s">
        <v>256</v>
      </c>
      <c r="K7998" t="s">
        <v>265</v>
      </c>
      <c r="L7998" t="s">
        <v>281</v>
      </c>
      <c r="M7998" t="s">
        <v>290</v>
      </c>
      <c r="N7998" t="s">
        <v>299</v>
      </c>
      <c r="O7998" t="s">
        <v>308</v>
      </c>
      <c r="P7998" t="s">
        <v>228</v>
      </c>
      <c r="Q7998" t="s">
        <v>72</v>
      </c>
      <c r="R7998" t="s">
        <v>327</v>
      </c>
      <c r="S7998" t="s">
        <v>327</v>
      </c>
      <c r="T7998" t="s">
        <v>336</v>
      </c>
      <c r="U7998" t="s">
        <v>336</v>
      </c>
      <c r="V7998" t="s">
        <v>336</v>
      </c>
      <c r="W7998" t="s">
        <v>336</v>
      </c>
      <c r="X7998" t="s">
        <v>353</v>
      </c>
      <c r="AK7998" t="s">
        <v>366</v>
      </c>
    </row>
    <row r="7999" spans="1:37">
      <c r="A7999" t="s">
        <v>37</v>
      </c>
      <c r="B7999" t="s">
        <v>49</v>
      </c>
      <c r="C7999" t="s">
        <v>73</v>
      </c>
      <c r="D7999" t="s">
        <v>94</v>
      </c>
      <c r="E7999" t="s">
        <v>112</v>
      </c>
      <c r="F7999" t="s">
        <v>146</v>
      </c>
      <c r="G7999" t="s">
        <v>172</v>
      </c>
      <c r="H7999" t="s">
        <v>207</v>
      </c>
      <c r="I7999" t="s">
        <v>226</v>
      </c>
      <c r="J7999" t="s">
        <v>246</v>
      </c>
      <c r="K7999" t="s">
        <v>259</v>
      </c>
      <c r="AK7999" t="s">
        <v>366</v>
      </c>
    </row>
    <row r="8000" spans="1:37">
      <c r="A8000" t="s">
        <v>38</v>
      </c>
      <c r="B8000" t="s">
        <v>50</v>
      </c>
      <c r="C8000" t="s">
        <v>74</v>
      </c>
      <c r="D8000" t="s">
        <v>95</v>
      </c>
      <c r="E8000" t="s">
        <v>113</v>
      </c>
      <c r="F8000" t="s">
        <v>147</v>
      </c>
      <c r="G8000" t="s">
        <v>173</v>
      </c>
      <c r="H8000" t="s">
        <v>208</v>
      </c>
      <c r="I8000" t="s">
        <v>227</v>
      </c>
      <c r="J8000" t="s">
        <v>115</v>
      </c>
      <c r="K8000" t="s">
        <v>260</v>
      </c>
      <c r="L8000" t="s">
        <v>273</v>
      </c>
      <c r="M8000" t="s">
        <v>282</v>
      </c>
      <c r="N8000" t="s">
        <v>291</v>
      </c>
      <c r="AK8000" t="s">
        <v>366</v>
      </c>
    </row>
    <row r="8001" spans="1:37">
      <c r="B8001" t="s">
        <v>51</v>
      </c>
      <c r="C8001" t="s">
        <v>75</v>
      </c>
      <c r="D8001" t="s">
        <v>52</v>
      </c>
      <c r="E8001" t="s">
        <v>114</v>
      </c>
      <c r="F8001" t="s">
        <v>148</v>
      </c>
      <c r="G8001" t="s">
        <v>148</v>
      </c>
      <c r="H8001" t="s">
        <v>209</v>
      </c>
      <c r="I8001" t="s">
        <v>228</v>
      </c>
      <c r="J8001" t="s">
        <v>247</v>
      </c>
      <c r="K8001" t="s">
        <v>261</v>
      </c>
      <c r="L8001" t="s">
        <v>274</v>
      </c>
      <c r="M8001" t="s">
        <v>283</v>
      </c>
      <c r="N8001" t="s">
        <v>292</v>
      </c>
      <c r="O8001" t="s">
        <v>300</v>
      </c>
      <c r="AK8001" t="s">
        <v>366</v>
      </c>
    </row>
    <row r="8002" spans="1:37">
      <c r="B8002" t="s">
        <v>52</v>
      </c>
      <c r="C8002" t="s">
        <v>76</v>
      </c>
      <c r="D8002" t="s">
        <v>96</v>
      </c>
      <c r="E8002" t="s">
        <v>115</v>
      </c>
      <c r="F8002" t="s">
        <v>149</v>
      </c>
      <c r="G8002" t="s">
        <v>174</v>
      </c>
      <c r="H8002" t="s">
        <v>96</v>
      </c>
      <c r="I8002" t="s">
        <v>229</v>
      </c>
      <c r="J8002" t="s">
        <v>248</v>
      </c>
      <c r="K8002" t="s">
        <v>262</v>
      </c>
      <c r="L8002" t="s">
        <v>52</v>
      </c>
      <c r="M8002" t="s">
        <v>76</v>
      </c>
      <c r="N8002" t="s">
        <v>293</v>
      </c>
      <c r="O8002" t="s">
        <v>301</v>
      </c>
      <c r="P8002" t="s">
        <v>309</v>
      </c>
      <c r="Q8002" t="s">
        <v>315</v>
      </c>
      <c r="R8002" t="s">
        <v>228</v>
      </c>
      <c r="S8002" t="s">
        <v>328</v>
      </c>
      <c r="T8002" t="s">
        <v>149</v>
      </c>
      <c r="U8002" t="s">
        <v>337</v>
      </c>
      <c r="V8002" t="s">
        <v>341</v>
      </c>
      <c r="W8002" t="s">
        <v>345</v>
      </c>
      <c r="X8002" t="s">
        <v>350</v>
      </c>
      <c r="AK8002" t="s">
        <v>366</v>
      </c>
    </row>
    <row r="8003" spans="1:37">
      <c r="B8003" t="s">
        <v>53</v>
      </c>
      <c r="C8003" t="s">
        <v>77</v>
      </c>
      <c r="D8003" t="s">
        <v>97</v>
      </c>
      <c r="E8003" t="s">
        <v>116</v>
      </c>
      <c r="F8003" t="s">
        <v>150</v>
      </c>
      <c r="G8003" t="s">
        <v>175</v>
      </c>
      <c r="H8003" t="s">
        <v>210</v>
      </c>
      <c r="I8003" t="s">
        <v>230</v>
      </c>
      <c r="J8003" t="s">
        <v>249</v>
      </c>
      <c r="K8003" t="s">
        <v>263</v>
      </c>
      <c r="L8003" t="s">
        <v>275</v>
      </c>
      <c r="M8003" t="s">
        <v>284</v>
      </c>
      <c r="N8003" t="s">
        <v>294</v>
      </c>
      <c r="O8003" t="s">
        <v>302</v>
      </c>
      <c r="P8003" t="s">
        <v>310</v>
      </c>
      <c r="Q8003" t="s">
        <v>316</v>
      </c>
      <c r="R8003" t="s">
        <v>322</v>
      </c>
      <c r="S8003" t="s">
        <v>329</v>
      </c>
      <c r="AK8003" t="s">
        <v>366</v>
      </c>
    </row>
    <row r="8004" spans="1:37">
      <c r="A8004" t="s">
        <v>39</v>
      </c>
      <c r="B8004" t="s">
        <v>54</v>
      </c>
      <c r="C8004" t="s">
        <v>54</v>
      </c>
      <c r="D8004" t="s">
        <v>54</v>
      </c>
      <c r="E8004" t="s">
        <v>54</v>
      </c>
      <c r="F8004" t="s">
        <v>54</v>
      </c>
      <c r="G8004" t="s">
        <v>54</v>
      </c>
      <c r="H8004" t="s">
        <v>54</v>
      </c>
      <c r="I8004" t="s">
        <v>54</v>
      </c>
      <c r="J8004" t="s">
        <v>54</v>
      </c>
      <c r="K8004" t="s">
        <v>54</v>
      </c>
      <c r="L8004" t="s">
        <v>54</v>
      </c>
      <c r="M8004" t="s">
        <v>54</v>
      </c>
      <c r="N8004" t="s">
        <v>54</v>
      </c>
      <c r="O8004" t="s">
        <v>54</v>
      </c>
      <c r="P8004" t="s">
        <v>54</v>
      </c>
      <c r="Q8004" t="s">
        <v>54</v>
      </c>
      <c r="R8004" t="s">
        <v>323</v>
      </c>
      <c r="S8004" t="s">
        <v>330</v>
      </c>
      <c r="AK8004" t="s">
        <v>366</v>
      </c>
    </row>
    <row r="8005" spans="1:37">
      <c r="B8005" t="s">
        <v>55</v>
      </c>
      <c r="C8005" t="s">
        <v>78</v>
      </c>
      <c r="D8005" t="s">
        <v>55</v>
      </c>
      <c r="E8005" t="s">
        <v>78</v>
      </c>
      <c r="F8005" t="s">
        <v>55</v>
      </c>
      <c r="G8005" t="s">
        <v>78</v>
      </c>
      <c r="H8005" t="s">
        <v>55</v>
      </c>
      <c r="I8005" t="s">
        <v>78</v>
      </c>
      <c r="J8005" t="s">
        <v>55</v>
      </c>
      <c r="K8005" t="s">
        <v>78</v>
      </c>
      <c r="L8005" t="s">
        <v>55</v>
      </c>
      <c r="M8005" t="s">
        <v>78</v>
      </c>
      <c r="N8005" t="s">
        <v>55</v>
      </c>
      <c r="O8005" t="s">
        <v>78</v>
      </c>
      <c r="P8005" t="s">
        <v>55</v>
      </c>
      <c r="Q8005" t="s">
        <v>78</v>
      </c>
      <c r="R8005" t="s">
        <v>55</v>
      </c>
      <c r="S8005" t="s">
        <v>78</v>
      </c>
      <c r="T8005" t="s">
        <v>55</v>
      </c>
      <c r="U8005" t="s">
        <v>78</v>
      </c>
      <c r="V8005" t="s">
        <v>55</v>
      </c>
      <c r="W8005" t="s">
        <v>78</v>
      </c>
      <c r="X8005" t="s">
        <v>55</v>
      </c>
      <c r="Y8005" t="s">
        <v>78</v>
      </c>
      <c r="Z8005" t="s">
        <v>55</v>
      </c>
      <c r="AA8005" t="s">
        <v>78</v>
      </c>
      <c r="AB8005" t="s">
        <v>55</v>
      </c>
      <c r="AC8005" t="s">
        <v>78</v>
      </c>
      <c r="AD8005" t="s">
        <v>55</v>
      </c>
      <c r="AE8005" t="s">
        <v>78</v>
      </c>
      <c r="AF8005" t="s">
        <v>55</v>
      </c>
      <c r="AG8005" t="s">
        <v>78</v>
      </c>
      <c r="AH8005" t="s">
        <v>55</v>
      </c>
      <c r="AI8005" t="s">
        <v>78</v>
      </c>
      <c r="AK8005" t="s">
        <v>366</v>
      </c>
    </row>
    <row r="8006" spans="1:37">
      <c r="B8006" t="s">
        <v>56</v>
      </c>
      <c r="C8006" t="s">
        <v>56</v>
      </c>
      <c r="D8006" t="s">
        <v>56</v>
      </c>
      <c r="E8006" t="s">
        <v>56</v>
      </c>
      <c r="F8006" t="s">
        <v>56</v>
      </c>
      <c r="G8006" t="s">
        <v>176</v>
      </c>
      <c r="H8006" t="s">
        <v>211</v>
      </c>
      <c r="I8006" t="s">
        <v>231</v>
      </c>
      <c r="J8006" t="s">
        <v>250</v>
      </c>
      <c r="K8006" t="s">
        <v>264</v>
      </c>
      <c r="L8006" t="s">
        <v>276</v>
      </c>
      <c r="M8006" t="s">
        <v>285</v>
      </c>
      <c r="N8006" t="s">
        <v>295</v>
      </c>
      <c r="O8006" t="s">
        <v>303</v>
      </c>
      <c r="P8006" t="s">
        <v>56</v>
      </c>
      <c r="Q8006" t="s">
        <v>317</v>
      </c>
      <c r="R8006" t="s">
        <v>324</v>
      </c>
      <c r="S8006" t="s">
        <v>331</v>
      </c>
      <c r="T8006" t="s">
        <v>334</v>
      </c>
      <c r="U8006" t="s">
        <v>338</v>
      </c>
      <c r="V8006" t="s">
        <v>342</v>
      </c>
      <c r="W8006" t="s">
        <v>346</v>
      </c>
      <c r="X8006" t="s">
        <v>351</v>
      </c>
      <c r="AK8006" t="s">
        <v>366</v>
      </c>
    </row>
    <row r="8007" spans="1:37">
      <c r="B8007" t="s">
        <v>57</v>
      </c>
      <c r="C8007" t="s">
        <v>79</v>
      </c>
      <c r="D8007" t="s">
        <v>98</v>
      </c>
      <c r="E8007" t="s">
        <v>117</v>
      </c>
      <c r="F8007" t="s">
        <v>151</v>
      </c>
      <c r="G8007" t="s">
        <v>177</v>
      </c>
      <c r="H8007" t="s">
        <v>212</v>
      </c>
      <c r="I8007" t="s">
        <v>232</v>
      </c>
      <c r="J8007" t="s">
        <v>251</v>
      </c>
      <c r="K8007" t="s">
        <v>265</v>
      </c>
      <c r="L8007" t="s">
        <v>277</v>
      </c>
      <c r="M8007" t="s">
        <v>286</v>
      </c>
      <c r="N8007" t="s">
        <v>296</v>
      </c>
      <c r="O8007" t="s">
        <v>304</v>
      </c>
      <c r="P8007" t="s">
        <v>311</v>
      </c>
      <c r="Q8007" t="s">
        <v>318</v>
      </c>
      <c r="R8007" t="s">
        <v>185</v>
      </c>
      <c r="S8007" t="s">
        <v>159</v>
      </c>
      <c r="T8007" t="s">
        <v>185</v>
      </c>
      <c r="U8007" t="s">
        <v>339</v>
      </c>
      <c r="V8007" t="s">
        <v>72</v>
      </c>
      <c r="W8007" t="s">
        <v>347</v>
      </c>
      <c r="X8007" t="s">
        <v>72</v>
      </c>
      <c r="Y8007" t="s">
        <v>96</v>
      </c>
      <c r="AK8007" t="s">
        <v>366</v>
      </c>
    </row>
    <row r="8008" spans="1:37">
      <c r="B8008" t="s">
        <v>58</v>
      </c>
      <c r="C8008" t="s">
        <v>80</v>
      </c>
      <c r="D8008" t="s">
        <v>99</v>
      </c>
      <c r="E8008" t="s">
        <v>118</v>
      </c>
      <c r="F8008" t="s">
        <v>152</v>
      </c>
      <c r="G8008" t="s">
        <v>178</v>
      </c>
      <c r="H8008" t="s">
        <v>213</v>
      </c>
      <c r="I8008" t="s">
        <v>233</v>
      </c>
      <c r="J8008" t="s">
        <v>252</v>
      </c>
      <c r="K8008" t="s">
        <v>266</v>
      </c>
      <c r="L8008" t="s">
        <v>278</v>
      </c>
      <c r="M8008" t="s">
        <v>287</v>
      </c>
      <c r="N8008" t="s">
        <v>297</v>
      </c>
      <c r="O8008" t="s">
        <v>305</v>
      </c>
      <c r="P8008" t="s">
        <v>312</v>
      </c>
      <c r="Q8008" t="s">
        <v>319</v>
      </c>
      <c r="R8008">
        <f>&gt;10       ветра      3.5     23   7</f>
        <v>0</v>
      </c>
      <c r="AK8008" t="s">
        <v>366</v>
      </c>
    </row>
    <row r="8009" spans="1:37">
      <c r="A8009" t="s">
        <v>40</v>
      </c>
      <c r="B8009" t="s">
        <v>59</v>
      </c>
      <c r="C8009" t="s">
        <v>81</v>
      </c>
      <c r="D8009" t="s">
        <v>100</v>
      </c>
      <c r="E8009" t="s">
        <v>119</v>
      </c>
      <c r="F8009" t="s">
        <v>153</v>
      </c>
      <c r="G8009" t="s">
        <v>179</v>
      </c>
      <c r="H8009" t="s">
        <v>214</v>
      </c>
      <c r="I8009" t="s">
        <v>234</v>
      </c>
      <c r="AK8009" t="s">
        <v>366</v>
      </c>
    </row>
    <row r="8010" spans="1:37">
      <c r="A8010" t="s">
        <v>40</v>
      </c>
      <c r="B8010" t="s">
        <v>60</v>
      </c>
      <c r="C8010" t="s">
        <v>82</v>
      </c>
      <c r="D8010" t="s">
        <v>101</v>
      </c>
      <c r="E8010" t="s">
        <v>120</v>
      </c>
      <c r="F8010" t="s">
        <v>154</v>
      </c>
      <c r="G8010" t="s">
        <v>180</v>
      </c>
      <c r="H8010" t="s">
        <v>215</v>
      </c>
      <c r="I8010" t="s">
        <v>235</v>
      </c>
      <c r="J8010" t="s">
        <v>253</v>
      </c>
      <c r="K8010" t="s">
        <v>267</v>
      </c>
      <c r="L8010" t="s">
        <v>279</v>
      </c>
      <c r="M8010" t="s">
        <v>288</v>
      </c>
      <c r="N8010" t="s">
        <v>100</v>
      </c>
      <c r="O8010" t="s">
        <v>306</v>
      </c>
      <c r="P8010" t="s">
        <v>313</v>
      </c>
      <c r="Q8010" t="s">
        <v>320</v>
      </c>
      <c r="R8010" t="s">
        <v>325</v>
      </c>
      <c r="S8010" t="s">
        <v>332</v>
      </c>
      <c r="T8010" t="s">
        <v>119</v>
      </c>
      <c r="U8010" t="s">
        <v>234</v>
      </c>
      <c r="V8010" t="s">
        <v>343</v>
      </c>
      <c r="W8010" t="s">
        <v>348</v>
      </c>
      <c r="X8010" t="s">
        <v>352</v>
      </c>
      <c r="Y8010" t="s">
        <v>354</v>
      </c>
      <c r="AK8010" t="s">
        <v>366</v>
      </c>
    </row>
    <row r="8011" spans="1:37">
      <c r="A8011" t="s">
        <v>41</v>
      </c>
      <c r="B8011" t="s">
        <v>61</v>
      </c>
      <c r="C8011" t="s">
        <v>83</v>
      </c>
      <c r="D8011" t="s">
        <v>102</v>
      </c>
      <c r="E8011" t="s">
        <v>121</v>
      </c>
      <c r="F8011" t="s">
        <v>155</v>
      </c>
      <c r="G8011" t="s">
        <v>181</v>
      </c>
      <c r="H8011" t="s">
        <v>216</v>
      </c>
      <c r="I8011" t="s">
        <v>236</v>
      </c>
      <c r="AK8011" t="s">
        <v>366</v>
      </c>
    </row>
    <row r="8012" spans="1:37">
      <c r="A8012" t="s">
        <v>42</v>
      </c>
      <c r="B8012" t="s">
        <v>62</v>
      </c>
      <c r="C8012" t="s">
        <v>84</v>
      </c>
      <c r="D8012" t="s">
        <v>103</v>
      </c>
      <c r="E8012" t="s">
        <v>122</v>
      </c>
      <c r="F8012" t="s">
        <v>156</v>
      </c>
      <c r="G8012" t="s">
        <v>182</v>
      </c>
      <c r="H8012" t="s">
        <v>83</v>
      </c>
      <c r="I8012" t="s">
        <v>237</v>
      </c>
      <c r="J8012" t="s">
        <v>254</v>
      </c>
      <c r="K8012" t="s">
        <v>268</v>
      </c>
      <c r="L8012" t="s">
        <v>280</v>
      </c>
      <c r="M8012" t="s">
        <v>289</v>
      </c>
      <c r="N8012" t="s">
        <v>298</v>
      </c>
      <c r="O8012" t="s">
        <v>307</v>
      </c>
      <c r="P8012" t="s">
        <v>314</v>
      </c>
      <c r="Q8012" t="s">
        <v>216</v>
      </c>
      <c r="R8012" t="s">
        <v>326</v>
      </c>
      <c r="S8012" t="s">
        <v>333</v>
      </c>
      <c r="T8012" t="s">
        <v>335</v>
      </c>
      <c r="U8012" t="s">
        <v>340</v>
      </c>
      <c r="V8012" t="s">
        <v>344</v>
      </c>
      <c r="W8012" t="s">
        <v>349</v>
      </c>
      <c r="AK8012" t="s">
        <v>366</v>
      </c>
    </row>
    <row r="8013" spans="1:37">
      <c r="A8013" t="s">
        <v>43</v>
      </c>
      <c r="B8013" t="s">
        <v>63</v>
      </c>
      <c r="C8013" t="s">
        <v>85</v>
      </c>
      <c r="D8013" t="s">
        <v>104</v>
      </c>
      <c r="E8013" t="s">
        <v>123</v>
      </c>
      <c r="F8013" t="s">
        <v>157</v>
      </c>
      <c r="G8013" t="s">
        <v>183</v>
      </c>
      <c r="AK8013" t="s">
        <v>366</v>
      </c>
    </row>
    <row r="8014" spans="1:37">
      <c r="A8014" t="s">
        <v>44</v>
      </c>
      <c r="B8014" t="s">
        <v>64</v>
      </c>
      <c r="C8014" t="s">
        <v>86</v>
      </c>
      <c r="D8014" t="s">
        <v>105</v>
      </c>
      <c r="E8014" t="s">
        <v>124</v>
      </c>
      <c r="F8014" t="s">
        <v>158</v>
      </c>
      <c r="G8014" t="s">
        <v>184</v>
      </c>
      <c r="AK8014" t="s">
        <v>366</v>
      </c>
    </row>
    <row r="8015" spans="1:37">
      <c r="A8015" t="s">
        <v>45</v>
      </c>
      <c r="B8015" t="s">
        <v>65</v>
      </c>
      <c r="C8015" t="s">
        <v>87</v>
      </c>
      <c r="D8015" t="s">
        <v>106</v>
      </c>
      <c r="E8015" t="s">
        <v>125</v>
      </c>
      <c r="F8015" t="s">
        <v>159</v>
      </c>
      <c r="G8015" t="s">
        <v>185</v>
      </c>
      <c r="H8015" t="s">
        <v>159</v>
      </c>
      <c r="I8015" t="s">
        <v>185</v>
      </c>
      <c r="J8015" t="s">
        <v>255</v>
      </c>
      <c r="AK8015" t="s">
        <v>366</v>
      </c>
    </row>
    <row r="8016" spans="1:37">
      <c r="A8016" t="s">
        <v>46</v>
      </c>
      <c r="B8016" t="s">
        <v>66</v>
      </c>
      <c r="C8016" t="s">
        <v>88</v>
      </c>
      <c r="D8016" t="s">
        <v>76</v>
      </c>
      <c r="E8016" t="s">
        <v>126</v>
      </c>
      <c r="F8016" t="s">
        <v>160</v>
      </c>
      <c r="G8016" t="s">
        <v>186</v>
      </c>
      <c r="H8016" t="s">
        <v>217</v>
      </c>
      <c r="I8016" t="s">
        <v>238</v>
      </c>
      <c r="J8016" t="s">
        <v>256</v>
      </c>
      <c r="K8016" t="s">
        <v>265</v>
      </c>
      <c r="L8016" t="s">
        <v>281</v>
      </c>
      <c r="M8016" t="s">
        <v>290</v>
      </c>
      <c r="N8016" t="s">
        <v>299</v>
      </c>
      <c r="O8016" t="s">
        <v>308</v>
      </c>
      <c r="P8016" t="s">
        <v>228</v>
      </c>
      <c r="Q8016" t="s">
        <v>72</v>
      </c>
      <c r="R8016" t="s">
        <v>327</v>
      </c>
      <c r="S8016" t="s">
        <v>327</v>
      </c>
      <c r="T8016" t="s">
        <v>336</v>
      </c>
      <c r="U8016" t="s">
        <v>336</v>
      </c>
      <c r="V8016" t="s">
        <v>336</v>
      </c>
      <c r="W8016" t="s">
        <v>336</v>
      </c>
      <c r="X8016" t="s">
        <v>353</v>
      </c>
      <c r="AK8016" t="s">
        <v>366</v>
      </c>
    </row>
    <row r="8017" spans="1:37">
      <c r="A8017" t="s">
        <v>37</v>
      </c>
      <c r="B8017" t="s">
        <v>49</v>
      </c>
      <c r="C8017" t="s">
        <v>73</v>
      </c>
      <c r="D8017" t="s">
        <v>94</v>
      </c>
      <c r="E8017" t="s">
        <v>112</v>
      </c>
      <c r="F8017" t="s">
        <v>146</v>
      </c>
      <c r="G8017" t="s">
        <v>172</v>
      </c>
      <c r="H8017" t="s">
        <v>207</v>
      </c>
      <c r="I8017" t="s">
        <v>226</v>
      </c>
      <c r="J8017" t="s">
        <v>246</v>
      </c>
      <c r="K8017" t="s">
        <v>259</v>
      </c>
      <c r="AK8017" t="s">
        <v>366</v>
      </c>
    </row>
    <row r="8018" spans="1:37">
      <c r="A8018" t="s">
        <v>38</v>
      </c>
      <c r="B8018" t="s">
        <v>50</v>
      </c>
      <c r="C8018" t="s">
        <v>74</v>
      </c>
      <c r="D8018" t="s">
        <v>95</v>
      </c>
      <c r="E8018" t="s">
        <v>113</v>
      </c>
      <c r="F8018" t="s">
        <v>147</v>
      </c>
      <c r="G8018" t="s">
        <v>173</v>
      </c>
      <c r="H8018" t="s">
        <v>208</v>
      </c>
      <c r="I8018" t="s">
        <v>227</v>
      </c>
      <c r="J8018" t="s">
        <v>115</v>
      </c>
      <c r="K8018" t="s">
        <v>260</v>
      </c>
      <c r="L8018" t="s">
        <v>273</v>
      </c>
      <c r="M8018" t="s">
        <v>282</v>
      </c>
      <c r="N8018" t="s">
        <v>291</v>
      </c>
      <c r="AK8018" t="s">
        <v>366</v>
      </c>
    </row>
    <row r="8019" spans="1:37">
      <c r="B8019" t="s">
        <v>51</v>
      </c>
      <c r="C8019" t="s">
        <v>75</v>
      </c>
      <c r="D8019" t="s">
        <v>52</v>
      </c>
      <c r="E8019" t="s">
        <v>114</v>
      </c>
      <c r="F8019" t="s">
        <v>148</v>
      </c>
      <c r="G8019" t="s">
        <v>148</v>
      </c>
      <c r="H8019" t="s">
        <v>209</v>
      </c>
      <c r="I8019" t="s">
        <v>228</v>
      </c>
      <c r="J8019" t="s">
        <v>247</v>
      </c>
      <c r="K8019" t="s">
        <v>261</v>
      </c>
      <c r="L8019" t="s">
        <v>274</v>
      </c>
      <c r="M8019" t="s">
        <v>283</v>
      </c>
      <c r="N8019" t="s">
        <v>292</v>
      </c>
      <c r="O8019" t="s">
        <v>300</v>
      </c>
      <c r="AK8019" t="s">
        <v>366</v>
      </c>
    </row>
    <row r="8020" spans="1:37">
      <c r="B8020" t="s">
        <v>52</v>
      </c>
      <c r="C8020" t="s">
        <v>76</v>
      </c>
      <c r="D8020" t="s">
        <v>96</v>
      </c>
      <c r="E8020" t="s">
        <v>115</v>
      </c>
      <c r="F8020" t="s">
        <v>149</v>
      </c>
      <c r="G8020" t="s">
        <v>174</v>
      </c>
      <c r="H8020" t="s">
        <v>96</v>
      </c>
      <c r="I8020" t="s">
        <v>229</v>
      </c>
      <c r="J8020" t="s">
        <v>248</v>
      </c>
      <c r="K8020" t="s">
        <v>262</v>
      </c>
      <c r="L8020" t="s">
        <v>52</v>
      </c>
      <c r="M8020" t="s">
        <v>76</v>
      </c>
      <c r="N8020" t="s">
        <v>293</v>
      </c>
      <c r="O8020" t="s">
        <v>301</v>
      </c>
      <c r="P8020" t="s">
        <v>309</v>
      </c>
      <c r="Q8020" t="s">
        <v>315</v>
      </c>
      <c r="R8020" t="s">
        <v>228</v>
      </c>
      <c r="S8020" t="s">
        <v>328</v>
      </c>
      <c r="T8020" t="s">
        <v>149</v>
      </c>
      <c r="U8020" t="s">
        <v>337</v>
      </c>
      <c r="V8020" t="s">
        <v>341</v>
      </c>
      <c r="W8020" t="s">
        <v>345</v>
      </c>
      <c r="X8020" t="s">
        <v>350</v>
      </c>
      <c r="AK8020" t="s">
        <v>366</v>
      </c>
    </row>
    <row r="8021" spans="1:37">
      <c r="B8021" t="s">
        <v>53</v>
      </c>
      <c r="C8021" t="s">
        <v>77</v>
      </c>
      <c r="D8021" t="s">
        <v>97</v>
      </c>
      <c r="E8021" t="s">
        <v>116</v>
      </c>
      <c r="F8021" t="s">
        <v>150</v>
      </c>
      <c r="G8021" t="s">
        <v>175</v>
      </c>
      <c r="H8021" t="s">
        <v>210</v>
      </c>
      <c r="I8021" t="s">
        <v>230</v>
      </c>
      <c r="J8021" t="s">
        <v>249</v>
      </c>
      <c r="K8021" t="s">
        <v>263</v>
      </c>
      <c r="L8021" t="s">
        <v>275</v>
      </c>
      <c r="M8021" t="s">
        <v>284</v>
      </c>
      <c r="N8021" t="s">
        <v>294</v>
      </c>
      <c r="O8021" t="s">
        <v>302</v>
      </c>
      <c r="P8021" t="s">
        <v>310</v>
      </c>
      <c r="Q8021" t="s">
        <v>316</v>
      </c>
      <c r="R8021" t="s">
        <v>322</v>
      </c>
      <c r="S8021" t="s">
        <v>329</v>
      </c>
      <c r="AK8021" t="s">
        <v>366</v>
      </c>
    </row>
    <row r="8022" spans="1:37">
      <c r="A8022" t="s">
        <v>39</v>
      </c>
      <c r="B8022" t="s">
        <v>54</v>
      </c>
      <c r="C8022" t="s">
        <v>54</v>
      </c>
      <c r="D8022" t="s">
        <v>54</v>
      </c>
      <c r="E8022" t="s">
        <v>54</v>
      </c>
      <c r="F8022" t="s">
        <v>54</v>
      </c>
      <c r="G8022" t="s">
        <v>54</v>
      </c>
      <c r="H8022" t="s">
        <v>54</v>
      </c>
      <c r="I8022" t="s">
        <v>54</v>
      </c>
      <c r="J8022" t="s">
        <v>54</v>
      </c>
      <c r="K8022" t="s">
        <v>54</v>
      </c>
      <c r="L8022" t="s">
        <v>54</v>
      </c>
      <c r="M8022" t="s">
        <v>54</v>
      </c>
      <c r="N8022" t="s">
        <v>54</v>
      </c>
      <c r="O8022" t="s">
        <v>54</v>
      </c>
      <c r="P8022" t="s">
        <v>54</v>
      </c>
      <c r="Q8022" t="s">
        <v>54</v>
      </c>
      <c r="R8022" t="s">
        <v>323</v>
      </c>
      <c r="S8022" t="s">
        <v>330</v>
      </c>
      <c r="AK8022" t="s">
        <v>366</v>
      </c>
    </row>
    <row r="8023" spans="1:37">
      <c r="B8023" t="s">
        <v>55</v>
      </c>
      <c r="C8023" t="s">
        <v>78</v>
      </c>
      <c r="D8023" t="s">
        <v>55</v>
      </c>
      <c r="E8023" t="s">
        <v>78</v>
      </c>
      <c r="F8023" t="s">
        <v>55</v>
      </c>
      <c r="G8023" t="s">
        <v>78</v>
      </c>
      <c r="H8023" t="s">
        <v>55</v>
      </c>
      <c r="I8023" t="s">
        <v>78</v>
      </c>
      <c r="J8023" t="s">
        <v>55</v>
      </c>
      <c r="K8023" t="s">
        <v>78</v>
      </c>
      <c r="L8023" t="s">
        <v>55</v>
      </c>
      <c r="M8023" t="s">
        <v>78</v>
      </c>
      <c r="N8023" t="s">
        <v>55</v>
      </c>
      <c r="O8023" t="s">
        <v>78</v>
      </c>
      <c r="P8023" t="s">
        <v>55</v>
      </c>
      <c r="Q8023" t="s">
        <v>78</v>
      </c>
      <c r="R8023" t="s">
        <v>55</v>
      </c>
      <c r="S8023" t="s">
        <v>78</v>
      </c>
      <c r="T8023" t="s">
        <v>55</v>
      </c>
      <c r="U8023" t="s">
        <v>78</v>
      </c>
      <c r="V8023" t="s">
        <v>55</v>
      </c>
      <c r="W8023" t="s">
        <v>78</v>
      </c>
      <c r="X8023" t="s">
        <v>55</v>
      </c>
      <c r="Y8023" t="s">
        <v>78</v>
      </c>
      <c r="Z8023" t="s">
        <v>55</v>
      </c>
      <c r="AA8023" t="s">
        <v>78</v>
      </c>
      <c r="AB8023" t="s">
        <v>55</v>
      </c>
      <c r="AC8023" t="s">
        <v>78</v>
      </c>
      <c r="AD8023" t="s">
        <v>55</v>
      </c>
      <c r="AE8023" t="s">
        <v>78</v>
      </c>
      <c r="AF8023" t="s">
        <v>55</v>
      </c>
      <c r="AG8023" t="s">
        <v>78</v>
      </c>
      <c r="AH8023" t="s">
        <v>55</v>
      </c>
      <c r="AI8023" t="s">
        <v>78</v>
      </c>
      <c r="AK8023" t="s">
        <v>366</v>
      </c>
    </row>
    <row r="8024" spans="1:37">
      <c r="B8024" t="s">
        <v>56</v>
      </c>
      <c r="C8024" t="s">
        <v>56</v>
      </c>
      <c r="D8024" t="s">
        <v>56</v>
      </c>
      <c r="E8024" t="s">
        <v>56</v>
      </c>
      <c r="F8024" t="s">
        <v>56</v>
      </c>
      <c r="G8024" t="s">
        <v>176</v>
      </c>
      <c r="H8024" t="s">
        <v>211</v>
      </c>
      <c r="I8024" t="s">
        <v>231</v>
      </c>
      <c r="J8024" t="s">
        <v>250</v>
      </c>
      <c r="K8024" t="s">
        <v>264</v>
      </c>
      <c r="L8024" t="s">
        <v>276</v>
      </c>
      <c r="M8024" t="s">
        <v>285</v>
      </c>
      <c r="N8024" t="s">
        <v>295</v>
      </c>
      <c r="O8024" t="s">
        <v>303</v>
      </c>
      <c r="P8024" t="s">
        <v>56</v>
      </c>
      <c r="Q8024" t="s">
        <v>317</v>
      </c>
      <c r="R8024" t="s">
        <v>324</v>
      </c>
      <c r="S8024" t="s">
        <v>331</v>
      </c>
      <c r="T8024" t="s">
        <v>334</v>
      </c>
      <c r="U8024" t="s">
        <v>338</v>
      </c>
      <c r="V8024" t="s">
        <v>342</v>
      </c>
      <c r="W8024" t="s">
        <v>346</v>
      </c>
      <c r="X8024" t="s">
        <v>351</v>
      </c>
      <c r="AK8024" t="s">
        <v>366</v>
      </c>
    </row>
    <row r="8025" spans="1:37">
      <c r="B8025" t="s">
        <v>57</v>
      </c>
      <c r="C8025" t="s">
        <v>79</v>
      </c>
      <c r="D8025" t="s">
        <v>98</v>
      </c>
      <c r="E8025" t="s">
        <v>117</v>
      </c>
      <c r="F8025" t="s">
        <v>151</v>
      </c>
      <c r="G8025" t="s">
        <v>177</v>
      </c>
      <c r="H8025" t="s">
        <v>212</v>
      </c>
      <c r="I8025" t="s">
        <v>232</v>
      </c>
      <c r="J8025" t="s">
        <v>251</v>
      </c>
      <c r="K8025" t="s">
        <v>265</v>
      </c>
      <c r="L8025" t="s">
        <v>277</v>
      </c>
      <c r="M8025" t="s">
        <v>286</v>
      </c>
      <c r="N8025" t="s">
        <v>296</v>
      </c>
      <c r="O8025" t="s">
        <v>304</v>
      </c>
      <c r="P8025" t="s">
        <v>311</v>
      </c>
      <c r="Q8025" t="s">
        <v>318</v>
      </c>
      <c r="R8025" t="s">
        <v>185</v>
      </c>
      <c r="S8025" t="s">
        <v>159</v>
      </c>
      <c r="T8025" t="s">
        <v>185</v>
      </c>
      <c r="U8025" t="s">
        <v>339</v>
      </c>
      <c r="V8025" t="s">
        <v>72</v>
      </c>
      <c r="W8025" t="s">
        <v>347</v>
      </c>
      <c r="X8025" t="s">
        <v>72</v>
      </c>
      <c r="Y8025" t="s">
        <v>96</v>
      </c>
      <c r="AK8025" t="s">
        <v>366</v>
      </c>
    </row>
    <row r="8026" spans="1:37">
      <c r="B8026" t="s">
        <v>58</v>
      </c>
      <c r="C8026" t="s">
        <v>80</v>
      </c>
      <c r="D8026" t="s">
        <v>99</v>
      </c>
      <c r="E8026" t="s">
        <v>118</v>
      </c>
      <c r="F8026" t="s">
        <v>152</v>
      </c>
      <c r="G8026" t="s">
        <v>178</v>
      </c>
      <c r="H8026" t="s">
        <v>213</v>
      </c>
      <c r="I8026" t="s">
        <v>233</v>
      </c>
      <c r="J8026" t="s">
        <v>252</v>
      </c>
      <c r="K8026" t="s">
        <v>266</v>
      </c>
      <c r="L8026" t="s">
        <v>278</v>
      </c>
      <c r="M8026" t="s">
        <v>287</v>
      </c>
      <c r="N8026" t="s">
        <v>297</v>
      </c>
      <c r="O8026" t="s">
        <v>305</v>
      </c>
      <c r="P8026" t="s">
        <v>312</v>
      </c>
      <c r="Q8026" t="s">
        <v>319</v>
      </c>
      <c r="R8026">
        <f>&gt;10       ветра      3.0     20   7</f>
        <v>0</v>
      </c>
      <c r="AK8026" t="s">
        <v>366</v>
      </c>
    </row>
    <row r="8027" spans="1:37">
      <c r="A8027" t="s">
        <v>40</v>
      </c>
      <c r="B8027" t="s">
        <v>59</v>
      </c>
      <c r="C8027" t="s">
        <v>81</v>
      </c>
      <c r="D8027" t="s">
        <v>100</v>
      </c>
      <c r="E8027" t="s">
        <v>119</v>
      </c>
      <c r="F8027" t="s">
        <v>153</v>
      </c>
      <c r="G8027" t="s">
        <v>179</v>
      </c>
      <c r="H8027" t="s">
        <v>214</v>
      </c>
      <c r="I8027" t="s">
        <v>234</v>
      </c>
      <c r="AK8027" t="s">
        <v>366</v>
      </c>
    </row>
    <row r="8028" spans="1:37">
      <c r="A8028" t="s">
        <v>40</v>
      </c>
      <c r="B8028" t="s">
        <v>60</v>
      </c>
      <c r="C8028" t="s">
        <v>82</v>
      </c>
      <c r="D8028" t="s">
        <v>101</v>
      </c>
      <c r="E8028" t="s">
        <v>120</v>
      </c>
      <c r="F8028" t="s">
        <v>154</v>
      </c>
      <c r="G8028" t="s">
        <v>180</v>
      </c>
      <c r="H8028" t="s">
        <v>215</v>
      </c>
      <c r="I8028" t="s">
        <v>235</v>
      </c>
      <c r="J8028" t="s">
        <v>253</v>
      </c>
      <c r="K8028" t="s">
        <v>267</v>
      </c>
      <c r="L8028" t="s">
        <v>279</v>
      </c>
      <c r="M8028" t="s">
        <v>288</v>
      </c>
      <c r="N8028" t="s">
        <v>100</v>
      </c>
      <c r="O8028" t="s">
        <v>306</v>
      </c>
      <c r="P8028" t="s">
        <v>313</v>
      </c>
      <c r="Q8028" t="s">
        <v>320</v>
      </c>
      <c r="R8028" t="s">
        <v>325</v>
      </c>
      <c r="S8028" t="s">
        <v>332</v>
      </c>
      <c r="T8028" t="s">
        <v>119</v>
      </c>
      <c r="U8028" t="s">
        <v>234</v>
      </c>
      <c r="V8028" t="s">
        <v>343</v>
      </c>
      <c r="W8028" t="s">
        <v>348</v>
      </c>
      <c r="X8028" t="s">
        <v>352</v>
      </c>
      <c r="Y8028" t="s">
        <v>354</v>
      </c>
      <c r="AK8028" t="s">
        <v>366</v>
      </c>
    </row>
    <row r="8029" spans="1:37">
      <c r="A8029" t="s">
        <v>41</v>
      </c>
      <c r="B8029" t="s">
        <v>61</v>
      </c>
      <c r="C8029" t="s">
        <v>83</v>
      </c>
      <c r="D8029" t="s">
        <v>102</v>
      </c>
      <c r="E8029" t="s">
        <v>121</v>
      </c>
      <c r="F8029" t="s">
        <v>155</v>
      </c>
      <c r="G8029" t="s">
        <v>181</v>
      </c>
      <c r="H8029" t="s">
        <v>216</v>
      </c>
      <c r="I8029" t="s">
        <v>236</v>
      </c>
      <c r="AK8029" t="s">
        <v>366</v>
      </c>
    </row>
    <row r="8030" spans="1:37">
      <c r="A8030" t="s">
        <v>42</v>
      </c>
      <c r="B8030" t="s">
        <v>62</v>
      </c>
      <c r="C8030" t="s">
        <v>84</v>
      </c>
      <c r="D8030" t="s">
        <v>103</v>
      </c>
      <c r="E8030" t="s">
        <v>122</v>
      </c>
      <c r="F8030" t="s">
        <v>156</v>
      </c>
      <c r="G8030" t="s">
        <v>182</v>
      </c>
      <c r="H8030" t="s">
        <v>83</v>
      </c>
      <c r="I8030" t="s">
        <v>237</v>
      </c>
      <c r="J8030" t="s">
        <v>254</v>
      </c>
      <c r="K8030" t="s">
        <v>268</v>
      </c>
      <c r="L8030" t="s">
        <v>280</v>
      </c>
      <c r="M8030" t="s">
        <v>289</v>
      </c>
      <c r="N8030" t="s">
        <v>298</v>
      </c>
      <c r="O8030" t="s">
        <v>307</v>
      </c>
      <c r="P8030" t="s">
        <v>314</v>
      </c>
      <c r="Q8030" t="s">
        <v>216</v>
      </c>
      <c r="R8030" t="s">
        <v>326</v>
      </c>
      <c r="S8030" t="s">
        <v>333</v>
      </c>
      <c r="T8030" t="s">
        <v>335</v>
      </c>
      <c r="U8030" t="s">
        <v>340</v>
      </c>
      <c r="V8030" t="s">
        <v>344</v>
      </c>
      <c r="W8030" t="s">
        <v>349</v>
      </c>
      <c r="AK8030" t="s">
        <v>366</v>
      </c>
    </row>
    <row r="8031" spans="1:37">
      <c r="A8031" t="s">
        <v>43</v>
      </c>
      <c r="B8031" t="s">
        <v>63</v>
      </c>
      <c r="C8031" t="s">
        <v>85</v>
      </c>
      <c r="D8031" t="s">
        <v>104</v>
      </c>
      <c r="E8031" t="s">
        <v>123</v>
      </c>
      <c r="F8031" t="s">
        <v>157</v>
      </c>
      <c r="G8031" t="s">
        <v>183</v>
      </c>
      <c r="AK8031" t="s">
        <v>366</v>
      </c>
    </row>
    <row r="8032" spans="1:37">
      <c r="A8032" t="s">
        <v>44</v>
      </c>
      <c r="B8032" t="s">
        <v>64</v>
      </c>
      <c r="C8032" t="s">
        <v>86</v>
      </c>
      <c r="D8032" t="s">
        <v>105</v>
      </c>
      <c r="E8032" t="s">
        <v>124</v>
      </c>
      <c r="F8032" t="s">
        <v>158</v>
      </c>
      <c r="G8032" t="s">
        <v>184</v>
      </c>
      <c r="AK8032" t="s">
        <v>366</v>
      </c>
    </row>
    <row r="8033" spans="1:37">
      <c r="A8033" t="s">
        <v>45</v>
      </c>
      <c r="B8033" t="s">
        <v>65</v>
      </c>
      <c r="C8033" t="s">
        <v>87</v>
      </c>
      <c r="D8033" t="s">
        <v>106</v>
      </c>
      <c r="E8033" t="s">
        <v>125</v>
      </c>
      <c r="F8033" t="s">
        <v>159</v>
      </c>
      <c r="G8033" t="s">
        <v>185</v>
      </c>
      <c r="H8033" t="s">
        <v>159</v>
      </c>
      <c r="I8033" t="s">
        <v>185</v>
      </c>
      <c r="J8033" t="s">
        <v>255</v>
      </c>
      <c r="AK8033" t="s">
        <v>366</v>
      </c>
    </row>
    <row r="8034" spans="1:37">
      <c r="A8034" t="s">
        <v>46</v>
      </c>
      <c r="B8034" t="s">
        <v>66</v>
      </c>
      <c r="C8034" t="s">
        <v>88</v>
      </c>
      <c r="D8034" t="s">
        <v>76</v>
      </c>
      <c r="E8034" t="s">
        <v>126</v>
      </c>
      <c r="F8034" t="s">
        <v>160</v>
      </c>
      <c r="G8034" t="s">
        <v>186</v>
      </c>
      <c r="H8034" t="s">
        <v>217</v>
      </c>
      <c r="I8034" t="s">
        <v>238</v>
      </c>
      <c r="J8034" t="s">
        <v>256</v>
      </c>
      <c r="K8034" t="s">
        <v>265</v>
      </c>
      <c r="L8034" t="s">
        <v>281</v>
      </c>
      <c r="M8034" t="s">
        <v>290</v>
      </c>
      <c r="N8034" t="s">
        <v>299</v>
      </c>
      <c r="O8034" t="s">
        <v>308</v>
      </c>
      <c r="P8034" t="s">
        <v>228</v>
      </c>
      <c r="Q8034" t="s">
        <v>72</v>
      </c>
      <c r="R8034" t="s">
        <v>327</v>
      </c>
      <c r="S8034" t="s">
        <v>327</v>
      </c>
      <c r="T8034" t="s">
        <v>336</v>
      </c>
      <c r="U8034" t="s">
        <v>336</v>
      </c>
      <c r="V8034" t="s">
        <v>336</v>
      </c>
      <c r="W8034" t="s">
        <v>336</v>
      </c>
      <c r="X8034" t="s">
        <v>353</v>
      </c>
      <c r="AK8034" t="s">
        <v>366</v>
      </c>
    </row>
    <row r="8035" spans="1:37">
      <c r="B8035" t="s">
        <v>67</v>
      </c>
      <c r="C8035" t="s">
        <v>89</v>
      </c>
      <c r="D8035" t="s">
        <v>107</v>
      </c>
      <c r="AK8035" t="s">
        <v>366</v>
      </c>
    </row>
    <row r="8036" spans="1:37">
      <c r="B8036" t="s">
        <v>68</v>
      </c>
      <c r="C8036" t="s">
        <v>90</v>
      </c>
      <c r="D8036" t="s">
        <v>108</v>
      </c>
      <c r="AK8036" t="s">
        <v>366</v>
      </c>
    </row>
    <row r="8037" spans="1:37">
      <c r="A8037" t="s">
        <v>47</v>
      </c>
      <c r="B8037" t="s">
        <v>69</v>
      </c>
      <c r="C8037" t="s">
        <v>91</v>
      </c>
      <c r="D8037" t="s">
        <v>109</v>
      </c>
      <c r="E8037" t="s">
        <v>109</v>
      </c>
      <c r="F8037" t="s">
        <v>109</v>
      </c>
      <c r="G8037" t="s">
        <v>109</v>
      </c>
      <c r="H8037" t="s">
        <v>109</v>
      </c>
      <c r="I8037" t="s">
        <v>239</v>
      </c>
      <c r="AK8037" t="s">
        <v>366</v>
      </c>
    </row>
    <row r="8038" spans="1:37">
      <c r="B8038" t="s">
        <v>70</v>
      </c>
      <c r="C8038" t="s">
        <v>92</v>
      </c>
      <c r="D8038" t="s">
        <v>110</v>
      </c>
      <c r="E8038" t="s">
        <v>127</v>
      </c>
      <c r="F8038" t="s">
        <v>161</v>
      </c>
      <c r="G8038" t="s">
        <v>187</v>
      </c>
      <c r="H8038" t="s">
        <v>218</v>
      </c>
      <c r="AK8038" t="s">
        <v>366</v>
      </c>
    </row>
    <row r="8039" spans="1:37">
      <c r="B8039" t="s">
        <v>71</v>
      </c>
      <c r="C8039" t="s">
        <v>93</v>
      </c>
      <c r="D8039" t="s">
        <v>111</v>
      </c>
      <c r="E8039" t="s">
        <v>128</v>
      </c>
      <c r="F8039" t="s">
        <v>162</v>
      </c>
      <c r="G8039" t="s">
        <v>188</v>
      </c>
      <c r="H8039" t="s">
        <v>219</v>
      </c>
      <c r="I8039" t="s">
        <v>240</v>
      </c>
      <c r="J8039" t="s">
        <v>257</v>
      </c>
      <c r="K8039" t="s">
        <v>269</v>
      </c>
      <c r="L8039" t="s">
        <v>109</v>
      </c>
      <c r="M8039" t="s">
        <v>109</v>
      </c>
      <c r="N8039" t="s">
        <v>109</v>
      </c>
      <c r="O8039" t="s">
        <v>109</v>
      </c>
      <c r="P8039" t="s">
        <v>109</v>
      </c>
      <c r="Q8039" t="s">
        <v>321</v>
      </c>
      <c r="AK8039" t="s">
        <v>366</v>
      </c>
    </row>
    <row r="8040" spans="1:37">
      <c r="A8040" t="s">
        <v>48</v>
      </c>
      <c r="B8040" t="s">
        <v>71</v>
      </c>
      <c r="C8040" t="s">
        <v>93</v>
      </c>
      <c r="D8040" t="s">
        <v>111</v>
      </c>
      <c r="E8040" t="s">
        <v>128</v>
      </c>
      <c r="F8040" t="s">
        <v>163</v>
      </c>
      <c r="G8040" t="s">
        <v>189</v>
      </c>
      <c r="H8040" t="s">
        <v>220</v>
      </c>
      <c r="I8040" t="s">
        <v>241</v>
      </c>
      <c r="J8040" t="s">
        <v>258</v>
      </c>
      <c r="K8040" t="s">
        <v>270</v>
      </c>
      <c r="AK8040" t="s">
        <v>366</v>
      </c>
    </row>
    <row r="8041" spans="1:37">
      <c r="B8041" t="s">
        <v>72</v>
      </c>
      <c r="C8041" t="s">
        <v>72</v>
      </c>
      <c r="D8041" t="s">
        <v>72</v>
      </c>
      <c r="E8041" t="s">
        <v>145</v>
      </c>
      <c r="F8041" t="s">
        <v>170</v>
      </c>
      <c r="G8041" t="s">
        <v>203</v>
      </c>
      <c r="H8041" t="s">
        <v>72</v>
      </c>
      <c r="I8041" t="s">
        <v>192</v>
      </c>
      <c r="J8041" t="s">
        <v>72</v>
      </c>
      <c r="K8041" t="s">
        <v>271</v>
      </c>
      <c r="AK8041" t="s">
        <v>366</v>
      </c>
    </row>
    <row r="8042" spans="1:37">
      <c r="A8042" t="s">
        <v>37</v>
      </c>
      <c r="B8042" t="s">
        <v>49</v>
      </c>
      <c r="C8042" t="s">
        <v>73</v>
      </c>
      <c r="D8042" t="s">
        <v>94</v>
      </c>
      <c r="E8042" t="s">
        <v>112</v>
      </c>
      <c r="F8042" t="s">
        <v>146</v>
      </c>
      <c r="G8042" t="s">
        <v>172</v>
      </c>
      <c r="H8042" t="s">
        <v>207</v>
      </c>
      <c r="I8042" t="s">
        <v>226</v>
      </c>
      <c r="J8042" t="s">
        <v>246</v>
      </c>
      <c r="K8042" t="s">
        <v>259</v>
      </c>
      <c r="AK8042" t="s">
        <v>366</v>
      </c>
    </row>
    <row r="8043" spans="1:37">
      <c r="A8043" t="s">
        <v>38</v>
      </c>
      <c r="B8043" t="s">
        <v>50</v>
      </c>
      <c r="C8043" t="s">
        <v>74</v>
      </c>
      <c r="D8043" t="s">
        <v>95</v>
      </c>
      <c r="E8043" t="s">
        <v>113</v>
      </c>
      <c r="F8043" t="s">
        <v>147</v>
      </c>
      <c r="G8043" t="s">
        <v>173</v>
      </c>
      <c r="H8043" t="s">
        <v>208</v>
      </c>
      <c r="I8043" t="s">
        <v>227</v>
      </c>
      <c r="J8043" t="s">
        <v>115</v>
      </c>
      <c r="K8043" t="s">
        <v>260</v>
      </c>
      <c r="L8043" t="s">
        <v>273</v>
      </c>
      <c r="M8043" t="s">
        <v>282</v>
      </c>
      <c r="N8043" t="s">
        <v>291</v>
      </c>
      <c r="AK8043" t="s">
        <v>366</v>
      </c>
    </row>
    <row r="8044" spans="1:37">
      <c r="B8044" t="s">
        <v>51</v>
      </c>
      <c r="C8044" t="s">
        <v>75</v>
      </c>
      <c r="D8044" t="s">
        <v>52</v>
      </c>
      <c r="E8044" t="s">
        <v>114</v>
      </c>
      <c r="F8044" t="s">
        <v>148</v>
      </c>
      <c r="G8044" t="s">
        <v>148</v>
      </c>
      <c r="H8044" t="s">
        <v>209</v>
      </c>
      <c r="I8044" t="s">
        <v>228</v>
      </c>
      <c r="J8044" t="s">
        <v>247</v>
      </c>
      <c r="K8044" t="s">
        <v>261</v>
      </c>
      <c r="L8044" t="s">
        <v>274</v>
      </c>
      <c r="M8044" t="s">
        <v>283</v>
      </c>
      <c r="N8044" t="s">
        <v>292</v>
      </c>
      <c r="O8044" t="s">
        <v>300</v>
      </c>
      <c r="AK8044" t="s">
        <v>366</v>
      </c>
    </row>
    <row r="8045" spans="1:37">
      <c r="B8045" t="s">
        <v>52</v>
      </c>
      <c r="C8045" t="s">
        <v>76</v>
      </c>
      <c r="D8045" t="s">
        <v>96</v>
      </c>
      <c r="E8045" t="s">
        <v>115</v>
      </c>
      <c r="F8045" t="s">
        <v>149</v>
      </c>
      <c r="G8045" t="s">
        <v>174</v>
      </c>
      <c r="H8045" t="s">
        <v>96</v>
      </c>
      <c r="I8045" t="s">
        <v>229</v>
      </c>
      <c r="J8045" t="s">
        <v>248</v>
      </c>
      <c r="K8045" t="s">
        <v>262</v>
      </c>
      <c r="L8045" t="s">
        <v>52</v>
      </c>
      <c r="M8045" t="s">
        <v>76</v>
      </c>
      <c r="N8045" t="s">
        <v>293</v>
      </c>
      <c r="O8045" t="s">
        <v>301</v>
      </c>
      <c r="P8045" t="s">
        <v>309</v>
      </c>
      <c r="Q8045" t="s">
        <v>315</v>
      </c>
      <c r="R8045" t="s">
        <v>228</v>
      </c>
      <c r="S8045" t="s">
        <v>328</v>
      </c>
      <c r="T8045" t="s">
        <v>149</v>
      </c>
      <c r="U8045" t="s">
        <v>337</v>
      </c>
      <c r="V8045" t="s">
        <v>341</v>
      </c>
      <c r="W8045" t="s">
        <v>345</v>
      </c>
      <c r="X8045" t="s">
        <v>350</v>
      </c>
      <c r="AK8045" t="s">
        <v>366</v>
      </c>
    </row>
    <row r="8046" spans="1:37">
      <c r="B8046" t="s">
        <v>53</v>
      </c>
      <c r="C8046" t="s">
        <v>77</v>
      </c>
      <c r="D8046" t="s">
        <v>97</v>
      </c>
      <c r="E8046" t="s">
        <v>116</v>
      </c>
      <c r="F8046" t="s">
        <v>150</v>
      </c>
      <c r="G8046" t="s">
        <v>175</v>
      </c>
      <c r="H8046" t="s">
        <v>210</v>
      </c>
      <c r="I8046" t="s">
        <v>230</v>
      </c>
      <c r="J8046" t="s">
        <v>249</v>
      </c>
      <c r="K8046" t="s">
        <v>263</v>
      </c>
      <c r="L8046" t="s">
        <v>275</v>
      </c>
      <c r="M8046" t="s">
        <v>284</v>
      </c>
      <c r="N8046" t="s">
        <v>294</v>
      </c>
      <c r="O8046" t="s">
        <v>302</v>
      </c>
      <c r="P8046" t="s">
        <v>310</v>
      </c>
      <c r="Q8046" t="s">
        <v>316</v>
      </c>
      <c r="R8046" t="s">
        <v>322</v>
      </c>
      <c r="S8046" t="s">
        <v>329</v>
      </c>
      <c r="AK8046" t="s">
        <v>366</v>
      </c>
    </row>
    <row r="8047" spans="1:37">
      <c r="A8047" t="s">
        <v>39</v>
      </c>
      <c r="B8047" t="s">
        <v>54</v>
      </c>
      <c r="C8047" t="s">
        <v>54</v>
      </c>
      <c r="D8047" t="s">
        <v>54</v>
      </c>
      <c r="E8047" t="s">
        <v>54</v>
      </c>
      <c r="F8047" t="s">
        <v>54</v>
      </c>
      <c r="G8047" t="s">
        <v>54</v>
      </c>
      <c r="H8047" t="s">
        <v>54</v>
      </c>
      <c r="I8047" t="s">
        <v>54</v>
      </c>
      <c r="J8047" t="s">
        <v>54</v>
      </c>
      <c r="K8047" t="s">
        <v>54</v>
      </c>
      <c r="L8047" t="s">
        <v>54</v>
      </c>
      <c r="M8047" t="s">
        <v>54</v>
      </c>
      <c r="N8047" t="s">
        <v>54</v>
      </c>
      <c r="O8047" t="s">
        <v>54</v>
      </c>
      <c r="P8047" t="s">
        <v>54</v>
      </c>
      <c r="Q8047" t="s">
        <v>54</v>
      </c>
      <c r="R8047" t="s">
        <v>323</v>
      </c>
      <c r="S8047" t="s">
        <v>330</v>
      </c>
      <c r="AK8047" t="s">
        <v>366</v>
      </c>
    </row>
    <row r="8048" spans="1:37">
      <c r="B8048" t="s">
        <v>55</v>
      </c>
      <c r="C8048" t="s">
        <v>78</v>
      </c>
      <c r="D8048" t="s">
        <v>55</v>
      </c>
      <c r="E8048" t="s">
        <v>78</v>
      </c>
      <c r="F8048" t="s">
        <v>55</v>
      </c>
      <c r="G8048" t="s">
        <v>78</v>
      </c>
      <c r="H8048" t="s">
        <v>55</v>
      </c>
      <c r="I8048" t="s">
        <v>78</v>
      </c>
      <c r="J8048" t="s">
        <v>55</v>
      </c>
      <c r="K8048" t="s">
        <v>78</v>
      </c>
      <c r="L8048" t="s">
        <v>55</v>
      </c>
      <c r="M8048" t="s">
        <v>78</v>
      </c>
      <c r="N8048" t="s">
        <v>55</v>
      </c>
      <c r="O8048" t="s">
        <v>78</v>
      </c>
      <c r="P8048" t="s">
        <v>55</v>
      </c>
      <c r="Q8048" t="s">
        <v>78</v>
      </c>
      <c r="R8048" t="s">
        <v>55</v>
      </c>
      <c r="S8048" t="s">
        <v>78</v>
      </c>
      <c r="T8048" t="s">
        <v>55</v>
      </c>
      <c r="U8048" t="s">
        <v>78</v>
      </c>
      <c r="V8048" t="s">
        <v>55</v>
      </c>
      <c r="W8048" t="s">
        <v>78</v>
      </c>
      <c r="X8048" t="s">
        <v>55</v>
      </c>
      <c r="Y8048" t="s">
        <v>78</v>
      </c>
      <c r="Z8048" t="s">
        <v>55</v>
      </c>
      <c r="AA8048" t="s">
        <v>78</v>
      </c>
      <c r="AB8048" t="s">
        <v>55</v>
      </c>
      <c r="AC8048" t="s">
        <v>78</v>
      </c>
      <c r="AD8048" t="s">
        <v>55</v>
      </c>
      <c r="AE8048" t="s">
        <v>78</v>
      </c>
      <c r="AF8048" t="s">
        <v>55</v>
      </c>
      <c r="AG8048" t="s">
        <v>78</v>
      </c>
      <c r="AH8048" t="s">
        <v>55</v>
      </c>
      <c r="AI8048" t="s">
        <v>78</v>
      </c>
      <c r="AK8048" t="s">
        <v>366</v>
      </c>
    </row>
    <row r="8049" spans="1:37">
      <c r="B8049" t="s">
        <v>56</v>
      </c>
      <c r="C8049" t="s">
        <v>56</v>
      </c>
      <c r="D8049" t="s">
        <v>56</v>
      </c>
      <c r="E8049" t="s">
        <v>56</v>
      </c>
      <c r="F8049" t="s">
        <v>56</v>
      </c>
      <c r="G8049" t="s">
        <v>176</v>
      </c>
      <c r="H8049" t="s">
        <v>211</v>
      </c>
      <c r="I8049" t="s">
        <v>231</v>
      </c>
      <c r="J8049" t="s">
        <v>250</v>
      </c>
      <c r="K8049" t="s">
        <v>264</v>
      </c>
      <c r="L8049" t="s">
        <v>276</v>
      </c>
      <c r="M8049" t="s">
        <v>285</v>
      </c>
      <c r="N8049" t="s">
        <v>295</v>
      </c>
      <c r="O8049" t="s">
        <v>303</v>
      </c>
      <c r="P8049" t="s">
        <v>56</v>
      </c>
      <c r="Q8049" t="s">
        <v>317</v>
      </c>
      <c r="R8049" t="s">
        <v>324</v>
      </c>
      <c r="S8049" t="s">
        <v>331</v>
      </c>
      <c r="T8049" t="s">
        <v>334</v>
      </c>
      <c r="U8049" t="s">
        <v>338</v>
      </c>
      <c r="V8049" t="s">
        <v>342</v>
      </c>
      <c r="W8049" t="s">
        <v>346</v>
      </c>
      <c r="X8049" t="s">
        <v>351</v>
      </c>
      <c r="AK8049" t="s">
        <v>366</v>
      </c>
    </row>
    <row r="8050" spans="1:37">
      <c r="B8050" t="s">
        <v>57</v>
      </c>
      <c r="C8050" t="s">
        <v>79</v>
      </c>
      <c r="D8050" t="s">
        <v>98</v>
      </c>
      <c r="E8050" t="s">
        <v>117</v>
      </c>
      <c r="F8050" t="s">
        <v>151</v>
      </c>
      <c r="G8050" t="s">
        <v>177</v>
      </c>
      <c r="H8050" t="s">
        <v>212</v>
      </c>
      <c r="I8050" t="s">
        <v>232</v>
      </c>
      <c r="J8050" t="s">
        <v>251</v>
      </c>
      <c r="K8050" t="s">
        <v>265</v>
      </c>
      <c r="L8050" t="s">
        <v>277</v>
      </c>
      <c r="M8050" t="s">
        <v>286</v>
      </c>
      <c r="N8050" t="s">
        <v>296</v>
      </c>
      <c r="O8050" t="s">
        <v>304</v>
      </c>
      <c r="P8050" t="s">
        <v>311</v>
      </c>
      <c r="Q8050" t="s">
        <v>318</v>
      </c>
      <c r="R8050" t="s">
        <v>185</v>
      </c>
      <c r="S8050" t="s">
        <v>159</v>
      </c>
      <c r="T8050" t="s">
        <v>185</v>
      </c>
      <c r="U8050" t="s">
        <v>339</v>
      </c>
      <c r="V8050" t="s">
        <v>72</v>
      </c>
      <c r="W8050" t="s">
        <v>347</v>
      </c>
      <c r="X8050" t="s">
        <v>72</v>
      </c>
      <c r="Y8050" t="s">
        <v>96</v>
      </c>
      <c r="AK8050" t="s">
        <v>366</v>
      </c>
    </row>
    <row r="8051" spans="1:37">
      <c r="B8051" t="s">
        <v>58</v>
      </c>
      <c r="C8051" t="s">
        <v>80</v>
      </c>
      <c r="D8051" t="s">
        <v>99</v>
      </c>
      <c r="E8051" t="s">
        <v>118</v>
      </c>
      <c r="F8051" t="s">
        <v>152</v>
      </c>
      <c r="G8051" t="s">
        <v>178</v>
      </c>
      <c r="H8051" t="s">
        <v>213</v>
      </c>
      <c r="I8051" t="s">
        <v>233</v>
      </c>
      <c r="J8051" t="s">
        <v>252</v>
      </c>
      <c r="K8051" t="s">
        <v>266</v>
      </c>
      <c r="L8051" t="s">
        <v>278</v>
      </c>
      <c r="M8051" t="s">
        <v>287</v>
      </c>
      <c r="N8051" t="s">
        <v>297</v>
      </c>
      <c r="O8051" t="s">
        <v>305</v>
      </c>
      <c r="P8051" t="s">
        <v>312</v>
      </c>
      <c r="Q8051" t="s">
        <v>319</v>
      </c>
      <c r="R8051">
        <f>&gt;10       ветра      2.8     14   7</f>
        <v>0</v>
      </c>
      <c r="AK8051" t="s">
        <v>366</v>
      </c>
    </row>
    <row r="8052" spans="1:37">
      <c r="A8052" t="s">
        <v>40</v>
      </c>
      <c r="B8052" t="s">
        <v>59</v>
      </c>
      <c r="C8052" t="s">
        <v>81</v>
      </c>
      <c r="D8052" t="s">
        <v>100</v>
      </c>
      <c r="E8052" t="s">
        <v>119</v>
      </c>
      <c r="F8052" t="s">
        <v>153</v>
      </c>
      <c r="G8052" t="s">
        <v>179</v>
      </c>
      <c r="H8052" t="s">
        <v>214</v>
      </c>
      <c r="I8052" t="s">
        <v>234</v>
      </c>
      <c r="AK8052" t="s">
        <v>366</v>
      </c>
    </row>
    <row r="8053" spans="1:37">
      <c r="A8053" t="s">
        <v>40</v>
      </c>
      <c r="B8053" t="s">
        <v>60</v>
      </c>
      <c r="C8053" t="s">
        <v>82</v>
      </c>
      <c r="D8053" t="s">
        <v>101</v>
      </c>
      <c r="E8053" t="s">
        <v>120</v>
      </c>
      <c r="F8053" t="s">
        <v>154</v>
      </c>
      <c r="G8053" t="s">
        <v>180</v>
      </c>
      <c r="H8053" t="s">
        <v>215</v>
      </c>
      <c r="I8053" t="s">
        <v>235</v>
      </c>
      <c r="J8053" t="s">
        <v>253</v>
      </c>
      <c r="K8053" t="s">
        <v>267</v>
      </c>
      <c r="L8053" t="s">
        <v>279</v>
      </c>
      <c r="M8053" t="s">
        <v>288</v>
      </c>
      <c r="N8053" t="s">
        <v>100</v>
      </c>
      <c r="O8053" t="s">
        <v>306</v>
      </c>
      <c r="P8053" t="s">
        <v>313</v>
      </c>
      <c r="Q8053" t="s">
        <v>320</v>
      </c>
      <c r="R8053" t="s">
        <v>325</v>
      </c>
      <c r="S8053" t="s">
        <v>332</v>
      </c>
      <c r="T8053" t="s">
        <v>119</v>
      </c>
      <c r="U8053" t="s">
        <v>234</v>
      </c>
      <c r="V8053" t="s">
        <v>343</v>
      </c>
      <c r="W8053" t="s">
        <v>348</v>
      </c>
      <c r="X8053" t="s">
        <v>352</v>
      </c>
      <c r="Y8053" t="s">
        <v>354</v>
      </c>
      <c r="AK8053" t="s">
        <v>366</v>
      </c>
    </row>
    <row r="8054" spans="1:37">
      <c r="A8054" t="s">
        <v>41</v>
      </c>
      <c r="B8054" t="s">
        <v>61</v>
      </c>
      <c r="C8054" t="s">
        <v>83</v>
      </c>
      <c r="D8054" t="s">
        <v>102</v>
      </c>
      <c r="E8054" t="s">
        <v>121</v>
      </c>
      <c r="F8054" t="s">
        <v>155</v>
      </c>
      <c r="G8054" t="s">
        <v>181</v>
      </c>
      <c r="H8054" t="s">
        <v>216</v>
      </c>
      <c r="I8054" t="s">
        <v>236</v>
      </c>
      <c r="AK8054" t="s">
        <v>366</v>
      </c>
    </row>
    <row r="8055" spans="1:37">
      <c r="A8055" t="s">
        <v>42</v>
      </c>
      <c r="B8055" t="s">
        <v>62</v>
      </c>
      <c r="C8055" t="s">
        <v>84</v>
      </c>
      <c r="D8055" t="s">
        <v>103</v>
      </c>
      <c r="E8055" t="s">
        <v>122</v>
      </c>
      <c r="F8055" t="s">
        <v>156</v>
      </c>
      <c r="G8055" t="s">
        <v>182</v>
      </c>
      <c r="H8055" t="s">
        <v>83</v>
      </c>
      <c r="I8055" t="s">
        <v>237</v>
      </c>
      <c r="J8055" t="s">
        <v>254</v>
      </c>
      <c r="K8055" t="s">
        <v>268</v>
      </c>
      <c r="L8055" t="s">
        <v>280</v>
      </c>
      <c r="M8055" t="s">
        <v>289</v>
      </c>
      <c r="N8055" t="s">
        <v>298</v>
      </c>
      <c r="O8055" t="s">
        <v>307</v>
      </c>
      <c r="P8055" t="s">
        <v>314</v>
      </c>
      <c r="Q8055" t="s">
        <v>216</v>
      </c>
      <c r="R8055" t="s">
        <v>326</v>
      </c>
      <c r="S8055" t="s">
        <v>333</v>
      </c>
      <c r="T8055" t="s">
        <v>335</v>
      </c>
      <c r="U8055" t="s">
        <v>340</v>
      </c>
      <c r="V8055" t="s">
        <v>344</v>
      </c>
      <c r="W8055" t="s">
        <v>349</v>
      </c>
      <c r="AK8055" t="s">
        <v>366</v>
      </c>
    </row>
    <row r="8056" spans="1:37">
      <c r="A8056" t="s">
        <v>43</v>
      </c>
      <c r="B8056" t="s">
        <v>63</v>
      </c>
      <c r="C8056" t="s">
        <v>85</v>
      </c>
      <c r="D8056" t="s">
        <v>104</v>
      </c>
      <c r="E8056" t="s">
        <v>123</v>
      </c>
      <c r="F8056" t="s">
        <v>157</v>
      </c>
      <c r="G8056" t="s">
        <v>183</v>
      </c>
      <c r="AK8056" t="s">
        <v>366</v>
      </c>
    </row>
    <row r="8057" spans="1:37">
      <c r="A8057" t="s">
        <v>44</v>
      </c>
      <c r="B8057" t="s">
        <v>64</v>
      </c>
      <c r="C8057" t="s">
        <v>86</v>
      </c>
      <c r="D8057" t="s">
        <v>105</v>
      </c>
      <c r="E8057" t="s">
        <v>124</v>
      </c>
      <c r="F8057" t="s">
        <v>158</v>
      </c>
      <c r="G8057" t="s">
        <v>184</v>
      </c>
      <c r="AK8057" t="s">
        <v>366</v>
      </c>
    </row>
    <row r="8058" spans="1:37">
      <c r="A8058" t="s">
        <v>45</v>
      </c>
      <c r="B8058" t="s">
        <v>65</v>
      </c>
      <c r="C8058" t="s">
        <v>87</v>
      </c>
      <c r="D8058" t="s">
        <v>106</v>
      </c>
      <c r="E8058" t="s">
        <v>125</v>
      </c>
      <c r="F8058" t="s">
        <v>159</v>
      </c>
      <c r="G8058" t="s">
        <v>185</v>
      </c>
      <c r="H8058" t="s">
        <v>159</v>
      </c>
      <c r="I8058" t="s">
        <v>185</v>
      </c>
      <c r="J8058" t="s">
        <v>255</v>
      </c>
      <c r="AK8058" t="s">
        <v>366</v>
      </c>
    </row>
    <row r="8059" spans="1:37">
      <c r="A8059" t="s">
        <v>46</v>
      </c>
      <c r="B8059" t="s">
        <v>66</v>
      </c>
      <c r="C8059" t="s">
        <v>88</v>
      </c>
      <c r="D8059" t="s">
        <v>76</v>
      </c>
      <c r="E8059" t="s">
        <v>126</v>
      </c>
      <c r="F8059" t="s">
        <v>160</v>
      </c>
      <c r="G8059" t="s">
        <v>186</v>
      </c>
      <c r="H8059" t="s">
        <v>217</v>
      </c>
      <c r="I8059" t="s">
        <v>238</v>
      </c>
      <c r="J8059" t="s">
        <v>256</v>
      </c>
      <c r="K8059" t="s">
        <v>265</v>
      </c>
      <c r="L8059" t="s">
        <v>281</v>
      </c>
      <c r="M8059" t="s">
        <v>290</v>
      </c>
      <c r="N8059" t="s">
        <v>299</v>
      </c>
      <c r="O8059" t="s">
        <v>308</v>
      </c>
      <c r="P8059" t="s">
        <v>228</v>
      </c>
      <c r="Q8059" t="s">
        <v>72</v>
      </c>
      <c r="R8059" t="s">
        <v>327</v>
      </c>
      <c r="S8059" t="s">
        <v>327</v>
      </c>
      <c r="T8059" t="s">
        <v>336</v>
      </c>
      <c r="U8059" t="s">
        <v>336</v>
      </c>
      <c r="V8059" t="s">
        <v>336</v>
      </c>
      <c r="W8059" t="s">
        <v>336</v>
      </c>
      <c r="X8059" t="s">
        <v>353</v>
      </c>
      <c r="AK8059" t="s">
        <v>366</v>
      </c>
    </row>
    <row r="8060" spans="1:37">
      <c r="B8060" t="s">
        <v>67</v>
      </c>
      <c r="C8060" t="s">
        <v>89</v>
      </c>
      <c r="D8060" t="s">
        <v>107</v>
      </c>
      <c r="AK8060" t="s">
        <v>366</v>
      </c>
    </row>
    <row r="8061" spans="1:37">
      <c r="B8061" t="s">
        <v>68</v>
      </c>
      <c r="C8061" t="s">
        <v>90</v>
      </c>
      <c r="D8061" t="s">
        <v>108</v>
      </c>
      <c r="AK8061" t="s">
        <v>366</v>
      </c>
    </row>
    <row r="8062" spans="1:37">
      <c r="A8062" t="s">
        <v>47</v>
      </c>
      <c r="B8062" t="s">
        <v>69</v>
      </c>
      <c r="C8062" t="s">
        <v>91</v>
      </c>
      <c r="D8062" t="s">
        <v>109</v>
      </c>
      <c r="E8062" t="s">
        <v>109</v>
      </c>
      <c r="F8062" t="s">
        <v>109</v>
      </c>
      <c r="G8062" t="s">
        <v>109</v>
      </c>
      <c r="H8062" t="s">
        <v>109</v>
      </c>
      <c r="I8062" t="s">
        <v>239</v>
      </c>
      <c r="AK8062" t="s">
        <v>366</v>
      </c>
    </row>
    <row r="8063" spans="1:37">
      <c r="B8063" t="s">
        <v>70</v>
      </c>
      <c r="C8063" t="s">
        <v>92</v>
      </c>
      <c r="D8063" t="s">
        <v>110</v>
      </c>
      <c r="E8063" t="s">
        <v>127</v>
      </c>
      <c r="F8063" t="s">
        <v>161</v>
      </c>
      <c r="G8063" t="s">
        <v>187</v>
      </c>
      <c r="H8063" t="s">
        <v>218</v>
      </c>
      <c r="AK8063" t="s">
        <v>366</v>
      </c>
    </row>
    <row r="8064" spans="1:37">
      <c r="B8064" t="s">
        <v>71</v>
      </c>
      <c r="C8064" t="s">
        <v>93</v>
      </c>
      <c r="D8064" t="s">
        <v>111</v>
      </c>
      <c r="E8064" t="s">
        <v>128</v>
      </c>
      <c r="F8064" t="s">
        <v>162</v>
      </c>
      <c r="G8064" t="s">
        <v>188</v>
      </c>
      <c r="H8064" t="s">
        <v>219</v>
      </c>
      <c r="I8064" t="s">
        <v>240</v>
      </c>
      <c r="J8064" t="s">
        <v>257</v>
      </c>
      <c r="K8064" t="s">
        <v>269</v>
      </c>
      <c r="L8064" t="s">
        <v>109</v>
      </c>
      <c r="M8064" t="s">
        <v>109</v>
      </c>
      <c r="N8064" t="s">
        <v>109</v>
      </c>
      <c r="O8064" t="s">
        <v>109</v>
      </c>
      <c r="P8064" t="s">
        <v>109</v>
      </c>
      <c r="Q8064" t="s">
        <v>321</v>
      </c>
      <c r="AK8064" t="s">
        <v>366</v>
      </c>
    </row>
    <row r="8065" spans="1:37">
      <c r="A8065" t="s">
        <v>48</v>
      </c>
      <c r="B8065" t="s">
        <v>71</v>
      </c>
      <c r="C8065" t="s">
        <v>93</v>
      </c>
      <c r="D8065" t="s">
        <v>111</v>
      </c>
      <c r="E8065" t="s">
        <v>128</v>
      </c>
      <c r="F8065" t="s">
        <v>163</v>
      </c>
      <c r="G8065" t="s">
        <v>189</v>
      </c>
      <c r="H8065" t="s">
        <v>220</v>
      </c>
      <c r="I8065" t="s">
        <v>241</v>
      </c>
      <c r="J8065" t="s">
        <v>258</v>
      </c>
      <c r="K8065" t="s">
        <v>270</v>
      </c>
      <c r="AK8065" t="s">
        <v>366</v>
      </c>
    </row>
    <row r="8066" spans="1:37">
      <c r="B8066" t="s">
        <v>72</v>
      </c>
      <c r="C8066" t="s">
        <v>72</v>
      </c>
      <c r="D8066" t="s">
        <v>72</v>
      </c>
      <c r="E8066" t="s">
        <v>129</v>
      </c>
      <c r="F8066" t="s">
        <v>144</v>
      </c>
      <c r="G8066" t="s">
        <v>205</v>
      </c>
      <c r="H8066" t="s">
        <v>192</v>
      </c>
      <c r="I8066" t="s">
        <v>192</v>
      </c>
      <c r="J8066" t="s">
        <v>192</v>
      </c>
      <c r="K8066" t="s">
        <v>271</v>
      </c>
      <c r="AK8066" t="s">
        <v>366</v>
      </c>
    </row>
    <row r="8067" spans="1:37">
      <c r="A8067" t="s">
        <v>37</v>
      </c>
      <c r="B8067" t="s">
        <v>49</v>
      </c>
      <c r="C8067" t="s">
        <v>73</v>
      </c>
      <c r="D8067" t="s">
        <v>94</v>
      </c>
      <c r="E8067" t="s">
        <v>112</v>
      </c>
      <c r="F8067" t="s">
        <v>146</v>
      </c>
      <c r="G8067" t="s">
        <v>172</v>
      </c>
      <c r="H8067" t="s">
        <v>207</v>
      </c>
      <c r="I8067" t="s">
        <v>226</v>
      </c>
      <c r="J8067" t="s">
        <v>246</v>
      </c>
      <c r="K8067" t="s">
        <v>259</v>
      </c>
      <c r="AK8067" t="s">
        <v>366</v>
      </c>
    </row>
    <row r="8068" spans="1:37">
      <c r="A8068" t="s">
        <v>38</v>
      </c>
      <c r="B8068" t="s">
        <v>50</v>
      </c>
      <c r="C8068" t="s">
        <v>74</v>
      </c>
      <c r="D8068" t="s">
        <v>95</v>
      </c>
      <c r="E8068" t="s">
        <v>113</v>
      </c>
      <c r="F8068" t="s">
        <v>147</v>
      </c>
      <c r="G8068" t="s">
        <v>173</v>
      </c>
      <c r="H8068" t="s">
        <v>208</v>
      </c>
      <c r="I8068" t="s">
        <v>227</v>
      </c>
      <c r="J8068" t="s">
        <v>115</v>
      </c>
      <c r="K8068" t="s">
        <v>260</v>
      </c>
      <c r="L8068" t="s">
        <v>273</v>
      </c>
      <c r="M8068" t="s">
        <v>282</v>
      </c>
      <c r="N8068" t="s">
        <v>291</v>
      </c>
      <c r="AK8068" t="s">
        <v>366</v>
      </c>
    </row>
    <row r="8069" spans="1:37">
      <c r="B8069" t="s">
        <v>51</v>
      </c>
      <c r="C8069" t="s">
        <v>75</v>
      </c>
      <c r="D8069" t="s">
        <v>52</v>
      </c>
      <c r="E8069" t="s">
        <v>114</v>
      </c>
      <c r="F8069" t="s">
        <v>148</v>
      </c>
      <c r="G8069" t="s">
        <v>148</v>
      </c>
      <c r="H8069" t="s">
        <v>209</v>
      </c>
      <c r="I8069" t="s">
        <v>228</v>
      </c>
      <c r="J8069" t="s">
        <v>247</v>
      </c>
      <c r="K8069" t="s">
        <v>261</v>
      </c>
      <c r="L8069" t="s">
        <v>274</v>
      </c>
      <c r="M8069" t="s">
        <v>283</v>
      </c>
      <c r="N8069" t="s">
        <v>292</v>
      </c>
      <c r="O8069" t="s">
        <v>300</v>
      </c>
      <c r="AK8069" t="s">
        <v>366</v>
      </c>
    </row>
    <row r="8070" spans="1:37">
      <c r="B8070" t="s">
        <v>52</v>
      </c>
      <c r="C8070" t="s">
        <v>76</v>
      </c>
      <c r="D8070" t="s">
        <v>96</v>
      </c>
      <c r="E8070" t="s">
        <v>115</v>
      </c>
      <c r="F8070" t="s">
        <v>149</v>
      </c>
      <c r="G8070" t="s">
        <v>174</v>
      </c>
      <c r="H8070" t="s">
        <v>96</v>
      </c>
      <c r="I8070" t="s">
        <v>229</v>
      </c>
      <c r="J8070" t="s">
        <v>248</v>
      </c>
      <c r="K8070" t="s">
        <v>262</v>
      </c>
      <c r="L8070" t="s">
        <v>52</v>
      </c>
      <c r="M8070" t="s">
        <v>76</v>
      </c>
      <c r="N8070" t="s">
        <v>293</v>
      </c>
      <c r="O8070" t="s">
        <v>301</v>
      </c>
      <c r="P8070" t="s">
        <v>309</v>
      </c>
      <c r="Q8070" t="s">
        <v>315</v>
      </c>
      <c r="R8070" t="s">
        <v>228</v>
      </c>
      <c r="S8070" t="s">
        <v>328</v>
      </c>
      <c r="T8070" t="s">
        <v>149</v>
      </c>
      <c r="U8070" t="s">
        <v>337</v>
      </c>
      <c r="V8070" t="s">
        <v>341</v>
      </c>
      <c r="W8070" t="s">
        <v>345</v>
      </c>
      <c r="X8070" t="s">
        <v>350</v>
      </c>
      <c r="AK8070" t="s">
        <v>366</v>
      </c>
    </row>
    <row r="8071" spans="1:37">
      <c r="B8071" t="s">
        <v>53</v>
      </c>
      <c r="C8071" t="s">
        <v>77</v>
      </c>
      <c r="D8071" t="s">
        <v>97</v>
      </c>
      <c r="E8071" t="s">
        <v>116</v>
      </c>
      <c r="F8071" t="s">
        <v>150</v>
      </c>
      <c r="G8071" t="s">
        <v>175</v>
      </c>
      <c r="H8071" t="s">
        <v>210</v>
      </c>
      <c r="I8071" t="s">
        <v>230</v>
      </c>
      <c r="J8071" t="s">
        <v>249</v>
      </c>
      <c r="K8071" t="s">
        <v>263</v>
      </c>
      <c r="L8071" t="s">
        <v>275</v>
      </c>
      <c r="M8071" t="s">
        <v>284</v>
      </c>
      <c r="N8071" t="s">
        <v>294</v>
      </c>
      <c r="O8071" t="s">
        <v>302</v>
      </c>
      <c r="P8071" t="s">
        <v>310</v>
      </c>
      <c r="Q8071" t="s">
        <v>316</v>
      </c>
      <c r="R8071" t="s">
        <v>322</v>
      </c>
      <c r="S8071" t="s">
        <v>329</v>
      </c>
      <c r="AK8071" t="s">
        <v>366</v>
      </c>
    </row>
    <row r="8072" spans="1:37">
      <c r="A8072" t="s">
        <v>39</v>
      </c>
      <c r="B8072" t="s">
        <v>54</v>
      </c>
      <c r="C8072" t="s">
        <v>54</v>
      </c>
      <c r="D8072" t="s">
        <v>54</v>
      </c>
      <c r="E8072" t="s">
        <v>54</v>
      </c>
      <c r="F8072" t="s">
        <v>54</v>
      </c>
      <c r="G8072" t="s">
        <v>54</v>
      </c>
      <c r="H8072" t="s">
        <v>54</v>
      </c>
      <c r="I8072" t="s">
        <v>54</v>
      </c>
      <c r="J8072" t="s">
        <v>54</v>
      </c>
      <c r="K8072" t="s">
        <v>54</v>
      </c>
      <c r="L8072" t="s">
        <v>54</v>
      </c>
      <c r="M8072" t="s">
        <v>54</v>
      </c>
      <c r="N8072" t="s">
        <v>54</v>
      </c>
      <c r="O8072" t="s">
        <v>54</v>
      </c>
      <c r="P8072" t="s">
        <v>54</v>
      </c>
      <c r="Q8072" t="s">
        <v>54</v>
      </c>
      <c r="R8072" t="s">
        <v>323</v>
      </c>
      <c r="S8072" t="s">
        <v>330</v>
      </c>
      <c r="AK8072" t="s">
        <v>366</v>
      </c>
    </row>
    <row r="8073" spans="1:37">
      <c r="B8073" t="s">
        <v>55</v>
      </c>
      <c r="C8073" t="s">
        <v>78</v>
      </c>
      <c r="D8073" t="s">
        <v>55</v>
      </c>
      <c r="E8073" t="s">
        <v>78</v>
      </c>
      <c r="F8073" t="s">
        <v>55</v>
      </c>
      <c r="G8073" t="s">
        <v>78</v>
      </c>
      <c r="H8073" t="s">
        <v>55</v>
      </c>
      <c r="I8073" t="s">
        <v>78</v>
      </c>
      <c r="J8073" t="s">
        <v>55</v>
      </c>
      <c r="K8073" t="s">
        <v>78</v>
      </c>
      <c r="L8073" t="s">
        <v>55</v>
      </c>
      <c r="M8073" t="s">
        <v>78</v>
      </c>
      <c r="N8073" t="s">
        <v>55</v>
      </c>
      <c r="O8073" t="s">
        <v>78</v>
      </c>
      <c r="P8073" t="s">
        <v>55</v>
      </c>
      <c r="Q8073" t="s">
        <v>78</v>
      </c>
      <c r="R8073" t="s">
        <v>55</v>
      </c>
      <c r="S8073" t="s">
        <v>78</v>
      </c>
      <c r="T8073" t="s">
        <v>55</v>
      </c>
      <c r="U8073" t="s">
        <v>78</v>
      </c>
      <c r="V8073" t="s">
        <v>55</v>
      </c>
      <c r="W8073" t="s">
        <v>78</v>
      </c>
      <c r="X8073" t="s">
        <v>55</v>
      </c>
      <c r="Y8073" t="s">
        <v>78</v>
      </c>
      <c r="Z8073" t="s">
        <v>55</v>
      </c>
      <c r="AA8073" t="s">
        <v>78</v>
      </c>
      <c r="AB8073" t="s">
        <v>55</v>
      </c>
      <c r="AC8073" t="s">
        <v>78</v>
      </c>
      <c r="AD8073" t="s">
        <v>55</v>
      </c>
      <c r="AE8073" t="s">
        <v>78</v>
      </c>
      <c r="AF8073" t="s">
        <v>55</v>
      </c>
      <c r="AG8073" t="s">
        <v>78</v>
      </c>
      <c r="AH8073" t="s">
        <v>55</v>
      </c>
      <c r="AI8073" t="s">
        <v>78</v>
      </c>
      <c r="AK8073" t="s">
        <v>366</v>
      </c>
    </row>
    <row r="8074" spans="1:37">
      <c r="B8074" t="s">
        <v>56</v>
      </c>
      <c r="C8074" t="s">
        <v>56</v>
      </c>
      <c r="D8074" t="s">
        <v>56</v>
      </c>
      <c r="E8074" t="s">
        <v>56</v>
      </c>
      <c r="F8074" t="s">
        <v>56</v>
      </c>
      <c r="G8074" t="s">
        <v>176</v>
      </c>
      <c r="H8074" t="s">
        <v>211</v>
      </c>
      <c r="I8074" t="s">
        <v>231</v>
      </c>
      <c r="J8074" t="s">
        <v>250</v>
      </c>
      <c r="K8074" t="s">
        <v>264</v>
      </c>
      <c r="L8074" t="s">
        <v>276</v>
      </c>
      <c r="M8074" t="s">
        <v>285</v>
      </c>
      <c r="N8074" t="s">
        <v>295</v>
      </c>
      <c r="O8074" t="s">
        <v>303</v>
      </c>
      <c r="P8074" t="s">
        <v>56</v>
      </c>
      <c r="Q8074" t="s">
        <v>317</v>
      </c>
      <c r="R8074" t="s">
        <v>324</v>
      </c>
      <c r="S8074" t="s">
        <v>331</v>
      </c>
      <c r="T8074" t="s">
        <v>334</v>
      </c>
      <c r="U8074" t="s">
        <v>338</v>
      </c>
      <c r="V8074" t="s">
        <v>342</v>
      </c>
      <c r="W8074" t="s">
        <v>346</v>
      </c>
      <c r="X8074" t="s">
        <v>351</v>
      </c>
      <c r="AK8074" t="s">
        <v>366</v>
      </c>
    </row>
    <row r="8075" spans="1:37">
      <c r="B8075" t="s">
        <v>57</v>
      </c>
      <c r="C8075" t="s">
        <v>79</v>
      </c>
      <c r="D8075" t="s">
        <v>98</v>
      </c>
      <c r="E8075" t="s">
        <v>117</v>
      </c>
      <c r="F8075" t="s">
        <v>151</v>
      </c>
      <c r="G8075" t="s">
        <v>177</v>
      </c>
      <c r="H8075" t="s">
        <v>212</v>
      </c>
      <c r="I8075" t="s">
        <v>232</v>
      </c>
      <c r="J8075" t="s">
        <v>251</v>
      </c>
      <c r="K8075" t="s">
        <v>265</v>
      </c>
      <c r="L8075" t="s">
        <v>277</v>
      </c>
      <c r="M8075" t="s">
        <v>286</v>
      </c>
      <c r="N8075" t="s">
        <v>296</v>
      </c>
      <c r="O8075" t="s">
        <v>304</v>
      </c>
      <c r="P8075" t="s">
        <v>311</v>
      </c>
      <c r="Q8075" t="s">
        <v>318</v>
      </c>
      <c r="R8075" t="s">
        <v>185</v>
      </c>
      <c r="S8075" t="s">
        <v>159</v>
      </c>
      <c r="T8075" t="s">
        <v>185</v>
      </c>
      <c r="U8075" t="s">
        <v>339</v>
      </c>
      <c r="V8075" t="s">
        <v>72</v>
      </c>
      <c r="W8075" t="s">
        <v>347</v>
      </c>
      <c r="X8075" t="s">
        <v>72</v>
      </c>
      <c r="Y8075" t="s">
        <v>96</v>
      </c>
      <c r="AK8075" t="s">
        <v>366</v>
      </c>
    </row>
    <row r="8076" spans="1:37">
      <c r="B8076" t="s">
        <v>58</v>
      </c>
      <c r="C8076" t="s">
        <v>80</v>
      </c>
      <c r="D8076" t="s">
        <v>99</v>
      </c>
      <c r="E8076" t="s">
        <v>118</v>
      </c>
      <c r="F8076" t="s">
        <v>152</v>
      </c>
      <c r="G8076" t="s">
        <v>178</v>
      </c>
      <c r="H8076" t="s">
        <v>213</v>
      </c>
      <c r="I8076" t="s">
        <v>233</v>
      </c>
      <c r="J8076" t="s">
        <v>252</v>
      </c>
      <c r="K8076" t="s">
        <v>266</v>
      </c>
      <c r="L8076" t="s">
        <v>278</v>
      </c>
      <c r="M8076" t="s">
        <v>287</v>
      </c>
      <c r="N8076" t="s">
        <v>297</v>
      </c>
      <c r="O8076" t="s">
        <v>305</v>
      </c>
      <c r="P8076" t="s">
        <v>312</v>
      </c>
      <c r="Q8076" t="s">
        <v>319</v>
      </c>
      <c r="R8076">
        <f>&gt;10       ветра      1.7     21   7</f>
        <v>0</v>
      </c>
      <c r="AK8076" t="s">
        <v>366</v>
      </c>
    </row>
    <row r="8077" spans="1:37">
      <c r="A8077" t="s">
        <v>40</v>
      </c>
      <c r="B8077" t="s">
        <v>59</v>
      </c>
      <c r="C8077" t="s">
        <v>81</v>
      </c>
      <c r="D8077" t="s">
        <v>100</v>
      </c>
      <c r="E8077" t="s">
        <v>119</v>
      </c>
      <c r="F8077" t="s">
        <v>153</v>
      </c>
      <c r="G8077" t="s">
        <v>179</v>
      </c>
      <c r="H8077" t="s">
        <v>214</v>
      </c>
      <c r="I8077" t="s">
        <v>234</v>
      </c>
      <c r="AK8077" t="s">
        <v>366</v>
      </c>
    </row>
    <row r="8078" spans="1:37">
      <c r="A8078" t="s">
        <v>40</v>
      </c>
      <c r="B8078" t="s">
        <v>60</v>
      </c>
      <c r="C8078" t="s">
        <v>82</v>
      </c>
      <c r="D8078" t="s">
        <v>101</v>
      </c>
      <c r="E8078" t="s">
        <v>120</v>
      </c>
      <c r="F8078" t="s">
        <v>154</v>
      </c>
      <c r="G8078" t="s">
        <v>180</v>
      </c>
      <c r="H8078" t="s">
        <v>215</v>
      </c>
      <c r="I8078" t="s">
        <v>235</v>
      </c>
      <c r="J8078" t="s">
        <v>253</v>
      </c>
      <c r="K8078" t="s">
        <v>267</v>
      </c>
      <c r="L8078" t="s">
        <v>279</v>
      </c>
      <c r="M8078" t="s">
        <v>288</v>
      </c>
      <c r="N8078" t="s">
        <v>100</v>
      </c>
      <c r="O8078" t="s">
        <v>306</v>
      </c>
      <c r="P8078" t="s">
        <v>313</v>
      </c>
      <c r="Q8078" t="s">
        <v>320</v>
      </c>
      <c r="R8078" t="s">
        <v>325</v>
      </c>
      <c r="S8078" t="s">
        <v>332</v>
      </c>
      <c r="T8078" t="s">
        <v>119</v>
      </c>
      <c r="U8078" t="s">
        <v>234</v>
      </c>
      <c r="V8078" t="s">
        <v>343</v>
      </c>
      <c r="W8078" t="s">
        <v>348</v>
      </c>
      <c r="X8078" t="s">
        <v>352</v>
      </c>
      <c r="Y8078" t="s">
        <v>354</v>
      </c>
      <c r="AK8078" t="s">
        <v>366</v>
      </c>
    </row>
    <row r="8079" spans="1:37">
      <c r="A8079" t="s">
        <v>41</v>
      </c>
      <c r="B8079" t="s">
        <v>61</v>
      </c>
      <c r="C8079" t="s">
        <v>83</v>
      </c>
      <c r="D8079" t="s">
        <v>102</v>
      </c>
      <c r="E8079" t="s">
        <v>121</v>
      </c>
      <c r="F8079" t="s">
        <v>155</v>
      </c>
      <c r="G8079" t="s">
        <v>181</v>
      </c>
      <c r="H8079" t="s">
        <v>216</v>
      </c>
      <c r="I8079" t="s">
        <v>236</v>
      </c>
      <c r="AK8079" t="s">
        <v>366</v>
      </c>
    </row>
    <row r="8080" spans="1:37">
      <c r="A8080" t="s">
        <v>42</v>
      </c>
      <c r="B8080" t="s">
        <v>62</v>
      </c>
      <c r="C8080" t="s">
        <v>84</v>
      </c>
      <c r="D8080" t="s">
        <v>103</v>
      </c>
      <c r="E8080" t="s">
        <v>122</v>
      </c>
      <c r="F8080" t="s">
        <v>156</v>
      </c>
      <c r="G8080" t="s">
        <v>182</v>
      </c>
      <c r="H8080" t="s">
        <v>83</v>
      </c>
      <c r="I8080" t="s">
        <v>237</v>
      </c>
      <c r="J8080" t="s">
        <v>254</v>
      </c>
      <c r="K8080" t="s">
        <v>268</v>
      </c>
      <c r="L8080" t="s">
        <v>280</v>
      </c>
      <c r="M8080" t="s">
        <v>289</v>
      </c>
      <c r="N8080" t="s">
        <v>298</v>
      </c>
      <c r="O8080" t="s">
        <v>307</v>
      </c>
      <c r="P8080" t="s">
        <v>314</v>
      </c>
      <c r="Q8080" t="s">
        <v>216</v>
      </c>
      <c r="R8080" t="s">
        <v>326</v>
      </c>
      <c r="S8080" t="s">
        <v>333</v>
      </c>
      <c r="T8080" t="s">
        <v>335</v>
      </c>
      <c r="U8080" t="s">
        <v>340</v>
      </c>
      <c r="V8080" t="s">
        <v>344</v>
      </c>
      <c r="W8080" t="s">
        <v>349</v>
      </c>
      <c r="AK8080" t="s">
        <v>366</v>
      </c>
    </row>
    <row r="8081" spans="1:37">
      <c r="A8081" t="s">
        <v>43</v>
      </c>
      <c r="B8081" t="s">
        <v>63</v>
      </c>
      <c r="C8081" t="s">
        <v>85</v>
      </c>
      <c r="D8081" t="s">
        <v>104</v>
      </c>
      <c r="E8081" t="s">
        <v>123</v>
      </c>
      <c r="F8081" t="s">
        <v>157</v>
      </c>
      <c r="G8081" t="s">
        <v>183</v>
      </c>
      <c r="AK8081" t="s">
        <v>366</v>
      </c>
    </row>
    <row r="8082" spans="1:37">
      <c r="A8082" t="s">
        <v>44</v>
      </c>
      <c r="B8082" t="s">
        <v>64</v>
      </c>
      <c r="C8082" t="s">
        <v>86</v>
      </c>
      <c r="D8082" t="s">
        <v>105</v>
      </c>
      <c r="E8082" t="s">
        <v>124</v>
      </c>
      <c r="F8082" t="s">
        <v>158</v>
      </c>
      <c r="G8082" t="s">
        <v>184</v>
      </c>
      <c r="AK8082" t="s">
        <v>366</v>
      </c>
    </row>
    <row r="8083" spans="1:37">
      <c r="A8083" t="s">
        <v>45</v>
      </c>
      <c r="B8083" t="s">
        <v>65</v>
      </c>
      <c r="C8083" t="s">
        <v>87</v>
      </c>
      <c r="D8083" t="s">
        <v>106</v>
      </c>
      <c r="E8083" t="s">
        <v>125</v>
      </c>
      <c r="F8083" t="s">
        <v>159</v>
      </c>
      <c r="G8083" t="s">
        <v>185</v>
      </c>
      <c r="H8083" t="s">
        <v>159</v>
      </c>
      <c r="I8083" t="s">
        <v>185</v>
      </c>
      <c r="J8083" t="s">
        <v>255</v>
      </c>
      <c r="AK8083" t="s">
        <v>366</v>
      </c>
    </row>
    <row r="8084" spans="1:37">
      <c r="A8084" t="s">
        <v>46</v>
      </c>
      <c r="B8084" t="s">
        <v>66</v>
      </c>
      <c r="C8084" t="s">
        <v>88</v>
      </c>
      <c r="D8084" t="s">
        <v>76</v>
      </c>
      <c r="E8084" t="s">
        <v>126</v>
      </c>
      <c r="F8084" t="s">
        <v>160</v>
      </c>
      <c r="G8084" t="s">
        <v>186</v>
      </c>
      <c r="H8084" t="s">
        <v>217</v>
      </c>
      <c r="I8084" t="s">
        <v>238</v>
      </c>
      <c r="J8084" t="s">
        <v>256</v>
      </c>
      <c r="K8084" t="s">
        <v>265</v>
      </c>
      <c r="L8084" t="s">
        <v>281</v>
      </c>
      <c r="M8084" t="s">
        <v>290</v>
      </c>
      <c r="N8084" t="s">
        <v>299</v>
      </c>
      <c r="O8084" t="s">
        <v>308</v>
      </c>
      <c r="P8084" t="s">
        <v>228</v>
      </c>
      <c r="Q8084" t="s">
        <v>72</v>
      </c>
      <c r="R8084" t="s">
        <v>327</v>
      </c>
      <c r="S8084" t="s">
        <v>327</v>
      </c>
      <c r="T8084" t="s">
        <v>336</v>
      </c>
      <c r="U8084" t="s">
        <v>336</v>
      </c>
      <c r="V8084" t="s">
        <v>336</v>
      </c>
      <c r="W8084" t="s">
        <v>336</v>
      </c>
      <c r="X8084" t="s">
        <v>353</v>
      </c>
      <c r="AK8084" t="s">
        <v>366</v>
      </c>
    </row>
    <row r="8085" spans="1:37">
      <c r="A8085" t="s">
        <v>37</v>
      </c>
      <c r="B8085" t="s">
        <v>49</v>
      </c>
      <c r="C8085" t="s">
        <v>73</v>
      </c>
      <c r="D8085" t="s">
        <v>94</v>
      </c>
      <c r="E8085" t="s">
        <v>112</v>
      </c>
      <c r="F8085" t="s">
        <v>146</v>
      </c>
      <c r="G8085" t="s">
        <v>172</v>
      </c>
      <c r="H8085" t="s">
        <v>207</v>
      </c>
      <c r="I8085" t="s">
        <v>226</v>
      </c>
      <c r="J8085" t="s">
        <v>246</v>
      </c>
      <c r="K8085" t="s">
        <v>259</v>
      </c>
      <c r="AK8085" t="s">
        <v>366</v>
      </c>
    </row>
    <row r="8086" spans="1:37">
      <c r="A8086" t="s">
        <v>38</v>
      </c>
      <c r="B8086" t="s">
        <v>50</v>
      </c>
      <c r="C8086" t="s">
        <v>74</v>
      </c>
      <c r="D8086" t="s">
        <v>95</v>
      </c>
      <c r="E8086" t="s">
        <v>113</v>
      </c>
      <c r="F8086" t="s">
        <v>147</v>
      </c>
      <c r="G8086" t="s">
        <v>173</v>
      </c>
      <c r="H8086" t="s">
        <v>208</v>
      </c>
      <c r="I8086" t="s">
        <v>227</v>
      </c>
      <c r="J8086" t="s">
        <v>115</v>
      </c>
      <c r="K8086" t="s">
        <v>260</v>
      </c>
      <c r="L8086" t="s">
        <v>273</v>
      </c>
      <c r="M8086" t="s">
        <v>282</v>
      </c>
      <c r="N8086" t="s">
        <v>291</v>
      </c>
      <c r="AK8086" t="s">
        <v>366</v>
      </c>
    </row>
    <row r="8087" spans="1:37">
      <c r="B8087" t="s">
        <v>51</v>
      </c>
      <c r="C8087" t="s">
        <v>75</v>
      </c>
      <c r="D8087" t="s">
        <v>52</v>
      </c>
      <c r="E8087" t="s">
        <v>114</v>
      </c>
      <c r="F8087" t="s">
        <v>148</v>
      </c>
      <c r="G8087" t="s">
        <v>148</v>
      </c>
      <c r="H8087" t="s">
        <v>209</v>
      </c>
      <c r="I8087" t="s">
        <v>228</v>
      </c>
      <c r="J8087" t="s">
        <v>247</v>
      </c>
      <c r="K8087" t="s">
        <v>261</v>
      </c>
      <c r="L8087" t="s">
        <v>274</v>
      </c>
      <c r="M8087" t="s">
        <v>283</v>
      </c>
      <c r="N8087" t="s">
        <v>292</v>
      </c>
      <c r="O8087" t="s">
        <v>300</v>
      </c>
      <c r="AK8087" t="s">
        <v>366</v>
      </c>
    </row>
    <row r="8088" spans="1:37">
      <c r="B8088" t="s">
        <v>52</v>
      </c>
      <c r="C8088" t="s">
        <v>76</v>
      </c>
      <c r="D8088" t="s">
        <v>96</v>
      </c>
      <c r="E8088" t="s">
        <v>115</v>
      </c>
      <c r="F8088" t="s">
        <v>149</v>
      </c>
      <c r="G8088" t="s">
        <v>174</v>
      </c>
      <c r="H8088" t="s">
        <v>96</v>
      </c>
      <c r="I8088" t="s">
        <v>229</v>
      </c>
      <c r="J8088" t="s">
        <v>248</v>
      </c>
      <c r="K8088" t="s">
        <v>262</v>
      </c>
      <c r="L8088" t="s">
        <v>52</v>
      </c>
      <c r="M8088" t="s">
        <v>76</v>
      </c>
      <c r="N8088" t="s">
        <v>293</v>
      </c>
      <c r="O8088" t="s">
        <v>301</v>
      </c>
      <c r="P8088" t="s">
        <v>309</v>
      </c>
      <c r="Q8088" t="s">
        <v>315</v>
      </c>
      <c r="R8088" t="s">
        <v>228</v>
      </c>
      <c r="S8088" t="s">
        <v>328</v>
      </c>
      <c r="T8088" t="s">
        <v>149</v>
      </c>
      <c r="U8088" t="s">
        <v>337</v>
      </c>
      <c r="V8088" t="s">
        <v>341</v>
      </c>
      <c r="W8088" t="s">
        <v>345</v>
      </c>
      <c r="X8088" t="s">
        <v>350</v>
      </c>
      <c r="AK8088" t="s">
        <v>366</v>
      </c>
    </row>
    <row r="8089" spans="1:37">
      <c r="B8089" t="s">
        <v>53</v>
      </c>
      <c r="C8089" t="s">
        <v>77</v>
      </c>
      <c r="D8089" t="s">
        <v>97</v>
      </c>
      <c r="E8089" t="s">
        <v>116</v>
      </c>
      <c r="F8089" t="s">
        <v>150</v>
      </c>
      <c r="G8089" t="s">
        <v>175</v>
      </c>
      <c r="H8089" t="s">
        <v>210</v>
      </c>
      <c r="I8089" t="s">
        <v>230</v>
      </c>
      <c r="J8089" t="s">
        <v>249</v>
      </c>
      <c r="K8089" t="s">
        <v>263</v>
      </c>
      <c r="L8089" t="s">
        <v>275</v>
      </c>
      <c r="M8089" t="s">
        <v>284</v>
      </c>
      <c r="N8089" t="s">
        <v>294</v>
      </c>
      <c r="O8089" t="s">
        <v>302</v>
      </c>
      <c r="P8089" t="s">
        <v>310</v>
      </c>
      <c r="Q8089" t="s">
        <v>316</v>
      </c>
      <c r="R8089" t="s">
        <v>322</v>
      </c>
      <c r="S8089" t="s">
        <v>329</v>
      </c>
      <c r="AK8089" t="s">
        <v>366</v>
      </c>
    </row>
    <row r="8090" spans="1:37">
      <c r="A8090" t="s">
        <v>39</v>
      </c>
      <c r="B8090" t="s">
        <v>54</v>
      </c>
      <c r="C8090" t="s">
        <v>54</v>
      </c>
      <c r="D8090" t="s">
        <v>54</v>
      </c>
      <c r="E8090" t="s">
        <v>54</v>
      </c>
      <c r="F8090" t="s">
        <v>54</v>
      </c>
      <c r="G8090" t="s">
        <v>54</v>
      </c>
      <c r="H8090" t="s">
        <v>54</v>
      </c>
      <c r="I8090" t="s">
        <v>54</v>
      </c>
      <c r="J8090" t="s">
        <v>54</v>
      </c>
      <c r="K8090" t="s">
        <v>54</v>
      </c>
      <c r="L8090" t="s">
        <v>54</v>
      </c>
      <c r="M8090" t="s">
        <v>54</v>
      </c>
      <c r="N8090" t="s">
        <v>54</v>
      </c>
      <c r="O8090" t="s">
        <v>54</v>
      </c>
      <c r="P8090" t="s">
        <v>54</v>
      </c>
      <c r="Q8090" t="s">
        <v>54</v>
      </c>
      <c r="R8090" t="s">
        <v>323</v>
      </c>
      <c r="S8090" t="s">
        <v>330</v>
      </c>
      <c r="AK8090" t="s">
        <v>366</v>
      </c>
    </row>
    <row r="8091" spans="1:37">
      <c r="B8091" t="s">
        <v>55</v>
      </c>
      <c r="C8091" t="s">
        <v>78</v>
      </c>
      <c r="D8091" t="s">
        <v>55</v>
      </c>
      <c r="E8091" t="s">
        <v>78</v>
      </c>
      <c r="F8091" t="s">
        <v>55</v>
      </c>
      <c r="G8091" t="s">
        <v>78</v>
      </c>
      <c r="H8091" t="s">
        <v>55</v>
      </c>
      <c r="I8091" t="s">
        <v>78</v>
      </c>
      <c r="J8091" t="s">
        <v>55</v>
      </c>
      <c r="K8091" t="s">
        <v>78</v>
      </c>
      <c r="L8091" t="s">
        <v>55</v>
      </c>
      <c r="M8091" t="s">
        <v>78</v>
      </c>
      <c r="N8091" t="s">
        <v>55</v>
      </c>
      <c r="O8091" t="s">
        <v>78</v>
      </c>
      <c r="P8091" t="s">
        <v>55</v>
      </c>
      <c r="Q8091" t="s">
        <v>78</v>
      </c>
      <c r="R8091" t="s">
        <v>55</v>
      </c>
      <c r="S8091" t="s">
        <v>78</v>
      </c>
      <c r="T8091" t="s">
        <v>55</v>
      </c>
      <c r="U8091" t="s">
        <v>78</v>
      </c>
      <c r="V8091" t="s">
        <v>55</v>
      </c>
      <c r="W8091" t="s">
        <v>78</v>
      </c>
      <c r="X8091" t="s">
        <v>55</v>
      </c>
      <c r="Y8091" t="s">
        <v>78</v>
      </c>
      <c r="Z8091" t="s">
        <v>55</v>
      </c>
      <c r="AA8091" t="s">
        <v>78</v>
      </c>
      <c r="AB8091" t="s">
        <v>55</v>
      </c>
      <c r="AC8091" t="s">
        <v>78</v>
      </c>
      <c r="AD8091" t="s">
        <v>55</v>
      </c>
      <c r="AE8091" t="s">
        <v>78</v>
      </c>
      <c r="AF8091" t="s">
        <v>55</v>
      </c>
      <c r="AG8091" t="s">
        <v>78</v>
      </c>
      <c r="AH8091" t="s">
        <v>55</v>
      </c>
      <c r="AI8091" t="s">
        <v>78</v>
      </c>
      <c r="AK8091" t="s">
        <v>366</v>
      </c>
    </row>
    <row r="8092" spans="1:37">
      <c r="B8092" t="s">
        <v>56</v>
      </c>
      <c r="C8092" t="s">
        <v>56</v>
      </c>
      <c r="D8092" t="s">
        <v>56</v>
      </c>
      <c r="E8092" t="s">
        <v>56</v>
      </c>
      <c r="F8092" t="s">
        <v>56</v>
      </c>
      <c r="G8092" t="s">
        <v>176</v>
      </c>
      <c r="H8092" t="s">
        <v>211</v>
      </c>
      <c r="I8092" t="s">
        <v>231</v>
      </c>
      <c r="J8092" t="s">
        <v>250</v>
      </c>
      <c r="K8092" t="s">
        <v>264</v>
      </c>
      <c r="L8092" t="s">
        <v>276</v>
      </c>
      <c r="M8092" t="s">
        <v>285</v>
      </c>
      <c r="N8092" t="s">
        <v>295</v>
      </c>
      <c r="O8092" t="s">
        <v>303</v>
      </c>
      <c r="P8092" t="s">
        <v>56</v>
      </c>
      <c r="Q8092" t="s">
        <v>317</v>
      </c>
      <c r="R8092" t="s">
        <v>324</v>
      </c>
      <c r="S8092" t="s">
        <v>331</v>
      </c>
      <c r="T8092" t="s">
        <v>334</v>
      </c>
      <c r="U8092" t="s">
        <v>338</v>
      </c>
      <c r="V8092" t="s">
        <v>342</v>
      </c>
      <c r="W8092" t="s">
        <v>346</v>
      </c>
      <c r="X8092" t="s">
        <v>351</v>
      </c>
      <c r="AK8092" t="s">
        <v>366</v>
      </c>
    </row>
    <row r="8093" spans="1:37">
      <c r="B8093" t="s">
        <v>57</v>
      </c>
      <c r="C8093" t="s">
        <v>79</v>
      </c>
      <c r="D8093" t="s">
        <v>98</v>
      </c>
      <c r="E8093" t="s">
        <v>117</v>
      </c>
      <c r="F8093" t="s">
        <v>151</v>
      </c>
      <c r="G8093" t="s">
        <v>177</v>
      </c>
      <c r="H8093" t="s">
        <v>212</v>
      </c>
      <c r="I8093" t="s">
        <v>232</v>
      </c>
      <c r="J8093" t="s">
        <v>251</v>
      </c>
      <c r="K8093" t="s">
        <v>265</v>
      </c>
      <c r="L8093" t="s">
        <v>277</v>
      </c>
      <c r="M8093" t="s">
        <v>286</v>
      </c>
      <c r="N8093" t="s">
        <v>296</v>
      </c>
      <c r="O8093" t="s">
        <v>304</v>
      </c>
      <c r="P8093" t="s">
        <v>311</v>
      </c>
      <c r="Q8093" t="s">
        <v>318</v>
      </c>
      <c r="R8093" t="s">
        <v>185</v>
      </c>
      <c r="S8093" t="s">
        <v>159</v>
      </c>
      <c r="T8093" t="s">
        <v>185</v>
      </c>
      <c r="U8093" t="s">
        <v>339</v>
      </c>
      <c r="V8093" t="s">
        <v>72</v>
      </c>
      <c r="W8093" t="s">
        <v>347</v>
      </c>
      <c r="X8093" t="s">
        <v>72</v>
      </c>
      <c r="Y8093" t="s">
        <v>96</v>
      </c>
      <c r="AK8093" t="s">
        <v>366</v>
      </c>
    </row>
    <row r="8094" spans="1:37">
      <c r="B8094" t="s">
        <v>58</v>
      </c>
      <c r="C8094" t="s">
        <v>80</v>
      </c>
      <c r="D8094" t="s">
        <v>99</v>
      </c>
      <c r="E8094" t="s">
        <v>118</v>
      </c>
      <c r="F8094" t="s">
        <v>152</v>
      </c>
      <c r="G8094" t="s">
        <v>178</v>
      </c>
      <c r="H8094" t="s">
        <v>213</v>
      </c>
      <c r="I8094" t="s">
        <v>233</v>
      </c>
      <c r="J8094" t="s">
        <v>252</v>
      </c>
      <c r="K8094" t="s">
        <v>266</v>
      </c>
      <c r="L8094" t="s">
        <v>278</v>
      </c>
      <c r="M8094" t="s">
        <v>287</v>
      </c>
      <c r="N8094" t="s">
        <v>297</v>
      </c>
      <c r="O8094" t="s">
        <v>305</v>
      </c>
      <c r="P8094" t="s">
        <v>312</v>
      </c>
      <c r="Q8094" t="s">
        <v>319</v>
      </c>
      <c r="R8094">
        <f>&gt;10       ветра      3.3     13   7 13</f>
        <v>0</v>
      </c>
      <c r="AK8094" t="s">
        <v>366</v>
      </c>
    </row>
    <row r="8095" spans="1:37">
      <c r="A8095" t="s">
        <v>40</v>
      </c>
      <c r="B8095" t="s">
        <v>59</v>
      </c>
      <c r="C8095" t="s">
        <v>81</v>
      </c>
      <c r="D8095" t="s">
        <v>100</v>
      </c>
      <c r="E8095" t="s">
        <v>119</v>
      </c>
      <c r="F8095" t="s">
        <v>153</v>
      </c>
      <c r="G8095" t="s">
        <v>179</v>
      </c>
      <c r="H8095" t="s">
        <v>214</v>
      </c>
      <c r="I8095" t="s">
        <v>234</v>
      </c>
      <c r="AK8095" t="s">
        <v>366</v>
      </c>
    </row>
    <row r="8096" spans="1:37">
      <c r="A8096" t="s">
        <v>40</v>
      </c>
      <c r="B8096" t="s">
        <v>60</v>
      </c>
      <c r="C8096" t="s">
        <v>82</v>
      </c>
      <c r="D8096" t="s">
        <v>101</v>
      </c>
      <c r="E8096" t="s">
        <v>120</v>
      </c>
      <c r="F8096" t="s">
        <v>154</v>
      </c>
      <c r="G8096" t="s">
        <v>180</v>
      </c>
      <c r="H8096" t="s">
        <v>215</v>
      </c>
      <c r="I8096" t="s">
        <v>235</v>
      </c>
      <c r="J8096" t="s">
        <v>253</v>
      </c>
      <c r="K8096" t="s">
        <v>267</v>
      </c>
      <c r="L8096" t="s">
        <v>279</v>
      </c>
      <c r="M8096" t="s">
        <v>288</v>
      </c>
      <c r="N8096" t="s">
        <v>100</v>
      </c>
      <c r="O8096" t="s">
        <v>306</v>
      </c>
      <c r="P8096" t="s">
        <v>313</v>
      </c>
      <c r="Q8096" t="s">
        <v>320</v>
      </c>
      <c r="R8096" t="s">
        <v>325</v>
      </c>
      <c r="S8096" t="s">
        <v>332</v>
      </c>
      <c r="T8096" t="s">
        <v>119</v>
      </c>
      <c r="U8096" t="s">
        <v>234</v>
      </c>
      <c r="V8096" t="s">
        <v>343</v>
      </c>
      <c r="W8096" t="s">
        <v>348</v>
      </c>
      <c r="X8096" t="s">
        <v>352</v>
      </c>
      <c r="Y8096" t="s">
        <v>354</v>
      </c>
      <c r="AK8096" t="s">
        <v>366</v>
      </c>
    </row>
    <row r="8097" spans="1:37">
      <c r="A8097" t="s">
        <v>41</v>
      </c>
      <c r="B8097" t="s">
        <v>61</v>
      </c>
      <c r="C8097" t="s">
        <v>83</v>
      </c>
      <c r="D8097" t="s">
        <v>102</v>
      </c>
      <c r="E8097" t="s">
        <v>121</v>
      </c>
      <c r="F8097" t="s">
        <v>155</v>
      </c>
      <c r="G8097" t="s">
        <v>181</v>
      </c>
      <c r="H8097" t="s">
        <v>216</v>
      </c>
      <c r="I8097" t="s">
        <v>236</v>
      </c>
      <c r="AK8097" t="s">
        <v>366</v>
      </c>
    </row>
    <row r="8098" spans="1:37">
      <c r="A8098" t="s">
        <v>42</v>
      </c>
      <c r="B8098" t="s">
        <v>62</v>
      </c>
      <c r="C8098" t="s">
        <v>84</v>
      </c>
      <c r="D8098" t="s">
        <v>103</v>
      </c>
      <c r="E8098" t="s">
        <v>122</v>
      </c>
      <c r="F8098" t="s">
        <v>156</v>
      </c>
      <c r="G8098" t="s">
        <v>182</v>
      </c>
      <c r="H8098" t="s">
        <v>83</v>
      </c>
      <c r="I8098" t="s">
        <v>237</v>
      </c>
      <c r="J8098" t="s">
        <v>254</v>
      </c>
      <c r="K8098" t="s">
        <v>268</v>
      </c>
      <c r="L8098" t="s">
        <v>280</v>
      </c>
      <c r="M8098" t="s">
        <v>289</v>
      </c>
      <c r="N8098" t="s">
        <v>298</v>
      </c>
      <c r="O8098" t="s">
        <v>307</v>
      </c>
      <c r="P8098" t="s">
        <v>314</v>
      </c>
      <c r="Q8098" t="s">
        <v>216</v>
      </c>
      <c r="R8098" t="s">
        <v>326</v>
      </c>
      <c r="S8098" t="s">
        <v>333</v>
      </c>
      <c r="T8098" t="s">
        <v>335</v>
      </c>
      <c r="U8098" t="s">
        <v>340</v>
      </c>
      <c r="V8098" t="s">
        <v>344</v>
      </c>
      <c r="W8098" t="s">
        <v>349</v>
      </c>
      <c r="AK8098" t="s">
        <v>366</v>
      </c>
    </row>
    <row r="8099" spans="1:37">
      <c r="A8099" t="s">
        <v>43</v>
      </c>
      <c r="B8099" t="s">
        <v>63</v>
      </c>
      <c r="C8099" t="s">
        <v>85</v>
      </c>
      <c r="D8099" t="s">
        <v>104</v>
      </c>
      <c r="E8099" t="s">
        <v>123</v>
      </c>
      <c r="F8099" t="s">
        <v>157</v>
      </c>
      <c r="G8099" t="s">
        <v>183</v>
      </c>
      <c r="AK8099" t="s">
        <v>366</v>
      </c>
    </row>
    <row r="8100" spans="1:37">
      <c r="A8100" t="s">
        <v>44</v>
      </c>
      <c r="B8100" t="s">
        <v>64</v>
      </c>
      <c r="C8100" t="s">
        <v>86</v>
      </c>
      <c r="D8100" t="s">
        <v>105</v>
      </c>
      <c r="E8100" t="s">
        <v>124</v>
      </c>
      <c r="F8100" t="s">
        <v>158</v>
      </c>
      <c r="G8100" t="s">
        <v>184</v>
      </c>
      <c r="AK8100" t="s">
        <v>366</v>
      </c>
    </row>
    <row r="8101" spans="1:37">
      <c r="A8101" t="s">
        <v>45</v>
      </c>
      <c r="B8101" t="s">
        <v>65</v>
      </c>
      <c r="C8101" t="s">
        <v>87</v>
      </c>
      <c r="D8101" t="s">
        <v>106</v>
      </c>
      <c r="E8101" t="s">
        <v>125</v>
      </c>
      <c r="F8101" t="s">
        <v>159</v>
      </c>
      <c r="G8101" t="s">
        <v>185</v>
      </c>
      <c r="H8101" t="s">
        <v>159</v>
      </c>
      <c r="I8101" t="s">
        <v>185</v>
      </c>
      <c r="J8101" t="s">
        <v>255</v>
      </c>
      <c r="AK8101" t="s">
        <v>366</v>
      </c>
    </row>
    <row r="8102" spans="1:37">
      <c r="A8102" t="s">
        <v>46</v>
      </c>
      <c r="B8102" t="s">
        <v>66</v>
      </c>
      <c r="C8102" t="s">
        <v>88</v>
      </c>
      <c r="D8102" t="s">
        <v>76</v>
      </c>
      <c r="E8102" t="s">
        <v>126</v>
      </c>
      <c r="F8102" t="s">
        <v>160</v>
      </c>
      <c r="G8102" t="s">
        <v>186</v>
      </c>
      <c r="H8102" t="s">
        <v>217</v>
      </c>
      <c r="I8102" t="s">
        <v>238</v>
      </c>
      <c r="J8102" t="s">
        <v>256</v>
      </c>
      <c r="K8102" t="s">
        <v>265</v>
      </c>
      <c r="L8102" t="s">
        <v>281</v>
      </c>
      <c r="M8102" t="s">
        <v>290</v>
      </c>
      <c r="N8102" t="s">
        <v>299</v>
      </c>
      <c r="O8102" t="s">
        <v>308</v>
      </c>
      <c r="P8102" t="s">
        <v>228</v>
      </c>
      <c r="Q8102" t="s">
        <v>72</v>
      </c>
      <c r="R8102" t="s">
        <v>327</v>
      </c>
      <c r="S8102" t="s">
        <v>327</v>
      </c>
      <c r="T8102" t="s">
        <v>336</v>
      </c>
      <c r="U8102" t="s">
        <v>336</v>
      </c>
      <c r="V8102" t="s">
        <v>336</v>
      </c>
      <c r="W8102" t="s">
        <v>336</v>
      </c>
      <c r="X8102" t="s">
        <v>353</v>
      </c>
      <c r="AK8102" t="s">
        <v>366</v>
      </c>
    </row>
    <row r="8103" spans="1:37">
      <c r="A8103" t="s">
        <v>37</v>
      </c>
      <c r="B8103" t="s">
        <v>49</v>
      </c>
      <c r="C8103" t="s">
        <v>73</v>
      </c>
      <c r="D8103" t="s">
        <v>94</v>
      </c>
      <c r="E8103" t="s">
        <v>112</v>
      </c>
      <c r="F8103" t="s">
        <v>146</v>
      </c>
      <c r="G8103" t="s">
        <v>172</v>
      </c>
      <c r="H8103" t="s">
        <v>207</v>
      </c>
      <c r="I8103" t="s">
        <v>226</v>
      </c>
      <c r="J8103" t="s">
        <v>246</v>
      </c>
      <c r="K8103" t="s">
        <v>259</v>
      </c>
      <c r="AK8103" t="s">
        <v>366</v>
      </c>
    </row>
    <row r="8104" spans="1:37">
      <c r="A8104" t="s">
        <v>38</v>
      </c>
      <c r="B8104" t="s">
        <v>50</v>
      </c>
      <c r="C8104" t="s">
        <v>74</v>
      </c>
      <c r="D8104" t="s">
        <v>95</v>
      </c>
      <c r="E8104" t="s">
        <v>113</v>
      </c>
      <c r="F8104" t="s">
        <v>147</v>
      </c>
      <c r="G8104" t="s">
        <v>173</v>
      </c>
      <c r="H8104" t="s">
        <v>208</v>
      </c>
      <c r="I8104" t="s">
        <v>227</v>
      </c>
      <c r="J8104" t="s">
        <v>115</v>
      </c>
      <c r="K8104" t="s">
        <v>260</v>
      </c>
      <c r="L8104" t="s">
        <v>273</v>
      </c>
      <c r="M8104" t="s">
        <v>282</v>
      </c>
      <c r="N8104" t="s">
        <v>291</v>
      </c>
      <c r="AK8104" t="s">
        <v>366</v>
      </c>
    </row>
    <row r="8105" spans="1:37">
      <c r="B8105" t="s">
        <v>51</v>
      </c>
      <c r="C8105" t="s">
        <v>75</v>
      </c>
      <c r="D8105" t="s">
        <v>52</v>
      </c>
      <c r="E8105" t="s">
        <v>114</v>
      </c>
      <c r="F8105" t="s">
        <v>148</v>
      </c>
      <c r="G8105" t="s">
        <v>148</v>
      </c>
      <c r="H8105" t="s">
        <v>209</v>
      </c>
      <c r="I8105" t="s">
        <v>228</v>
      </c>
      <c r="J8105" t="s">
        <v>247</v>
      </c>
      <c r="K8105" t="s">
        <v>261</v>
      </c>
      <c r="L8105" t="s">
        <v>274</v>
      </c>
      <c r="M8105" t="s">
        <v>283</v>
      </c>
      <c r="N8105" t="s">
        <v>292</v>
      </c>
      <c r="O8105" t="s">
        <v>300</v>
      </c>
      <c r="AK8105" t="s">
        <v>366</v>
      </c>
    </row>
    <row r="8106" spans="1:37">
      <c r="B8106" t="s">
        <v>52</v>
      </c>
      <c r="C8106" t="s">
        <v>76</v>
      </c>
      <c r="D8106" t="s">
        <v>96</v>
      </c>
      <c r="E8106" t="s">
        <v>115</v>
      </c>
      <c r="F8106" t="s">
        <v>149</v>
      </c>
      <c r="G8106" t="s">
        <v>174</v>
      </c>
      <c r="H8106" t="s">
        <v>96</v>
      </c>
      <c r="I8106" t="s">
        <v>229</v>
      </c>
      <c r="J8106" t="s">
        <v>248</v>
      </c>
      <c r="K8106" t="s">
        <v>262</v>
      </c>
      <c r="L8106" t="s">
        <v>52</v>
      </c>
      <c r="M8106" t="s">
        <v>76</v>
      </c>
      <c r="N8106" t="s">
        <v>293</v>
      </c>
      <c r="O8106" t="s">
        <v>301</v>
      </c>
      <c r="P8106" t="s">
        <v>309</v>
      </c>
      <c r="Q8106" t="s">
        <v>315</v>
      </c>
      <c r="R8106" t="s">
        <v>228</v>
      </c>
      <c r="S8106" t="s">
        <v>328</v>
      </c>
      <c r="T8106" t="s">
        <v>149</v>
      </c>
      <c r="U8106" t="s">
        <v>337</v>
      </c>
      <c r="V8106" t="s">
        <v>341</v>
      </c>
      <c r="W8106" t="s">
        <v>345</v>
      </c>
      <c r="X8106" t="s">
        <v>350</v>
      </c>
      <c r="AK8106" t="s">
        <v>366</v>
      </c>
    </row>
    <row r="8107" spans="1:37">
      <c r="B8107" t="s">
        <v>53</v>
      </c>
      <c r="C8107" t="s">
        <v>77</v>
      </c>
      <c r="D8107" t="s">
        <v>97</v>
      </c>
      <c r="E8107" t="s">
        <v>116</v>
      </c>
      <c r="F8107" t="s">
        <v>150</v>
      </c>
      <c r="G8107" t="s">
        <v>175</v>
      </c>
      <c r="H8107" t="s">
        <v>210</v>
      </c>
      <c r="I8107" t="s">
        <v>230</v>
      </c>
      <c r="J8107" t="s">
        <v>249</v>
      </c>
      <c r="K8107" t="s">
        <v>263</v>
      </c>
      <c r="L8107" t="s">
        <v>275</v>
      </c>
      <c r="M8107" t="s">
        <v>284</v>
      </c>
      <c r="N8107" t="s">
        <v>294</v>
      </c>
      <c r="O8107" t="s">
        <v>302</v>
      </c>
      <c r="P8107" t="s">
        <v>310</v>
      </c>
      <c r="Q8107" t="s">
        <v>316</v>
      </c>
      <c r="R8107" t="s">
        <v>322</v>
      </c>
      <c r="S8107" t="s">
        <v>329</v>
      </c>
      <c r="AK8107" t="s">
        <v>366</v>
      </c>
    </row>
    <row r="8108" spans="1:37">
      <c r="A8108" t="s">
        <v>39</v>
      </c>
      <c r="B8108" t="s">
        <v>54</v>
      </c>
      <c r="C8108" t="s">
        <v>54</v>
      </c>
      <c r="D8108" t="s">
        <v>54</v>
      </c>
      <c r="E8108" t="s">
        <v>54</v>
      </c>
      <c r="F8108" t="s">
        <v>54</v>
      </c>
      <c r="G8108" t="s">
        <v>54</v>
      </c>
      <c r="H8108" t="s">
        <v>54</v>
      </c>
      <c r="I8108" t="s">
        <v>54</v>
      </c>
      <c r="J8108" t="s">
        <v>54</v>
      </c>
      <c r="K8108" t="s">
        <v>54</v>
      </c>
      <c r="L8108" t="s">
        <v>54</v>
      </c>
      <c r="M8108" t="s">
        <v>54</v>
      </c>
      <c r="N8108" t="s">
        <v>54</v>
      </c>
      <c r="O8108" t="s">
        <v>54</v>
      </c>
      <c r="P8108" t="s">
        <v>54</v>
      </c>
      <c r="Q8108" t="s">
        <v>54</v>
      </c>
      <c r="R8108" t="s">
        <v>323</v>
      </c>
      <c r="S8108" t="s">
        <v>330</v>
      </c>
      <c r="AK8108" t="s">
        <v>366</v>
      </c>
    </row>
    <row r="8109" spans="1:37">
      <c r="B8109" t="s">
        <v>55</v>
      </c>
      <c r="C8109" t="s">
        <v>78</v>
      </c>
      <c r="D8109" t="s">
        <v>55</v>
      </c>
      <c r="E8109" t="s">
        <v>78</v>
      </c>
      <c r="F8109" t="s">
        <v>55</v>
      </c>
      <c r="G8109" t="s">
        <v>78</v>
      </c>
      <c r="H8109" t="s">
        <v>55</v>
      </c>
      <c r="I8109" t="s">
        <v>78</v>
      </c>
      <c r="J8109" t="s">
        <v>55</v>
      </c>
      <c r="K8109" t="s">
        <v>78</v>
      </c>
      <c r="L8109" t="s">
        <v>55</v>
      </c>
      <c r="M8109" t="s">
        <v>78</v>
      </c>
      <c r="N8109" t="s">
        <v>55</v>
      </c>
      <c r="O8109" t="s">
        <v>78</v>
      </c>
      <c r="P8109" t="s">
        <v>55</v>
      </c>
      <c r="Q8109" t="s">
        <v>78</v>
      </c>
      <c r="R8109" t="s">
        <v>55</v>
      </c>
      <c r="S8109" t="s">
        <v>78</v>
      </c>
      <c r="T8109" t="s">
        <v>55</v>
      </c>
      <c r="U8109" t="s">
        <v>78</v>
      </c>
      <c r="V8109" t="s">
        <v>55</v>
      </c>
      <c r="W8109" t="s">
        <v>78</v>
      </c>
      <c r="X8109" t="s">
        <v>55</v>
      </c>
      <c r="Y8109" t="s">
        <v>78</v>
      </c>
      <c r="Z8109" t="s">
        <v>55</v>
      </c>
      <c r="AA8109" t="s">
        <v>78</v>
      </c>
      <c r="AB8109" t="s">
        <v>55</v>
      </c>
      <c r="AC8109" t="s">
        <v>78</v>
      </c>
      <c r="AD8109" t="s">
        <v>55</v>
      </c>
      <c r="AE8109" t="s">
        <v>78</v>
      </c>
      <c r="AF8109" t="s">
        <v>55</v>
      </c>
      <c r="AG8109" t="s">
        <v>78</v>
      </c>
      <c r="AH8109" t="s">
        <v>55</v>
      </c>
      <c r="AI8109" t="s">
        <v>78</v>
      </c>
      <c r="AK8109" t="s">
        <v>366</v>
      </c>
    </row>
    <row r="8110" spans="1:37">
      <c r="B8110" t="s">
        <v>56</v>
      </c>
      <c r="C8110" t="s">
        <v>56</v>
      </c>
      <c r="D8110" t="s">
        <v>56</v>
      </c>
      <c r="E8110" t="s">
        <v>56</v>
      </c>
      <c r="F8110" t="s">
        <v>56</v>
      </c>
      <c r="G8110" t="s">
        <v>176</v>
      </c>
      <c r="H8110" t="s">
        <v>211</v>
      </c>
      <c r="I8110" t="s">
        <v>231</v>
      </c>
      <c r="J8110" t="s">
        <v>250</v>
      </c>
      <c r="K8110" t="s">
        <v>264</v>
      </c>
      <c r="L8110" t="s">
        <v>276</v>
      </c>
      <c r="M8110" t="s">
        <v>285</v>
      </c>
      <c r="N8110" t="s">
        <v>295</v>
      </c>
      <c r="O8110" t="s">
        <v>303</v>
      </c>
      <c r="P8110" t="s">
        <v>56</v>
      </c>
      <c r="Q8110" t="s">
        <v>317</v>
      </c>
      <c r="R8110" t="s">
        <v>324</v>
      </c>
      <c r="S8110" t="s">
        <v>331</v>
      </c>
      <c r="T8110" t="s">
        <v>334</v>
      </c>
      <c r="U8110" t="s">
        <v>338</v>
      </c>
      <c r="V8110" t="s">
        <v>342</v>
      </c>
      <c r="W8110" t="s">
        <v>346</v>
      </c>
      <c r="X8110" t="s">
        <v>351</v>
      </c>
      <c r="AK8110" t="s">
        <v>366</v>
      </c>
    </row>
    <row r="8111" spans="1:37">
      <c r="B8111" t="s">
        <v>57</v>
      </c>
      <c r="C8111" t="s">
        <v>79</v>
      </c>
      <c r="D8111" t="s">
        <v>98</v>
      </c>
      <c r="E8111" t="s">
        <v>117</v>
      </c>
      <c r="F8111" t="s">
        <v>151</v>
      </c>
      <c r="G8111" t="s">
        <v>177</v>
      </c>
      <c r="H8111" t="s">
        <v>212</v>
      </c>
      <c r="I8111" t="s">
        <v>232</v>
      </c>
      <c r="J8111" t="s">
        <v>251</v>
      </c>
      <c r="K8111" t="s">
        <v>265</v>
      </c>
      <c r="L8111" t="s">
        <v>277</v>
      </c>
      <c r="M8111" t="s">
        <v>286</v>
      </c>
      <c r="N8111" t="s">
        <v>296</v>
      </c>
      <c r="O8111" t="s">
        <v>304</v>
      </c>
      <c r="P8111" t="s">
        <v>311</v>
      </c>
      <c r="Q8111" t="s">
        <v>318</v>
      </c>
      <c r="R8111" t="s">
        <v>185</v>
      </c>
      <c r="S8111" t="s">
        <v>159</v>
      </c>
      <c r="T8111" t="s">
        <v>185</v>
      </c>
      <c r="U8111" t="s">
        <v>339</v>
      </c>
      <c r="V8111" t="s">
        <v>72</v>
      </c>
      <c r="W8111" t="s">
        <v>347</v>
      </c>
      <c r="X8111" t="s">
        <v>72</v>
      </c>
      <c r="Y8111" t="s">
        <v>96</v>
      </c>
      <c r="AK8111" t="s">
        <v>366</v>
      </c>
    </row>
    <row r="8112" spans="1:37">
      <c r="B8112" t="s">
        <v>58</v>
      </c>
      <c r="C8112" t="s">
        <v>80</v>
      </c>
      <c r="D8112" t="s">
        <v>99</v>
      </c>
      <c r="E8112" t="s">
        <v>118</v>
      </c>
      <c r="F8112" t="s">
        <v>152</v>
      </c>
      <c r="G8112" t="s">
        <v>178</v>
      </c>
      <c r="H8112" t="s">
        <v>213</v>
      </c>
      <c r="I8112" t="s">
        <v>233</v>
      </c>
      <c r="J8112" t="s">
        <v>252</v>
      </c>
      <c r="K8112" t="s">
        <v>266</v>
      </c>
      <c r="L8112" t="s">
        <v>278</v>
      </c>
      <c r="M8112" t="s">
        <v>287</v>
      </c>
      <c r="N8112" t="s">
        <v>297</v>
      </c>
      <c r="O8112" t="s">
        <v>305</v>
      </c>
      <c r="P8112" t="s">
        <v>312</v>
      </c>
      <c r="Q8112" t="s">
        <v>319</v>
      </c>
      <c r="R8112">
        <f>&gt;10       ветра      2.2     18   7</f>
        <v>0</v>
      </c>
      <c r="AK8112" t="s">
        <v>366</v>
      </c>
    </row>
    <row r="8113" spans="1:37">
      <c r="A8113" t="s">
        <v>40</v>
      </c>
      <c r="B8113" t="s">
        <v>59</v>
      </c>
      <c r="C8113" t="s">
        <v>81</v>
      </c>
      <c r="D8113" t="s">
        <v>100</v>
      </c>
      <c r="E8113" t="s">
        <v>119</v>
      </c>
      <c r="F8113" t="s">
        <v>153</v>
      </c>
      <c r="G8113" t="s">
        <v>179</v>
      </c>
      <c r="H8113" t="s">
        <v>214</v>
      </c>
      <c r="I8113" t="s">
        <v>234</v>
      </c>
      <c r="AK8113" t="s">
        <v>366</v>
      </c>
    </row>
    <row r="8114" spans="1:37">
      <c r="A8114" t="s">
        <v>40</v>
      </c>
      <c r="B8114" t="s">
        <v>60</v>
      </c>
      <c r="C8114" t="s">
        <v>82</v>
      </c>
      <c r="D8114" t="s">
        <v>101</v>
      </c>
      <c r="E8114" t="s">
        <v>120</v>
      </c>
      <c r="F8114" t="s">
        <v>154</v>
      </c>
      <c r="G8114" t="s">
        <v>180</v>
      </c>
      <c r="H8114" t="s">
        <v>215</v>
      </c>
      <c r="I8114" t="s">
        <v>235</v>
      </c>
      <c r="J8114" t="s">
        <v>253</v>
      </c>
      <c r="K8114" t="s">
        <v>267</v>
      </c>
      <c r="L8114" t="s">
        <v>279</v>
      </c>
      <c r="M8114" t="s">
        <v>288</v>
      </c>
      <c r="N8114" t="s">
        <v>100</v>
      </c>
      <c r="O8114" t="s">
        <v>306</v>
      </c>
      <c r="P8114" t="s">
        <v>313</v>
      </c>
      <c r="Q8114" t="s">
        <v>320</v>
      </c>
      <c r="R8114" t="s">
        <v>325</v>
      </c>
      <c r="S8114" t="s">
        <v>332</v>
      </c>
      <c r="T8114" t="s">
        <v>119</v>
      </c>
      <c r="U8114" t="s">
        <v>234</v>
      </c>
      <c r="V8114" t="s">
        <v>343</v>
      </c>
      <c r="W8114" t="s">
        <v>348</v>
      </c>
      <c r="X8114" t="s">
        <v>352</v>
      </c>
      <c r="Y8114" t="s">
        <v>354</v>
      </c>
      <c r="AK8114" t="s">
        <v>366</v>
      </c>
    </row>
    <row r="8115" spans="1:37">
      <c r="A8115" t="s">
        <v>41</v>
      </c>
      <c r="B8115" t="s">
        <v>61</v>
      </c>
      <c r="C8115" t="s">
        <v>83</v>
      </c>
      <c r="D8115" t="s">
        <v>102</v>
      </c>
      <c r="E8115" t="s">
        <v>121</v>
      </c>
      <c r="F8115" t="s">
        <v>155</v>
      </c>
      <c r="G8115" t="s">
        <v>181</v>
      </c>
      <c r="H8115" t="s">
        <v>216</v>
      </c>
      <c r="I8115" t="s">
        <v>236</v>
      </c>
      <c r="AK8115" t="s">
        <v>366</v>
      </c>
    </row>
    <row r="8116" spans="1:37">
      <c r="A8116" t="s">
        <v>42</v>
      </c>
      <c r="B8116" t="s">
        <v>62</v>
      </c>
      <c r="C8116" t="s">
        <v>84</v>
      </c>
      <c r="D8116" t="s">
        <v>103</v>
      </c>
      <c r="E8116" t="s">
        <v>122</v>
      </c>
      <c r="F8116" t="s">
        <v>156</v>
      </c>
      <c r="G8116" t="s">
        <v>182</v>
      </c>
      <c r="H8116" t="s">
        <v>83</v>
      </c>
      <c r="I8116" t="s">
        <v>237</v>
      </c>
      <c r="J8116" t="s">
        <v>254</v>
      </c>
      <c r="K8116" t="s">
        <v>268</v>
      </c>
      <c r="L8116" t="s">
        <v>280</v>
      </c>
      <c r="M8116" t="s">
        <v>289</v>
      </c>
      <c r="N8116" t="s">
        <v>298</v>
      </c>
      <c r="O8116" t="s">
        <v>307</v>
      </c>
      <c r="P8116" t="s">
        <v>314</v>
      </c>
      <c r="Q8116" t="s">
        <v>216</v>
      </c>
      <c r="R8116" t="s">
        <v>326</v>
      </c>
      <c r="S8116" t="s">
        <v>333</v>
      </c>
      <c r="T8116" t="s">
        <v>335</v>
      </c>
      <c r="U8116" t="s">
        <v>340</v>
      </c>
      <c r="V8116" t="s">
        <v>344</v>
      </c>
      <c r="W8116" t="s">
        <v>349</v>
      </c>
      <c r="AK8116" t="s">
        <v>366</v>
      </c>
    </row>
    <row r="8117" spans="1:37">
      <c r="A8117" t="s">
        <v>43</v>
      </c>
      <c r="B8117" t="s">
        <v>63</v>
      </c>
      <c r="C8117" t="s">
        <v>85</v>
      </c>
      <c r="D8117" t="s">
        <v>104</v>
      </c>
      <c r="E8117" t="s">
        <v>123</v>
      </c>
      <c r="F8117" t="s">
        <v>157</v>
      </c>
      <c r="G8117" t="s">
        <v>183</v>
      </c>
      <c r="AK8117" t="s">
        <v>366</v>
      </c>
    </row>
    <row r="8118" spans="1:37">
      <c r="A8118" t="s">
        <v>44</v>
      </c>
      <c r="B8118" t="s">
        <v>64</v>
      </c>
      <c r="C8118" t="s">
        <v>86</v>
      </c>
      <c r="D8118" t="s">
        <v>105</v>
      </c>
      <c r="E8118" t="s">
        <v>124</v>
      </c>
      <c r="F8118" t="s">
        <v>158</v>
      </c>
      <c r="G8118" t="s">
        <v>184</v>
      </c>
      <c r="AK8118" t="s">
        <v>366</v>
      </c>
    </row>
    <row r="8119" spans="1:37">
      <c r="A8119" t="s">
        <v>45</v>
      </c>
      <c r="B8119" t="s">
        <v>65</v>
      </c>
      <c r="C8119" t="s">
        <v>87</v>
      </c>
      <c r="D8119" t="s">
        <v>106</v>
      </c>
      <c r="E8119" t="s">
        <v>125</v>
      </c>
      <c r="F8119" t="s">
        <v>159</v>
      </c>
      <c r="G8119" t="s">
        <v>185</v>
      </c>
      <c r="H8119" t="s">
        <v>159</v>
      </c>
      <c r="I8119" t="s">
        <v>185</v>
      </c>
      <c r="J8119" t="s">
        <v>255</v>
      </c>
      <c r="AK8119" t="s">
        <v>366</v>
      </c>
    </row>
    <row r="8120" spans="1:37">
      <c r="A8120" t="s">
        <v>46</v>
      </c>
      <c r="B8120" t="s">
        <v>66</v>
      </c>
      <c r="C8120" t="s">
        <v>88</v>
      </c>
      <c r="D8120" t="s">
        <v>76</v>
      </c>
      <c r="E8120" t="s">
        <v>126</v>
      </c>
      <c r="F8120" t="s">
        <v>160</v>
      </c>
      <c r="G8120" t="s">
        <v>186</v>
      </c>
      <c r="H8120" t="s">
        <v>217</v>
      </c>
      <c r="I8120" t="s">
        <v>238</v>
      </c>
      <c r="J8120" t="s">
        <v>256</v>
      </c>
      <c r="K8120" t="s">
        <v>265</v>
      </c>
      <c r="L8120" t="s">
        <v>281</v>
      </c>
      <c r="M8120" t="s">
        <v>290</v>
      </c>
      <c r="N8120" t="s">
        <v>299</v>
      </c>
      <c r="O8120" t="s">
        <v>308</v>
      </c>
      <c r="P8120" t="s">
        <v>228</v>
      </c>
      <c r="Q8120" t="s">
        <v>72</v>
      </c>
      <c r="R8120" t="s">
        <v>327</v>
      </c>
      <c r="S8120" t="s">
        <v>327</v>
      </c>
      <c r="T8120" t="s">
        <v>336</v>
      </c>
      <c r="U8120" t="s">
        <v>336</v>
      </c>
      <c r="V8120" t="s">
        <v>336</v>
      </c>
      <c r="W8120" t="s">
        <v>336</v>
      </c>
      <c r="X8120" t="s">
        <v>353</v>
      </c>
      <c r="AK8120" t="s">
        <v>366</v>
      </c>
    </row>
    <row r="8121" spans="1:37">
      <c r="A8121" t="s">
        <v>37</v>
      </c>
      <c r="B8121" t="s">
        <v>49</v>
      </c>
      <c r="C8121" t="s">
        <v>73</v>
      </c>
      <c r="D8121" t="s">
        <v>94</v>
      </c>
      <c r="E8121" t="s">
        <v>112</v>
      </c>
      <c r="F8121" t="s">
        <v>146</v>
      </c>
      <c r="G8121" t="s">
        <v>172</v>
      </c>
      <c r="H8121" t="s">
        <v>207</v>
      </c>
      <c r="I8121" t="s">
        <v>226</v>
      </c>
      <c r="J8121" t="s">
        <v>246</v>
      </c>
      <c r="K8121" t="s">
        <v>259</v>
      </c>
      <c r="AK8121" t="s">
        <v>366</v>
      </c>
    </row>
    <row r="8122" spans="1:37">
      <c r="A8122" t="s">
        <v>38</v>
      </c>
      <c r="B8122" t="s">
        <v>50</v>
      </c>
      <c r="C8122" t="s">
        <v>74</v>
      </c>
      <c r="D8122" t="s">
        <v>95</v>
      </c>
      <c r="E8122" t="s">
        <v>113</v>
      </c>
      <c r="F8122" t="s">
        <v>147</v>
      </c>
      <c r="G8122" t="s">
        <v>173</v>
      </c>
      <c r="H8122" t="s">
        <v>208</v>
      </c>
      <c r="I8122" t="s">
        <v>227</v>
      </c>
      <c r="J8122" t="s">
        <v>115</v>
      </c>
      <c r="K8122" t="s">
        <v>260</v>
      </c>
      <c r="L8122" t="s">
        <v>273</v>
      </c>
      <c r="M8122" t="s">
        <v>282</v>
      </c>
      <c r="N8122" t="s">
        <v>291</v>
      </c>
      <c r="AK8122" t="s">
        <v>366</v>
      </c>
    </row>
    <row r="8123" spans="1:37">
      <c r="B8123" t="s">
        <v>51</v>
      </c>
      <c r="C8123" t="s">
        <v>75</v>
      </c>
      <c r="D8123" t="s">
        <v>52</v>
      </c>
      <c r="E8123" t="s">
        <v>114</v>
      </c>
      <c r="F8123" t="s">
        <v>148</v>
      </c>
      <c r="G8123" t="s">
        <v>148</v>
      </c>
      <c r="H8123" t="s">
        <v>209</v>
      </c>
      <c r="I8123" t="s">
        <v>228</v>
      </c>
      <c r="J8123" t="s">
        <v>247</v>
      </c>
      <c r="K8123" t="s">
        <v>261</v>
      </c>
      <c r="L8123" t="s">
        <v>274</v>
      </c>
      <c r="M8123" t="s">
        <v>283</v>
      </c>
      <c r="N8123" t="s">
        <v>292</v>
      </c>
      <c r="O8123" t="s">
        <v>300</v>
      </c>
      <c r="AK8123" t="s">
        <v>366</v>
      </c>
    </row>
    <row r="8124" spans="1:37">
      <c r="B8124" t="s">
        <v>52</v>
      </c>
      <c r="C8124" t="s">
        <v>76</v>
      </c>
      <c r="D8124" t="s">
        <v>96</v>
      </c>
      <c r="E8124" t="s">
        <v>115</v>
      </c>
      <c r="F8124" t="s">
        <v>149</v>
      </c>
      <c r="G8124" t="s">
        <v>174</v>
      </c>
      <c r="H8124" t="s">
        <v>96</v>
      </c>
      <c r="I8124" t="s">
        <v>229</v>
      </c>
      <c r="J8124" t="s">
        <v>248</v>
      </c>
      <c r="K8124" t="s">
        <v>262</v>
      </c>
      <c r="L8124" t="s">
        <v>52</v>
      </c>
      <c r="M8124" t="s">
        <v>76</v>
      </c>
      <c r="N8124" t="s">
        <v>293</v>
      </c>
      <c r="O8124" t="s">
        <v>301</v>
      </c>
      <c r="P8124" t="s">
        <v>309</v>
      </c>
      <c r="Q8124" t="s">
        <v>315</v>
      </c>
      <c r="R8124" t="s">
        <v>228</v>
      </c>
      <c r="S8124" t="s">
        <v>328</v>
      </c>
      <c r="T8124" t="s">
        <v>149</v>
      </c>
      <c r="U8124" t="s">
        <v>337</v>
      </c>
      <c r="V8124" t="s">
        <v>341</v>
      </c>
      <c r="W8124" t="s">
        <v>345</v>
      </c>
      <c r="X8124" t="s">
        <v>350</v>
      </c>
      <c r="AK8124" t="s">
        <v>366</v>
      </c>
    </row>
    <row r="8125" spans="1:37">
      <c r="B8125" t="s">
        <v>53</v>
      </c>
      <c r="C8125" t="s">
        <v>77</v>
      </c>
      <c r="D8125" t="s">
        <v>97</v>
      </c>
      <c r="E8125" t="s">
        <v>116</v>
      </c>
      <c r="F8125" t="s">
        <v>150</v>
      </c>
      <c r="G8125" t="s">
        <v>175</v>
      </c>
      <c r="H8125" t="s">
        <v>210</v>
      </c>
      <c r="I8125" t="s">
        <v>230</v>
      </c>
      <c r="J8125" t="s">
        <v>249</v>
      </c>
      <c r="K8125" t="s">
        <v>263</v>
      </c>
      <c r="L8125" t="s">
        <v>275</v>
      </c>
      <c r="M8125" t="s">
        <v>284</v>
      </c>
      <c r="N8125" t="s">
        <v>294</v>
      </c>
      <c r="O8125" t="s">
        <v>302</v>
      </c>
      <c r="P8125" t="s">
        <v>310</v>
      </c>
      <c r="Q8125" t="s">
        <v>316</v>
      </c>
      <c r="R8125" t="s">
        <v>322</v>
      </c>
      <c r="S8125" t="s">
        <v>329</v>
      </c>
      <c r="AK8125" t="s">
        <v>366</v>
      </c>
    </row>
    <row r="8126" spans="1:37">
      <c r="A8126" t="s">
        <v>39</v>
      </c>
      <c r="B8126" t="s">
        <v>54</v>
      </c>
      <c r="C8126" t="s">
        <v>54</v>
      </c>
      <c r="D8126" t="s">
        <v>54</v>
      </c>
      <c r="E8126" t="s">
        <v>54</v>
      </c>
      <c r="F8126" t="s">
        <v>54</v>
      </c>
      <c r="G8126" t="s">
        <v>54</v>
      </c>
      <c r="H8126" t="s">
        <v>54</v>
      </c>
      <c r="I8126" t="s">
        <v>54</v>
      </c>
      <c r="J8126" t="s">
        <v>54</v>
      </c>
      <c r="K8126" t="s">
        <v>54</v>
      </c>
      <c r="L8126" t="s">
        <v>54</v>
      </c>
      <c r="M8126" t="s">
        <v>54</v>
      </c>
      <c r="N8126" t="s">
        <v>54</v>
      </c>
      <c r="O8126" t="s">
        <v>54</v>
      </c>
      <c r="P8126" t="s">
        <v>54</v>
      </c>
      <c r="Q8126" t="s">
        <v>54</v>
      </c>
      <c r="R8126" t="s">
        <v>323</v>
      </c>
      <c r="S8126" t="s">
        <v>330</v>
      </c>
      <c r="AK8126" t="s">
        <v>366</v>
      </c>
    </row>
    <row r="8127" spans="1:37">
      <c r="B8127" t="s">
        <v>55</v>
      </c>
      <c r="C8127" t="s">
        <v>78</v>
      </c>
      <c r="D8127" t="s">
        <v>55</v>
      </c>
      <c r="E8127" t="s">
        <v>78</v>
      </c>
      <c r="F8127" t="s">
        <v>55</v>
      </c>
      <c r="G8127" t="s">
        <v>78</v>
      </c>
      <c r="H8127" t="s">
        <v>55</v>
      </c>
      <c r="I8127" t="s">
        <v>78</v>
      </c>
      <c r="J8127" t="s">
        <v>55</v>
      </c>
      <c r="K8127" t="s">
        <v>78</v>
      </c>
      <c r="L8127" t="s">
        <v>55</v>
      </c>
      <c r="M8127" t="s">
        <v>78</v>
      </c>
      <c r="N8127" t="s">
        <v>55</v>
      </c>
      <c r="O8127" t="s">
        <v>78</v>
      </c>
      <c r="P8127" t="s">
        <v>55</v>
      </c>
      <c r="Q8127" t="s">
        <v>78</v>
      </c>
      <c r="R8127" t="s">
        <v>55</v>
      </c>
      <c r="S8127" t="s">
        <v>78</v>
      </c>
      <c r="T8127" t="s">
        <v>55</v>
      </c>
      <c r="U8127" t="s">
        <v>78</v>
      </c>
      <c r="V8127" t="s">
        <v>55</v>
      </c>
      <c r="W8127" t="s">
        <v>78</v>
      </c>
      <c r="X8127" t="s">
        <v>55</v>
      </c>
      <c r="Y8127" t="s">
        <v>78</v>
      </c>
      <c r="Z8127" t="s">
        <v>55</v>
      </c>
      <c r="AA8127" t="s">
        <v>78</v>
      </c>
      <c r="AB8127" t="s">
        <v>55</v>
      </c>
      <c r="AC8127" t="s">
        <v>78</v>
      </c>
      <c r="AD8127" t="s">
        <v>55</v>
      </c>
      <c r="AE8127" t="s">
        <v>78</v>
      </c>
      <c r="AF8127" t="s">
        <v>55</v>
      </c>
      <c r="AG8127" t="s">
        <v>78</v>
      </c>
      <c r="AH8127" t="s">
        <v>55</v>
      </c>
      <c r="AI8127" t="s">
        <v>78</v>
      </c>
      <c r="AK8127" t="s">
        <v>366</v>
      </c>
    </row>
    <row r="8128" spans="1:37">
      <c r="B8128" t="s">
        <v>56</v>
      </c>
      <c r="C8128" t="s">
        <v>56</v>
      </c>
      <c r="D8128" t="s">
        <v>56</v>
      </c>
      <c r="E8128" t="s">
        <v>56</v>
      </c>
      <c r="F8128" t="s">
        <v>56</v>
      </c>
      <c r="G8128" t="s">
        <v>176</v>
      </c>
      <c r="H8128" t="s">
        <v>211</v>
      </c>
      <c r="I8128" t="s">
        <v>231</v>
      </c>
      <c r="J8128" t="s">
        <v>250</v>
      </c>
      <c r="K8128" t="s">
        <v>264</v>
      </c>
      <c r="L8128" t="s">
        <v>276</v>
      </c>
      <c r="M8128" t="s">
        <v>285</v>
      </c>
      <c r="N8128" t="s">
        <v>295</v>
      </c>
      <c r="O8128" t="s">
        <v>303</v>
      </c>
      <c r="P8128" t="s">
        <v>56</v>
      </c>
      <c r="Q8128" t="s">
        <v>317</v>
      </c>
      <c r="R8128" t="s">
        <v>324</v>
      </c>
      <c r="S8128" t="s">
        <v>331</v>
      </c>
      <c r="T8128" t="s">
        <v>334</v>
      </c>
      <c r="U8128" t="s">
        <v>338</v>
      </c>
      <c r="V8128" t="s">
        <v>342</v>
      </c>
      <c r="W8128" t="s">
        <v>346</v>
      </c>
      <c r="X8128" t="s">
        <v>351</v>
      </c>
      <c r="AK8128" t="s">
        <v>366</v>
      </c>
    </row>
    <row r="8129" spans="1:37">
      <c r="B8129" t="s">
        <v>57</v>
      </c>
      <c r="C8129" t="s">
        <v>79</v>
      </c>
      <c r="D8129" t="s">
        <v>98</v>
      </c>
      <c r="E8129" t="s">
        <v>117</v>
      </c>
      <c r="F8129" t="s">
        <v>151</v>
      </c>
      <c r="G8129" t="s">
        <v>177</v>
      </c>
      <c r="H8129" t="s">
        <v>212</v>
      </c>
      <c r="I8129" t="s">
        <v>232</v>
      </c>
      <c r="J8129" t="s">
        <v>251</v>
      </c>
      <c r="K8129" t="s">
        <v>265</v>
      </c>
      <c r="L8129" t="s">
        <v>277</v>
      </c>
      <c r="M8129" t="s">
        <v>286</v>
      </c>
      <c r="N8129" t="s">
        <v>296</v>
      </c>
      <c r="O8129" t="s">
        <v>304</v>
      </c>
      <c r="P8129" t="s">
        <v>311</v>
      </c>
      <c r="Q8129" t="s">
        <v>318</v>
      </c>
      <c r="R8129" t="s">
        <v>185</v>
      </c>
      <c r="S8129" t="s">
        <v>159</v>
      </c>
      <c r="T8129" t="s">
        <v>185</v>
      </c>
      <c r="U8129" t="s">
        <v>339</v>
      </c>
      <c r="V8129" t="s">
        <v>72</v>
      </c>
      <c r="W8129" t="s">
        <v>347</v>
      </c>
      <c r="X8129" t="s">
        <v>72</v>
      </c>
      <c r="Y8129" t="s">
        <v>96</v>
      </c>
      <c r="AK8129" t="s">
        <v>366</v>
      </c>
    </row>
    <row r="8130" spans="1:37">
      <c r="B8130" t="s">
        <v>58</v>
      </c>
      <c r="C8130" t="s">
        <v>80</v>
      </c>
      <c r="D8130" t="s">
        <v>99</v>
      </c>
      <c r="E8130" t="s">
        <v>118</v>
      </c>
      <c r="F8130" t="s">
        <v>152</v>
      </c>
      <c r="G8130" t="s">
        <v>178</v>
      </c>
      <c r="H8130" t="s">
        <v>213</v>
      </c>
      <c r="I8130" t="s">
        <v>233</v>
      </c>
      <c r="J8130" t="s">
        <v>252</v>
      </c>
      <c r="K8130" t="s">
        <v>266</v>
      </c>
      <c r="L8130" t="s">
        <v>278</v>
      </c>
      <c r="M8130" t="s">
        <v>287</v>
      </c>
      <c r="N8130" t="s">
        <v>297</v>
      </c>
      <c r="O8130" t="s">
        <v>305</v>
      </c>
      <c r="P8130" t="s">
        <v>312</v>
      </c>
      <c r="Q8130" t="s">
        <v>319</v>
      </c>
      <c r="R8130">
        <f>&gt;10       ветра      1.9     22   7</f>
        <v>0</v>
      </c>
      <c r="AK8130" t="s">
        <v>366</v>
      </c>
    </row>
    <row r="8131" spans="1:37">
      <c r="A8131" t="s">
        <v>40</v>
      </c>
      <c r="B8131" t="s">
        <v>59</v>
      </c>
      <c r="C8131" t="s">
        <v>81</v>
      </c>
      <c r="D8131" t="s">
        <v>100</v>
      </c>
      <c r="E8131" t="s">
        <v>119</v>
      </c>
      <c r="F8131" t="s">
        <v>153</v>
      </c>
      <c r="G8131" t="s">
        <v>179</v>
      </c>
      <c r="H8131" t="s">
        <v>214</v>
      </c>
      <c r="I8131" t="s">
        <v>234</v>
      </c>
      <c r="AK8131" t="s">
        <v>366</v>
      </c>
    </row>
    <row r="8132" spans="1:37">
      <c r="A8132" t="s">
        <v>40</v>
      </c>
      <c r="B8132" t="s">
        <v>60</v>
      </c>
      <c r="C8132" t="s">
        <v>82</v>
      </c>
      <c r="D8132" t="s">
        <v>101</v>
      </c>
      <c r="E8132" t="s">
        <v>120</v>
      </c>
      <c r="F8132" t="s">
        <v>154</v>
      </c>
      <c r="G8132" t="s">
        <v>180</v>
      </c>
      <c r="H8132" t="s">
        <v>215</v>
      </c>
      <c r="I8132" t="s">
        <v>235</v>
      </c>
      <c r="J8132" t="s">
        <v>253</v>
      </c>
      <c r="K8132" t="s">
        <v>267</v>
      </c>
      <c r="L8132" t="s">
        <v>279</v>
      </c>
      <c r="M8132" t="s">
        <v>288</v>
      </c>
      <c r="N8132" t="s">
        <v>100</v>
      </c>
      <c r="O8132" t="s">
        <v>306</v>
      </c>
      <c r="P8132" t="s">
        <v>313</v>
      </c>
      <c r="Q8132" t="s">
        <v>320</v>
      </c>
      <c r="R8132" t="s">
        <v>325</v>
      </c>
      <c r="S8132" t="s">
        <v>332</v>
      </c>
      <c r="T8132" t="s">
        <v>119</v>
      </c>
      <c r="U8132" t="s">
        <v>234</v>
      </c>
      <c r="V8132" t="s">
        <v>343</v>
      </c>
      <c r="W8132" t="s">
        <v>348</v>
      </c>
      <c r="X8132" t="s">
        <v>352</v>
      </c>
      <c r="Y8132" t="s">
        <v>354</v>
      </c>
      <c r="AK8132" t="s">
        <v>366</v>
      </c>
    </row>
    <row r="8133" spans="1:37">
      <c r="A8133" t="s">
        <v>41</v>
      </c>
      <c r="B8133" t="s">
        <v>61</v>
      </c>
      <c r="C8133" t="s">
        <v>83</v>
      </c>
      <c r="D8133" t="s">
        <v>102</v>
      </c>
      <c r="E8133" t="s">
        <v>121</v>
      </c>
      <c r="F8133" t="s">
        <v>155</v>
      </c>
      <c r="G8133" t="s">
        <v>181</v>
      </c>
      <c r="H8133" t="s">
        <v>216</v>
      </c>
      <c r="I8133" t="s">
        <v>236</v>
      </c>
      <c r="AK8133" t="s">
        <v>366</v>
      </c>
    </row>
    <row r="8134" spans="1:37">
      <c r="A8134" t="s">
        <v>42</v>
      </c>
      <c r="B8134" t="s">
        <v>62</v>
      </c>
      <c r="C8134" t="s">
        <v>84</v>
      </c>
      <c r="D8134" t="s">
        <v>103</v>
      </c>
      <c r="E8134" t="s">
        <v>122</v>
      </c>
      <c r="F8134" t="s">
        <v>156</v>
      </c>
      <c r="G8134" t="s">
        <v>182</v>
      </c>
      <c r="H8134" t="s">
        <v>83</v>
      </c>
      <c r="I8134" t="s">
        <v>237</v>
      </c>
      <c r="J8134" t="s">
        <v>254</v>
      </c>
      <c r="K8134" t="s">
        <v>268</v>
      </c>
      <c r="L8134" t="s">
        <v>280</v>
      </c>
      <c r="M8134" t="s">
        <v>289</v>
      </c>
      <c r="N8134" t="s">
        <v>298</v>
      </c>
      <c r="O8134" t="s">
        <v>307</v>
      </c>
      <c r="P8134" t="s">
        <v>314</v>
      </c>
      <c r="Q8134" t="s">
        <v>216</v>
      </c>
      <c r="R8134" t="s">
        <v>326</v>
      </c>
      <c r="S8134" t="s">
        <v>333</v>
      </c>
      <c r="T8134" t="s">
        <v>335</v>
      </c>
      <c r="U8134" t="s">
        <v>340</v>
      </c>
      <c r="V8134" t="s">
        <v>344</v>
      </c>
      <c r="W8134" t="s">
        <v>349</v>
      </c>
      <c r="AK8134" t="s">
        <v>366</v>
      </c>
    </row>
    <row r="8135" spans="1:37">
      <c r="A8135" t="s">
        <v>43</v>
      </c>
      <c r="B8135" t="s">
        <v>63</v>
      </c>
      <c r="C8135" t="s">
        <v>85</v>
      </c>
      <c r="D8135" t="s">
        <v>104</v>
      </c>
      <c r="E8135" t="s">
        <v>123</v>
      </c>
      <c r="F8135" t="s">
        <v>157</v>
      </c>
      <c r="G8135" t="s">
        <v>183</v>
      </c>
      <c r="AK8135" t="s">
        <v>366</v>
      </c>
    </row>
    <row r="8136" spans="1:37">
      <c r="A8136" t="s">
        <v>44</v>
      </c>
      <c r="B8136" t="s">
        <v>64</v>
      </c>
      <c r="C8136" t="s">
        <v>86</v>
      </c>
      <c r="D8136" t="s">
        <v>105</v>
      </c>
      <c r="E8136" t="s">
        <v>124</v>
      </c>
      <c r="F8136" t="s">
        <v>158</v>
      </c>
      <c r="G8136" t="s">
        <v>184</v>
      </c>
      <c r="AK8136" t="s">
        <v>366</v>
      </c>
    </row>
    <row r="8137" spans="1:37">
      <c r="A8137" t="s">
        <v>45</v>
      </c>
      <c r="B8137" t="s">
        <v>65</v>
      </c>
      <c r="C8137" t="s">
        <v>87</v>
      </c>
      <c r="D8137" t="s">
        <v>106</v>
      </c>
      <c r="E8137" t="s">
        <v>125</v>
      </c>
      <c r="F8137" t="s">
        <v>159</v>
      </c>
      <c r="G8137" t="s">
        <v>185</v>
      </c>
      <c r="H8137" t="s">
        <v>159</v>
      </c>
      <c r="I8137" t="s">
        <v>185</v>
      </c>
      <c r="J8137" t="s">
        <v>255</v>
      </c>
      <c r="AK8137" t="s">
        <v>366</v>
      </c>
    </row>
    <row r="8138" spans="1:37">
      <c r="A8138" t="s">
        <v>46</v>
      </c>
      <c r="B8138" t="s">
        <v>66</v>
      </c>
      <c r="C8138" t="s">
        <v>88</v>
      </c>
      <c r="D8138" t="s">
        <v>76</v>
      </c>
      <c r="E8138" t="s">
        <v>126</v>
      </c>
      <c r="F8138" t="s">
        <v>160</v>
      </c>
      <c r="G8138" t="s">
        <v>186</v>
      </c>
      <c r="H8138" t="s">
        <v>217</v>
      </c>
      <c r="I8138" t="s">
        <v>238</v>
      </c>
      <c r="J8138" t="s">
        <v>256</v>
      </c>
      <c r="K8138" t="s">
        <v>265</v>
      </c>
      <c r="L8138" t="s">
        <v>281</v>
      </c>
      <c r="M8138" t="s">
        <v>290</v>
      </c>
      <c r="N8138" t="s">
        <v>299</v>
      </c>
      <c r="O8138" t="s">
        <v>308</v>
      </c>
      <c r="P8138" t="s">
        <v>228</v>
      </c>
      <c r="Q8138" t="s">
        <v>72</v>
      </c>
      <c r="R8138" t="s">
        <v>327</v>
      </c>
      <c r="S8138" t="s">
        <v>327</v>
      </c>
      <c r="T8138" t="s">
        <v>336</v>
      </c>
      <c r="U8138" t="s">
        <v>336</v>
      </c>
      <c r="V8138" t="s">
        <v>336</v>
      </c>
      <c r="W8138" t="s">
        <v>336</v>
      </c>
      <c r="X8138" t="s">
        <v>353</v>
      </c>
      <c r="AK8138" t="s">
        <v>366</v>
      </c>
    </row>
    <row r="8139" spans="1:37">
      <c r="B8139" t="s">
        <v>67</v>
      </c>
      <c r="C8139" t="s">
        <v>89</v>
      </c>
      <c r="D8139" t="s">
        <v>107</v>
      </c>
      <c r="AK8139" t="s">
        <v>366</v>
      </c>
    </row>
    <row r="8140" spans="1:37">
      <c r="B8140" t="s">
        <v>68</v>
      </c>
      <c r="C8140" t="s">
        <v>90</v>
      </c>
      <c r="D8140" t="s">
        <v>108</v>
      </c>
      <c r="AK8140" t="s">
        <v>366</v>
      </c>
    </row>
    <row r="8141" spans="1:37">
      <c r="A8141" t="s">
        <v>47</v>
      </c>
      <c r="B8141" t="s">
        <v>69</v>
      </c>
      <c r="C8141" t="s">
        <v>91</v>
      </c>
      <c r="D8141" t="s">
        <v>109</v>
      </c>
      <c r="E8141" t="s">
        <v>109</v>
      </c>
      <c r="F8141" t="s">
        <v>109</v>
      </c>
      <c r="G8141" t="s">
        <v>109</v>
      </c>
      <c r="H8141" t="s">
        <v>109</v>
      </c>
      <c r="I8141" t="s">
        <v>239</v>
      </c>
      <c r="AK8141" t="s">
        <v>366</v>
      </c>
    </row>
    <row r="8142" spans="1:37">
      <c r="B8142" t="s">
        <v>70</v>
      </c>
      <c r="C8142" t="s">
        <v>92</v>
      </c>
      <c r="D8142" t="s">
        <v>110</v>
      </c>
      <c r="E8142" t="s">
        <v>127</v>
      </c>
      <c r="F8142" t="s">
        <v>161</v>
      </c>
      <c r="G8142" t="s">
        <v>187</v>
      </c>
      <c r="H8142" t="s">
        <v>218</v>
      </c>
      <c r="AK8142" t="s">
        <v>366</v>
      </c>
    </row>
    <row r="8143" spans="1:37">
      <c r="B8143" t="s">
        <v>71</v>
      </c>
      <c r="C8143" t="s">
        <v>93</v>
      </c>
      <c r="D8143" t="s">
        <v>111</v>
      </c>
      <c r="E8143" t="s">
        <v>128</v>
      </c>
      <c r="F8143" t="s">
        <v>162</v>
      </c>
      <c r="G8143" t="s">
        <v>188</v>
      </c>
      <c r="H8143" t="s">
        <v>219</v>
      </c>
      <c r="I8143" t="s">
        <v>240</v>
      </c>
      <c r="J8143" t="s">
        <v>257</v>
      </c>
      <c r="K8143" t="s">
        <v>269</v>
      </c>
      <c r="L8143" t="s">
        <v>109</v>
      </c>
      <c r="M8143" t="s">
        <v>109</v>
      </c>
      <c r="N8143" t="s">
        <v>109</v>
      </c>
      <c r="O8143" t="s">
        <v>109</v>
      </c>
      <c r="P8143" t="s">
        <v>109</v>
      </c>
      <c r="Q8143" t="s">
        <v>321</v>
      </c>
      <c r="AK8143" t="s">
        <v>366</v>
      </c>
    </row>
    <row r="8144" spans="1:37">
      <c r="A8144" t="s">
        <v>48</v>
      </c>
      <c r="B8144" t="s">
        <v>71</v>
      </c>
      <c r="C8144" t="s">
        <v>93</v>
      </c>
      <c r="D8144" t="s">
        <v>111</v>
      </c>
      <c r="E8144" t="s">
        <v>128</v>
      </c>
      <c r="F8144" t="s">
        <v>163</v>
      </c>
      <c r="G8144" t="s">
        <v>189</v>
      </c>
      <c r="H8144" t="s">
        <v>220</v>
      </c>
      <c r="I8144" t="s">
        <v>241</v>
      </c>
      <c r="J8144" t="s">
        <v>258</v>
      </c>
      <c r="K8144" t="s">
        <v>270</v>
      </c>
      <c r="AK8144" t="s">
        <v>366</v>
      </c>
    </row>
    <row r="8145" spans="1:37">
      <c r="B8145" t="s">
        <v>72</v>
      </c>
      <c r="C8145" t="s">
        <v>72</v>
      </c>
      <c r="D8145" t="s">
        <v>72</v>
      </c>
      <c r="E8145" t="s">
        <v>140</v>
      </c>
      <c r="F8145" t="s">
        <v>139</v>
      </c>
      <c r="G8145" t="s">
        <v>192</v>
      </c>
      <c r="H8145" t="s">
        <v>192</v>
      </c>
      <c r="I8145" t="s">
        <v>192</v>
      </c>
      <c r="J8145" t="s">
        <v>192</v>
      </c>
      <c r="K8145" t="s">
        <v>271</v>
      </c>
      <c r="AK8145" t="s">
        <v>366</v>
      </c>
    </row>
    <row r="8146" spans="1:37">
      <c r="A8146" t="s">
        <v>37</v>
      </c>
      <c r="B8146" t="s">
        <v>49</v>
      </c>
      <c r="C8146" t="s">
        <v>73</v>
      </c>
      <c r="D8146" t="s">
        <v>94</v>
      </c>
      <c r="E8146" t="s">
        <v>112</v>
      </c>
      <c r="F8146" t="s">
        <v>146</v>
      </c>
      <c r="G8146" t="s">
        <v>172</v>
      </c>
      <c r="H8146" t="s">
        <v>207</v>
      </c>
      <c r="I8146" t="s">
        <v>226</v>
      </c>
      <c r="J8146" t="s">
        <v>246</v>
      </c>
      <c r="K8146" t="s">
        <v>259</v>
      </c>
      <c r="AK8146" t="s">
        <v>366</v>
      </c>
    </row>
    <row r="8147" spans="1:37">
      <c r="A8147" t="s">
        <v>38</v>
      </c>
      <c r="B8147" t="s">
        <v>50</v>
      </c>
      <c r="C8147" t="s">
        <v>74</v>
      </c>
      <c r="D8147" t="s">
        <v>95</v>
      </c>
      <c r="E8147" t="s">
        <v>113</v>
      </c>
      <c r="F8147" t="s">
        <v>147</v>
      </c>
      <c r="G8147" t="s">
        <v>173</v>
      </c>
      <c r="H8147" t="s">
        <v>208</v>
      </c>
      <c r="I8147" t="s">
        <v>227</v>
      </c>
      <c r="J8147" t="s">
        <v>115</v>
      </c>
      <c r="K8147" t="s">
        <v>260</v>
      </c>
      <c r="L8147" t="s">
        <v>273</v>
      </c>
      <c r="M8147" t="s">
        <v>282</v>
      </c>
      <c r="N8147" t="s">
        <v>291</v>
      </c>
      <c r="AK8147" t="s">
        <v>366</v>
      </c>
    </row>
    <row r="8148" spans="1:37">
      <c r="B8148" t="s">
        <v>51</v>
      </c>
      <c r="C8148" t="s">
        <v>75</v>
      </c>
      <c r="D8148" t="s">
        <v>52</v>
      </c>
      <c r="E8148" t="s">
        <v>114</v>
      </c>
      <c r="F8148" t="s">
        <v>148</v>
      </c>
      <c r="G8148" t="s">
        <v>148</v>
      </c>
      <c r="H8148" t="s">
        <v>209</v>
      </c>
      <c r="I8148" t="s">
        <v>228</v>
      </c>
      <c r="J8148" t="s">
        <v>247</v>
      </c>
      <c r="K8148" t="s">
        <v>261</v>
      </c>
      <c r="L8148" t="s">
        <v>274</v>
      </c>
      <c r="M8148" t="s">
        <v>283</v>
      </c>
      <c r="N8148" t="s">
        <v>292</v>
      </c>
      <c r="O8148" t="s">
        <v>300</v>
      </c>
      <c r="AK8148" t="s">
        <v>366</v>
      </c>
    </row>
    <row r="8149" spans="1:37">
      <c r="B8149" t="s">
        <v>52</v>
      </c>
      <c r="C8149" t="s">
        <v>76</v>
      </c>
      <c r="D8149" t="s">
        <v>96</v>
      </c>
      <c r="E8149" t="s">
        <v>115</v>
      </c>
      <c r="F8149" t="s">
        <v>149</v>
      </c>
      <c r="G8149" t="s">
        <v>174</v>
      </c>
      <c r="H8149" t="s">
        <v>96</v>
      </c>
      <c r="I8149" t="s">
        <v>229</v>
      </c>
      <c r="J8149" t="s">
        <v>248</v>
      </c>
      <c r="K8149" t="s">
        <v>262</v>
      </c>
      <c r="L8149" t="s">
        <v>52</v>
      </c>
      <c r="M8149" t="s">
        <v>76</v>
      </c>
      <c r="N8149" t="s">
        <v>293</v>
      </c>
      <c r="O8149" t="s">
        <v>301</v>
      </c>
      <c r="P8149" t="s">
        <v>309</v>
      </c>
      <c r="Q8149" t="s">
        <v>315</v>
      </c>
      <c r="R8149" t="s">
        <v>228</v>
      </c>
      <c r="S8149" t="s">
        <v>328</v>
      </c>
      <c r="T8149" t="s">
        <v>149</v>
      </c>
      <c r="U8149" t="s">
        <v>337</v>
      </c>
      <c r="V8149" t="s">
        <v>341</v>
      </c>
      <c r="W8149" t="s">
        <v>345</v>
      </c>
      <c r="X8149" t="s">
        <v>350</v>
      </c>
      <c r="AK8149" t="s">
        <v>366</v>
      </c>
    </row>
    <row r="8150" spans="1:37">
      <c r="B8150" t="s">
        <v>53</v>
      </c>
      <c r="C8150" t="s">
        <v>77</v>
      </c>
      <c r="D8150" t="s">
        <v>97</v>
      </c>
      <c r="E8150" t="s">
        <v>116</v>
      </c>
      <c r="F8150" t="s">
        <v>150</v>
      </c>
      <c r="G8150" t="s">
        <v>175</v>
      </c>
      <c r="H8150" t="s">
        <v>210</v>
      </c>
      <c r="I8150" t="s">
        <v>230</v>
      </c>
      <c r="J8150" t="s">
        <v>249</v>
      </c>
      <c r="K8150" t="s">
        <v>263</v>
      </c>
      <c r="L8150" t="s">
        <v>275</v>
      </c>
      <c r="M8150" t="s">
        <v>284</v>
      </c>
      <c r="N8150" t="s">
        <v>294</v>
      </c>
      <c r="O8150" t="s">
        <v>302</v>
      </c>
      <c r="P8150" t="s">
        <v>310</v>
      </c>
      <c r="Q8150" t="s">
        <v>316</v>
      </c>
      <c r="R8150" t="s">
        <v>322</v>
      </c>
      <c r="S8150" t="s">
        <v>329</v>
      </c>
      <c r="AK8150" t="s">
        <v>366</v>
      </c>
    </row>
    <row r="8151" spans="1:37">
      <c r="A8151" t="s">
        <v>39</v>
      </c>
      <c r="B8151" t="s">
        <v>54</v>
      </c>
      <c r="C8151" t="s">
        <v>54</v>
      </c>
      <c r="D8151" t="s">
        <v>54</v>
      </c>
      <c r="E8151" t="s">
        <v>54</v>
      </c>
      <c r="F8151" t="s">
        <v>54</v>
      </c>
      <c r="G8151" t="s">
        <v>54</v>
      </c>
      <c r="H8151" t="s">
        <v>54</v>
      </c>
      <c r="I8151" t="s">
        <v>54</v>
      </c>
      <c r="J8151" t="s">
        <v>54</v>
      </c>
      <c r="K8151" t="s">
        <v>54</v>
      </c>
      <c r="L8151" t="s">
        <v>54</v>
      </c>
      <c r="M8151" t="s">
        <v>54</v>
      </c>
      <c r="N8151" t="s">
        <v>54</v>
      </c>
      <c r="O8151" t="s">
        <v>54</v>
      </c>
      <c r="P8151" t="s">
        <v>54</v>
      </c>
      <c r="Q8151" t="s">
        <v>54</v>
      </c>
      <c r="R8151" t="s">
        <v>323</v>
      </c>
      <c r="S8151" t="s">
        <v>330</v>
      </c>
      <c r="AK8151" t="s">
        <v>366</v>
      </c>
    </row>
    <row r="8152" spans="1:37">
      <c r="B8152" t="s">
        <v>55</v>
      </c>
      <c r="C8152" t="s">
        <v>78</v>
      </c>
      <c r="D8152" t="s">
        <v>55</v>
      </c>
      <c r="E8152" t="s">
        <v>78</v>
      </c>
      <c r="F8152" t="s">
        <v>55</v>
      </c>
      <c r="G8152" t="s">
        <v>78</v>
      </c>
      <c r="H8152" t="s">
        <v>55</v>
      </c>
      <c r="I8152" t="s">
        <v>78</v>
      </c>
      <c r="J8152" t="s">
        <v>55</v>
      </c>
      <c r="K8152" t="s">
        <v>78</v>
      </c>
      <c r="L8152" t="s">
        <v>55</v>
      </c>
      <c r="M8152" t="s">
        <v>78</v>
      </c>
      <c r="N8152" t="s">
        <v>55</v>
      </c>
      <c r="O8152" t="s">
        <v>78</v>
      </c>
      <c r="P8152" t="s">
        <v>55</v>
      </c>
      <c r="Q8152" t="s">
        <v>78</v>
      </c>
      <c r="R8152" t="s">
        <v>55</v>
      </c>
      <c r="S8152" t="s">
        <v>78</v>
      </c>
      <c r="T8152" t="s">
        <v>55</v>
      </c>
      <c r="U8152" t="s">
        <v>78</v>
      </c>
      <c r="V8152" t="s">
        <v>55</v>
      </c>
      <c r="W8152" t="s">
        <v>78</v>
      </c>
      <c r="X8152" t="s">
        <v>55</v>
      </c>
      <c r="Y8152" t="s">
        <v>78</v>
      </c>
      <c r="Z8152" t="s">
        <v>55</v>
      </c>
      <c r="AA8152" t="s">
        <v>78</v>
      </c>
      <c r="AB8152" t="s">
        <v>55</v>
      </c>
      <c r="AC8152" t="s">
        <v>78</v>
      </c>
      <c r="AD8152" t="s">
        <v>55</v>
      </c>
      <c r="AE8152" t="s">
        <v>78</v>
      </c>
      <c r="AF8152" t="s">
        <v>55</v>
      </c>
      <c r="AG8152" t="s">
        <v>78</v>
      </c>
      <c r="AH8152" t="s">
        <v>55</v>
      </c>
      <c r="AI8152" t="s">
        <v>78</v>
      </c>
      <c r="AK8152" t="s">
        <v>366</v>
      </c>
    </row>
    <row r="8153" spans="1:37">
      <c r="B8153" t="s">
        <v>56</v>
      </c>
      <c r="C8153" t="s">
        <v>56</v>
      </c>
      <c r="D8153" t="s">
        <v>56</v>
      </c>
      <c r="E8153" t="s">
        <v>56</v>
      </c>
      <c r="F8153" t="s">
        <v>56</v>
      </c>
      <c r="G8153" t="s">
        <v>176</v>
      </c>
      <c r="H8153" t="s">
        <v>211</v>
      </c>
      <c r="I8153" t="s">
        <v>231</v>
      </c>
      <c r="J8153" t="s">
        <v>250</v>
      </c>
      <c r="K8153" t="s">
        <v>264</v>
      </c>
      <c r="L8153" t="s">
        <v>276</v>
      </c>
      <c r="M8153" t="s">
        <v>285</v>
      </c>
      <c r="N8153" t="s">
        <v>295</v>
      </c>
      <c r="O8153" t="s">
        <v>303</v>
      </c>
      <c r="P8153" t="s">
        <v>56</v>
      </c>
      <c r="Q8153" t="s">
        <v>317</v>
      </c>
      <c r="R8153" t="s">
        <v>324</v>
      </c>
      <c r="S8153" t="s">
        <v>331</v>
      </c>
      <c r="T8153" t="s">
        <v>334</v>
      </c>
      <c r="U8153" t="s">
        <v>338</v>
      </c>
      <c r="V8153" t="s">
        <v>342</v>
      </c>
      <c r="W8153" t="s">
        <v>346</v>
      </c>
      <c r="X8153" t="s">
        <v>351</v>
      </c>
      <c r="AK8153" t="s">
        <v>366</v>
      </c>
    </row>
    <row r="8154" spans="1:37">
      <c r="B8154" t="s">
        <v>57</v>
      </c>
      <c r="C8154" t="s">
        <v>79</v>
      </c>
      <c r="D8154" t="s">
        <v>98</v>
      </c>
      <c r="E8154" t="s">
        <v>117</v>
      </c>
      <c r="F8154" t="s">
        <v>151</v>
      </c>
      <c r="G8154" t="s">
        <v>177</v>
      </c>
      <c r="H8154" t="s">
        <v>212</v>
      </c>
      <c r="I8154" t="s">
        <v>232</v>
      </c>
      <c r="J8154" t="s">
        <v>251</v>
      </c>
      <c r="K8154" t="s">
        <v>265</v>
      </c>
      <c r="L8154" t="s">
        <v>277</v>
      </c>
      <c r="M8154" t="s">
        <v>286</v>
      </c>
      <c r="N8154" t="s">
        <v>296</v>
      </c>
      <c r="O8154" t="s">
        <v>304</v>
      </c>
      <c r="P8154" t="s">
        <v>311</v>
      </c>
      <c r="Q8154" t="s">
        <v>318</v>
      </c>
      <c r="R8154" t="s">
        <v>185</v>
      </c>
      <c r="S8154" t="s">
        <v>159</v>
      </c>
      <c r="T8154" t="s">
        <v>185</v>
      </c>
      <c r="U8154" t="s">
        <v>339</v>
      </c>
      <c r="V8154" t="s">
        <v>72</v>
      </c>
      <c r="W8154" t="s">
        <v>347</v>
      </c>
      <c r="X8154" t="s">
        <v>72</v>
      </c>
      <c r="Y8154" t="s">
        <v>96</v>
      </c>
      <c r="AK8154" t="s">
        <v>366</v>
      </c>
    </row>
    <row r="8155" spans="1:37">
      <c r="B8155" t="s">
        <v>58</v>
      </c>
      <c r="C8155" t="s">
        <v>80</v>
      </c>
      <c r="D8155" t="s">
        <v>99</v>
      </c>
      <c r="E8155" t="s">
        <v>118</v>
      </c>
      <c r="F8155" t="s">
        <v>152</v>
      </c>
      <c r="G8155" t="s">
        <v>178</v>
      </c>
      <c r="H8155" t="s">
        <v>213</v>
      </c>
      <c r="I8155" t="s">
        <v>233</v>
      </c>
      <c r="J8155" t="s">
        <v>252</v>
      </c>
      <c r="K8155" t="s">
        <v>266</v>
      </c>
      <c r="L8155" t="s">
        <v>278</v>
      </c>
      <c r="M8155" t="s">
        <v>287</v>
      </c>
      <c r="N8155" t="s">
        <v>297</v>
      </c>
      <c r="O8155" t="s">
        <v>305</v>
      </c>
      <c r="P8155" t="s">
        <v>312</v>
      </c>
      <c r="Q8155" t="s">
        <v>319</v>
      </c>
      <c r="R8155">
        <f>&gt;10       ветра      1.2     12   7</f>
        <v>0</v>
      </c>
      <c r="AK8155" t="s">
        <v>366</v>
      </c>
    </row>
    <row r="8156" spans="1:37">
      <c r="A8156" t="s">
        <v>40</v>
      </c>
      <c r="B8156" t="s">
        <v>59</v>
      </c>
      <c r="C8156" t="s">
        <v>81</v>
      </c>
      <c r="D8156" t="s">
        <v>100</v>
      </c>
      <c r="E8156" t="s">
        <v>119</v>
      </c>
      <c r="F8156" t="s">
        <v>153</v>
      </c>
      <c r="G8156" t="s">
        <v>179</v>
      </c>
      <c r="H8156" t="s">
        <v>214</v>
      </c>
      <c r="I8156" t="s">
        <v>234</v>
      </c>
      <c r="AK8156" t="s">
        <v>366</v>
      </c>
    </row>
    <row r="8157" spans="1:37">
      <c r="A8157" t="s">
        <v>40</v>
      </c>
      <c r="B8157" t="s">
        <v>60</v>
      </c>
      <c r="C8157" t="s">
        <v>82</v>
      </c>
      <c r="D8157" t="s">
        <v>101</v>
      </c>
      <c r="E8157" t="s">
        <v>120</v>
      </c>
      <c r="F8157" t="s">
        <v>154</v>
      </c>
      <c r="G8157" t="s">
        <v>180</v>
      </c>
      <c r="H8157" t="s">
        <v>215</v>
      </c>
      <c r="I8157" t="s">
        <v>235</v>
      </c>
      <c r="J8157" t="s">
        <v>253</v>
      </c>
      <c r="K8157" t="s">
        <v>267</v>
      </c>
      <c r="L8157" t="s">
        <v>279</v>
      </c>
      <c r="M8157" t="s">
        <v>288</v>
      </c>
      <c r="N8157" t="s">
        <v>100</v>
      </c>
      <c r="O8157" t="s">
        <v>306</v>
      </c>
      <c r="P8157" t="s">
        <v>313</v>
      </c>
      <c r="Q8157" t="s">
        <v>320</v>
      </c>
      <c r="R8157" t="s">
        <v>325</v>
      </c>
      <c r="S8157" t="s">
        <v>332</v>
      </c>
      <c r="T8157" t="s">
        <v>119</v>
      </c>
      <c r="U8157" t="s">
        <v>234</v>
      </c>
      <c r="V8157" t="s">
        <v>343</v>
      </c>
      <c r="W8157" t="s">
        <v>348</v>
      </c>
      <c r="X8157" t="s">
        <v>352</v>
      </c>
      <c r="Y8157" t="s">
        <v>354</v>
      </c>
      <c r="AK8157" t="s">
        <v>366</v>
      </c>
    </row>
    <row r="8158" spans="1:37">
      <c r="A8158" t="s">
        <v>41</v>
      </c>
      <c r="B8158" t="s">
        <v>61</v>
      </c>
      <c r="C8158" t="s">
        <v>83</v>
      </c>
      <c r="D8158" t="s">
        <v>102</v>
      </c>
      <c r="E8158" t="s">
        <v>121</v>
      </c>
      <c r="F8158" t="s">
        <v>155</v>
      </c>
      <c r="G8158" t="s">
        <v>181</v>
      </c>
      <c r="H8158" t="s">
        <v>216</v>
      </c>
      <c r="I8158" t="s">
        <v>236</v>
      </c>
      <c r="AK8158" t="s">
        <v>366</v>
      </c>
    </row>
    <row r="8159" spans="1:37">
      <c r="A8159" t="s">
        <v>42</v>
      </c>
      <c r="B8159" t="s">
        <v>62</v>
      </c>
      <c r="C8159" t="s">
        <v>84</v>
      </c>
      <c r="D8159" t="s">
        <v>103</v>
      </c>
      <c r="E8159" t="s">
        <v>122</v>
      </c>
      <c r="F8159" t="s">
        <v>156</v>
      </c>
      <c r="G8159" t="s">
        <v>182</v>
      </c>
      <c r="H8159" t="s">
        <v>83</v>
      </c>
      <c r="I8159" t="s">
        <v>237</v>
      </c>
      <c r="J8159" t="s">
        <v>254</v>
      </c>
      <c r="K8159" t="s">
        <v>268</v>
      </c>
      <c r="L8159" t="s">
        <v>280</v>
      </c>
      <c r="M8159" t="s">
        <v>289</v>
      </c>
      <c r="N8159" t="s">
        <v>298</v>
      </c>
      <c r="O8159" t="s">
        <v>307</v>
      </c>
      <c r="P8159" t="s">
        <v>314</v>
      </c>
      <c r="Q8159" t="s">
        <v>216</v>
      </c>
      <c r="R8159" t="s">
        <v>326</v>
      </c>
      <c r="S8159" t="s">
        <v>333</v>
      </c>
      <c r="T8159" t="s">
        <v>335</v>
      </c>
      <c r="U8159" t="s">
        <v>340</v>
      </c>
      <c r="V8159" t="s">
        <v>344</v>
      </c>
      <c r="W8159" t="s">
        <v>349</v>
      </c>
      <c r="AK8159" t="s">
        <v>366</v>
      </c>
    </row>
    <row r="8160" spans="1:37">
      <c r="A8160" t="s">
        <v>43</v>
      </c>
      <c r="B8160" t="s">
        <v>63</v>
      </c>
      <c r="C8160" t="s">
        <v>85</v>
      </c>
      <c r="D8160" t="s">
        <v>104</v>
      </c>
      <c r="E8160" t="s">
        <v>123</v>
      </c>
      <c r="F8160" t="s">
        <v>157</v>
      </c>
      <c r="G8160" t="s">
        <v>183</v>
      </c>
      <c r="AK8160" t="s">
        <v>366</v>
      </c>
    </row>
    <row r="8161" spans="1:37">
      <c r="A8161" t="s">
        <v>44</v>
      </c>
      <c r="B8161" t="s">
        <v>64</v>
      </c>
      <c r="C8161" t="s">
        <v>86</v>
      </c>
      <c r="D8161" t="s">
        <v>105</v>
      </c>
      <c r="E8161" t="s">
        <v>124</v>
      </c>
      <c r="F8161" t="s">
        <v>158</v>
      </c>
      <c r="G8161" t="s">
        <v>184</v>
      </c>
      <c r="AK8161" t="s">
        <v>366</v>
      </c>
    </row>
    <row r="8162" spans="1:37">
      <c r="A8162" t="s">
        <v>45</v>
      </c>
      <c r="B8162" t="s">
        <v>65</v>
      </c>
      <c r="C8162" t="s">
        <v>87</v>
      </c>
      <c r="D8162" t="s">
        <v>106</v>
      </c>
      <c r="E8162" t="s">
        <v>125</v>
      </c>
      <c r="F8162" t="s">
        <v>159</v>
      </c>
      <c r="G8162" t="s">
        <v>185</v>
      </c>
      <c r="H8162" t="s">
        <v>159</v>
      </c>
      <c r="I8162" t="s">
        <v>185</v>
      </c>
      <c r="J8162" t="s">
        <v>255</v>
      </c>
      <c r="AK8162" t="s">
        <v>366</v>
      </c>
    </row>
    <row r="8163" spans="1:37">
      <c r="A8163" t="s">
        <v>46</v>
      </c>
      <c r="B8163" t="s">
        <v>66</v>
      </c>
      <c r="C8163" t="s">
        <v>88</v>
      </c>
      <c r="D8163" t="s">
        <v>76</v>
      </c>
      <c r="E8163" t="s">
        <v>126</v>
      </c>
      <c r="F8163" t="s">
        <v>160</v>
      </c>
      <c r="G8163" t="s">
        <v>186</v>
      </c>
      <c r="H8163" t="s">
        <v>217</v>
      </c>
      <c r="I8163" t="s">
        <v>238</v>
      </c>
      <c r="J8163" t="s">
        <v>256</v>
      </c>
      <c r="K8163" t="s">
        <v>265</v>
      </c>
      <c r="L8163" t="s">
        <v>281</v>
      </c>
      <c r="M8163" t="s">
        <v>290</v>
      </c>
      <c r="N8163" t="s">
        <v>299</v>
      </c>
      <c r="O8163" t="s">
        <v>308</v>
      </c>
      <c r="P8163" t="s">
        <v>228</v>
      </c>
      <c r="Q8163" t="s">
        <v>72</v>
      </c>
      <c r="R8163" t="s">
        <v>327</v>
      </c>
      <c r="S8163" t="s">
        <v>327</v>
      </c>
      <c r="T8163" t="s">
        <v>336</v>
      </c>
      <c r="U8163" t="s">
        <v>336</v>
      </c>
      <c r="V8163" t="s">
        <v>336</v>
      </c>
      <c r="W8163" t="s">
        <v>336</v>
      </c>
      <c r="X8163" t="s">
        <v>353</v>
      </c>
      <c r="AK8163" t="s">
        <v>366</v>
      </c>
    </row>
    <row r="8164" spans="1:37">
      <c r="A8164" t="s">
        <v>37</v>
      </c>
      <c r="B8164" t="s">
        <v>49</v>
      </c>
      <c r="C8164" t="s">
        <v>73</v>
      </c>
      <c r="D8164" t="s">
        <v>94</v>
      </c>
      <c r="E8164" t="s">
        <v>112</v>
      </c>
      <c r="F8164" t="s">
        <v>146</v>
      </c>
      <c r="G8164" t="s">
        <v>172</v>
      </c>
      <c r="H8164" t="s">
        <v>207</v>
      </c>
      <c r="I8164" t="s">
        <v>226</v>
      </c>
      <c r="J8164" t="s">
        <v>246</v>
      </c>
      <c r="K8164" t="s">
        <v>259</v>
      </c>
      <c r="AK8164" t="s">
        <v>366</v>
      </c>
    </row>
    <row r="8165" spans="1:37">
      <c r="A8165" t="s">
        <v>38</v>
      </c>
      <c r="B8165" t="s">
        <v>50</v>
      </c>
      <c r="C8165" t="s">
        <v>74</v>
      </c>
      <c r="D8165" t="s">
        <v>95</v>
      </c>
      <c r="E8165" t="s">
        <v>113</v>
      </c>
      <c r="F8165" t="s">
        <v>147</v>
      </c>
      <c r="G8165" t="s">
        <v>173</v>
      </c>
      <c r="H8165" t="s">
        <v>208</v>
      </c>
      <c r="I8165" t="s">
        <v>227</v>
      </c>
      <c r="J8165" t="s">
        <v>115</v>
      </c>
      <c r="K8165" t="s">
        <v>260</v>
      </c>
      <c r="L8165" t="s">
        <v>273</v>
      </c>
      <c r="M8165" t="s">
        <v>282</v>
      </c>
      <c r="N8165" t="s">
        <v>291</v>
      </c>
      <c r="AK8165" t="s">
        <v>366</v>
      </c>
    </row>
    <row r="8166" spans="1:37">
      <c r="B8166" t="s">
        <v>51</v>
      </c>
      <c r="C8166" t="s">
        <v>75</v>
      </c>
      <c r="D8166" t="s">
        <v>52</v>
      </c>
      <c r="E8166" t="s">
        <v>114</v>
      </c>
      <c r="F8166" t="s">
        <v>148</v>
      </c>
      <c r="G8166" t="s">
        <v>148</v>
      </c>
      <c r="H8166" t="s">
        <v>209</v>
      </c>
      <c r="I8166" t="s">
        <v>228</v>
      </c>
      <c r="J8166" t="s">
        <v>247</v>
      </c>
      <c r="K8166" t="s">
        <v>261</v>
      </c>
      <c r="L8166" t="s">
        <v>274</v>
      </c>
      <c r="M8166" t="s">
        <v>283</v>
      </c>
      <c r="N8166" t="s">
        <v>292</v>
      </c>
      <c r="O8166" t="s">
        <v>300</v>
      </c>
      <c r="AK8166" t="s">
        <v>366</v>
      </c>
    </row>
    <row r="8167" spans="1:37">
      <c r="B8167" t="s">
        <v>52</v>
      </c>
      <c r="C8167" t="s">
        <v>76</v>
      </c>
      <c r="D8167" t="s">
        <v>96</v>
      </c>
      <c r="E8167" t="s">
        <v>115</v>
      </c>
      <c r="F8167" t="s">
        <v>149</v>
      </c>
      <c r="G8167" t="s">
        <v>174</v>
      </c>
      <c r="H8167" t="s">
        <v>96</v>
      </c>
      <c r="I8167" t="s">
        <v>229</v>
      </c>
      <c r="J8167" t="s">
        <v>248</v>
      </c>
      <c r="K8167" t="s">
        <v>262</v>
      </c>
      <c r="L8167" t="s">
        <v>52</v>
      </c>
      <c r="M8167" t="s">
        <v>76</v>
      </c>
      <c r="N8167" t="s">
        <v>293</v>
      </c>
      <c r="O8167" t="s">
        <v>301</v>
      </c>
      <c r="P8167" t="s">
        <v>309</v>
      </c>
      <c r="Q8167" t="s">
        <v>315</v>
      </c>
      <c r="R8167" t="s">
        <v>228</v>
      </c>
      <c r="S8167" t="s">
        <v>328</v>
      </c>
      <c r="T8167" t="s">
        <v>149</v>
      </c>
      <c r="U8167" t="s">
        <v>337</v>
      </c>
      <c r="V8167" t="s">
        <v>341</v>
      </c>
      <c r="W8167" t="s">
        <v>345</v>
      </c>
      <c r="X8167" t="s">
        <v>350</v>
      </c>
      <c r="AK8167" t="s">
        <v>366</v>
      </c>
    </row>
    <row r="8168" spans="1:37">
      <c r="B8168" t="s">
        <v>53</v>
      </c>
      <c r="C8168" t="s">
        <v>77</v>
      </c>
      <c r="D8168" t="s">
        <v>97</v>
      </c>
      <c r="E8168" t="s">
        <v>116</v>
      </c>
      <c r="F8168" t="s">
        <v>150</v>
      </c>
      <c r="G8168" t="s">
        <v>175</v>
      </c>
      <c r="H8168" t="s">
        <v>210</v>
      </c>
      <c r="I8168" t="s">
        <v>230</v>
      </c>
      <c r="J8168" t="s">
        <v>249</v>
      </c>
      <c r="K8168" t="s">
        <v>263</v>
      </c>
      <c r="L8168" t="s">
        <v>275</v>
      </c>
      <c r="M8168" t="s">
        <v>284</v>
      </c>
      <c r="N8168" t="s">
        <v>294</v>
      </c>
      <c r="O8168" t="s">
        <v>302</v>
      </c>
      <c r="P8168" t="s">
        <v>310</v>
      </c>
      <c r="Q8168" t="s">
        <v>316</v>
      </c>
      <c r="R8168" t="s">
        <v>322</v>
      </c>
      <c r="S8168" t="s">
        <v>329</v>
      </c>
      <c r="AK8168" t="s">
        <v>366</v>
      </c>
    </row>
    <row r="8169" spans="1:37">
      <c r="A8169" t="s">
        <v>39</v>
      </c>
      <c r="B8169" t="s">
        <v>54</v>
      </c>
      <c r="C8169" t="s">
        <v>54</v>
      </c>
      <c r="D8169" t="s">
        <v>54</v>
      </c>
      <c r="E8169" t="s">
        <v>54</v>
      </c>
      <c r="F8169" t="s">
        <v>54</v>
      </c>
      <c r="G8169" t="s">
        <v>54</v>
      </c>
      <c r="H8169" t="s">
        <v>54</v>
      </c>
      <c r="I8169" t="s">
        <v>54</v>
      </c>
      <c r="J8169" t="s">
        <v>54</v>
      </c>
      <c r="K8169" t="s">
        <v>54</v>
      </c>
      <c r="L8169" t="s">
        <v>54</v>
      </c>
      <c r="M8169" t="s">
        <v>54</v>
      </c>
      <c r="N8169" t="s">
        <v>54</v>
      </c>
      <c r="O8169" t="s">
        <v>54</v>
      </c>
      <c r="P8169" t="s">
        <v>54</v>
      </c>
      <c r="Q8169" t="s">
        <v>54</v>
      </c>
      <c r="R8169" t="s">
        <v>323</v>
      </c>
      <c r="S8169" t="s">
        <v>330</v>
      </c>
      <c r="AK8169" t="s">
        <v>366</v>
      </c>
    </row>
    <row r="8170" spans="1:37">
      <c r="B8170" t="s">
        <v>55</v>
      </c>
      <c r="C8170" t="s">
        <v>78</v>
      </c>
      <c r="D8170" t="s">
        <v>55</v>
      </c>
      <c r="E8170" t="s">
        <v>78</v>
      </c>
      <c r="F8170" t="s">
        <v>55</v>
      </c>
      <c r="G8170" t="s">
        <v>78</v>
      </c>
      <c r="H8170" t="s">
        <v>55</v>
      </c>
      <c r="I8170" t="s">
        <v>78</v>
      </c>
      <c r="J8170" t="s">
        <v>55</v>
      </c>
      <c r="K8170" t="s">
        <v>78</v>
      </c>
      <c r="L8170" t="s">
        <v>55</v>
      </c>
      <c r="M8170" t="s">
        <v>78</v>
      </c>
      <c r="N8170" t="s">
        <v>55</v>
      </c>
      <c r="O8170" t="s">
        <v>78</v>
      </c>
      <c r="P8170" t="s">
        <v>55</v>
      </c>
      <c r="Q8170" t="s">
        <v>78</v>
      </c>
      <c r="R8170" t="s">
        <v>55</v>
      </c>
      <c r="S8170" t="s">
        <v>78</v>
      </c>
      <c r="T8170" t="s">
        <v>55</v>
      </c>
      <c r="U8170" t="s">
        <v>78</v>
      </c>
      <c r="V8170" t="s">
        <v>55</v>
      </c>
      <c r="W8170" t="s">
        <v>78</v>
      </c>
      <c r="X8170" t="s">
        <v>55</v>
      </c>
      <c r="Y8170" t="s">
        <v>78</v>
      </c>
      <c r="Z8170" t="s">
        <v>55</v>
      </c>
      <c r="AA8170" t="s">
        <v>78</v>
      </c>
      <c r="AB8170" t="s">
        <v>55</v>
      </c>
      <c r="AC8170" t="s">
        <v>78</v>
      </c>
      <c r="AD8170" t="s">
        <v>55</v>
      </c>
      <c r="AE8170" t="s">
        <v>78</v>
      </c>
      <c r="AF8170" t="s">
        <v>55</v>
      </c>
      <c r="AG8170" t="s">
        <v>78</v>
      </c>
      <c r="AH8170" t="s">
        <v>55</v>
      </c>
      <c r="AI8170" t="s">
        <v>78</v>
      </c>
      <c r="AK8170" t="s">
        <v>366</v>
      </c>
    </row>
    <row r="8171" spans="1:37">
      <c r="B8171" t="s">
        <v>56</v>
      </c>
      <c r="C8171" t="s">
        <v>56</v>
      </c>
      <c r="D8171" t="s">
        <v>56</v>
      </c>
      <c r="E8171" t="s">
        <v>56</v>
      </c>
      <c r="F8171" t="s">
        <v>56</v>
      </c>
      <c r="G8171" t="s">
        <v>176</v>
      </c>
      <c r="H8171" t="s">
        <v>211</v>
      </c>
      <c r="I8171" t="s">
        <v>231</v>
      </c>
      <c r="J8171" t="s">
        <v>250</v>
      </c>
      <c r="K8171" t="s">
        <v>264</v>
      </c>
      <c r="L8171" t="s">
        <v>276</v>
      </c>
      <c r="M8171" t="s">
        <v>285</v>
      </c>
      <c r="N8171" t="s">
        <v>295</v>
      </c>
      <c r="O8171" t="s">
        <v>303</v>
      </c>
      <c r="P8171" t="s">
        <v>56</v>
      </c>
      <c r="Q8171" t="s">
        <v>317</v>
      </c>
      <c r="R8171" t="s">
        <v>324</v>
      </c>
      <c r="S8171" t="s">
        <v>331</v>
      </c>
      <c r="T8171" t="s">
        <v>334</v>
      </c>
      <c r="U8171" t="s">
        <v>338</v>
      </c>
      <c r="V8171" t="s">
        <v>342</v>
      </c>
      <c r="W8171" t="s">
        <v>346</v>
      </c>
      <c r="X8171" t="s">
        <v>351</v>
      </c>
      <c r="AK8171" t="s">
        <v>366</v>
      </c>
    </row>
    <row r="8172" spans="1:37">
      <c r="B8172" t="s">
        <v>57</v>
      </c>
      <c r="C8172" t="s">
        <v>79</v>
      </c>
      <c r="D8172" t="s">
        <v>98</v>
      </c>
      <c r="E8172" t="s">
        <v>117</v>
      </c>
      <c r="F8172" t="s">
        <v>151</v>
      </c>
      <c r="G8172" t="s">
        <v>177</v>
      </c>
      <c r="H8172" t="s">
        <v>212</v>
      </c>
      <c r="I8172" t="s">
        <v>232</v>
      </c>
      <c r="J8172" t="s">
        <v>251</v>
      </c>
      <c r="K8172" t="s">
        <v>265</v>
      </c>
      <c r="L8172" t="s">
        <v>277</v>
      </c>
      <c r="M8172" t="s">
        <v>286</v>
      </c>
      <c r="N8172" t="s">
        <v>296</v>
      </c>
      <c r="O8172" t="s">
        <v>304</v>
      </c>
      <c r="P8172" t="s">
        <v>311</v>
      </c>
      <c r="Q8172" t="s">
        <v>318</v>
      </c>
      <c r="R8172" t="s">
        <v>185</v>
      </c>
      <c r="S8172" t="s">
        <v>159</v>
      </c>
      <c r="T8172" t="s">
        <v>185</v>
      </c>
      <c r="U8172" t="s">
        <v>339</v>
      </c>
      <c r="V8172" t="s">
        <v>72</v>
      </c>
      <c r="W8172" t="s">
        <v>347</v>
      </c>
      <c r="X8172" t="s">
        <v>72</v>
      </c>
      <c r="Y8172" t="s">
        <v>96</v>
      </c>
      <c r="AK8172" t="s">
        <v>366</v>
      </c>
    </row>
    <row r="8173" spans="1:37">
      <c r="B8173" t="s">
        <v>58</v>
      </c>
      <c r="C8173" t="s">
        <v>80</v>
      </c>
      <c r="D8173" t="s">
        <v>99</v>
      </c>
      <c r="E8173" t="s">
        <v>118</v>
      </c>
      <c r="F8173" t="s">
        <v>152</v>
      </c>
      <c r="G8173" t="s">
        <v>178</v>
      </c>
      <c r="H8173" t="s">
        <v>213</v>
      </c>
      <c r="I8173" t="s">
        <v>233</v>
      </c>
      <c r="J8173" t="s">
        <v>252</v>
      </c>
      <c r="K8173" t="s">
        <v>266</v>
      </c>
      <c r="L8173" t="s">
        <v>278</v>
      </c>
      <c r="M8173" t="s">
        <v>287</v>
      </c>
      <c r="N8173" t="s">
        <v>297</v>
      </c>
      <c r="O8173" t="s">
        <v>305</v>
      </c>
      <c r="P8173" t="s">
        <v>312</v>
      </c>
      <c r="Q8173" t="s">
        <v>319</v>
      </c>
      <c r="R8173">
        <f>&gt;10       ветра      2.3     23   7</f>
        <v>0</v>
      </c>
      <c r="AK8173" t="s">
        <v>366</v>
      </c>
    </row>
    <row r="8174" spans="1:37">
      <c r="A8174" t="s">
        <v>40</v>
      </c>
      <c r="B8174" t="s">
        <v>59</v>
      </c>
      <c r="C8174" t="s">
        <v>81</v>
      </c>
      <c r="D8174" t="s">
        <v>100</v>
      </c>
      <c r="E8174" t="s">
        <v>119</v>
      </c>
      <c r="F8174" t="s">
        <v>153</v>
      </c>
      <c r="G8174" t="s">
        <v>179</v>
      </c>
      <c r="H8174" t="s">
        <v>214</v>
      </c>
      <c r="I8174" t="s">
        <v>234</v>
      </c>
      <c r="AK8174" t="s">
        <v>366</v>
      </c>
    </row>
    <row r="8175" spans="1:37">
      <c r="A8175" t="s">
        <v>40</v>
      </c>
      <c r="B8175" t="s">
        <v>60</v>
      </c>
      <c r="C8175" t="s">
        <v>82</v>
      </c>
      <c r="D8175" t="s">
        <v>101</v>
      </c>
      <c r="E8175" t="s">
        <v>120</v>
      </c>
      <c r="F8175" t="s">
        <v>154</v>
      </c>
      <c r="G8175" t="s">
        <v>180</v>
      </c>
      <c r="H8175" t="s">
        <v>215</v>
      </c>
      <c r="I8175" t="s">
        <v>235</v>
      </c>
      <c r="J8175" t="s">
        <v>253</v>
      </c>
      <c r="K8175" t="s">
        <v>267</v>
      </c>
      <c r="L8175" t="s">
        <v>279</v>
      </c>
      <c r="M8175" t="s">
        <v>288</v>
      </c>
      <c r="N8175" t="s">
        <v>100</v>
      </c>
      <c r="O8175" t="s">
        <v>306</v>
      </c>
      <c r="P8175" t="s">
        <v>313</v>
      </c>
      <c r="Q8175" t="s">
        <v>320</v>
      </c>
      <c r="R8175" t="s">
        <v>325</v>
      </c>
      <c r="S8175" t="s">
        <v>332</v>
      </c>
      <c r="T8175" t="s">
        <v>119</v>
      </c>
      <c r="U8175" t="s">
        <v>234</v>
      </c>
      <c r="V8175" t="s">
        <v>343</v>
      </c>
      <c r="W8175" t="s">
        <v>348</v>
      </c>
      <c r="X8175" t="s">
        <v>352</v>
      </c>
      <c r="Y8175" t="s">
        <v>354</v>
      </c>
      <c r="AK8175" t="s">
        <v>366</v>
      </c>
    </row>
    <row r="8176" spans="1:37">
      <c r="A8176" t="s">
        <v>41</v>
      </c>
      <c r="B8176" t="s">
        <v>61</v>
      </c>
      <c r="C8176" t="s">
        <v>83</v>
      </c>
      <c r="D8176" t="s">
        <v>102</v>
      </c>
      <c r="E8176" t="s">
        <v>121</v>
      </c>
      <c r="F8176" t="s">
        <v>155</v>
      </c>
      <c r="G8176" t="s">
        <v>181</v>
      </c>
      <c r="H8176" t="s">
        <v>216</v>
      </c>
      <c r="I8176" t="s">
        <v>236</v>
      </c>
      <c r="AK8176" t="s">
        <v>366</v>
      </c>
    </row>
    <row r="8177" spans="1:37">
      <c r="A8177" t="s">
        <v>42</v>
      </c>
      <c r="B8177" t="s">
        <v>62</v>
      </c>
      <c r="C8177" t="s">
        <v>84</v>
      </c>
      <c r="D8177" t="s">
        <v>103</v>
      </c>
      <c r="E8177" t="s">
        <v>122</v>
      </c>
      <c r="F8177" t="s">
        <v>156</v>
      </c>
      <c r="G8177" t="s">
        <v>182</v>
      </c>
      <c r="H8177" t="s">
        <v>83</v>
      </c>
      <c r="I8177" t="s">
        <v>237</v>
      </c>
      <c r="J8177" t="s">
        <v>254</v>
      </c>
      <c r="K8177" t="s">
        <v>268</v>
      </c>
      <c r="L8177" t="s">
        <v>280</v>
      </c>
      <c r="M8177" t="s">
        <v>289</v>
      </c>
      <c r="N8177" t="s">
        <v>298</v>
      </c>
      <c r="O8177" t="s">
        <v>307</v>
      </c>
      <c r="P8177" t="s">
        <v>314</v>
      </c>
      <c r="Q8177" t="s">
        <v>216</v>
      </c>
      <c r="R8177" t="s">
        <v>326</v>
      </c>
      <c r="S8177" t="s">
        <v>333</v>
      </c>
      <c r="T8177" t="s">
        <v>335</v>
      </c>
      <c r="U8177" t="s">
        <v>340</v>
      </c>
      <c r="V8177" t="s">
        <v>344</v>
      </c>
      <c r="W8177" t="s">
        <v>349</v>
      </c>
      <c r="AK8177" t="s">
        <v>366</v>
      </c>
    </row>
    <row r="8178" spans="1:37">
      <c r="A8178" t="s">
        <v>43</v>
      </c>
      <c r="B8178" t="s">
        <v>63</v>
      </c>
      <c r="C8178" t="s">
        <v>85</v>
      </c>
      <c r="D8178" t="s">
        <v>104</v>
      </c>
      <c r="E8178" t="s">
        <v>123</v>
      </c>
      <c r="F8178" t="s">
        <v>157</v>
      </c>
      <c r="G8178" t="s">
        <v>183</v>
      </c>
      <c r="AK8178" t="s">
        <v>366</v>
      </c>
    </row>
    <row r="8179" spans="1:37">
      <c r="A8179" t="s">
        <v>44</v>
      </c>
      <c r="B8179" t="s">
        <v>64</v>
      </c>
      <c r="C8179" t="s">
        <v>86</v>
      </c>
      <c r="D8179" t="s">
        <v>105</v>
      </c>
      <c r="E8179" t="s">
        <v>124</v>
      </c>
      <c r="F8179" t="s">
        <v>158</v>
      </c>
      <c r="G8179" t="s">
        <v>184</v>
      </c>
      <c r="AK8179" t="s">
        <v>366</v>
      </c>
    </row>
    <row r="8180" spans="1:37">
      <c r="A8180" t="s">
        <v>45</v>
      </c>
      <c r="B8180" t="s">
        <v>65</v>
      </c>
      <c r="C8180" t="s">
        <v>87</v>
      </c>
      <c r="D8180" t="s">
        <v>106</v>
      </c>
      <c r="E8180" t="s">
        <v>125</v>
      </c>
      <c r="F8180" t="s">
        <v>159</v>
      </c>
      <c r="G8180" t="s">
        <v>185</v>
      </c>
      <c r="H8180" t="s">
        <v>159</v>
      </c>
      <c r="I8180" t="s">
        <v>185</v>
      </c>
      <c r="J8180" t="s">
        <v>255</v>
      </c>
      <c r="AK8180" t="s">
        <v>366</v>
      </c>
    </row>
    <row r="8181" spans="1:37">
      <c r="A8181" t="s">
        <v>46</v>
      </c>
      <c r="B8181" t="s">
        <v>66</v>
      </c>
      <c r="C8181" t="s">
        <v>88</v>
      </c>
      <c r="D8181" t="s">
        <v>76</v>
      </c>
      <c r="E8181" t="s">
        <v>126</v>
      </c>
      <c r="F8181" t="s">
        <v>160</v>
      </c>
      <c r="G8181" t="s">
        <v>186</v>
      </c>
      <c r="H8181" t="s">
        <v>217</v>
      </c>
      <c r="I8181" t="s">
        <v>238</v>
      </c>
      <c r="J8181" t="s">
        <v>256</v>
      </c>
      <c r="K8181" t="s">
        <v>265</v>
      </c>
      <c r="L8181" t="s">
        <v>281</v>
      </c>
      <c r="M8181" t="s">
        <v>290</v>
      </c>
      <c r="N8181" t="s">
        <v>299</v>
      </c>
      <c r="O8181" t="s">
        <v>308</v>
      </c>
      <c r="P8181" t="s">
        <v>228</v>
      </c>
      <c r="Q8181" t="s">
        <v>72</v>
      </c>
      <c r="R8181" t="s">
        <v>327</v>
      </c>
      <c r="S8181" t="s">
        <v>327</v>
      </c>
      <c r="T8181" t="s">
        <v>336</v>
      </c>
      <c r="U8181" t="s">
        <v>336</v>
      </c>
      <c r="V8181" t="s">
        <v>336</v>
      </c>
      <c r="W8181" t="s">
        <v>336</v>
      </c>
      <c r="X8181" t="s">
        <v>353</v>
      </c>
      <c r="AK8181" t="s">
        <v>366</v>
      </c>
    </row>
    <row r="8182" spans="1:37">
      <c r="B8182" t="s">
        <v>67</v>
      </c>
      <c r="C8182" t="s">
        <v>89</v>
      </c>
      <c r="D8182" t="s">
        <v>107</v>
      </c>
      <c r="AK8182" t="s">
        <v>366</v>
      </c>
    </row>
    <row r="8183" spans="1:37">
      <c r="B8183" t="s">
        <v>68</v>
      </c>
      <c r="C8183" t="s">
        <v>90</v>
      </c>
      <c r="D8183" t="s">
        <v>108</v>
      </c>
      <c r="AK8183" t="s">
        <v>366</v>
      </c>
    </row>
    <row r="8184" spans="1:37">
      <c r="A8184" t="s">
        <v>47</v>
      </c>
      <c r="B8184" t="s">
        <v>69</v>
      </c>
      <c r="C8184" t="s">
        <v>91</v>
      </c>
      <c r="D8184" t="s">
        <v>109</v>
      </c>
      <c r="E8184" t="s">
        <v>109</v>
      </c>
      <c r="F8184" t="s">
        <v>109</v>
      </c>
      <c r="G8184" t="s">
        <v>109</v>
      </c>
      <c r="H8184" t="s">
        <v>109</v>
      </c>
      <c r="I8184" t="s">
        <v>239</v>
      </c>
      <c r="AK8184" t="s">
        <v>366</v>
      </c>
    </row>
    <row r="8185" spans="1:37">
      <c r="B8185" t="s">
        <v>70</v>
      </c>
      <c r="C8185" t="s">
        <v>92</v>
      </c>
      <c r="D8185" t="s">
        <v>110</v>
      </c>
      <c r="E8185" t="s">
        <v>127</v>
      </c>
      <c r="F8185" t="s">
        <v>161</v>
      </c>
      <c r="G8185" t="s">
        <v>187</v>
      </c>
      <c r="H8185" t="s">
        <v>218</v>
      </c>
      <c r="AK8185" t="s">
        <v>366</v>
      </c>
    </row>
    <row r="8186" spans="1:37">
      <c r="B8186" t="s">
        <v>71</v>
      </c>
      <c r="C8186" t="s">
        <v>93</v>
      </c>
      <c r="D8186" t="s">
        <v>111</v>
      </c>
      <c r="E8186" t="s">
        <v>128</v>
      </c>
      <c r="F8186" t="s">
        <v>162</v>
      </c>
      <c r="G8186" t="s">
        <v>188</v>
      </c>
      <c r="H8186" t="s">
        <v>219</v>
      </c>
      <c r="I8186" t="s">
        <v>240</v>
      </c>
      <c r="J8186" t="s">
        <v>257</v>
      </c>
      <c r="K8186" t="s">
        <v>269</v>
      </c>
      <c r="L8186" t="s">
        <v>109</v>
      </c>
      <c r="M8186" t="s">
        <v>109</v>
      </c>
      <c r="N8186" t="s">
        <v>109</v>
      </c>
      <c r="O8186" t="s">
        <v>109</v>
      </c>
      <c r="P8186" t="s">
        <v>109</v>
      </c>
      <c r="Q8186" t="s">
        <v>321</v>
      </c>
      <c r="AK8186" t="s">
        <v>366</v>
      </c>
    </row>
    <row r="8187" spans="1:37">
      <c r="A8187" t="s">
        <v>48</v>
      </c>
      <c r="B8187" t="s">
        <v>71</v>
      </c>
      <c r="C8187" t="s">
        <v>93</v>
      </c>
      <c r="D8187" t="s">
        <v>111</v>
      </c>
      <c r="E8187" t="s">
        <v>128</v>
      </c>
      <c r="F8187" t="s">
        <v>163</v>
      </c>
      <c r="G8187" t="s">
        <v>189</v>
      </c>
      <c r="H8187" t="s">
        <v>220</v>
      </c>
      <c r="I8187" t="s">
        <v>241</v>
      </c>
      <c r="J8187" t="s">
        <v>258</v>
      </c>
      <c r="K8187" t="s">
        <v>270</v>
      </c>
      <c r="AK8187" t="s">
        <v>366</v>
      </c>
    </row>
    <row r="8188" spans="1:37">
      <c r="B8188" t="s">
        <v>72</v>
      </c>
      <c r="C8188" t="s">
        <v>72</v>
      </c>
      <c r="D8188" t="s">
        <v>72</v>
      </c>
      <c r="E8188" t="s">
        <v>129</v>
      </c>
      <c r="F8188" t="s">
        <v>130</v>
      </c>
      <c r="G8188" t="s">
        <v>200</v>
      </c>
      <c r="H8188" t="s">
        <v>192</v>
      </c>
      <c r="I8188" t="s">
        <v>192</v>
      </c>
      <c r="J8188" t="s">
        <v>192</v>
      </c>
      <c r="K8188" t="s">
        <v>272</v>
      </c>
      <c r="AK8188" t="s">
        <v>366</v>
      </c>
    </row>
    <row r="8189" spans="1:37">
      <c r="A8189" t="s">
        <v>37</v>
      </c>
      <c r="B8189" t="s">
        <v>49</v>
      </c>
      <c r="C8189" t="s">
        <v>73</v>
      </c>
      <c r="D8189" t="s">
        <v>94</v>
      </c>
      <c r="E8189" t="s">
        <v>112</v>
      </c>
      <c r="F8189" t="s">
        <v>146</v>
      </c>
      <c r="G8189" t="s">
        <v>172</v>
      </c>
      <c r="H8189" t="s">
        <v>207</v>
      </c>
      <c r="I8189" t="s">
        <v>226</v>
      </c>
      <c r="J8189" t="s">
        <v>246</v>
      </c>
      <c r="K8189" t="s">
        <v>259</v>
      </c>
      <c r="AK8189" t="s">
        <v>366</v>
      </c>
    </row>
    <row r="8190" spans="1:37">
      <c r="A8190" t="s">
        <v>38</v>
      </c>
      <c r="B8190" t="s">
        <v>50</v>
      </c>
      <c r="C8190" t="s">
        <v>74</v>
      </c>
      <c r="D8190" t="s">
        <v>95</v>
      </c>
      <c r="E8190" t="s">
        <v>113</v>
      </c>
      <c r="F8190" t="s">
        <v>147</v>
      </c>
      <c r="G8190" t="s">
        <v>173</v>
      </c>
      <c r="H8190" t="s">
        <v>208</v>
      </c>
      <c r="I8190" t="s">
        <v>227</v>
      </c>
      <c r="J8190" t="s">
        <v>115</v>
      </c>
      <c r="K8190" t="s">
        <v>260</v>
      </c>
      <c r="L8190" t="s">
        <v>273</v>
      </c>
      <c r="M8190" t="s">
        <v>282</v>
      </c>
      <c r="N8190" t="s">
        <v>291</v>
      </c>
      <c r="AK8190" t="s">
        <v>366</v>
      </c>
    </row>
    <row r="8191" spans="1:37">
      <c r="B8191" t="s">
        <v>51</v>
      </c>
      <c r="C8191" t="s">
        <v>75</v>
      </c>
      <c r="D8191" t="s">
        <v>52</v>
      </c>
      <c r="E8191" t="s">
        <v>114</v>
      </c>
      <c r="F8191" t="s">
        <v>148</v>
      </c>
      <c r="G8191" t="s">
        <v>148</v>
      </c>
      <c r="H8191" t="s">
        <v>209</v>
      </c>
      <c r="I8191" t="s">
        <v>228</v>
      </c>
      <c r="J8191" t="s">
        <v>247</v>
      </c>
      <c r="K8191" t="s">
        <v>261</v>
      </c>
      <c r="L8191" t="s">
        <v>274</v>
      </c>
      <c r="M8191" t="s">
        <v>283</v>
      </c>
      <c r="N8191" t="s">
        <v>292</v>
      </c>
      <c r="O8191" t="s">
        <v>300</v>
      </c>
      <c r="AK8191" t="s">
        <v>366</v>
      </c>
    </row>
    <row r="8192" spans="1:37">
      <c r="B8192" t="s">
        <v>52</v>
      </c>
      <c r="C8192" t="s">
        <v>76</v>
      </c>
      <c r="D8192" t="s">
        <v>96</v>
      </c>
      <c r="E8192" t="s">
        <v>115</v>
      </c>
      <c r="F8192" t="s">
        <v>149</v>
      </c>
      <c r="G8192" t="s">
        <v>174</v>
      </c>
      <c r="H8192" t="s">
        <v>96</v>
      </c>
      <c r="I8192" t="s">
        <v>229</v>
      </c>
      <c r="J8192" t="s">
        <v>248</v>
      </c>
      <c r="K8192" t="s">
        <v>262</v>
      </c>
      <c r="L8192" t="s">
        <v>52</v>
      </c>
      <c r="M8192" t="s">
        <v>76</v>
      </c>
      <c r="N8192" t="s">
        <v>293</v>
      </c>
      <c r="O8192" t="s">
        <v>301</v>
      </c>
      <c r="P8192" t="s">
        <v>309</v>
      </c>
      <c r="Q8192" t="s">
        <v>315</v>
      </c>
      <c r="R8192" t="s">
        <v>228</v>
      </c>
      <c r="S8192" t="s">
        <v>328</v>
      </c>
      <c r="T8192" t="s">
        <v>149</v>
      </c>
      <c r="U8192" t="s">
        <v>337</v>
      </c>
      <c r="V8192" t="s">
        <v>341</v>
      </c>
      <c r="W8192" t="s">
        <v>345</v>
      </c>
      <c r="X8192" t="s">
        <v>350</v>
      </c>
      <c r="AK8192" t="s">
        <v>366</v>
      </c>
    </row>
    <row r="8193" spans="1:37">
      <c r="B8193" t="s">
        <v>53</v>
      </c>
      <c r="C8193" t="s">
        <v>77</v>
      </c>
      <c r="D8193" t="s">
        <v>97</v>
      </c>
      <c r="E8193" t="s">
        <v>116</v>
      </c>
      <c r="F8193" t="s">
        <v>150</v>
      </c>
      <c r="G8193" t="s">
        <v>175</v>
      </c>
      <c r="H8193" t="s">
        <v>210</v>
      </c>
      <c r="I8193" t="s">
        <v>230</v>
      </c>
      <c r="J8193" t="s">
        <v>249</v>
      </c>
      <c r="K8193" t="s">
        <v>263</v>
      </c>
      <c r="L8193" t="s">
        <v>275</v>
      </c>
      <c r="M8193" t="s">
        <v>284</v>
      </c>
      <c r="N8193" t="s">
        <v>294</v>
      </c>
      <c r="O8193" t="s">
        <v>302</v>
      </c>
      <c r="P8193" t="s">
        <v>310</v>
      </c>
      <c r="Q8193" t="s">
        <v>316</v>
      </c>
      <c r="R8193" t="s">
        <v>322</v>
      </c>
      <c r="S8193" t="s">
        <v>329</v>
      </c>
      <c r="AK8193" t="s">
        <v>366</v>
      </c>
    </row>
    <row r="8194" spans="1:37">
      <c r="A8194" t="s">
        <v>39</v>
      </c>
      <c r="B8194" t="s">
        <v>54</v>
      </c>
      <c r="C8194" t="s">
        <v>54</v>
      </c>
      <c r="D8194" t="s">
        <v>54</v>
      </c>
      <c r="E8194" t="s">
        <v>54</v>
      </c>
      <c r="F8194" t="s">
        <v>54</v>
      </c>
      <c r="G8194" t="s">
        <v>54</v>
      </c>
      <c r="H8194" t="s">
        <v>54</v>
      </c>
      <c r="I8194" t="s">
        <v>54</v>
      </c>
      <c r="J8194" t="s">
        <v>54</v>
      </c>
      <c r="K8194" t="s">
        <v>54</v>
      </c>
      <c r="L8194" t="s">
        <v>54</v>
      </c>
      <c r="M8194" t="s">
        <v>54</v>
      </c>
      <c r="N8194" t="s">
        <v>54</v>
      </c>
      <c r="O8194" t="s">
        <v>54</v>
      </c>
      <c r="P8194" t="s">
        <v>54</v>
      </c>
      <c r="Q8194" t="s">
        <v>54</v>
      </c>
      <c r="R8194" t="s">
        <v>323</v>
      </c>
      <c r="S8194" t="s">
        <v>330</v>
      </c>
      <c r="AK8194" t="s">
        <v>366</v>
      </c>
    </row>
    <row r="8195" spans="1:37">
      <c r="B8195" t="s">
        <v>55</v>
      </c>
      <c r="C8195" t="s">
        <v>78</v>
      </c>
      <c r="D8195" t="s">
        <v>55</v>
      </c>
      <c r="E8195" t="s">
        <v>78</v>
      </c>
      <c r="F8195" t="s">
        <v>55</v>
      </c>
      <c r="G8195" t="s">
        <v>78</v>
      </c>
      <c r="H8195" t="s">
        <v>55</v>
      </c>
      <c r="I8195" t="s">
        <v>78</v>
      </c>
      <c r="J8195" t="s">
        <v>55</v>
      </c>
      <c r="K8195" t="s">
        <v>78</v>
      </c>
      <c r="L8195" t="s">
        <v>55</v>
      </c>
      <c r="M8195" t="s">
        <v>78</v>
      </c>
      <c r="N8195" t="s">
        <v>55</v>
      </c>
      <c r="O8195" t="s">
        <v>78</v>
      </c>
      <c r="P8195" t="s">
        <v>55</v>
      </c>
      <c r="Q8195" t="s">
        <v>78</v>
      </c>
      <c r="R8195" t="s">
        <v>55</v>
      </c>
      <c r="S8195" t="s">
        <v>78</v>
      </c>
      <c r="T8195" t="s">
        <v>55</v>
      </c>
      <c r="U8195" t="s">
        <v>78</v>
      </c>
      <c r="V8195" t="s">
        <v>55</v>
      </c>
      <c r="W8195" t="s">
        <v>78</v>
      </c>
      <c r="X8195" t="s">
        <v>55</v>
      </c>
      <c r="Y8195" t="s">
        <v>78</v>
      </c>
      <c r="Z8195" t="s">
        <v>55</v>
      </c>
      <c r="AA8195" t="s">
        <v>78</v>
      </c>
      <c r="AB8195" t="s">
        <v>55</v>
      </c>
      <c r="AC8195" t="s">
        <v>78</v>
      </c>
      <c r="AD8195" t="s">
        <v>55</v>
      </c>
      <c r="AE8195" t="s">
        <v>78</v>
      </c>
      <c r="AF8195" t="s">
        <v>55</v>
      </c>
      <c r="AG8195" t="s">
        <v>78</v>
      </c>
      <c r="AH8195" t="s">
        <v>55</v>
      </c>
      <c r="AI8195" t="s">
        <v>78</v>
      </c>
      <c r="AK8195" t="s">
        <v>366</v>
      </c>
    </row>
    <row r="8196" spans="1:37">
      <c r="B8196" t="s">
        <v>56</v>
      </c>
      <c r="C8196" t="s">
        <v>56</v>
      </c>
      <c r="D8196" t="s">
        <v>56</v>
      </c>
      <c r="E8196" t="s">
        <v>56</v>
      </c>
      <c r="F8196" t="s">
        <v>56</v>
      </c>
      <c r="G8196" t="s">
        <v>176</v>
      </c>
      <c r="H8196" t="s">
        <v>211</v>
      </c>
      <c r="I8196" t="s">
        <v>231</v>
      </c>
      <c r="J8196" t="s">
        <v>250</v>
      </c>
      <c r="K8196" t="s">
        <v>264</v>
      </c>
      <c r="L8196" t="s">
        <v>276</v>
      </c>
      <c r="M8196" t="s">
        <v>285</v>
      </c>
      <c r="N8196" t="s">
        <v>295</v>
      </c>
      <c r="O8196" t="s">
        <v>303</v>
      </c>
      <c r="P8196" t="s">
        <v>56</v>
      </c>
      <c r="Q8196" t="s">
        <v>317</v>
      </c>
      <c r="R8196" t="s">
        <v>324</v>
      </c>
      <c r="S8196" t="s">
        <v>331</v>
      </c>
      <c r="T8196" t="s">
        <v>334</v>
      </c>
      <c r="U8196" t="s">
        <v>338</v>
      </c>
      <c r="V8196" t="s">
        <v>342</v>
      </c>
      <c r="W8196" t="s">
        <v>346</v>
      </c>
      <c r="X8196" t="s">
        <v>351</v>
      </c>
      <c r="AK8196" t="s">
        <v>366</v>
      </c>
    </row>
    <row r="8197" spans="1:37">
      <c r="B8197" t="s">
        <v>57</v>
      </c>
      <c r="C8197" t="s">
        <v>79</v>
      </c>
      <c r="D8197" t="s">
        <v>98</v>
      </c>
      <c r="E8197" t="s">
        <v>117</v>
      </c>
      <c r="F8197" t="s">
        <v>151</v>
      </c>
      <c r="G8197" t="s">
        <v>177</v>
      </c>
      <c r="H8197" t="s">
        <v>212</v>
      </c>
      <c r="I8197" t="s">
        <v>232</v>
      </c>
      <c r="J8197" t="s">
        <v>251</v>
      </c>
      <c r="K8197" t="s">
        <v>265</v>
      </c>
      <c r="L8197" t="s">
        <v>277</v>
      </c>
      <c r="M8197" t="s">
        <v>286</v>
      </c>
      <c r="N8197" t="s">
        <v>296</v>
      </c>
      <c r="O8197" t="s">
        <v>304</v>
      </c>
      <c r="P8197" t="s">
        <v>311</v>
      </c>
      <c r="Q8197" t="s">
        <v>318</v>
      </c>
      <c r="R8197" t="s">
        <v>185</v>
      </c>
      <c r="S8197" t="s">
        <v>159</v>
      </c>
      <c r="T8197" t="s">
        <v>185</v>
      </c>
      <c r="U8197" t="s">
        <v>339</v>
      </c>
      <c r="V8197" t="s">
        <v>72</v>
      </c>
      <c r="W8197" t="s">
        <v>347</v>
      </c>
      <c r="X8197" t="s">
        <v>72</v>
      </c>
      <c r="Y8197" t="s">
        <v>96</v>
      </c>
      <c r="AK8197" t="s">
        <v>366</v>
      </c>
    </row>
    <row r="8198" spans="1:37">
      <c r="B8198" t="s">
        <v>58</v>
      </c>
      <c r="C8198" t="s">
        <v>80</v>
      </c>
      <c r="D8198" t="s">
        <v>99</v>
      </c>
      <c r="E8198" t="s">
        <v>118</v>
      </c>
      <c r="F8198" t="s">
        <v>152</v>
      </c>
      <c r="G8198" t="s">
        <v>178</v>
      </c>
      <c r="H8198" t="s">
        <v>213</v>
      </c>
      <c r="I8198" t="s">
        <v>233</v>
      </c>
      <c r="J8198" t="s">
        <v>252</v>
      </c>
      <c r="K8198" t="s">
        <v>266</v>
      </c>
      <c r="L8198" t="s">
        <v>278</v>
      </c>
      <c r="M8198" t="s">
        <v>287</v>
      </c>
      <c r="N8198" t="s">
        <v>297</v>
      </c>
      <c r="O8198" t="s">
        <v>305</v>
      </c>
      <c r="P8198" t="s">
        <v>312</v>
      </c>
      <c r="Q8198" t="s">
        <v>319</v>
      </c>
      <c r="R8198">
        <f>&gt;10       ветра      3.0     14   7</f>
        <v>0</v>
      </c>
      <c r="AK8198" t="s">
        <v>366</v>
      </c>
    </row>
    <row r="8199" spans="1:37">
      <c r="A8199" t="s">
        <v>40</v>
      </c>
      <c r="B8199" t="s">
        <v>59</v>
      </c>
      <c r="C8199" t="s">
        <v>81</v>
      </c>
      <c r="D8199" t="s">
        <v>100</v>
      </c>
      <c r="E8199" t="s">
        <v>119</v>
      </c>
      <c r="F8199" t="s">
        <v>153</v>
      </c>
      <c r="G8199" t="s">
        <v>179</v>
      </c>
      <c r="H8199" t="s">
        <v>214</v>
      </c>
      <c r="I8199" t="s">
        <v>234</v>
      </c>
      <c r="AK8199" t="s">
        <v>366</v>
      </c>
    </row>
    <row r="8200" spans="1:37">
      <c r="A8200" t="s">
        <v>40</v>
      </c>
      <c r="B8200" t="s">
        <v>60</v>
      </c>
      <c r="C8200" t="s">
        <v>82</v>
      </c>
      <c r="D8200" t="s">
        <v>101</v>
      </c>
      <c r="E8200" t="s">
        <v>120</v>
      </c>
      <c r="F8200" t="s">
        <v>154</v>
      </c>
      <c r="G8200" t="s">
        <v>180</v>
      </c>
      <c r="H8200" t="s">
        <v>215</v>
      </c>
      <c r="I8200" t="s">
        <v>235</v>
      </c>
      <c r="J8200" t="s">
        <v>253</v>
      </c>
      <c r="K8200" t="s">
        <v>267</v>
      </c>
      <c r="L8200" t="s">
        <v>279</v>
      </c>
      <c r="M8200" t="s">
        <v>288</v>
      </c>
      <c r="N8200" t="s">
        <v>100</v>
      </c>
      <c r="O8200" t="s">
        <v>306</v>
      </c>
      <c r="P8200" t="s">
        <v>313</v>
      </c>
      <c r="Q8200" t="s">
        <v>320</v>
      </c>
      <c r="R8200" t="s">
        <v>325</v>
      </c>
      <c r="S8200" t="s">
        <v>332</v>
      </c>
      <c r="T8200" t="s">
        <v>119</v>
      </c>
      <c r="U8200" t="s">
        <v>234</v>
      </c>
      <c r="V8200" t="s">
        <v>343</v>
      </c>
      <c r="W8200" t="s">
        <v>348</v>
      </c>
      <c r="X8200" t="s">
        <v>352</v>
      </c>
      <c r="Y8200" t="s">
        <v>354</v>
      </c>
      <c r="AK8200" t="s">
        <v>366</v>
      </c>
    </row>
    <row r="8201" spans="1:37">
      <c r="A8201" t="s">
        <v>41</v>
      </c>
      <c r="B8201" t="s">
        <v>61</v>
      </c>
      <c r="C8201" t="s">
        <v>83</v>
      </c>
      <c r="D8201" t="s">
        <v>102</v>
      </c>
      <c r="E8201" t="s">
        <v>121</v>
      </c>
      <c r="F8201" t="s">
        <v>155</v>
      </c>
      <c r="G8201" t="s">
        <v>181</v>
      </c>
      <c r="H8201" t="s">
        <v>216</v>
      </c>
      <c r="I8201" t="s">
        <v>236</v>
      </c>
      <c r="AK8201" t="s">
        <v>366</v>
      </c>
    </row>
    <row r="8202" spans="1:37">
      <c r="A8202" t="s">
        <v>42</v>
      </c>
      <c r="B8202" t="s">
        <v>62</v>
      </c>
      <c r="C8202" t="s">
        <v>84</v>
      </c>
      <c r="D8202" t="s">
        <v>103</v>
      </c>
      <c r="E8202" t="s">
        <v>122</v>
      </c>
      <c r="F8202" t="s">
        <v>156</v>
      </c>
      <c r="G8202" t="s">
        <v>182</v>
      </c>
      <c r="H8202" t="s">
        <v>83</v>
      </c>
      <c r="I8202" t="s">
        <v>237</v>
      </c>
      <c r="J8202" t="s">
        <v>254</v>
      </c>
      <c r="K8202" t="s">
        <v>268</v>
      </c>
      <c r="L8202" t="s">
        <v>280</v>
      </c>
      <c r="M8202" t="s">
        <v>289</v>
      </c>
      <c r="N8202" t="s">
        <v>298</v>
      </c>
      <c r="O8202" t="s">
        <v>307</v>
      </c>
      <c r="P8202" t="s">
        <v>314</v>
      </c>
      <c r="Q8202" t="s">
        <v>216</v>
      </c>
      <c r="R8202" t="s">
        <v>326</v>
      </c>
      <c r="S8202" t="s">
        <v>333</v>
      </c>
      <c r="T8202" t="s">
        <v>335</v>
      </c>
      <c r="U8202" t="s">
        <v>340</v>
      </c>
      <c r="V8202" t="s">
        <v>344</v>
      </c>
      <c r="W8202" t="s">
        <v>349</v>
      </c>
      <c r="AK8202" t="s">
        <v>366</v>
      </c>
    </row>
    <row r="8203" spans="1:37">
      <c r="A8203" t="s">
        <v>43</v>
      </c>
      <c r="B8203" t="s">
        <v>63</v>
      </c>
      <c r="C8203" t="s">
        <v>85</v>
      </c>
      <c r="D8203" t="s">
        <v>104</v>
      </c>
      <c r="E8203" t="s">
        <v>123</v>
      </c>
      <c r="F8203" t="s">
        <v>157</v>
      </c>
      <c r="G8203" t="s">
        <v>183</v>
      </c>
      <c r="AK8203" t="s">
        <v>366</v>
      </c>
    </row>
    <row r="8204" spans="1:37">
      <c r="A8204" t="s">
        <v>44</v>
      </c>
      <c r="B8204" t="s">
        <v>64</v>
      </c>
      <c r="C8204" t="s">
        <v>86</v>
      </c>
      <c r="D8204" t="s">
        <v>105</v>
      </c>
      <c r="E8204" t="s">
        <v>124</v>
      </c>
      <c r="F8204" t="s">
        <v>158</v>
      </c>
      <c r="G8204" t="s">
        <v>184</v>
      </c>
      <c r="AK8204" t="s">
        <v>366</v>
      </c>
    </row>
    <row r="8205" spans="1:37">
      <c r="A8205" t="s">
        <v>45</v>
      </c>
      <c r="B8205" t="s">
        <v>65</v>
      </c>
      <c r="C8205" t="s">
        <v>87</v>
      </c>
      <c r="D8205" t="s">
        <v>106</v>
      </c>
      <c r="E8205" t="s">
        <v>125</v>
      </c>
      <c r="F8205" t="s">
        <v>159</v>
      </c>
      <c r="G8205" t="s">
        <v>185</v>
      </c>
      <c r="H8205" t="s">
        <v>159</v>
      </c>
      <c r="I8205" t="s">
        <v>185</v>
      </c>
      <c r="J8205" t="s">
        <v>255</v>
      </c>
      <c r="AK8205" t="s">
        <v>366</v>
      </c>
    </row>
    <row r="8206" spans="1:37">
      <c r="A8206" t="s">
        <v>46</v>
      </c>
      <c r="B8206" t="s">
        <v>66</v>
      </c>
      <c r="C8206" t="s">
        <v>88</v>
      </c>
      <c r="D8206" t="s">
        <v>76</v>
      </c>
      <c r="E8206" t="s">
        <v>126</v>
      </c>
      <c r="F8206" t="s">
        <v>160</v>
      </c>
      <c r="G8206" t="s">
        <v>186</v>
      </c>
      <c r="H8206" t="s">
        <v>217</v>
      </c>
      <c r="I8206" t="s">
        <v>238</v>
      </c>
      <c r="J8206" t="s">
        <v>256</v>
      </c>
      <c r="K8206" t="s">
        <v>265</v>
      </c>
      <c r="L8206" t="s">
        <v>281</v>
      </c>
      <c r="M8206" t="s">
        <v>290</v>
      </c>
      <c r="N8206" t="s">
        <v>299</v>
      </c>
      <c r="O8206" t="s">
        <v>308</v>
      </c>
      <c r="P8206" t="s">
        <v>228</v>
      </c>
      <c r="Q8206" t="s">
        <v>72</v>
      </c>
      <c r="R8206" t="s">
        <v>327</v>
      </c>
      <c r="S8206" t="s">
        <v>327</v>
      </c>
      <c r="T8206" t="s">
        <v>336</v>
      </c>
      <c r="U8206" t="s">
        <v>336</v>
      </c>
      <c r="V8206" t="s">
        <v>336</v>
      </c>
      <c r="W8206" t="s">
        <v>336</v>
      </c>
      <c r="X8206" t="s">
        <v>353</v>
      </c>
      <c r="AK8206" t="s">
        <v>366</v>
      </c>
    </row>
    <row r="8207" spans="1:37">
      <c r="B8207" t="s">
        <v>67</v>
      </c>
      <c r="C8207" t="s">
        <v>89</v>
      </c>
      <c r="D8207" t="s">
        <v>107</v>
      </c>
      <c r="AK8207" t="s">
        <v>366</v>
      </c>
    </row>
    <row r="8208" spans="1:37">
      <c r="B8208" t="s">
        <v>68</v>
      </c>
      <c r="C8208" t="s">
        <v>90</v>
      </c>
      <c r="D8208" t="s">
        <v>108</v>
      </c>
      <c r="AK8208" t="s">
        <v>366</v>
      </c>
    </row>
    <row r="8209" spans="1:37">
      <c r="A8209" t="s">
        <v>47</v>
      </c>
      <c r="B8209" t="s">
        <v>69</v>
      </c>
      <c r="C8209" t="s">
        <v>91</v>
      </c>
      <c r="D8209" t="s">
        <v>109</v>
      </c>
      <c r="E8209" t="s">
        <v>109</v>
      </c>
      <c r="F8209" t="s">
        <v>109</v>
      </c>
      <c r="G8209" t="s">
        <v>109</v>
      </c>
      <c r="H8209" t="s">
        <v>109</v>
      </c>
      <c r="I8209" t="s">
        <v>239</v>
      </c>
      <c r="AK8209" t="s">
        <v>366</v>
      </c>
    </row>
    <row r="8210" spans="1:37">
      <c r="B8210" t="s">
        <v>70</v>
      </c>
      <c r="C8210" t="s">
        <v>92</v>
      </c>
      <c r="D8210" t="s">
        <v>110</v>
      </c>
      <c r="E8210" t="s">
        <v>127</v>
      </c>
      <c r="F8210" t="s">
        <v>161</v>
      </c>
      <c r="G8210" t="s">
        <v>187</v>
      </c>
      <c r="H8210" t="s">
        <v>218</v>
      </c>
      <c r="AK8210" t="s">
        <v>366</v>
      </c>
    </row>
    <row r="8211" spans="1:37">
      <c r="B8211" t="s">
        <v>71</v>
      </c>
      <c r="C8211" t="s">
        <v>93</v>
      </c>
      <c r="D8211" t="s">
        <v>111</v>
      </c>
      <c r="E8211" t="s">
        <v>128</v>
      </c>
      <c r="F8211" t="s">
        <v>162</v>
      </c>
      <c r="G8211" t="s">
        <v>188</v>
      </c>
      <c r="H8211" t="s">
        <v>219</v>
      </c>
      <c r="I8211" t="s">
        <v>240</v>
      </c>
      <c r="J8211" t="s">
        <v>257</v>
      </c>
      <c r="K8211" t="s">
        <v>269</v>
      </c>
      <c r="L8211" t="s">
        <v>109</v>
      </c>
      <c r="M8211" t="s">
        <v>109</v>
      </c>
      <c r="N8211" t="s">
        <v>109</v>
      </c>
      <c r="O8211" t="s">
        <v>109</v>
      </c>
      <c r="P8211" t="s">
        <v>109</v>
      </c>
      <c r="Q8211" t="s">
        <v>321</v>
      </c>
      <c r="AK8211" t="s">
        <v>366</v>
      </c>
    </row>
    <row r="8212" spans="1:37">
      <c r="A8212" t="s">
        <v>48</v>
      </c>
      <c r="B8212" t="s">
        <v>71</v>
      </c>
      <c r="C8212" t="s">
        <v>93</v>
      </c>
      <c r="D8212" t="s">
        <v>111</v>
      </c>
      <c r="E8212" t="s">
        <v>128</v>
      </c>
      <c r="F8212" t="s">
        <v>163</v>
      </c>
      <c r="G8212" t="s">
        <v>189</v>
      </c>
      <c r="H8212" t="s">
        <v>220</v>
      </c>
      <c r="I8212" t="s">
        <v>241</v>
      </c>
      <c r="J8212" t="s">
        <v>258</v>
      </c>
      <c r="K8212" t="s">
        <v>270</v>
      </c>
      <c r="AK8212" t="s">
        <v>366</v>
      </c>
    </row>
    <row r="8213" spans="1:37">
      <c r="B8213" t="s">
        <v>72</v>
      </c>
      <c r="C8213" t="s">
        <v>72</v>
      </c>
      <c r="D8213" t="s">
        <v>72</v>
      </c>
      <c r="E8213" t="s">
        <v>129</v>
      </c>
      <c r="F8213" t="s">
        <v>171</v>
      </c>
      <c r="G8213" t="s">
        <v>192</v>
      </c>
      <c r="H8213" t="s">
        <v>192</v>
      </c>
      <c r="I8213" t="s">
        <v>192</v>
      </c>
      <c r="J8213" t="s">
        <v>192</v>
      </c>
      <c r="K8213" t="s">
        <v>271</v>
      </c>
      <c r="AK8213" t="s">
        <v>366</v>
      </c>
    </row>
    <row r="8214" spans="1:37">
      <c r="A8214" t="s">
        <v>37</v>
      </c>
      <c r="B8214" t="s">
        <v>49</v>
      </c>
      <c r="C8214" t="s">
        <v>73</v>
      </c>
      <c r="D8214" t="s">
        <v>94</v>
      </c>
      <c r="E8214" t="s">
        <v>112</v>
      </c>
      <c r="F8214" t="s">
        <v>146</v>
      </c>
      <c r="G8214" t="s">
        <v>172</v>
      </c>
      <c r="H8214" t="s">
        <v>207</v>
      </c>
      <c r="I8214" t="s">
        <v>226</v>
      </c>
      <c r="J8214" t="s">
        <v>246</v>
      </c>
      <c r="K8214" t="s">
        <v>259</v>
      </c>
      <c r="AK8214" t="s">
        <v>366</v>
      </c>
    </row>
    <row r="8215" spans="1:37">
      <c r="A8215" t="s">
        <v>38</v>
      </c>
      <c r="B8215" t="s">
        <v>50</v>
      </c>
      <c r="C8215" t="s">
        <v>74</v>
      </c>
      <c r="D8215" t="s">
        <v>95</v>
      </c>
      <c r="E8215" t="s">
        <v>113</v>
      </c>
      <c r="F8215" t="s">
        <v>147</v>
      </c>
      <c r="G8215" t="s">
        <v>173</v>
      </c>
      <c r="H8215" t="s">
        <v>208</v>
      </c>
      <c r="I8215" t="s">
        <v>227</v>
      </c>
      <c r="J8215" t="s">
        <v>115</v>
      </c>
      <c r="K8215" t="s">
        <v>260</v>
      </c>
      <c r="L8215" t="s">
        <v>273</v>
      </c>
      <c r="M8215" t="s">
        <v>282</v>
      </c>
      <c r="N8215" t="s">
        <v>291</v>
      </c>
      <c r="AK8215" t="s">
        <v>366</v>
      </c>
    </row>
    <row r="8216" spans="1:37">
      <c r="B8216" t="s">
        <v>51</v>
      </c>
      <c r="C8216" t="s">
        <v>75</v>
      </c>
      <c r="D8216" t="s">
        <v>52</v>
      </c>
      <c r="E8216" t="s">
        <v>114</v>
      </c>
      <c r="F8216" t="s">
        <v>148</v>
      </c>
      <c r="G8216" t="s">
        <v>148</v>
      </c>
      <c r="H8216" t="s">
        <v>209</v>
      </c>
      <c r="I8216" t="s">
        <v>228</v>
      </c>
      <c r="J8216" t="s">
        <v>247</v>
      </c>
      <c r="K8216" t="s">
        <v>261</v>
      </c>
      <c r="L8216" t="s">
        <v>274</v>
      </c>
      <c r="M8216" t="s">
        <v>283</v>
      </c>
      <c r="N8216" t="s">
        <v>292</v>
      </c>
      <c r="O8216" t="s">
        <v>300</v>
      </c>
      <c r="AK8216" t="s">
        <v>366</v>
      </c>
    </row>
    <row r="8217" spans="1:37">
      <c r="B8217" t="s">
        <v>52</v>
      </c>
      <c r="C8217" t="s">
        <v>76</v>
      </c>
      <c r="D8217" t="s">
        <v>96</v>
      </c>
      <c r="E8217" t="s">
        <v>115</v>
      </c>
      <c r="F8217" t="s">
        <v>149</v>
      </c>
      <c r="G8217" t="s">
        <v>174</v>
      </c>
      <c r="H8217" t="s">
        <v>96</v>
      </c>
      <c r="I8217" t="s">
        <v>229</v>
      </c>
      <c r="J8217" t="s">
        <v>248</v>
      </c>
      <c r="K8217" t="s">
        <v>262</v>
      </c>
      <c r="L8217" t="s">
        <v>52</v>
      </c>
      <c r="M8217" t="s">
        <v>76</v>
      </c>
      <c r="N8217" t="s">
        <v>293</v>
      </c>
      <c r="O8217" t="s">
        <v>301</v>
      </c>
      <c r="P8217" t="s">
        <v>309</v>
      </c>
      <c r="Q8217" t="s">
        <v>315</v>
      </c>
      <c r="R8217" t="s">
        <v>228</v>
      </c>
      <c r="S8217" t="s">
        <v>328</v>
      </c>
      <c r="T8217" t="s">
        <v>149</v>
      </c>
      <c r="U8217" t="s">
        <v>337</v>
      </c>
      <c r="V8217" t="s">
        <v>341</v>
      </c>
      <c r="W8217" t="s">
        <v>345</v>
      </c>
      <c r="X8217" t="s">
        <v>350</v>
      </c>
      <c r="AK8217" t="s">
        <v>366</v>
      </c>
    </row>
    <row r="8218" spans="1:37">
      <c r="B8218" t="s">
        <v>53</v>
      </c>
      <c r="C8218" t="s">
        <v>77</v>
      </c>
      <c r="D8218" t="s">
        <v>97</v>
      </c>
      <c r="E8218" t="s">
        <v>116</v>
      </c>
      <c r="F8218" t="s">
        <v>150</v>
      </c>
      <c r="G8218" t="s">
        <v>175</v>
      </c>
      <c r="H8218" t="s">
        <v>210</v>
      </c>
      <c r="I8218" t="s">
        <v>230</v>
      </c>
      <c r="J8218" t="s">
        <v>249</v>
      </c>
      <c r="K8218" t="s">
        <v>263</v>
      </c>
      <c r="L8218" t="s">
        <v>275</v>
      </c>
      <c r="M8218" t="s">
        <v>284</v>
      </c>
      <c r="N8218" t="s">
        <v>294</v>
      </c>
      <c r="O8218" t="s">
        <v>302</v>
      </c>
      <c r="P8218" t="s">
        <v>310</v>
      </c>
      <c r="Q8218" t="s">
        <v>316</v>
      </c>
      <c r="R8218" t="s">
        <v>322</v>
      </c>
      <c r="S8218" t="s">
        <v>329</v>
      </c>
      <c r="AK8218" t="s">
        <v>366</v>
      </c>
    </row>
    <row r="8219" spans="1:37">
      <c r="A8219" t="s">
        <v>39</v>
      </c>
      <c r="B8219" t="s">
        <v>54</v>
      </c>
      <c r="C8219" t="s">
        <v>54</v>
      </c>
      <c r="D8219" t="s">
        <v>54</v>
      </c>
      <c r="E8219" t="s">
        <v>54</v>
      </c>
      <c r="F8219" t="s">
        <v>54</v>
      </c>
      <c r="G8219" t="s">
        <v>54</v>
      </c>
      <c r="H8219" t="s">
        <v>54</v>
      </c>
      <c r="I8219" t="s">
        <v>54</v>
      </c>
      <c r="J8219" t="s">
        <v>54</v>
      </c>
      <c r="K8219" t="s">
        <v>54</v>
      </c>
      <c r="L8219" t="s">
        <v>54</v>
      </c>
      <c r="M8219" t="s">
        <v>54</v>
      </c>
      <c r="N8219" t="s">
        <v>54</v>
      </c>
      <c r="O8219" t="s">
        <v>54</v>
      </c>
      <c r="P8219" t="s">
        <v>54</v>
      </c>
      <c r="Q8219" t="s">
        <v>54</v>
      </c>
      <c r="R8219" t="s">
        <v>323</v>
      </c>
      <c r="S8219" t="s">
        <v>330</v>
      </c>
      <c r="AK8219" t="s">
        <v>366</v>
      </c>
    </row>
    <row r="8220" spans="1:37">
      <c r="B8220" t="s">
        <v>55</v>
      </c>
      <c r="C8220" t="s">
        <v>78</v>
      </c>
      <c r="D8220" t="s">
        <v>55</v>
      </c>
      <c r="E8220" t="s">
        <v>78</v>
      </c>
      <c r="F8220" t="s">
        <v>55</v>
      </c>
      <c r="G8220" t="s">
        <v>78</v>
      </c>
      <c r="H8220" t="s">
        <v>55</v>
      </c>
      <c r="I8220" t="s">
        <v>78</v>
      </c>
      <c r="J8220" t="s">
        <v>55</v>
      </c>
      <c r="K8220" t="s">
        <v>78</v>
      </c>
      <c r="L8220" t="s">
        <v>55</v>
      </c>
      <c r="M8220" t="s">
        <v>78</v>
      </c>
      <c r="N8220" t="s">
        <v>55</v>
      </c>
      <c r="O8220" t="s">
        <v>78</v>
      </c>
      <c r="P8220" t="s">
        <v>55</v>
      </c>
      <c r="Q8220" t="s">
        <v>78</v>
      </c>
      <c r="R8220" t="s">
        <v>55</v>
      </c>
      <c r="S8220" t="s">
        <v>78</v>
      </c>
      <c r="T8220" t="s">
        <v>55</v>
      </c>
      <c r="U8220" t="s">
        <v>78</v>
      </c>
      <c r="V8220" t="s">
        <v>55</v>
      </c>
      <c r="W8220" t="s">
        <v>78</v>
      </c>
      <c r="X8220" t="s">
        <v>55</v>
      </c>
      <c r="Y8220" t="s">
        <v>78</v>
      </c>
      <c r="Z8220" t="s">
        <v>55</v>
      </c>
      <c r="AA8220" t="s">
        <v>78</v>
      </c>
      <c r="AB8220" t="s">
        <v>55</v>
      </c>
      <c r="AC8220" t="s">
        <v>78</v>
      </c>
      <c r="AD8220" t="s">
        <v>55</v>
      </c>
      <c r="AE8220" t="s">
        <v>78</v>
      </c>
      <c r="AF8220" t="s">
        <v>55</v>
      </c>
      <c r="AG8220" t="s">
        <v>78</v>
      </c>
      <c r="AH8220" t="s">
        <v>55</v>
      </c>
      <c r="AI8220" t="s">
        <v>78</v>
      </c>
      <c r="AK8220" t="s">
        <v>366</v>
      </c>
    </row>
    <row r="8221" spans="1:37">
      <c r="B8221" t="s">
        <v>56</v>
      </c>
      <c r="C8221" t="s">
        <v>56</v>
      </c>
      <c r="D8221" t="s">
        <v>56</v>
      </c>
      <c r="E8221" t="s">
        <v>56</v>
      </c>
      <c r="F8221" t="s">
        <v>56</v>
      </c>
      <c r="G8221" t="s">
        <v>176</v>
      </c>
      <c r="H8221" t="s">
        <v>211</v>
      </c>
      <c r="I8221" t="s">
        <v>231</v>
      </c>
      <c r="J8221" t="s">
        <v>250</v>
      </c>
      <c r="K8221" t="s">
        <v>264</v>
      </c>
      <c r="L8221" t="s">
        <v>276</v>
      </c>
      <c r="M8221" t="s">
        <v>285</v>
      </c>
      <c r="N8221" t="s">
        <v>295</v>
      </c>
      <c r="O8221" t="s">
        <v>303</v>
      </c>
      <c r="P8221" t="s">
        <v>56</v>
      </c>
      <c r="Q8221" t="s">
        <v>317</v>
      </c>
      <c r="R8221" t="s">
        <v>324</v>
      </c>
      <c r="S8221" t="s">
        <v>331</v>
      </c>
      <c r="T8221" t="s">
        <v>334</v>
      </c>
      <c r="U8221" t="s">
        <v>338</v>
      </c>
      <c r="V8221" t="s">
        <v>342</v>
      </c>
      <c r="W8221" t="s">
        <v>346</v>
      </c>
      <c r="X8221" t="s">
        <v>351</v>
      </c>
      <c r="AK8221" t="s">
        <v>366</v>
      </c>
    </row>
    <row r="8222" spans="1:37">
      <c r="B8222" t="s">
        <v>57</v>
      </c>
      <c r="C8222" t="s">
        <v>79</v>
      </c>
      <c r="D8222" t="s">
        <v>98</v>
      </c>
      <c r="E8222" t="s">
        <v>117</v>
      </c>
      <c r="F8222" t="s">
        <v>151</v>
      </c>
      <c r="G8222" t="s">
        <v>177</v>
      </c>
      <c r="H8222" t="s">
        <v>212</v>
      </c>
      <c r="I8222" t="s">
        <v>232</v>
      </c>
      <c r="J8222" t="s">
        <v>251</v>
      </c>
      <c r="K8222" t="s">
        <v>265</v>
      </c>
      <c r="L8222" t="s">
        <v>277</v>
      </c>
      <c r="M8222" t="s">
        <v>286</v>
      </c>
      <c r="N8222" t="s">
        <v>296</v>
      </c>
      <c r="O8222" t="s">
        <v>304</v>
      </c>
      <c r="P8222" t="s">
        <v>311</v>
      </c>
      <c r="Q8222" t="s">
        <v>318</v>
      </c>
      <c r="R8222" t="s">
        <v>185</v>
      </c>
      <c r="S8222" t="s">
        <v>159</v>
      </c>
      <c r="T8222" t="s">
        <v>185</v>
      </c>
      <c r="U8222" t="s">
        <v>339</v>
      </c>
      <c r="V8222" t="s">
        <v>72</v>
      </c>
      <c r="W8222" t="s">
        <v>347</v>
      </c>
      <c r="X8222" t="s">
        <v>72</v>
      </c>
      <c r="Y8222" t="s">
        <v>96</v>
      </c>
      <c r="AK8222" t="s">
        <v>366</v>
      </c>
    </row>
    <row r="8223" spans="1:37">
      <c r="B8223" t="s">
        <v>58</v>
      </c>
      <c r="C8223" t="s">
        <v>80</v>
      </c>
      <c r="D8223" t="s">
        <v>99</v>
      </c>
      <c r="E8223" t="s">
        <v>118</v>
      </c>
      <c r="F8223" t="s">
        <v>152</v>
      </c>
      <c r="G8223" t="s">
        <v>178</v>
      </c>
      <c r="H8223" t="s">
        <v>213</v>
      </c>
      <c r="I8223" t="s">
        <v>233</v>
      </c>
      <c r="J8223" t="s">
        <v>252</v>
      </c>
      <c r="K8223" t="s">
        <v>266</v>
      </c>
      <c r="L8223" t="s">
        <v>278</v>
      </c>
      <c r="M8223" t="s">
        <v>287</v>
      </c>
      <c r="N8223" t="s">
        <v>297</v>
      </c>
      <c r="O8223" t="s">
        <v>305</v>
      </c>
      <c r="P8223" t="s">
        <v>312</v>
      </c>
      <c r="Q8223" t="s">
        <v>319</v>
      </c>
      <c r="R8223">
        <f>&gt;10       ветра      2.4     23   7</f>
        <v>0</v>
      </c>
      <c r="AK8223" t="s">
        <v>366</v>
      </c>
    </row>
    <row r="8224" spans="1:37">
      <c r="A8224" t="s">
        <v>40</v>
      </c>
      <c r="B8224" t="s">
        <v>59</v>
      </c>
      <c r="C8224" t="s">
        <v>81</v>
      </c>
      <c r="D8224" t="s">
        <v>100</v>
      </c>
      <c r="E8224" t="s">
        <v>119</v>
      </c>
      <c r="F8224" t="s">
        <v>153</v>
      </c>
      <c r="G8224" t="s">
        <v>179</v>
      </c>
      <c r="H8224" t="s">
        <v>214</v>
      </c>
      <c r="I8224" t="s">
        <v>234</v>
      </c>
      <c r="AK8224" t="s">
        <v>366</v>
      </c>
    </row>
    <row r="8225" spans="1:37">
      <c r="A8225" t="s">
        <v>40</v>
      </c>
      <c r="B8225" t="s">
        <v>60</v>
      </c>
      <c r="C8225" t="s">
        <v>82</v>
      </c>
      <c r="D8225" t="s">
        <v>101</v>
      </c>
      <c r="E8225" t="s">
        <v>120</v>
      </c>
      <c r="F8225" t="s">
        <v>154</v>
      </c>
      <c r="G8225" t="s">
        <v>180</v>
      </c>
      <c r="H8225" t="s">
        <v>215</v>
      </c>
      <c r="I8225" t="s">
        <v>235</v>
      </c>
      <c r="J8225" t="s">
        <v>253</v>
      </c>
      <c r="K8225" t="s">
        <v>267</v>
      </c>
      <c r="L8225" t="s">
        <v>279</v>
      </c>
      <c r="M8225" t="s">
        <v>288</v>
      </c>
      <c r="N8225" t="s">
        <v>100</v>
      </c>
      <c r="O8225" t="s">
        <v>306</v>
      </c>
      <c r="P8225" t="s">
        <v>313</v>
      </c>
      <c r="Q8225" t="s">
        <v>320</v>
      </c>
      <c r="R8225" t="s">
        <v>325</v>
      </c>
      <c r="S8225" t="s">
        <v>332</v>
      </c>
      <c r="T8225" t="s">
        <v>119</v>
      </c>
      <c r="U8225" t="s">
        <v>234</v>
      </c>
      <c r="V8225" t="s">
        <v>343</v>
      </c>
      <c r="W8225" t="s">
        <v>348</v>
      </c>
      <c r="X8225" t="s">
        <v>352</v>
      </c>
      <c r="Y8225" t="s">
        <v>354</v>
      </c>
      <c r="AK8225" t="s">
        <v>366</v>
      </c>
    </row>
    <row r="8226" spans="1:37">
      <c r="A8226" t="s">
        <v>41</v>
      </c>
      <c r="B8226" t="s">
        <v>61</v>
      </c>
      <c r="C8226" t="s">
        <v>83</v>
      </c>
      <c r="D8226" t="s">
        <v>102</v>
      </c>
      <c r="E8226" t="s">
        <v>121</v>
      </c>
      <c r="F8226" t="s">
        <v>155</v>
      </c>
      <c r="G8226" t="s">
        <v>181</v>
      </c>
      <c r="H8226" t="s">
        <v>216</v>
      </c>
      <c r="I8226" t="s">
        <v>236</v>
      </c>
      <c r="AK8226" t="s">
        <v>366</v>
      </c>
    </row>
    <row r="8227" spans="1:37">
      <c r="A8227" t="s">
        <v>42</v>
      </c>
      <c r="B8227" t="s">
        <v>62</v>
      </c>
      <c r="C8227" t="s">
        <v>84</v>
      </c>
      <c r="D8227" t="s">
        <v>103</v>
      </c>
      <c r="E8227" t="s">
        <v>122</v>
      </c>
      <c r="F8227" t="s">
        <v>156</v>
      </c>
      <c r="G8227" t="s">
        <v>182</v>
      </c>
      <c r="H8227" t="s">
        <v>83</v>
      </c>
      <c r="I8227" t="s">
        <v>237</v>
      </c>
      <c r="J8227" t="s">
        <v>254</v>
      </c>
      <c r="K8227" t="s">
        <v>268</v>
      </c>
      <c r="L8227" t="s">
        <v>280</v>
      </c>
      <c r="M8227" t="s">
        <v>289</v>
      </c>
      <c r="N8227" t="s">
        <v>298</v>
      </c>
      <c r="O8227" t="s">
        <v>307</v>
      </c>
      <c r="P8227" t="s">
        <v>314</v>
      </c>
      <c r="Q8227" t="s">
        <v>216</v>
      </c>
      <c r="R8227" t="s">
        <v>326</v>
      </c>
      <c r="S8227" t="s">
        <v>333</v>
      </c>
      <c r="T8227" t="s">
        <v>335</v>
      </c>
      <c r="U8227" t="s">
        <v>340</v>
      </c>
      <c r="V8227" t="s">
        <v>344</v>
      </c>
      <c r="W8227" t="s">
        <v>349</v>
      </c>
      <c r="AK8227" t="s">
        <v>366</v>
      </c>
    </row>
    <row r="8228" spans="1:37">
      <c r="A8228" t="s">
        <v>43</v>
      </c>
      <c r="B8228" t="s">
        <v>63</v>
      </c>
      <c r="C8228" t="s">
        <v>85</v>
      </c>
      <c r="D8228" t="s">
        <v>104</v>
      </c>
      <c r="E8228" t="s">
        <v>123</v>
      </c>
      <c r="F8228" t="s">
        <v>157</v>
      </c>
      <c r="G8228" t="s">
        <v>183</v>
      </c>
      <c r="AK8228" t="s">
        <v>366</v>
      </c>
    </row>
    <row r="8229" spans="1:37">
      <c r="A8229" t="s">
        <v>44</v>
      </c>
      <c r="B8229" t="s">
        <v>64</v>
      </c>
      <c r="C8229" t="s">
        <v>86</v>
      </c>
      <c r="D8229" t="s">
        <v>105</v>
      </c>
      <c r="E8229" t="s">
        <v>124</v>
      </c>
      <c r="F8229" t="s">
        <v>158</v>
      </c>
      <c r="G8229" t="s">
        <v>184</v>
      </c>
      <c r="AK8229" t="s">
        <v>366</v>
      </c>
    </row>
    <row r="8230" spans="1:37">
      <c r="A8230" t="s">
        <v>45</v>
      </c>
      <c r="B8230" t="s">
        <v>65</v>
      </c>
      <c r="C8230" t="s">
        <v>87</v>
      </c>
      <c r="D8230" t="s">
        <v>106</v>
      </c>
      <c r="E8230" t="s">
        <v>125</v>
      </c>
      <c r="F8230" t="s">
        <v>159</v>
      </c>
      <c r="G8230" t="s">
        <v>185</v>
      </c>
      <c r="H8230" t="s">
        <v>159</v>
      </c>
      <c r="I8230" t="s">
        <v>185</v>
      </c>
      <c r="J8230" t="s">
        <v>255</v>
      </c>
      <c r="AK8230" t="s">
        <v>366</v>
      </c>
    </row>
    <row r="8231" spans="1:37">
      <c r="A8231" t="s">
        <v>46</v>
      </c>
      <c r="B8231" t="s">
        <v>66</v>
      </c>
      <c r="C8231" t="s">
        <v>88</v>
      </c>
      <c r="D8231" t="s">
        <v>76</v>
      </c>
      <c r="E8231" t="s">
        <v>126</v>
      </c>
      <c r="F8231" t="s">
        <v>160</v>
      </c>
      <c r="G8231" t="s">
        <v>186</v>
      </c>
      <c r="H8231" t="s">
        <v>217</v>
      </c>
      <c r="I8231" t="s">
        <v>238</v>
      </c>
      <c r="J8231" t="s">
        <v>256</v>
      </c>
      <c r="K8231" t="s">
        <v>265</v>
      </c>
      <c r="L8231" t="s">
        <v>281</v>
      </c>
      <c r="M8231" t="s">
        <v>290</v>
      </c>
      <c r="N8231" t="s">
        <v>299</v>
      </c>
      <c r="O8231" t="s">
        <v>308</v>
      </c>
      <c r="P8231" t="s">
        <v>228</v>
      </c>
      <c r="Q8231" t="s">
        <v>72</v>
      </c>
      <c r="R8231" t="s">
        <v>327</v>
      </c>
      <c r="S8231" t="s">
        <v>327</v>
      </c>
      <c r="T8231" t="s">
        <v>336</v>
      </c>
      <c r="U8231" t="s">
        <v>336</v>
      </c>
      <c r="V8231" t="s">
        <v>336</v>
      </c>
      <c r="W8231" t="s">
        <v>336</v>
      </c>
      <c r="X8231" t="s">
        <v>353</v>
      </c>
      <c r="AK8231" t="s">
        <v>366</v>
      </c>
    </row>
    <row r="8232" spans="1:37">
      <c r="A8232" t="s">
        <v>37</v>
      </c>
      <c r="B8232" t="s">
        <v>49</v>
      </c>
      <c r="C8232" t="s">
        <v>73</v>
      </c>
      <c r="D8232" t="s">
        <v>94</v>
      </c>
      <c r="E8232" t="s">
        <v>112</v>
      </c>
      <c r="F8232" t="s">
        <v>146</v>
      </c>
      <c r="G8232" t="s">
        <v>172</v>
      </c>
      <c r="H8232" t="s">
        <v>207</v>
      </c>
      <c r="I8232" t="s">
        <v>226</v>
      </c>
      <c r="J8232" t="s">
        <v>246</v>
      </c>
      <c r="K8232" t="s">
        <v>259</v>
      </c>
      <c r="AK8232" t="s">
        <v>366</v>
      </c>
    </row>
    <row r="8233" spans="1:37">
      <c r="A8233" t="s">
        <v>38</v>
      </c>
      <c r="B8233" t="s">
        <v>50</v>
      </c>
      <c r="C8233" t="s">
        <v>74</v>
      </c>
      <c r="D8233" t="s">
        <v>95</v>
      </c>
      <c r="E8233" t="s">
        <v>113</v>
      </c>
      <c r="F8233" t="s">
        <v>147</v>
      </c>
      <c r="G8233" t="s">
        <v>173</v>
      </c>
      <c r="H8233" t="s">
        <v>208</v>
      </c>
      <c r="I8233" t="s">
        <v>227</v>
      </c>
      <c r="J8233" t="s">
        <v>115</v>
      </c>
      <c r="K8233" t="s">
        <v>260</v>
      </c>
      <c r="L8233" t="s">
        <v>273</v>
      </c>
      <c r="M8233" t="s">
        <v>282</v>
      </c>
      <c r="N8233" t="s">
        <v>291</v>
      </c>
      <c r="AK8233" t="s">
        <v>366</v>
      </c>
    </row>
    <row r="8234" spans="1:37">
      <c r="B8234" t="s">
        <v>51</v>
      </c>
      <c r="C8234" t="s">
        <v>75</v>
      </c>
      <c r="D8234" t="s">
        <v>52</v>
      </c>
      <c r="E8234" t="s">
        <v>114</v>
      </c>
      <c r="F8234" t="s">
        <v>148</v>
      </c>
      <c r="G8234" t="s">
        <v>148</v>
      </c>
      <c r="H8234" t="s">
        <v>209</v>
      </c>
      <c r="I8234" t="s">
        <v>228</v>
      </c>
      <c r="J8234" t="s">
        <v>247</v>
      </c>
      <c r="K8234" t="s">
        <v>261</v>
      </c>
      <c r="L8234" t="s">
        <v>274</v>
      </c>
      <c r="M8234" t="s">
        <v>283</v>
      </c>
      <c r="N8234" t="s">
        <v>292</v>
      </c>
      <c r="O8234" t="s">
        <v>300</v>
      </c>
      <c r="AK8234" t="s">
        <v>366</v>
      </c>
    </row>
    <row r="8235" spans="1:37">
      <c r="B8235" t="s">
        <v>52</v>
      </c>
      <c r="C8235" t="s">
        <v>76</v>
      </c>
      <c r="D8235" t="s">
        <v>96</v>
      </c>
      <c r="E8235" t="s">
        <v>115</v>
      </c>
      <c r="F8235" t="s">
        <v>149</v>
      </c>
      <c r="G8235" t="s">
        <v>174</v>
      </c>
      <c r="H8235" t="s">
        <v>96</v>
      </c>
      <c r="I8235" t="s">
        <v>229</v>
      </c>
      <c r="J8235" t="s">
        <v>248</v>
      </c>
      <c r="K8235" t="s">
        <v>262</v>
      </c>
      <c r="L8235" t="s">
        <v>52</v>
      </c>
      <c r="M8235" t="s">
        <v>76</v>
      </c>
      <c r="N8235" t="s">
        <v>293</v>
      </c>
      <c r="O8235" t="s">
        <v>301</v>
      </c>
      <c r="P8235" t="s">
        <v>309</v>
      </c>
      <c r="Q8235" t="s">
        <v>315</v>
      </c>
      <c r="R8235" t="s">
        <v>228</v>
      </c>
      <c r="S8235" t="s">
        <v>328</v>
      </c>
      <c r="T8235" t="s">
        <v>149</v>
      </c>
      <c r="U8235" t="s">
        <v>337</v>
      </c>
      <c r="V8235" t="s">
        <v>341</v>
      </c>
      <c r="W8235" t="s">
        <v>345</v>
      </c>
      <c r="X8235" t="s">
        <v>350</v>
      </c>
      <c r="AK8235" t="s">
        <v>366</v>
      </c>
    </row>
    <row r="8236" spans="1:37">
      <c r="B8236" t="s">
        <v>53</v>
      </c>
      <c r="C8236" t="s">
        <v>77</v>
      </c>
      <c r="D8236" t="s">
        <v>97</v>
      </c>
      <c r="E8236" t="s">
        <v>116</v>
      </c>
      <c r="F8236" t="s">
        <v>150</v>
      </c>
      <c r="G8236" t="s">
        <v>175</v>
      </c>
      <c r="H8236" t="s">
        <v>210</v>
      </c>
      <c r="I8236" t="s">
        <v>230</v>
      </c>
      <c r="J8236" t="s">
        <v>249</v>
      </c>
      <c r="K8236" t="s">
        <v>263</v>
      </c>
      <c r="L8236" t="s">
        <v>275</v>
      </c>
      <c r="M8236" t="s">
        <v>284</v>
      </c>
      <c r="N8236" t="s">
        <v>294</v>
      </c>
      <c r="O8236" t="s">
        <v>302</v>
      </c>
      <c r="P8236" t="s">
        <v>310</v>
      </c>
      <c r="Q8236" t="s">
        <v>316</v>
      </c>
      <c r="R8236" t="s">
        <v>322</v>
      </c>
      <c r="S8236" t="s">
        <v>329</v>
      </c>
      <c r="AK8236" t="s">
        <v>366</v>
      </c>
    </row>
    <row r="8237" spans="1:37">
      <c r="A8237" t="s">
        <v>39</v>
      </c>
      <c r="B8237" t="s">
        <v>54</v>
      </c>
      <c r="C8237" t="s">
        <v>54</v>
      </c>
      <c r="D8237" t="s">
        <v>54</v>
      </c>
      <c r="E8237" t="s">
        <v>54</v>
      </c>
      <c r="F8237" t="s">
        <v>54</v>
      </c>
      <c r="G8237" t="s">
        <v>54</v>
      </c>
      <c r="H8237" t="s">
        <v>54</v>
      </c>
      <c r="I8237" t="s">
        <v>54</v>
      </c>
      <c r="J8237" t="s">
        <v>54</v>
      </c>
      <c r="K8237" t="s">
        <v>54</v>
      </c>
      <c r="L8237" t="s">
        <v>54</v>
      </c>
      <c r="M8237" t="s">
        <v>54</v>
      </c>
      <c r="N8237" t="s">
        <v>54</v>
      </c>
      <c r="O8237" t="s">
        <v>54</v>
      </c>
      <c r="P8237" t="s">
        <v>54</v>
      </c>
      <c r="Q8237" t="s">
        <v>54</v>
      </c>
      <c r="R8237" t="s">
        <v>323</v>
      </c>
      <c r="S8237" t="s">
        <v>330</v>
      </c>
      <c r="AK8237" t="s">
        <v>366</v>
      </c>
    </row>
    <row r="8238" spans="1:37">
      <c r="B8238" t="s">
        <v>55</v>
      </c>
      <c r="C8238" t="s">
        <v>78</v>
      </c>
      <c r="D8238" t="s">
        <v>55</v>
      </c>
      <c r="E8238" t="s">
        <v>78</v>
      </c>
      <c r="F8238" t="s">
        <v>55</v>
      </c>
      <c r="G8238" t="s">
        <v>78</v>
      </c>
      <c r="H8238" t="s">
        <v>55</v>
      </c>
      <c r="I8238" t="s">
        <v>78</v>
      </c>
      <c r="J8238" t="s">
        <v>55</v>
      </c>
      <c r="K8238" t="s">
        <v>78</v>
      </c>
      <c r="L8238" t="s">
        <v>55</v>
      </c>
      <c r="M8238" t="s">
        <v>78</v>
      </c>
      <c r="N8238" t="s">
        <v>55</v>
      </c>
      <c r="O8238" t="s">
        <v>78</v>
      </c>
      <c r="P8238" t="s">
        <v>55</v>
      </c>
      <c r="Q8238" t="s">
        <v>78</v>
      </c>
      <c r="R8238" t="s">
        <v>55</v>
      </c>
      <c r="S8238" t="s">
        <v>78</v>
      </c>
      <c r="T8238" t="s">
        <v>55</v>
      </c>
      <c r="U8238" t="s">
        <v>78</v>
      </c>
      <c r="V8238" t="s">
        <v>55</v>
      </c>
      <c r="W8238" t="s">
        <v>78</v>
      </c>
      <c r="X8238" t="s">
        <v>55</v>
      </c>
      <c r="Y8238" t="s">
        <v>78</v>
      </c>
      <c r="Z8238" t="s">
        <v>55</v>
      </c>
      <c r="AA8238" t="s">
        <v>78</v>
      </c>
      <c r="AB8238" t="s">
        <v>55</v>
      </c>
      <c r="AC8238" t="s">
        <v>78</v>
      </c>
      <c r="AD8238" t="s">
        <v>55</v>
      </c>
      <c r="AE8238" t="s">
        <v>78</v>
      </c>
      <c r="AF8238" t="s">
        <v>55</v>
      </c>
      <c r="AG8238" t="s">
        <v>78</v>
      </c>
      <c r="AH8238" t="s">
        <v>55</v>
      </c>
      <c r="AI8238" t="s">
        <v>78</v>
      </c>
      <c r="AK8238" t="s">
        <v>366</v>
      </c>
    </row>
    <row r="8239" spans="1:37">
      <c r="B8239" t="s">
        <v>56</v>
      </c>
      <c r="C8239" t="s">
        <v>56</v>
      </c>
      <c r="D8239" t="s">
        <v>56</v>
      </c>
      <c r="E8239" t="s">
        <v>56</v>
      </c>
      <c r="F8239" t="s">
        <v>56</v>
      </c>
      <c r="G8239" t="s">
        <v>176</v>
      </c>
      <c r="H8239" t="s">
        <v>211</v>
      </c>
      <c r="I8239" t="s">
        <v>231</v>
      </c>
      <c r="J8239" t="s">
        <v>250</v>
      </c>
      <c r="K8239" t="s">
        <v>264</v>
      </c>
      <c r="L8239" t="s">
        <v>276</v>
      </c>
      <c r="M8239" t="s">
        <v>285</v>
      </c>
      <c r="N8239" t="s">
        <v>295</v>
      </c>
      <c r="O8239" t="s">
        <v>303</v>
      </c>
      <c r="P8239" t="s">
        <v>56</v>
      </c>
      <c r="Q8239" t="s">
        <v>317</v>
      </c>
      <c r="R8239" t="s">
        <v>324</v>
      </c>
      <c r="S8239" t="s">
        <v>331</v>
      </c>
      <c r="T8239" t="s">
        <v>334</v>
      </c>
      <c r="U8239" t="s">
        <v>338</v>
      </c>
      <c r="V8239" t="s">
        <v>342</v>
      </c>
      <c r="W8239" t="s">
        <v>346</v>
      </c>
      <c r="X8239" t="s">
        <v>351</v>
      </c>
      <c r="AK8239" t="s">
        <v>366</v>
      </c>
    </row>
    <row r="8240" spans="1:37">
      <c r="B8240" t="s">
        <v>57</v>
      </c>
      <c r="C8240" t="s">
        <v>79</v>
      </c>
      <c r="D8240" t="s">
        <v>98</v>
      </c>
      <c r="E8240" t="s">
        <v>117</v>
      </c>
      <c r="F8240" t="s">
        <v>151</v>
      </c>
      <c r="G8240" t="s">
        <v>177</v>
      </c>
      <c r="H8240" t="s">
        <v>212</v>
      </c>
      <c r="I8240" t="s">
        <v>232</v>
      </c>
      <c r="J8240" t="s">
        <v>251</v>
      </c>
      <c r="K8240" t="s">
        <v>265</v>
      </c>
      <c r="L8240" t="s">
        <v>277</v>
      </c>
      <c r="M8240" t="s">
        <v>286</v>
      </c>
      <c r="N8240" t="s">
        <v>296</v>
      </c>
      <c r="O8240" t="s">
        <v>304</v>
      </c>
      <c r="P8240" t="s">
        <v>311</v>
      </c>
      <c r="Q8240" t="s">
        <v>318</v>
      </c>
      <c r="R8240" t="s">
        <v>185</v>
      </c>
      <c r="S8240" t="s">
        <v>159</v>
      </c>
      <c r="T8240" t="s">
        <v>185</v>
      </c>
      <c r="U8240" t="s">
        <v>339</v>
      </c>
      <c r="V8240" t="s">
        <v>72</v>
      </c>
      <c r="W8240" t="s">
        <v>347</v>
      </c>
      <c r="X8240" t="s">
        <v>72</v>
      </c>
      <c r="Y8240" t="s">
        <v>96</v>
      </c>
      <c r="AK8240" t="s">
        <v>366</v>
      </c>
    </row>
    <row r="8241" spans="1:37">
      <c r="B8241" t="s">
        <v>58</v>
      </c>
      <c r="C8241" t="s">
        <v>80</v>
      </c>
      <c r="D8241" t="s">
        <v>99</v>
      </c>
      <c r="E8241" t="s">
        <v>118</v>
      </c>
      <c r="F8241" t="s">
        <v>152</v>
      </c>
      <c r="G8241" t="s">
        <v>178</v>
      </c>
      <c r="H8241" t="s">
        <v>213</v>
      </c>
      <c r="I8241" t="s">
        <v>233</v>
      </c>
      <c r="J8241" t="s">
        <v>252</v>
      </c>
      <c r="K8241" t="s">
        <v>266</v>
      </c>
      <c r="L8241" t="s">
        <v>278</v>
      </c>
      <c r="M8241" t="s">
        <v>287</v>
      </c>
      <c r="N8241" t="s">
        <v>297</v>
      </c>
      <c r="O8241" t="s">
        <v>305</v>
      </c>
      <c r="P8241" t="s">
        <v>312</v>
      </c>
      <c r="Q8241" t="s">
        <v>319</v>
      </c>
      <c r="R8241">
        <f>&gt;10       ветра      2.0     14   7</f>
        <v>0</v>
      </c>
      <c r="AK8241" t="s">
        <v>366</v>
      </c>
    </row>
    <row r="8242" spans="1:37">
      <c r="A8242" t="s">
        <v>40</v>
      </c>
      <c r="B8242" t="s">
        <v>59</v>
      </c>
      <c r="C8242" t="s">
        <v>81</v>
      </c>
      <c r="D8242" t="s">
        <v>100</v>
      </c>
      <c r="E8242" t="s">
        <v>119</v>
      </c>
      <c r="F8242" t="s">
        <v>153</v>
      </c>
      <c r="G8242" t="s">
        <v>179</v>
      </c>
      <c r="H8242" t="s">
        <v>214</v>
      </c>
      <c r="I8242" t="s">
        <v>234</v>
      </c>
      <c r="AK8242" t="s">
        <v>366</v>
      </c>
    </row>
    <row r="8243" spans="1:37">
      <c r="A8243" t="s">
        <v>40</v>
      </c>
      <c r="B8243" t="s">
        <v>60</v>
      </c>
      <c r="C8243" t="s">
        <v>82</v>
      </c>
      <c r="D8243" t="s">
        <v>101</v>
      </c>
      <c r="E8243" t="s">
        <v>120</v>
      </c>
      <c r="F8243" t="s">
        <v>154</v>
      </c>
      <c r="G8243" t="s">
        <v>180</v>
      </c>
      <c r="H8243" t="s">
        <v>215</v>
      </c>
      <c r="I8243" t="s">
        <v>235</v>
      </c>
      <c r="J8243" t="s">
        <v>253</v>
      </c>
      <c r="K8243" t="s">
        <v>267</v>
      </c>
      <c r="L8243" t="s">
        <v>279</v>
      </c>
      <c r="M8243" t="s">
        <v>288</v>
      </c>
      <c r="N8243" t="s">
        <v>100</v>
      </c>
      <c r="O8243" t="s">
        <v>306</v>
      </c>
      <c r="P8243" t="s">
        <v>313</v>
      </c>
      <c r="Q8243" t="s">
        <v>320</v>
      </c>
      <c r="R8243" t="s">
        <v>325</v>
      </c>
      <c r="S8243" t="s">
        <v>332</v>
      </c>
      <c r="T8243" t="s">
        <v>119</v>
      </c>
      <c r="U8243" t="s">
        <v>234</v>
      </c>
      <c r="V8243" t="s">
        <v>343</v>
      </c>
      <c r="W8243" t="s">
        <v>348</v>
      </c>
      <c r="X8243" t="s">
        <v>352</v>
      </c>
      <c r="Y8243" t="s">
        <v>354</v>
      </c>
      <c r="AK8243" t="s">
        <v>366</v>
      </c>
    </row>
    <row r="8244" spans="1:37">
      <c r="A8244" t="s">
        <v>41</v>
      </c>
      <c r="B8244" t="s">
        <v>61</v>
      </c>
      <c r="C8244" t="s">
        <v>83</v>
      </c>
      <c r="D8244" t="s">
        <v>102</v>
      </c>
      <c r="E8244" t="s">
        <v>121</v>
      </c>
      <c r="F8244" t="s">
        <v>155</v>
      </c>
      <c r="G8244" t="s">
        <v>181</v>
      </c>
      <c r="H8244" t="s">
        <v>216</v>
      </c>
      <c r="I8244" t="s">
        <v>236</v>
      </c>
      <c r="AK8244" t="s">
        <v>366</v>
      </c>
    </row>
    <row r="8245" spans="1:37">
      <c r="A8245" t="s">
        <v>42</v>
      </c>
      <c r="B8245" t="s">
        <v>62</v>
      </c>
      <c r="C8245" t="s">
        <v>84</v>
      </c>
      <c r="D8245" t="s">
        <v>103</v>
      </c>
      <c r="E8245" t="s">
        <v>122</v>
      </c>
      <c r="F8245" t="s">
        <v>156</v>
      </c>
      <c r="G8245" t="s">
        <v>182</v>
      </c>
      <c r="H8245" t="s">
        <v>83</v>
      </c>
      <c r="I8245" t="s">
        <v>237</v>
      </c>
      <c r="J8245" t="s">
        <v>254</v>
      </c>
      <c r="K8245" t="s">
        <v>268</v>
      </c>
      <c r="L8245" t="s">
        <v>280</v>
      </c>
      <c r="M8245" t="s">
        <v>289</v>
      </c>
      <c r="N8245" t="s">
        <v>298</v>
      </c>
      <c r="O8245" t="s">
        <v>307</v>
      </c>
      <c r="P8245" t="s">
        <v>314</v>
      </c>
      <c r="Q8245" t="s">
        <v>216</v>
      </c>
      <c r="R8245" t="s">
        <v>326</v>
      </c>
      <c r="S8245" t="s">
        <v>333</v>
      </c>
      <c r="T8245" t="s">
        <v>335</v>
      </c>
      <c r="U8245" t="s">
        <v>340</v>
      </c>
      <c r="V8245" t="s">
        <v>344</v>
      </c>
      <c r="W8245" t="s">
        <v>349</v>
      </c>
      <c r="AK8245" t="s">
        <v>366</v>
      </c>
    </row>
    <row r="8246" spans="1:37">
      <c r="A8246" t="s">
        <v>43</v>
      </c>
      <c r="B8246" t="s">
        <v>63</v>
      </c>
      <c r="C8246" t="s">
        <v>85</v>
      </c>
      <c r="D8246" t="s">
        <v>104</v>
      </c>
      <c r="E8246" t="s">
        <v>123</v>
      </c>
      <c r="F8246" t="s">
        <v>157</v>
      </c>
      <c r="G8246" t="s">
        <v>183</v>
      </c>
      <c r="AK8246" t="s">
        <v>366</v>
      </c>
    </row>
    <row r="8247" spans="1:37">
      <c r="A8247" t="s">
        <v>44</v>
      </c>
      <c r="B8247" t="s">
        <v>64</v>
      </c>
      <c r="C8247" t="s">
        <v>86</v>
      </c>
      <c r="D8247" t="s">
        <v>105</v>
      </c>
      <c r="E8247" t="s">
        <v>124</v>
      </c>
      <c r="F8247" t="s">
        <v>158</v>
      </c>
      <c r="G8247" t="s">
        <v>184</v>
      </c>
      <c r="AK8247" t="s">
        <v>366</v>
      </c>
    </row>
    <row r="8248" spans="1:37">
      <c r="A8248" t="s">
        <v>45</v>
      </c>
      <c r="B8248" t="s">
        <v>65</v>
      </c>
      <c r="C8248" t="s">
        <v>87</v>
      </c>
      <c r="D8248" t="s">
        <v>106</v>
      </c>
      <c r="E8248" t="s">
        <v>125</v>
      </c>
      <c r="F8248" t="s">
        <v>159</v>
      </c>
      <c r="G8248" t="s">
        <v>185</v>
      </c>
      <c r="H8248" t="s">
        <v>159</v>
      </c>
      <c r="I8248" t="s">
        <v>185</v>
      </c>
      <c r="J8248" t="s">
        <v>255</v>
      </c>
      <c r="AK8248" t="s">
        <v>366</v>
      </c>
    </row>
    <row r="8249" spans="1:37">
      <c r="A8249" t="s">
        <v>46</v>
      </c>
      <c r="B8249" t="s">
        <v>66</v>
      </c>
      <c r="C8249" t="s">
        <v>88</v>
      </c>
      <c r="D8249" t="s">
        <v>76</v>
      </c>
      <c r="E8249" t="s">
        <v>126</v>
      </c>
      <c r="F8249" t="s">
        <v>160</v>
      </c>
      <c r="G8249" t="s">
        <v>186</v>
      </c>
      <c r="H8249" t="s">
        <v>217</v>
      </c>
      <c r="I8249" t="s">
        <v>238</v>
      </c>
      <c r="J8249" t="s">
        <v>256</v>
      </c>
      <c r="K8249" t="s">
        <v>265</v>
      </c>
      <c r="L8249" t="s">
        <v>281</v>
      </c>
      <c r="M8249" t="s">
        <v>290</v>
      </c>
      <c r="N8249" t="s">
        <v>299</v>
      </c>
      <c r="O8249" t="s">
        <v>308</v>
      </c>
      <c r="P8249" t="s">
        <v>228</v>
      </c>
      <c r="Q8249" t="s">
        <v>72</v>
      </c>
      <c r="R8249" t="s">
        <v>327</v>
      </c>
      <c r="S8249" t="s">
        <v>327</v>
      </c>
      <c r="T8249" t="s">
        <v>336</v>
      </c>
      <c r="U8249" t="s">
        <v>336</v>
      </c>
      <c r="V8249" t="s">
        <v>336</v>
      </c>
      <c r="W8249" t="s">
        <v>336</v>
      </c>
      <c r="X8249" t="s">
        <v>353</v>
      </c>
      <c r="AK8249" t="s">
        <v>366</v>
      </c>
    </row>
    <row r="8250" spans="1:37">
      <c r="A8250" t="s">
        <v>37</v>
      </c>
      <c r="B8250" t="s">
        <v>49</v>
      </c>
      <c r="C8250" t="s">
        <v>73</v>
      </c>
      <c r="D8250" t="s">
        <v>94</v>
      </c>
      <c r="E8250" t="s">
        <v>112</v>
      </c>
      <c r="F8250" t="s">
        <v>146</v>
      </c>
      <c r="G8250" t="s">
        <v>172</v>
      </c>
      <c r="H8250" t="s">
        <v>207</v>
      </c>
      <c r="I8250" t="s">
        <v>226</v>
      </c>
      <c r="J8250" t="s">
        <v>246</v>
      </c>
      <c r="K8250" t="s">
        <v>259</v>
      </c>
      <c r="AK8250" t="s">
        <v>366</v>
      </c>
    </row>
    <row r="8251" spans="1:37">
      <c r="A8251" t="s">
        <v>38</v>
      </c>
      <c r="B8251" t="s">
        <v>50</v>
      </c>
      <c r="C8251" t="s">
        <v>74</v>
      </c>
      <c r="D8251" t="s">
        <v>95</v>
      </c>
      <c r="E8251" t="s">
        <v>113</v>
      </c>
      <c r="F8251" t="s">
        <v>147</v>
      </c>
      <c r="G8251" t="s">
        <v>173</v>
      </c>
      <c r="H8251" t="s">
        <v>208</v>
      </c>
      <c r="I8251" t="s">
        <v>227</v>
      </c>
      <c r="J8251" t="s">
        <v>115</v>
      </c>
      <c r="K8251" t="s">
        <v>260</v>
      </c>
      <c r="L8251" t="s">
        <v>273</v>
      </c>
      <c r="M8251" t="s">
        <v>282</v>
      </c>
      <c r="N8251" t="s">
        <v>291</v>
      </c>
      <c r="AK8251" t="s">
        <v>366</v>
      </c>
    </row>
    <row r="8252" spans="1:37">
      <c r="B8252" t="s">
        <v>51</v>
      </c>
      <c r="C8252" t="s">
        <v>75</v>
      </c>
      <c r="D8252" t="s">
        <v>52</v>
      </c>
      <c r="E8252" t="s">
        <v>114</v>
      </c>
      <c r="F8252" t="s">
        <v>148</v>
      </c>
      <c r="G8252" t="s">
        <v>148</v>
      </c>
      <c r="H8252" t="s">
        <v>209</v>
      </c>
      <c r="I8252" t="s">
        <v>228</v>
      </c>
      <c r="J8252" t="s">
        <v>247</v>
      </c>
      <c r="K8252" t="s">
        <v>261</v>
      </c>
      <c r="L8252" t="s">
        <v>274</v>
      </c>
      <c r="M8252" t="s">
        <v>283</v>
      </c>
      <c r="N8252" t="s">
        <v>292</v>
      </c>
      <c r="O8252" t="s">
        <v>300</v>
      </c>
      <c r="AK8252" t="s">
        <v>366</v>
      </c>
    </row>
    <row r="8253" spans="1:37">
      <c r="B8253" t="s">
        <v>52</v>
      </c>
      <c r="C8253" t="s">
        <v>76</v>
      </c>
      <c r="D8253" t="s">
        <v>96</v>
      </c>
      <c r="E8253" t="s">
        <v>115</v>
      </c>
      <c r="F8253" t="s">
        <v>149</v>
      </c>
      <c r="G8253" t="s">
        <v>174</v>
      </c>
      <c r="H8253" t="s">
        <v>96</v>
      </c>
      <c r="I8253" t="s">
        <v>229</v>
      </c>
      <c r="J8253" t="s">
        <v>248</v>
      </c>
      <c r="K8253" t="s">
        <v>262</v>
      </c>
      <c r="L8253" t="s">
        <v>52</v>
      </c>
      <c r="M8253" t="s">
        <v>76</v>
      </c>
      <c r="N8253" t="s">
        <v>293</v>
      </c>
      <c r="O8253" t="s">
        <v>301</v>
      </c>
      <c r="P8253" t="s">
        <v>309</v>
      </c>
      <c r="Q8253" t="s">
        <v>315</v>
      </c>
      <c r="R8253" t="s">
        <v>228</v>
      </c>
      <c r="S8253" t="s">
        <v>328</v>
      </c>
      <c r="T8253" t="s">
        <v>149</v>
      </c>
      <c r="U8253" t="s">
        <v>337</v>
      </c>
      <c r="V8253" t="s">
        <v>341</v>
      </c>
      <c r="W8253" t="s">
        <v>345</v>
      </c>
      <c r="X8253" t="s">
        <v>350</v>
      </c>
      <c r="AK8253" t="s">
        <v>366</v>
      </c>
    </row>
    <row r="8254" spans="1:37">
      <c r="B8254" t="s">
        <v>53</v>
      </c>
      <c r="C8254" t="s">
        <v>77</v>
      </c>
      <c r="D8254" t="s">
        <v>97</v>
      </c>
      <c r="E8254" t="s">
        <v>116</v>
      </c>
      <c r="F8254" t="s">
        <v>150</v>
      </c>
      <c r="G8254" t="s">
        <v>175</v>
      </c>
      <c r="H8254" t="s">
        <v>210</v>
      </c>
      <c r="I8254" t="s">
        <v>230</v>
      </c>
      <c r="J8254" t="s">
        <v>249</v>
      </c>
      <c r="K8254" t="s">
        <v>263</v>
      </c>
      <c r="L8254" t="s">
        <v>275</v>
      </c>
      <c r="M8254" t="s">
        <v>284</v>
      </c>
      <c r="N8254" t="s">
        <v>294</v>
      </c>
      <c r="O8254" t="s">
        <v>302</v>
      </c>
      <c r="P8254" t="s">
        <v>310</v>
      </c>
      <c r="Q8254" t="s">
        <v>316</v>
      </c>
      <c r="R8254" t="s">
        <v>322</v>
      </c>
      <c r="S8254" t="s">
        <v>329</v>
      </c>
      <c r="AK8254" t="s">
        <v>366</v>
      </c>
    </row>
    <row r="8255" spans="1:37">
      <c r="A8255" t="s">
        <v>39</v>
      </c>
      <c r="B8255" t="s">
        <v>54</v>
      </c>
      <c r="C8255" t="s">
        <v>54</v>
      </c>
      <c r="D8255" t="s">
        <v>54</v>
      </c>
      <c r="E8255" t="s">
        <v>54</v>
      </c>
      <c r="F8255" t="s">
        <v>54</v>
      </c>
      <c r="G8255" t="s">
        <v>54</v>
      </c>
      <c r="H8255" t="s">
        <v>54</v>
      </c>
      <c r="I8255" t="s">
        <v>54</v>
      </c>
      <c r="J8255" t="s">
        <v>54</v>
      </c>
      <c r="K8255" t="s">
        <v>54</v>
      </c>
      <c r="L8255" t="s">
        <v>54</v>
      </c>
      <c r="M8255" t="s">
        <v>54</v>
      </c>
      <c r="N8255" t="s">
        <v>54</v>
      </c>
      <c r="O8255" t="s">
        <v>54</v>
      </c>
      <c r="P8255" t="s">
        <v>54</v>
      </c>
      <c r="Q8255" t="s">
        <v>54</v>
      </c>
      <c r="R8255" t="s">
        <v>323</v>
      </c>
      <c r="S8255" t="s">
        <v>330</v>
      </c>
      <c r="AK8255" t="s">
        <v>366</v>
      </c>
    </row>
    <row r="8256" spans="1:37">
      <c r="B8256" t="s">
        <v>55</v>
      </c>
      <c r="C8256" t="s">
        <v>78</v>
      </c>
      <c r="D8256" t="s">
        <v>55</v>
      </c>
      <c r="E8256" t="s">
        <v>78</v>
      </c>
      <c r="F8256" t="s">
        <v>55</v>
      </c>
      <c r="G8256" t="s">
        <v>78</v>
      </c>
      <c r="H8256" t="s">
        <v>55</v>
      </c>
      <c r="I8256" t="s">
        <v>78</v>
      </c>
      <c r="J8256" t="s">
        <v>55</v>
      </c>
      <c r="K8256" t="s">
        <v>78</v>
      </c>
      <c r="L8256" t="s">
        <v>55</v>
      </c>
      <c r="M8256" t="s">
        <v>78</v>
      </c>
      <c r="N8256" t="s">
        <v>55</v>
      </c>
      <c r="O8256" t="s">
        <v>78</v>
      </c>
      <c r="P8256" t="s">
        <v>55</v>
      </c>
      <c r="Q8256" t="s">
        <v>78</v>
      </c>
      <c r="R8256" t="s">
        <v>55</v>
      </c>
      <c r="S8256" t="s">
        <v>78</v>
      </c>
      <c r="T8256" t="s">
        <v>55</v>
      </c>
      <c r="U8256" t="s">
        <v>78</v>
      </c>
      <c r="V8256" t="s">
        <v>55</v>
      </c>
      <c r="W8256" t="s">
        <v>78</v>
      </c>
      <c r="X8256" t="s">
        <v>55</v>
      </c>
      <c r="Y8256" t="s">
        <v>78</v>
      </c>
      <c r="Z8256" t="s">
        <v>55</v>
      </c>
      <c r="AA8256" t="s">
        <v>78</v>
      </c>
      <c r="AB8256" t="s">
        <v>55</v>
      </c>
      <c r="AC8256" t="s">
        <v>78</v>
      </c>
      <c r="AD8256" t="s">
        <v>55</v>
      </c>
      <c r="AE8256" t="s">
        <v>78</v>
      </c>
      <c r="AF8256" t="s">
        <v>55</v>
      </c>
      <c r="AG8256" t="s">
        <v>78</v>
      </c>
      <c r="AH8256" t="s">
        <v>55</v>
      </c>
      <c r="AI8256" t="s">
        <v>78</v>
      </c>
      <c r="AK8256" t="s">
        <v>366</v>
      </c>
    </row>
    <row r="8257" spans="1:37">
      <c r="B8257" t="s">
        <v>56</v>
      </c>
      <c r="C8257" t="s">
        <v>56</v>
      </c>
      <c r="D8257" t="s">
        <v>56</v>
      </c>
      <c r="E8257" t="s">
        <v>56</v>
      </c>
      <c r="F8257" t="s">
        <v>56</v>
      </c>
      <c r="G8257" t="s">
        <v>176</v>
      </c>
      <c r="H8257" t="s">
        <v>211</v>
      </c>
      <c r="I8257" t="s">
        <v>231</v>
      </c>
      <c r="J8257" t="s">
        <v>250</v>
      </c>
      <c r="K8257" t="s">
        <v>264</v>
      </c>
      <c r="L8257" t="s">
        <v>276</v>
      </c>
      <c r="M8257" t="s">
        <v>285</v>
      </c>
      <c r="N8257" t="s">
        <v>295</v>
      </c>
      <c r="O8257" t="s">
        <v>303</v>
      </c>
      <c r="P8257" t="s">
        <v>56</v>
      </c>
      <c r="Q8257" t="s">
        <v>317</v>
      </c>
      <c r="R8257" t="s">
        <v>324</v>
      </c>
      <c r="S8257" t="s">
        <v>331</v>
      </c>
      <c r="T8257" t="s">
        <v>334</v>
      </c>
      <c r="U8257" t="s">
        <v>338</v>
      </c>
      <c r="V8257" t="s">
        <v>342</v>
      </c>
      <c r="W8257" t="s">
        <v>346</v>
      </c>
      <c r="X8257" t="s">
        <v>351</v>
      </c>
      <c r="AK8257" t="s">
        <v>366</v>
      </c>
    </row>
    <row r="8258" spans="1:37">
      <c r="B8258" t="s">
        <v>57</v>
      </c>
      <c r="C8258" t="s">
        <v>79</v>
      </c>
      <c r="D8258" t="s">
        <v>98</v>
      </c>
      <c r="E8258" t="s">
        <v>117</v>
      </c>
      <c r="F8258" t="s">
        <v>151</v>
      </c>
      <c r="G8258" t="s">
        <v>177</v>
      </c>
      <c r="H8258" t="s">
        <v>212</v>
      </c>
      <c r="I8258" t="s">
        <v>232</v>
      </c>
      <c r="J8258" t="s">
        <v>251</v>
      </c>
      <c r="K8258" t="s">
        <v>265</v>
      </c>
      <c r="L8258" t="s">
        <v>277</v>
      </c>
      <c r="M8258" t="s">
        <v>286</v>
      </c>
      <c r="N8258" t="s">
        <v>296</v>
      </c>
      <c r="O8258" t="s">
        <v>304</v>
      </c>
      <c r="P8258" t="s">
        <v>311</v>
      </c>
      <c r="Q8258" t="s">
        <v>318</v>
      </c>
      <c r="R8258" t="s">
        <v>185</v>
      </c>
      <c r="S8258" t="s">
        <v>159</v>
      </c>
      <c r="T8258" t="s">
        <v>185</v>
      </c>
      <c r="U8258" t="s">
        <v>339</v>
      </c>
      <c r="V8258" t="s">
        <v>72</v>
      </c>
      <c r="W8258" t="s">
        <v>347</v>
      </c>
      <c r="X8258" t="s">
        <v>72</v>
      </c>
      <c r="Y8258" t="s">
        <v>96</v>
      </c>
      <c r="AK8258" t="s">
        <v>366</v>
      </c>
    </row>
    <row r="8259" spans="1:37">
      <c r="B8259" t="s">
        <v>58</v>
      </c>
      <c r="C8259" t="s">
        <v>80</v>
      </c>
      <c r="D8259" t="s">
        <v>99</v>
      </c>
      <c r="E8259" t="s">
        <v>118</v>
      </c>
      <c r="F8259" t="s">
        <v>152</v>
      </c>
      <c r="G8259" t="s">
        <v>178</v>
      </c>
      <c r="H8259" t="s">
        <v>213</v>
      </c>
      <c r="I8259" t="s">
        <v>233</v>
      </c>
      <c r="J8259" t="s">
        <v>252</v>
      </c>
      <c r="K8259" t="s">
        <v>266</v>
      </c>
      <c r="L8259" t="s">
        <v>278</v>
      </c>
      <c r="M8259" t="s">
        <v>287</v>
      </c>
      <c r="N8259" t="s">
        <v>297</v>
      </c>
      <c r="O8259" t="s">
        <v>305</v>
      </c>
      <c r="P8259" t="s">
        <v>312</v>
      </c>
      <c r="Q8259" t="s">
        <v>319</v>
      </c>
      <c r="R8259">
        <f>&gt;10       ветра      2.0     20   7</f>
        <v>0</v>
      </c>
      <c r="AK8259" t="s">
        <v>366</v>
      </c>
    </row>
    <row r="8260" spans="1:37">
      <c r="A8260" t="s">
        <v>40</v>
      </c>
      <c r="B8260" t="s">
        <v>59</v>
      </c>
      <c r="C8260" t="s">
        <v>81</v>
      </c>
      <c r="D8260" t="s">
        <v>100</v>
      </c>
      <c r="E8260" t="s">
        <v>119</v>
      </c>
      <c r="F8260" t="s">
        <v>153</v>
      </c>
      <c r="G8260" t="s">
        <v>179</v>
      </c>
      <c r="H8260" t="s">
        <v>214</v>
      </c>
      <c r="I8260" t="s">
        <v>234</v>
      </c>
      <c r="AK8260" t="s">
        <v>366</v>
      </c>
    </row>
    <row r="8261" spans="1:37">
      <c r="A8261" t="s">
        <v>40</v>
      </c>
      <c r="B8261" t="s">
        <v>60</v>
      </c>
      <c r="C8261" t="s">
        <v>82</v>
      </c>
      <c r="D8261" t="s">
        <v>101</v>
      </c>
      <c r="E8261" t="s">
        <v>120</v>
      </c>
      <c r="F8261" t="s">
        <v>154</v>
      </c>
      <c r="G8261" t="s">
        <v>180</v>
      </c>
      <c r="H8261" t="s">
        <v>215</v>
      </c>
      <c r="I8261" t="s">
        <v>235</v>
      </c>
      <c r="J8261" t="s">
        <v>253</v>
      </c>
      <c r="K8261" t="s">
        <v>267</v>
      </c>
      <c r="L8261" t="s">
        <v>279</v>
      </c>
      <c r="M8261" t="s">
        <v>288</v>
      </c>
      <c r="N8261" t="s">
        <v>100</v>
      </c>
      <c r="O8261" t="s">
        <v>306</v>
      </c>
      <c r="P8261" t="s">
        <v>313</v>
      </c>
      <c r="Q8261" t="s">
        <v>320</v>
      </c>
      <c r="R8261" t="s">
        <v>325</v>
      </c>
      <c r="S8261" t="s">
        <v>332</v>
      </c>
      <c r="T8261" t="s">
        <v>119</v>
      </c>
      <c r="U8261" t="s">
        <v>234</v>
      </c>
      <c r="V8261" t="s">
        <v>343</v>
      </c>
      <c r="W8261" t="s">
        <v>348</v>
      </c>
      <c r="X8261" t="s">
        <v>352</v>
      </c>
      <c r="Y8261" t="s">
        <v>354</v>
      </c>
      <c r="AK8261" t="s">
        <v>366</v>
      </c>
    </row>
    <row r="8262" spans="1:37">
      <c r="A8262" t="s">
        <v>41</v>
      </c>
      <c r="B8262" t="s">
        <v>61</v>
      </c>
      <c r="C8262" t="s">
        <v>83</v>
      </c>
      <c r="D8262" t="s">
        <v>102</v>
      </c>
      <c r="E8262" t="s">
        <v>121</v>
      </c>
      <c r="F8262" t="s">
        <v>155</v>
      </c>
      <c r="G8262" t="s">
        <v>181</v>
      </c>
      <c r="H8262" t="s">
        <v>216</v>
      </c>
      <c r="I8262" t="s">
        <v>236</v>
      </c>
      <c r="AK8262" t="s">
        <v>366</v>
      </c>
    </row>
    <row r="8263" spans="1:37">
      <c r="A8263" t="s">
        <v>42</v>
      </c>
      <c r="B8263" t="s">
        <v>62</v>
      </c>
      <c r="C8263" t="s">
        <v>84</v>
      </c>
      <c r="D8263" t="s">
        <v>103</v>
      </c>
      <c r="E8263" t="s">
        <v>122</v>
      </c>
      <c r="F8263" t="s">
        <v>156</v>
      </c>
      <c r="G8263" t="s">
        <v>182</v>
      </c>
      <c r="H8263" t="s">
        <v>83</v>
      </c>
      <c r="I8263" t="s">
        <v>237</v>
      </c>
      <c r="J8263" t="s">
        <v>254</v>
      </c>
      <c r="K8263" t="s">
        <v>268</v>
      </c>
      <c r="L8263" t="s">
        <v>280</v>
      </c>
      <c r="M8263" t="s">
        <v>289</v>
      </c>
      <c r="N8263" t="s">
        <v>298</v>
      </c>
      <c r="O8263" t="s">
        <v>307</v>
      </c>
      <c r="P8263" t="s">
        <v>314</v>
      </c>
      <c r="Q8263" t="s">
        <v>216</v>
      </c>
      <c r="R8263" t="s">
        <v>326</v>
      </c>
      <c r="S8263" t="s">
        <v>333</v>
      </c>
      <c r="T8263" t="s">
        <v>335</v>
      </c>
      <c r="U8263" t="s">
        <v>340</v>
      </c>
      <c r="V8263" t="s">
        <v>344</v>
      </c>
      <c r="W8263" t="s">
        <v>349</v>
      </c>
      <c r="AK8263" t="s">
        <v>366</v>
      </c>
    </row>
    <row r="8264" spans="1:37">
      <c r="A8264" t="s">
        <v>43</v>
      </c>
      <c r="B8264" t="s">
        <v>63</v>
      </c>
      <c r="C8264" t="s">
        <v>85</v>
      </c>
      <c r="D8264" t="s">
        <v>104</v>
      </c>
      <c r="E8264" t="s">
        <v>123</v>
      </c>
      <c r="F8264" t="s">
        <v>157</v>
      </c>
      <c r="G8264" t="s">
        <v>183</v>
      </c>
      <c r="AK8264" t="s">
        <v>366</v>
      </c>
    </row>
    <row r="8265" spans="1:37">
      <c r="A8265" t="s">
        <v>44</v>
      </c>
      <c r="B8265" t="s">
        <v>64</v>
      </c>
      <c r="C8265" t="s">
        <v>86</v>
      </c>
      <c r="D8265" t="s">
        <v>105</v>
      </c>
      <c r="E8265" t="s">
        <v>124</v>
      </c>
      <c r="F8265" t="s">
        <v>158</v>
      </c>
      <c r="G8265" t="s">
        <v>184</v>
      </c>
      <c r="AK8265" t="s">
        <v>366</v>
      </c>
    </row>
    <row r="8266" spans="1:37">
      <c r="A8266" t="s">
        <v>45</v>
      </c>
      <c r="B8266" t="s">
        <v>65</v>
      </c>
      <c r="C8266" t="s">
        <v>87</v>
      </c>
      <c r="D8266" t="s">
        <v>106</v>
      </c>
      <c r="E8266" t="s">
        <v>125</v>
      </c>
      <c r="F8266" t="s">
        <v>159</v>
      </c>
      <c r="G8266" t="s">
        <v>185</v>
      </c>
      <c r="H8266" t="s">
        <v>159</v>
      </c>
      <c r="I8266" t="s">
        <v>185</v>
      </c>
      <c r="J8266" t="s">
        <v>255</v>
      </c>
      <c r="AK8266" t="s">
        <v>366</v>
      </c>
    </row>
    <row r="8267" spans="1:37">
      <c r="A8267" t="s">
        <v>46</v>
      </c>
      <c r="B8267" t="s">
        <v>66</v>
      </c>
      <c r="C8267" t="s">
        <v>88</v>
      </c>
      <c r="D8267" t="s">
        <v>76</v>
      </c>
      <c r="E8267" t="s">
        <v>126</v>
      </c>
      <c r="F8267" t="s">
        <v>160</v>
      </c>
      <c r="G8267" t="s">
        <v>186</v>
      </c>
      <c r="H8267" t="s">
        <v>217</v>
      </c>
      <c r="I8267" t="s">
        <v>238</v>
      </c>
      <c r="J8267" t="s">
        <v>256</v>
      </c>
      <c r="K8267" t="s">
        <v>265</v>
      </c>
      <c r="L8267" t="s">
        <v>281</v>
      </c>
      <c r="M8267" t="s">
        <v>290</v>
      </c>
      <c r="N8267" t="s">
        <v>299</v>
      </c>
      <c r="O8267" t="s">
        <v>308</v>
      </c>
      <c r="P8267" t="s">
        <v>228</v>
      </c>
      <c r="Q8267" t="s">
        <v>72</v>
      </c>
      <c r="R8267" t="s">
        <v>327</v>
      </c>
      <c r="S8267" t="s">
        <v>327</v>
      </c>
      <c r="T8267" t="s">
        <v>336</v>
      </c>
      <c r="U8267" t="s">
        <v>336</v>
      </c>
      <c r="V8267" t="s">
        <v>336</v>
      </c>
      <c r="W8267" t="s">
        <v>336</v>
      </c>
      <c r="X8267" t="s">
        <v>353</v>
      </c>
      <c r="AK8267" t="s">
        <v>366</v>
      </c>
    </row>
    <row r="8268" spans="1:37">
      <c r="A8268" t="s">
        <v>37</v>
      </c>
      <c r="B8268" t="s">
        <v>49</v>
      </c>
      <c r="C8268" t="s">
        <v>73</v>
      </c>
      <c r="D8268" t="s">
        <v>94</v>
      </c>
      <c r="E8268" t="s">
        <v>112</v>
      </c>
      <c r="F8268" t="s">
        <v>146</v>
      </c>
      <c r="G8268" t="s">
        <v>172</v>
      </c>
      <c r="H8268" t="s">
        <v>207</v>
      </c>
      <c r="I8268" t="s">
        <v>226</v>
      </c>
      <c r="J8268" t="s">
        <v>246</v>
      </c>
      <c r="K8268" t="s">
        <v>259</v>
      </c>
      <c r="AK8268" t="s">
        <v>366</v>
      </c>
    </row>
    <row r="8269" spans="1:37">
      <c r="A8269" t="s">
        <v>38</v>
      </c>
      <c r="B8269" t="s">
        <v>50</v>
      </c>
      <c r="C8269" t="s">
        <v>74</v>
      </c>
      <c r="D8269" t="s">
        <v>95</v>
      </c>
      <c r="E8269" t="s">
        <v>113</v>
      </c>
      <c r="F8269" t="s">
        <v>147</v>
      </c>
      <c r="G8269" t="s">
        <v>173</v>
      </c>
      <c r="H8269" t="s">
        <v>208</v>
      </c>
      <c r="I8269" t="s">
        <v>227</v>
      </c>
      <c r="J8269" t="s">
        <v>115</v>
      </c>
      <c r="K8269" t="s">
        <v>260</v>
      </c>
      <c r="L8269" t="s">
        <v>273</v>
      </c>
      <c r="M8269" t="s">
        <v>282</v>
      </c>
      <c r="N8269" t="s">
        <v>291</v>
      </c>
      <c r="AK8269" t="s">
        <v>366</v>
      </c>
    </row>
    <row r="8270" spans="1:37">
      <c r="B8270" t="s">
        <v>51</v>
      </c>
      <c r="C8270" t="s">
        <v>75</v>
      </c>
      <c r="D8270" t="s">
        <v>52</v>
      </c>
      <c r="E8270" t="s">
        <v>114</v>
      </c>
      <c r="F8270" t="s">
        <v>148</v>
      </c>
      <c r="G8270" t="s">
        <v>148</v>
      </c>
      <c r="H8270" t="s">
        <v>209</v>
      </c>
      <c r="I8270" t="s">
        <v>228</v>
      </c>
      <c r="J8270" t="s">
        <v>247</v>
      </c>
      <c r="K8270" t="s">
        <v>261</v>
      </c>
      <c r="L8270" t="s">
        <v>274</v>
      </c>
      <c r="M8270" t="s">
        <v>283</v>
      </c>
      <c r="N8270" t="s">
        <v>292</v>
      </c>
      <c r="O8270" t="s">
        <v>300</v>
      </c>
      <c r="AK8270" t="s">
        <v>366</v>
      </c>
    </row>
    <row r="8271" spans="1:37">
      <c r="B8271" t="s">
        <v>52</v>
      </c>
      <c r="C8271" t="s">
        <v>76</v>
      </c>
      <c r="D8271" t="s">
        <v>96</v>
      </c>
      <c r="E8271" t="s">
        <v>115</v>
      </c>
      <c r="F8271" t="s">
        <v>149</v>
      </c>
      <c r="G8271" t="s">
        <v>174</v>
      </c>
      <c r="H8271" t="s">
        <v>96</v>
      </c>
      <c r="I8271" t="s">
        <v>229</v>
      </c>
      <c r="J8271" t="s">
        <v>248</v>
      </c>
      <c r="K8271" t="s">
        <v>262</v>
      </c>
      <c r="L8271" t="s">
        <v>52</v>
      </c>
      <c r="M8271" t="s">
        <v>76</v>
      </c>
      <c r="N8271" t="s">
        <v>293</v>
      </c>
      <c r="O8271" t="s">
        <v>301</v>
      </c>
      <c r="P8271" t="s">
        <v>309</v>
      </c>
      <c r="Q8271" t="s">
        <v>315</v>
      </c>
      <c r="R8271" t="s">
        <v>228</v>
      </c>
      <c r="S8271" t="s">
        <v>328</v>
      </c>
      <c r="T8271" t="s">
        <v>149</v>
      </c>
      <c r="U8271" t="s">
        <v>337</v>
      </c>
      <c r="V8271" t="s">
        <v>341</v>
      </c>
      <c r="W8271" t="s">
        <v>345</v>
      </c>
      <c r="X8271" t="s">
        <v>350</v>
      </c>
      <c r="AK8271" t="s">
        <v>366</v>
      </c>
    </row>
    <row r="8272" spans="1:37">
      <c r="B8272" t="s">
        <v>53</v>
      </c>
      <c r="C8272" t="s">
        <v>77</v>
      </c>
      <c r="D8272" t="s">
        <v>97</v>
      </c>
      <c r="E8272" t="s">
        <v>116</v>
      </c>
      <c r="F8272" t="s">
        <v>150</v>
      </c>
      <c r="G8272" t="s">
        <v>175</v>
      </c>
      <c r="H8272" t="s">
        <v>210</v>
      </c>
      <c r="I8272" t="s">
        <v>230</v>
      </c>
      <c r="J8272" t="s">
        <v>249</v>
      </c>
      <c r="K8272" t="s">
        <v>263</v>
      </c>
      <c r="L8272" t="s">
        <v>275</v>
      </c>
      <c r="M8272" t="s">
        <v>284</v>
      </c>
      <c r="N8272" t="s">
        <v>294</v>
      </c>
      <c r="O8272" t="s">
        <v>302</v>
      </c>
      <c r="P8272" t="s">
        <v>310</v>
      </c>
      <c r="Q8272" t="s">
        <v>316</v>
      </c>
      <c r="R8272" t="s">
        <v>322</v>
      </c>
      <c r="S8272" t="s">
        <v>329</v>
      </c>
      <c r="AK8272" t="s">
        <v>366</v>
      </c>
    </row>
    <row r="8273" spans="1:37">
      <c r="A8273" t="s">
        <v>39</v>
      </c>
      <c r="B8273" t="s">
        <v>54</v>
      </c>
      <c r="C8273" t="s">
        <v>54</v>
      </c>
      <c r="D8273" t="s">
        <v>54</v>
      </c>
      <c r="E8273" t="s">
        <v>54</v>
      </c>
      <c r="F8273" t="s">
        <v>54</v>
      </c>
      <c r="G8273" t="s">
        <v>54</v>
      </c>
      <c r="H8273" t="s">
        <v>54</v>
      </c>
      <c r="I8273" t="s">
        <v>54</v>
      </c>
      <c r="J8273" t="s">
        <v>54</v>
      </c>
      <c r="K8273" t="s">
        <v>54</v>
      </c>
      <c r="L8273" t="s">
        <v>54</v>
      </c>
      <c r="M8273" t="s">
        <v>54</v>
      </c>
      <c r="N8273" t="s">
        <v>54</v>
      </c>
      <c r="O8273" t="s">
        <v>54</v>
      </c>
      <c r="P8273" t="s">
        <v>54</v>
      </c>
      <c r="Q8273" t="s">
        <v>54</v>
      </c>
      <c r="R8273" t="s">
        <v>323</v>
      </c>
      <c r="S8273" t="s">
        <v>330</v>
      </c>
      <c r="AK8273" t="s">
        <v>366</v>
      </c>
    </row>
    <row r="8274" spans="1:37">
      <c r="B8274" t="s">
        <v>55</v>
      </c>
      <c r="C8274" t="s">
        <v>78</v>
      </c>
      <c r="D8274" t="s">
        <v>55</v>
      </c>
      <c r="E8274" t="s">
        <v>78</v>
      </c>
      <c r="F8274" t="s">
        <v>55</v>
      </c>
      <c r="G8274" t="s">
        <v>78</v>
      </c>
      <c r="H8274" t="s">
        <v>55</v>
      </c>
      <c r="I8274" t="s">
        <v>78</v>
      </c>
      <c r="J8274" t="s">
        <v>55</v>
      </c>
      <c r="K8274" t="s">
        <v>78</v>
      </c>
      <c r="L8274" t="s">
        <v>55</v>
      </c>
      <c r="M8274" t="s">
        <v>78</v>
      </c>
      <c r="N8274" t="s">
        <v>55</v>
      </c>
      <c r="O8274" t="s">
        <v>78</v>
      </c>
      <c r="P8274" t="s">
        <v>55</v>
      </c>
      <c r="Q8274" t="s">
        <v>78</v>
      </c>
      <c r="R8274" t="s">
        <v>55</v>
      </c>
      <c r="S8274" t="s">
        <v>78</v>
      </c>
      <c r="T8274" t="s">
        <v>55</v>
      </c>
      <c r="U8274" t="s">
        <v>78</v>
      </c>
      <c r="V8274" t="s">
        <v>55</v>
      </c>
      <c r="W8274" t="s">
        <v>78</v>
      </c>
      <c r="X8274" t="s">
        <v>55</v>
      </c>
      <c r="Y8274" t="s">
        <v>78</v>
      </c>
      <c r="Z8274" t="s">
        <v>55</v>
      </c>
      <c r="AA8274" t="s">
        <v>78</v>
      </c>
      <c r="AB8274" t="s">
        <v>55</v>
      </c>
      <c r="AC8274" t="s">
        <v>78</v>
      </c>
      <c r="AD8274" t="s">
        <v>55</v>
      </c>
      <c r="AE8274" t="s">
        <v>78</v>
      </c>
      <c r="AF8274" t="s">
        <v>55</v>
      </c>
      <c r="AG8274" t="s">
        <v>78</v>
      </c>
      <c r="AH8274" t="s">
        <v>55</v>
      </c>
      <c r="AI8274" t="s">
        <v>78</v>
      </c>
      <c r="AK8274" t="s">
        <v>366</v>
      </c>
    </row>
    <row r="8275" spans="1:37">
      <c r="B8275" t="s">
        <v>56</v>
      </c>
      <c r="C8275" t="s">
        <v>56</v>
      </c>
      <c r="D8275" t="s">
        <v>56</v>
      </c>
      <c r="E8275" t="s">
        <v>56</v>
      </c>
      <c r="F8275" t="s">
        <v>56</v>
      </c>
      <c r="G8275" t="s">
        <v>176</v>
      </c>
      <c r="H8275" t="s">
        <v>211</v>
      </c>
      <c r="I8275" t="s">
        <v>231</v>
      </c>
      <c r="J8275" t="s">
        <v>250</v>
      </c>
      <c r="K8275" t="s">
        <v>264</v>
      </c>
      <c r="L8275" t="s">
        <v>276</v>
      </c>
      <c r="M8275" t="s">
        <v>285</v>
      </c>
      <c r="N8275" t="s">
        <v>295</v>
      </c>
      <c r="O8275" t="s">
        <v>303</v>
      </c>
      <c r="P8275" t="s">
        <v>56</v>
      </c>
      <c r="Q8275" t="s">
        <v>317</v>
      </c>
      <c r="R8275" t="s">
        <v>324</v>
      </c>
      <c r="S8275" t="s">
        <v>331</v>
      </c>
      <c r="T8275" t="s">
        <v>334</v>
      </c>
      <c r="U8275" t="s">
        <v>338</v>
      </c>
      <c r="V8275" t="s">
        <v>342</v>
      </c>
      <c r="W8275" t="s">
        <v>346</v>
      </c>
      <c r="X8275" t="s">
        <v>351</v>
      </c>
      <c r="AK8275" t="s">
        <v>366</v>
      </c>
    </row>
    <row r="8276" spans="1:37">
      <c r="B8276" t="s">
        <v>57</v>
      </c>
      <c r="C8276" t="s">
        <v>79</v>
      </c>
      <c r="D8276" t="s">
        <v>98</v>
      </c>
      <c r="E8276" t="s">
        <v>117</v>
      </c>
      <c r="F8276" t="s">
        <v>151</v>
      </c>
      <c r="G8276" t="s">
        <v>177</v>
      </c>
      <c r="H8276" t="s">
        <v>212</v>
      </c>
      <c r="I8276" t="s">
        <v>232</v>
      </c>
      <c r="J8276" t="s">
        <v>251</v>
      </c>
      <c r="K8276" t="s">
        <v>265</v>
      </c>
      <c r="L8276" t="s">
        <v>277</v>
      </c>
      <c r="M8276" t="s">
        <v>286</v>
      </c>
      <c r="N8276" t="s">
        <v>296</v>
      </c>
      <c r="O8276" t="s">
        <v>304</v>
      </c>
      <c r="P8276" t="s">
        <v>311</v>
      </c>
      <c r="Q8276" t="s">
        <v>318</v>
      </c>
      <c r="R8276" t="s">
        <v>185</v>
      </c>
      <c r="S8276" t="s">
        <v>159</v>
      </c>
      <c r="T8276" t="s">
        <v>185</v>
      </c>
      <c r="U8276" t="s">
        <v>339</v>
      </c>
      <c r="V8276" t="s">
        <v>72</v>
      </c>
      <c r="W8276" t="s">
        <v>347</v>
      </c>
      <c r="X8276" t="s">
        <v>72</v>
      </c>
      <c r="Y8276" t="s">
        <v>96</v>
      </c>
      <c r="AK8276" t="s">
        <v>366</v>
      </c>
    </row>
    <row r="8277" spans="1:37">
      <c r="B8277" t="s">
        <v>58</v>
      </c>
      <c r="C8277" t="s">
        <v>80</v>
      </c>
      <c r="D8277" t="s">
        <v>99</v>
      </c>
      <c r="E8277" t="s">
        <v>118</v>
      </c>
      <c r="F8277" t="s">
        <v>152</v>
      </c>
      <c r="G8277" t="s">
        <v>178</v>
      </c>
      <c r="H8277" t="s">
        <v>213</v>
      </c>
      <c r="I8277" t="s">
        <v>233</v>
      </c>
      <c r="J8277" t="s">
        <v>252</v>
      </c>
      <c r="K8277" t="s">
        <v>266</v>
      </c>
      <c r="L8277" t="s">
        <v>278</v>
      </c>
      <c r="M8277" t="s">
        <v>287</v>
      </c>
      <c r="N8277" t="s">
        <v>297</v>
      </c>
      <c r="O8277" t="s">
        <v>305</v>
      </c>
      <c r="P8277" t="s">
        <v>312</v>
      </c>
      <c r="Q8277" t="s">
        <v>319</v>
      </c>
      <c r="R8277">
        <f>&gt;10       ветра      2.2     23   7</f>
        <v>0</v>
      </c>
      <c r="AK8277" t="s">
        <v>366</v>
      </c>
    </row>
    <row r="8278" spans="1:37">
      <c r="A8278" t="s">
        <v>40</v>
      </c>
      <c r="B8278" t="s">
        <v>59</v>
      </c>
      <c r="C8278" t="s">
        <v>81</v>
      </c>
      <c r="D8278" t="s">
        <v>100</v>
      </c>
      <c r="E8278" t="s">
        <v>119</v>
      </c>
      <c r="F8278" t="s">
        <v>153</v>
      </c>
      <c r="G8278" t="s">
        <v>179</v>
      </c>
      <c r="H8278" t="s">
        <v>214</v>
      </c>
      <c r="I8278" t="s">
        <v>234</v>
      </c>
      <c r="AK8278" t="s">
        <v>366</v>
      </c>
    </row>
    <row r="8279" spans="1:37">
      <c r="A8279" t="s">
        <v>40</v>
      </c>
      <c r="B8279" t="s">
        <v>60</v>
      </c>
      <c r="C8279" t="s">
        <v>82</v>
      </c>
      <c r="D8279" t="s">
        <v>101</v>
      </c>
      <c r="E8279" t="s">
        <v>120</v>
      </c>
      <c r="F8279" t="s">
        <v>154</v>
      </c>
      <c r="G8279" t="s">
        <v>180</v>
      </c>
      <c r="H8279" t="s">
        <v>215</v>
      </c>
      <c r="I8279" t="s">
        <v>235</v>
      </c>
      <c r="J8279" t="s">
        <v>253</v>
      </c>
      <c r="K8279" t="s">
        <v>267</v>
      </c>
      <c r="L8279" t="s">
        <v>279</v>
      </c>
      <c r="M8279" t="s">
        <v>288</v>
      </c>
      <c r="N8279" t="s">
        <v>100</v>
      </c>
      <c r="O8279" t="s">
        <v>306</v>
      </c>
      <c r="P8279" t="s">
        <v>313</v>
      </c>
      <c r="Q8279" t="s">
        <v>320</v>
      </c>
      <c r="R8279" t="s">
        <v>325</v>
      </c>
      <c r="S8279" t="s">
        <v>332</v>
      </c>
      <c r="T8279" t="s">
        <v>119</v>
      </c>
      <c r="U8279" t="s">
        <v>234</v>
      </c>
      <c r="V8279" t="s">
        <v>343</v>
      </c>
      <c r="W8279" t="s">
        <v>348</v>
      </c>
      <c r="X8279" t="s">
        <v>352</v>
      </c>
      <c r="Y8279" t="s">
        <v>354</v>
      </c>
      <c r="AK8279" t="s">
        <v>366</v>
      </c>
    </row>
    <row r="8280" spans="1:37">
      <c r="A8280" t="s">
        <v>41</v>
      </c>
      <c r="B8280" t="s">
        <v>61</v>
      </c>
      <c r="C8280" t="s">
        <v>83</v>
      </c>
      <c r="D8280" t="s">
        <v>102</v>
      </c>
      <c r="E8280" t="s">
        <v>121</v>
      </c>
      <c r="F8280" t="s">
        <v>155</v>
      </c>
      <c r="G8280" t="s">
        <v>181</v>
      </c>
      <c r="H8280" t="s">
        <v>216</v>
      </c>
      <c r="I8280" t="s">
        <v>236</v>
      </c>
      <c r="AK8280" t="s">
        <v>366</v>
      </c>
    </row>
    <row r="8281" spans="1:37">
      <c r="A8281" t="s">
        <v>42</v>
      </c>
      <c r="B8281" t="s">
        <v>62</v>
      </c>
      <c r="C8281" t="s">
        <v>84</v>
      </c>
      <c r="D8281" t="s">
        <v>103</v>
      </c>
      <c r="E8281" t="s">
        <v>122</v>
      </c>
      <c r="F8281" t="s">
        <v>156</v>
      </c>
      <c r="G8281" t="s">
        <v>182</v>
      </c>
      <c r="H8281" t="s">
        <v>83</v>
      </c>
      <c r="I8281" t="s">
        <v>237</v>
      </c>
      <c r="J8281" t="s">
        <v>254</v>
      </c>
      <c r="K8281" t="s">
        <v>268</v>
      </c>
      <c r="L8281" t="s">
        <v>280</v>
      </c>
      <c r="M8281" t="s">
        <v>289</v>
      </c>
      <c r="N8281" t="s">
        <v>298</v>
      </c>
      <c r="O8281" t="s">
        <v>307</v>
      </c>
      <c r="P8281" t="s">
        <v>314</v>
      </c>
      <c r="Q8281" t="s">
        <v>216</v>
      </c>
      <c r="R8281" t="s">
        <v>326</v>
      </c>
      <c r="S8281" t="s">
        <v>333</v>
      </c>
      <c r="T8281" t="s">
        <v>335</v>
      </c>
      <c r="U8281" t="s">
        <v>340</v>
      </c>
      <c r="V8281" t="s">
        <v>344</v>
      </c>
      <c r="W8281" t="s">
        <v>349</v>
      </c>
      <c r="AK8281" t="s">
        <v>366</v>
      </c>
    </row>
    <row r="8282" spans="1:37">
      <c r="A8282" t="s">
        <v>43</v>
      </c>
      <c r="B8282" t="s">
        <v>63</v>
      </c>
      <c r="C8282" t="s">
        <v>85</v>
      </c>
      <c r="D8282" t="s">
        <v>104</v>
      </c>
      <c r="E8282" t="s">
        <v>123</v>
      </c>
      <c r="F8282" t="s">
        <v>157</v>
      </c>
      <c r="G8282" t="s">
        <v>183</v>
      </c>
      <c r="AK8282" t="s">
        <v>366</v>
      </c>
    </row>
    <row r="8283" spans="1:37">
      <c r="A8283" t="s">
        <v>44</v>
      </c>
      <c r="B8283" t="s">
        <v>64</v>
      </c>
      <c r="C8283" t="s">
        <v>86</v>
      </c>
      <c r="D8283" t="s">
        <v>105</v>
      </c>
      <c r="E8283" t="s">
        <v>124</v>
      </c>
      <c r="F8283" t="s">
        <v>158</v>
      </c>
      <c r="G8283" t="s">
        <v>184</v>
      </c>
      <c r="AK8283" t="s">
        <v>366</v>
      </c>
    </row>
    <row r="8284" spans="1:37">
      <c r="A8284" t="s">
        <v>45</v>
      </c>
      <c r="B8284" t="s">
        <v>65</v>
      </c>
      <c r="C8284" t="s">
        <v>87</v>
      </c>
      <c r="D8284" t="s">
        <v>106</v>
      </c>
      <c r="E8284" t="s">
        <v>125</v>
      </c>
      <c r="F8284" t="s">
        <v>159</v>
      </c>
      <c r="G8284" t="s">
        <v>185</v>
      </c>
      <c r="H8284" t="s">
        <v>159</v>
      </c>
      <c r="I8284" t="s">
        <v>185</v>
      </c>
      <c r="J8284" t="s">
        <v>255</v>
      </c>
      <c r="AK8284" t="s">
        <v>366</v>
      </c>
    </row>
    <row r="8285" spans="1:37">
      <c r="A8285" t="s">
        <v>46</v>
      </c>
      <c r="B8285" t="s">
        <v>66</v>
      </c>
      <c r="C8285" t="s">
        <v>88</v>
      </c>
      <c r="D8285" t="s">
        <v>76</v>
      </c>
      <c r="E8285" t="s">
        <v>126</v>
      </c>
      <c r="F8285" t="s">
        <v>160</v>
      </c>
      <c r="G8285" t="s">
        <v>186</v>
      </c>
      <c r="H8285" t="s">
        <v>217</v>
      </c>
      <c r="I8285" t="s">
        <v>238</v>
      </c>
      <c r="J8285" t="s">
        <v>256</v>
      </c>
      <c r="K8285" t="s">
        <v>265</v>
      </c>
      <c r="L8285" t="s">
        <v>281</v>
      </c>
      <c r="M8285" t="s">
        <v>290</v>
      </c>
      <c r="N8285" t="s">
        <v>299</v>
      </c>
      <c r="O8285" t="s">
        <v>308</v>
      </c>
      <c r="P8285" t="s">
        <v>228</v>
      </c>
      <c r="Q8285" t="s">
        <v>72</v>
      </c>
      <c r="R8285" t="s">
        <v>327</v>
      </c>
      <c r="S8285" t="s">
        <v>327</v>
      </c>
      <c r="T8285" t="s">
        <v>336</v>
      </c>
      <c r="U8285" t="s">
        <v>336</v>
      </c>
      <c r="V8285" t="s">
        <v>336</v>
      </c>
      <c r="W8285" t="s">
        <v>336</v>
      </c>
      <c r="X8285" t="s">
        <v>353</v>
      </c>
      <c r="AK8285" t="s">
        <v>366</v>
      </c>
    </row>
    <row r="8286" spans="1:37">
      <c r="A8286" t="s">
        <v>37</v>
      </c>
      <c r="B8286" t="s">
        <v>49</v>
      </c>
      <c r="C8286" t="s">
        <v>73</v>
      </c>
      <c r="D8286" t="s">
        <v>94</v>
      </c>
      <c r="E8286" t="s">
        <v>112</v>
      </c>
      <c r="F8286" t="s">
        <v>146</v>
      </c>
      <c r="G8286" t="s">
        <v>172</v>
      </c>
      <c r="H8286" t="s">
        <v>207</v>
      </c>
      <c r="I8286" t="s">
        <v>226</v>
      </c>
      <c r="J8286" t="s">
        <v>246</v>
      </c>
      <c r="K8286" t="s">
        <v>259</v>
      </c>
      <c r="AK8286" t="s">
        <v>366</v>
      </c>
    </row>
    <row r="8287" spans="1:37">
      <c r="A8287" t="s">
        <v>38</v>
      </c>
      <c r="B8287" t="s">
        <v>50</v>
      </c>
      <c r="C8287" t="s">
        <v>74</v>
      </c>
      <c r="D8287" t="s">
        <v>95</v>
      </c>
      <c r="E8287" t="s">
        <v>113</v>
      </c>
      <c r="F8287" t="s">
        <v>147</v>
      </c>
      <c r="G8287" t="s">
        <v>173</v>
      </c>
      <c r="H8287" t="s">
        <v>208</v>
      </c>
      <c r="I8287" t="s">
        <v>227</v>
      </c>
      <c r="J8287" t="s">
        <v>115</v>
      </c>
      <c r="K8287" t="s">
        <v>260</v>
      </c>
      <c r="L8287" t="s">
        <v>273</v>
      </c>
      <c r="M8287" t="s">
        <v>282</v>
      </c>
      <c r="N8287" t="s">
        <v>291</v>
      </c>
      <c r="AK8287" t="s">
        <v>366</v>
      </c>
    </row>
    <row r="8288" spans="1:37">
      <c r="B8288" t="s">
        <v>51</v>
      </c>
      <c r="C8288" t="s">
        <v>75</v>
      </c>
      <c r="D8288" t="s">
        <v>52</v>
      </c>
      <c r="E8288" t="s">
        <v>114</v>
      </c>
      <c r="F8288" t="s">
        <v>148</v>
      </c>
      <c r="G8288" t="s">
        <v>148</v>
      </c>
      <c r="H8288" t="s">
        <v>209</v>
      </c>
      <c r="I8288" t="s">
        <v>228</v>
      </c>
      <c r="J8288" t="s">
        <v>247</v>
      </c>
      <c r="K8288" t="s">
        <v>261</v>
      </c>
      <c r="L8288" t="s">
        <v>274</v>
      </c>
      <c r="M8288" t="s">
        <v>283</v>
      </c>
      <c r="N8288" t="s">
        <v>292</v>
      </c>
      <c r="O8288" t="s">
        <v>300</v>
      </c>
      <c r="AK8288" t="s">
        <v>366</v>
      </c>
    </row>
    <row r="8289" spans="1:37">
      <c r="B8289" t="s">
        <v>52</v>
      </c>
      <c r="C8289" t="s">
        <v>76</v>
      </c>
      <c r="D8289" t="s">
        <v>96</v>
      </c>
      <c r="E8289" t="s">
        <v>115</v>
      </c>
      <c r="F8289" t="s">
        <v>149</v>
      </c>
      <c r="G8289" t="s">
        <v>174</v>
      </c>
      <c r="H8289" t="s">
        <v>96</v>
      </c>
      <c r="I8289" t="s">
        <v>229</v>
      </c>
      <c r="J8289" t="s">
        <v>248</v>
      </c>
      <c r="K8289" t="s">
        <v>262</v>
      </c>
      <c r="L8289" t="s">
        <v>52</v>
      </c>
      <c r="M8289" t="s">
        <v>76</v>
      </c>
      <c r="N8289" t="s">
        <v>293</v>
      </c>
      <c r="O8289" t="s">
        <v>301</v>
      </c>
      <c r="P8289" t="s">
        <v>309</v>
      </c>
      <c r="Q8289" t="s">
        <v>315</v>
      </c>
      <c r="R8289" t="s">
        <v>228</v>
      </c>
      <c r="S8289" t="s">
        <v>328</v>
      </c>
      <c r="T8289" t="s">
        <v>149</v>
      </c>
      <c r="U8289" t="s">
        <v>337</v>
      </c>
      <c r="V8289" t="s">
        <v>341</v>
      </c>
      <c r="W8289" t="s">
        <v>345</v>
      </c>
      <c r="X8289" t="s">
        <v>350</v>
      </c>
      <c r="AK8289" t="s">
        <v>366</v>
      </c>
    </row>
    <row r="8290" spans="1:37">
      <c r="B8290" t="s">
        <v>53</v>
      </c>
      <c r="C8290" t="s">
        <v>77</v>
      </c>
      <c r="D8290" t="s">
        <v>97</v>
      </c>
      <c r="E8290" t="s">
        <v>116</v>
      </c>
      <c r="F8290" t="s">
        <v>150</v>
      </c>
      <c r="G8290" t="s">
        <v>175</v>
      </c>
      <c r="H8290" t="s">
        <v>210</v>
      </c>
      <c r="I8290" t="s">
        <v>230</v>
      </c>
      <c r="J8290" t="s">
        <v>249</v>
      </c>
      <c r="K8290" t="s">
        <v>263</v>
      </c>
      <c r="L8290" t="s">
        <v>275</v>
      </c>
      <c r="M8290" t="s">
        <v>284</v>
      </c>
      <c r="N8290" t="s">
        <v>294</v>
      </c>
      <c r="O8290" t="s">
        <v>302</v>
      </c>
      <c r="P8290" t="s">
        <v>310</v>
      </c>
      <c r="Q8290" t="s">
        <v>316</v>
      </c>
      <c r="R8290" t="s">
        <v>322</v>
      </c>
      <c r="S8290" t="s">
        <v>329</v>
      </c>
      <c r="AK8290" t="s">
        <v>366</v>
      </c>
    </row>
    <row r="8291" spans="1:37">
      <c r="A8291" t="s">
        <v>39</v>
      </c>
      <c r="B8291" t="s">
        <v>54</v>
      </c>
      <c r="C8291" t="s">
        <v>54</v>
      </c>
      <c r="D8291" t="s">
        <v>54</v>
      </c>
      <c r="E8291" t="s">
        <v>54</v>
      </c>
      <c r="F8291" t="s">
        <v>54</v>
      </c>
      <c r="G8291" t="s">
        <v>54</v>
      </c>
      <c r="H8291" t="s">
        <v>54</v>
      </c>
      <c r="I8291" t="s">
        <v>54</v>
      </c>
      <c r="J8291" t="s">
        <v>54</v>
      </c>
      <c r="K8291" t="s">
        <v>54</v>
      </c>
      <c r="L8291" t="s">
        <v>54</v>
      </c>
      <c r="M8291" t="s">
        <v>54</v>
      </c>
      <c r="N8291" t="s">
        <v>54</v>
      </c>
      <c r="O8291" t="s">
        <v>54</v>
      </c>
      <c r="P8291" t="s">
        <v>54</v>
      </c>
      <c r="Q8291" t="s">
        <v>54</v>
      </c>
      <c r="R8291" t="s">
        <v>323</v>
      </c>
      <c r="S8291" t="s">
        <v>330</v>
      </c>
      <c r="AK8291" t="s">
        <v>366</v>
      </c>
    </row>
    <row r="8292" spans="1:37">
      <c r="B8292" t="s">
        <v>55</v>
      </c>
      <c r="C8292" t="s">
        <v>78</v>
      </c>
      <c r="D8292" t="s">
        <v>55</v>
      </c>
      <c r="E8292" t="s">
        <v>78</v>
      </c>
      <c r="F8292" t="s">
        <v>55</v>
      </c>
      <c r="G8292" t="s">
        <v>78</v>
      </c>
      <c r="H8292" t="s">
        <v>55</v>
      </c>
      <c r="I8292" t="s">
        <v>78</v>
      </c>
      <c r="J8292" t="s">
        <v>55</v>
      </c>
      <c r="K8292" t="s">
        <v>78</v>
      </c>
      <c r="L8292" t="s">
        <v>55</v>
      </c>
      <c r="M8292" t="s">
        <v>78</v>
      </c>
      <c r="N8292" t="s">
        <v>55</v>
      </c>
      <c r="O8292" t="s">
        <v>78</v>
      </c>
      <c r="P8292" t="s">
        <v>55</v>
      </c>
      <c r="Q8292" t="s">
        <v>78</v>
      </c>
      <c r="R8292" t="s">
        <v>55</v>
      </c>
      <c r="S8292" t="s">
        <v>78</v>
      </c>
      <c r="T8292" t="s">
        <v>55</v>
      </c>
      <c r="U8292" t="s">
        <v>78</v>
      </c>
      <c r="V8292" t="s">
        <v>55</v>
      </c>
      <c r="W8292" t="s">
        <v>78</v>
      </c>
      <c r="X8292" t="s">
        <v>55</v>
      </c>
      <c r="Y8292" t="s">
        <v>78</v>
      </c>
      <c r="Z8292" t="s">
        <v>55</v>
      </c>
      <c r="AA8292" t="s">
        <v>78</v>
      </c>
      <c r="AB8292" t="s">
        <v>55</v>
      </c>
      <c r="AC8292" t="s">
        <v>78</v>
      </c>
      <c r="AD8292" t="s">
        <v>55</v>
      </c>
      <c r="AE8292" t="s">
        <v>78</v>
      </c>
      <c r="AF8292" t="s">
        <v>55</v>
      </c>
      <c r="AG8292" t="s">
        <v>78</v>
      </c>
      <c r="AH8292" t="s">
        <v>55</v>
      </c>
      <c r="AI8292" t="s">
        <v>78</v>
      </c>
      <c r="AK8292" t="s">
        <v>366</v>
      </c>
    </row>
    <row r="8293" spans="1:37">
      <c r="B8293" t="s">
        <v>56</v>
      </c>
      <c r="C8293" t="s">
        <v>56</v>
      </c>
      <c r="D8293" t="s">
        <v>56</v>
      </c>
      <c r="E8293" t="s">
        <v>56</v>
      </c>
      <c r="F8293" t="s">
        <v>56</v>
      </c>
      <c r="G8293" t="s">
        <v>176</v>
      </c>
      <c r="H8293" t="s">
        <v>211</v>
      </c>
      <c r="I8293" t="s">
        <v>231</v>
      </c>
      <c r="J8293" t="s">
        <v>250</v>
      </c>
      <c r="K8293" t="s">
        <v>264</v>
      </c>
      <c r="L8293" t="s">
        <v>276</v>
      </c>
      <c r="M8293" t="s">
        <v>285</v>
      </c>
      <c r="N8293" t="s">
        <v>295</v>
      </c>
      <c r="O8293" t="s">
        <v>303</v>
      </c>
      <c r="P8293" t="s">
        <v>56</v>
      </c>
      <c r="Q8293" t="s">
        <v>317</v>
      </c>
      <c r="R8293" t="s">
        <v>324</v>
      </c>
      <c r="S8293" t="s">
        <v>331</v>
      </c>
      <c r="T8293" t="s">
        <v>334</v>
      </c>
      <c r="U8293" t="s">
        <v>338</v>
      </c>
      <c r="V8293" t="s">
        <v>342</v>
      </c>
      <c r="W8293" t="s">
        <v>346</v>
      </c>
      <c r="X8293" t="s">
        <v>351</v>
      </c>
      <c r="AK8293" t="s">
        <v>366</v>
      </c>
    </row>
    <row r="8294" spans="1:37">
      <c r="B8294" t="s">
        <v>57</v>
      </c>
      <c r="C8294" t="s">
        <v>79</v>
      </c>
      <c r="D8294" t="s">
        <v>98</v>
      </c>
      <c r="E8294" t="s">
        <v>117</v>
      </c>
      <c r="F8294" t="s">
        <v>151</v>
      </c>
      <c r="G8294" t="s">
        <v>177</v>
      </c>
      <c r="H8294" t="s">
        <v>212</v>
      </c>
      <c r="I8294" t="s">
        <v>232</v>
      </c>
      <c r="J8294" t="s">
        <v>251</v>
      </c>
      <c r="K8294" t="s">
        <v>265</v>
      </c>
      <c r="L8294" t="s">
        <v>277</v>
      </c>
      <c r="M8294" t="s">
        <v>286</v>
      </c>
      <c r="N8294" t="s">
        <v>296</v>
      </c>
      <c r="O8294" t="s">
        <v>304</v>
      </c>
      <c r="P8294" t="s">
        <v>311</v>
      </c>
      <c r="Q8294" t="s">
        <v>318</v>
      </c>
      <c r="R8294" t="s">
        <v>185</v>
      </c>
      <c r="S8294" t="s">
        <v>159</v>
      </c>
      <c r="T8294" t="s">
        <v>185</v>
      </c>
      <c r="U8294" t="s">
        <v>339</v>
      </c>
      <c r="V8294" t="s">
        <v>72</v>
      </c>
      <c r="W8294" t="s">
        <v>347</v>
      </c>
      <c r="X8294" t="s">
        <v>72</v>
      </c>
      <c r="Y8294" t="s">
        <v>96</v>
      </c>
      <c r="AK8294" t="s">
        <v>366</v>
      </c>
    </row>
    <row r="8295" spans="1:37">
      <c r="B8295" t="s">
        <v>58</v>
      </c>
      <c r="C8295" t="s">
        <v>80</v>
      </c>
      <c r="D8295" t="s">
        <v>99</v>
      </c>
      <c r="E8295" t="s">
        <v>118</v>
      </c>
      <c r="F8295" t="s">
        <v>152</v>
      </c>
      <c r="G8295" t="s">
        <v>178</v>
      </c>
      <c r="H8295" t="s">
        <v>213</v>
      </c>
      <c r="I8295" t="s">
        <v>233</v>
      </c>
      <c r="J8295" t="s">
        <v>252</v>
      </c>
      <c r="K8295" t="s">
        <v>266</v>
      </c>
      <c r="L8295" t="s">
        <v>278</v>
      </c>
      <c r="M8295" t="s">
        <v>287</v>
      </c>
      <c r="N8295" t="s">
        <v>297</v>
      </c>
      <c r="O8295" t="s">
        <v>305</v>
      </c>
      <c r="P8295" t="s">
        <v>312</v>
      </c>
      <c r="Q8295" t="s">
        <v>319</v>
      </c>
      <c r="R8295">
        <f>&gt;10       ветра      2.9     11   1 29</f>
        <v>0</v>
      </c>
      <c r="AK8295" t="s">
        <v>366</v>
      </c>
    </row>
    <row r="8296" spans="1:37">
      <c r="A8296" t="s">
        <v>40</v>
      </c>
      <c r="B8296" t="s">
        <v>59</v>
      </c>
      <c r="C8296" t="s">
        <v>81</v>
      </c>
      <c r="D8296" t="s">
        <v>100</v>
      </c>
      <c r="E8296" t="s">
        <v>119</v>
      </c>
      <c r="F8296" t="s">
        <v>153</v>
      </c>
      <c r="G8296" t="s">
        <v>179</v>
      </c>
      <c r="H8296" t="s">
        <v>214</v>
      </c>
      <c r="I8296" t="s">
        <v>234</v>
      </c>
      <c r="AK8296" t="s">
        <v>366</v>
      </c>
    </row>
    <row r="8297" spans="1:37">
      <c r="A8297" t="s">
        <v>40</v>
      </c>
      <c r="B8297" t="s">
        <v>60</v>
      </c>
      <c r="C8297" t="s">
        <v>82</v>
      </c>
      <c r="D8297" t="s">
        <v>101</v>
      </c>
      <c r="E8297" t="s">
        <v>120</v>
      </c>
      <c r="F8297" t="s">
        <v>154</v>
      </c>
      <c r="G8297" t="s">
        <v>180</v>
      </c>
      <c r="H8297" t="s">
        <v>215</v>
      </c>
      <c r="I8297" t="s">
        <v>235</v>
      </c>
      <c r="J8297" t="s">
        <v>253</v>
      </c>
      <c r="K8297" t="s">
        <v>267</v>
      </c>
      <c r="L8297" t="s">
        <v>279</v>
      </c>
      <c r="M8297" t="s">
        <v>288</v>
      </c>
      <c r="N8297" t="s">
        <v>100</v>
      </c>
      <c r="O8297" t="s">
        <v>306</v>
      </c>
      <c r="P8297" t="s">
        <v>313</v>
      </c>
      <c r="Q8297" t="s">
        <v>320</v>
      </c>
      <c r="R8297" t="s">
        <v>325</v>
      </c>
      <c r="S8297" t="s">
        <v>332</v>
      </c>
      <c r="T8297" t="s">
        <v>119</v>
      </c>
      <c r="U8297" t="s">
        <v>234</v>
      </c>
      <c r="V8297" t="s">
        <v>343</v>
      </c>
      <c r="W8297" t="s">
        <v>348</v>
      </c>
      <c r="X8297" t="s">
        <v>352</v>
      </c>
      <c r="Y8297" t="s">
        <v>354</v>
      </c>
      <c r="AK8297" t="s">
        <v>366</v>
      </c>
    </row>
    <row r="8298" spans="1:37">
      <c r="A8298" t="s">
        <v>41</v>
      </c>
      <c r="B8298" t="s">
        <v>61</v>
      </c>
      <c r="C8298" t="s">
        <v>83</v>
      </c>
      <c r="D8298" t="s">
        <v>102</v>
      </c>
      <c r="E8298" t="s">
        <v>121</v>
      </c>
      <c r="F8298" t="s">
        <v>155</v>
      </c>
      <c r="G8298" t="s">
        <v>181</v>
      </c>
      <c r="H8298" t="s">
        <v>216</v>
      </c>
      <c r="I8298" t="s">
        <v>236</v>
      </c>
      <c r="AK8298" t="s">
        <v>366</v>
      </c>
    </row>
    <row r="8299" spans="1:37">
      <c r="A8299" t="s">
        <v>42</v>
      </c>
      <c r="B8299" t="s">
        <v>62</v>
      </c>
      <c r="C8299" t="s">
        <v>84</v>
      </c>
      <c r="D8299" t="s">
        <v>103</v>
      </c>
      <c r="E8299" t="s">
        <v>122</v>
      </c>
      <c r="F8299" t="s">
        <v>156</v>
      </c>
      <c r="G8299" t="s">
        <v>182</v>
      </c>
      <c r="H8299" t="s">
        <v>83</v>
      </c>
      <c r="I8299" t="s">
        <v>237</v>
      </c>
      <c r="J8299" t="s">
        <v>254</v>
      </c>
      <c r="K8299" t="s">
        <v>268</v>
      </c>
      <c r="L8299" t="s">
        <v>280</v>
      </c>
      <c r="M8299" t="s">
        <v>289</v>
      </c>
      <c r="N8299" t="s">
        <v>298</v>
      </c>
      <c r="O8299" t="s">
        <v>307</v>
      </c>
      <c r="P8299" t="s">
        <v>314</v>
      </c>
      <c r="Q8299" t="s">
        <v>216</v>
      </c>
      <c r="R8299" t="s">
        <v>326</v>
      </c>
      <c r="S8299" t="s">
        <v>333</v>
      </c>
      <c r="T8299" t="s">
        <v>335</v>
      </c>
      <c r="U8299" t="s">
        <v>340</v>
      </c>
      <c r="V8299" t="s">
        <v>344</v>
      </c>
      <c r="W8299" t="s">
        <v>349</v>
      </c>
      <c r="AK8299" t="s">
        <v>366</v>
      </c>
    </row>
    <row r="8300" spans="1:37">
      <c r="A8300" t="s">
        <v>43</v>
      </c>
      <c r="B8300" t="s">
        <v>63</v>
      </c>
      <c r="C8300" t="s">
        <v>85</v>
      </c>
      <c r="D8300" t="s">
        <v>104</v>
      </c>
      <c r="E8300" t="s">
        <v>123</v>
      </c>
      <c r="F8300" t="s">
        <v>157</v>
      </c>
      <c r="G8300" t="s">
        <v>183</v>
      </c>
      <c r="AK8300" t="s">
        <v>366</v>
      </c>
    </row>
    <row r="8301" spans="1:37">
      <c r="A8301" t="s">
        <v>44</v>
      </c>
      <c r="B8301" t="s">
        <v>64</v>
      </c>
      <c r="C8301" t="s">
        <v>86</v>
      </c>
      <c r="D8301" t="s">
        <v>105</v>
      </c>
      <c r="E8301" t="s">
        <v>124</v>
      </c>
      <c r="F8301" t="s">
        <v>158</v>
      </c>
      <c r="G8301" t="s">
        <v>184</v>
      </c>
      <c r="AK8301" t="s">
        <v>366</v>
      </c>
    </row>
    <row r="8302" spans="1:37">
      <c r="A8302" t="s">
        <v>45</v>
      </c>
      <c r="B8302" t="s">
        <v>65</v>
      </c>
      <c r="C8302" t="s">
        <v>87</v>
      </c>
      <c r="D8302" t="s">
        <v>106</v>
      </c>
      <c r="E8302" t="s">
        <v>125</v>
      </c>
      <c r="F8302" t="s">
        <v>159</v>
      </c>
      <c r="G8302" t="s">
        <v>185</v>
      </c>
      <c r="H8302" t="s">
        <v>159</v>
      </c>
      <c r="I8302" t="s">
        <v>185</v>
      </c>
      <c r="J8302" t="s">
        <v>255</v>
      </c>
      <c r="AK8302" t="s">
        <v>366</v>
      </c>
    </row>
    <row r="8303" spans="1:37">
      <c r="A8303" t="s">
        <v>46</v>
      </c>
      <c r="B8303" t="s">
        <v>66</v>
      </c>
      <c r="C8303" t="s">
        <v>88</v>
      </c>
      <c r="D8303" t="s">
        <v>76</v>
      </c>
      <c r="E8303" t="s">
        <v>126</v>
      </c>
      <c r="F8303" t="s">
        <v>160</v>
      </c>
      <c r="G8303" t="s">
        <v>186</v>
      </c>
      <c r="H8303" t="s">
        <v>217</v>
      </c>
      <c r="I8303" t="s">
        <v>238</v>
      </c>
      <c r="J8303" t="s">
        <v>256</v>
      </c>
      <c r="K8303" t="s">
        <v>265</v>
      </c>
      <c r="L8303" t="s">
        <v>281</v>
      </c>
      <c r="M8303" t="s">
        <v>290</v>
      </c>
      <c r="N8303" t="s">
        <v>299</v>
      </c>
      <c r="O8303" t="s">
        <v>308</v>
      </c>
      <c r="P8303" t="s">
        <v>228</v>
      </c>
      <c r="Q8303" t="s">
        <v>72</v>
      </c>
      <c r="R8303" t="s">
        <v>327</v>
      </c>
      <c r="S8303" t="s">
        <v>327</v>
      </c>
      <c r="T8303" t="s">
        <v>336</v>
      </c>
      <c r="U8303" t="s">
        <v>336</v>
      </c>
      <c r="V8303" t="s">
        <v>336</v>
      </c>
      <c r="W8303" t="s">
        <v>336</v>
      </c>
      <c r="X8303" t="s">
        <v>353</v>
      </c>
      <c r="AK8303" t="s">
        <v>366</v>
      </c>
    </row>
    <row r="8304" spans="1:37">
      <c r="A8304" t="s">
        <v>37</v>
      </c>
      <c r="B8304" t="s">
        <v>49</v>
      </c>
      <c r="C8304" t="s">
        <v>73</v>
      </c>
      <c r="D8304" t="s">
        <v>94</v>
      </c>
      <c r="E8304" t="s">
        <v>112</v>
      </c>
      <c r="F8304" t="s">
        <v>146</v>
      </c>
      <c r="G8304" t="s">
        <v>172</v>
      </c>
      <c r="H8304" t="s">
        <v>207</v>
      </c>
      <c r="I8304" t="s">
        <v>226</v>
      </c>
      <c r="J8304" t="s">
        <v>246</v>
      </c>
      <c r="K8304" t="s">
        <v>259</v>
      </c>
      <c r="AK8304" t="s">
        <v>366</v>
      </c>
    </row>
    <row r="8305" spans="1:37">
      <c r="A8305" t="s">
        <v>38</v>
      </c>
      <c r="B8305" t="s">
        <v>50</v>
      </c>
      <c r="C8305" t="s">
        <v>74</v>
      </c>
      <c r="D8305" t="s">
        <v>95</v>
      </c>
      <c r="E8305" t="s">
        <v>113</v>
      </c>
      <c r="F8305" t="s">
        <v>147</v>
      </c>
      <c r="G8305" t="s">
        <v>173</v>
      </c>
      <c r="H8305" t="s">
        <v>208</v>
      </c>
      <c r="I8305" t="s">
        <v>227</v>
      </c>
      <c r="J8305" t="s">
        <v>115</v>
      </c>
      <c r="K8305" t="s">
        <v>260</v>
      </c>
      <c r="L8305" t="s">
        <v>273</v>
      </c>
      <c r="M8305" t="s">
        <v>282</v>
      </c>
      <c r="N8305" t="s">
        <v>291</v>
      </c>
      <c r="AK8305" t="s">
        <v>366</v>
      </c>
    </row>
    <row r="8306" spans="1:37">
      <c r="B8306" t="s">
        <v>51</v>
      </c>
      <c r="C8306" t="s">
        <v>75</v>
      </c>
      <c r="D8306" t="s">
        <v>52</v>
      </c>
      <c r="E8306" t="s">
        <v>114</v>
      </c>
      <c r="F8306" t="s">
        <v>148</v>
      </c>
      <c r="G8306" t="s">
        <v>148</v>
      </c>
      <c r="H8306" t="s">
        <v>209</v>
      </c>
      <c r="I8306" t="s">
        <v>228</v>
      </c>
      <c r="J8306" t="s">
        <v>247</v>
      </c>
      <c r="K8306" t="s">
        <v>261</v>
      </c>
      <c r="L8306" t="s">
        <v>274</v>
      </c>
      <c r="M8306" t="s">
        <v>283</v>
      </c>
      <c r="N8306" t="s">
        <v>292</v>
      </c>
      <c r="O8306" t="s">
        <v>300</v>
      </c>
      <c r="AK8306" t="s">
        <v>366</v>
      </c>
    </row>
    <row r="8307" spans="1:37">
      <c r="B8307" t="s">
        <v>52</v>
      </c>
      <c r="C8307" t="s">
        <v>76</v>
      </c>
      <c r="D8307" t="s">
        <v>96</v>
      </c>
      <c r="E8307" t="s">
        <v>115</v>
      </c>
      <c r="F8307" t="s">
        <v>149</v>
      </c>
      <c r="G8307" t="s">
        <v>174</v>
      </c>
      <c r="H8307" t="s">
        <v>96</v>
      </c>
      <c r="I8307" t="s">
        <v>229</v>
      </c>
      <c r="J8307" t="s">
        <v>248</v>
      </c>
      <c r="K8307" t="s">
        <v>262</v>
      </c>
      <c r="L8307" t="s">
        <v>52</v>
      </c>
      <c r="M8307" t="s">
        <v>76</v>
      </c>
      <c r="N8307" t="s">
        <v>293</v>
      </c>
      <c r="O8307" t="s">
        <v>301</v>
      </c>
      <c r="P8307" t="s">
        <v>309</v>
      </c>
      <c r="Q8307" t="s">
        <v>315</v>
      </c>
      <c r="R8307" t="s">
        <v>228</v>
      </c>
      <c r="S8307" t="s">
        <v>328</v>
      </c>
      <c r="T8307" t="s">
        <v>149</v>
      </c>
      <c r="U8307" t="s">
        <v>337</v>
      </c>
      <c r="V8307" t="s">
        <v>341</v>
      </c>
      <c r="W8307" t="s">
        <v>345</v>
      </c>
      <c r="X8307" t="s">
        <v>350</v>
      </c>
      <c r="AK8307" t="s">
        <v>366</v>
      </c>
    </row>
    <row r="8308" spans="1:37">
      <c r="B8308" t="s">
        <v>53</v>
      </c>
      <c r="C8308" t="s">
        <v>77</v>
      </c>
      <c r="D8308" t="s">
        <v>97</v>
      </c>
      <c r="E8308" t="s">
        <v>116</v>
      </c>
      <c r="F8308" t="s">
        <v>150</v>
      </c>
      <c r="G8308" t="s">
        <v>175</v>
      </c>
      <c r="H8308" t="s">
        <v>210</v>
      </c>
      <c r="I8308" t="s">
        <v>230</v>
      </c>
      <c r="J8308" t="s">
        <v>249</v>
      </c>
      <c r="K8308" t="s">
        <v>263</v>
      </c>
      <c r="L8308" t="s">
        <v>275</v>
      </c>
      <c r="M8308" t="s">
        <v>284</v>
      </c>
      <c r="N8308" t="s">
        <v>294</v>
      </c>
      <c r="O8308" t="s">
        <v>302</v>
      </c>
      <c r="P8308" t="s">
        <v>310</v>
      </c>
      <c r="Q8308" t="s">
        <v>316</v>
      </c>
      <c r="R8308" t="s">
        <v>322</v>
      </c>
      <c r="S8308" t="s">
        <v>329</v>
      </c>
      <c r="AK8308" t="s">
        <v>366</v>
      </c>
    </row>
    <row r="8309" spans="1:37">
      <c r="A8309" t="s">
        <v>39</v>
      </c>
      <c r="B8309" t="s">
        <v>54</v>
      </c>
      <c r="C8309" t="s">
        <v>54</v>
      </c>
      <c r="D8309" t="s">
        <v>54</v>
      </c>
      <c r="E8309" t="s">
        <v>54</v>
      </c>
      <c r="F8309" t="s">
        <v>54</v>
      </c>
      <c r="G8309" t="s">
        <v>54</v>
      </c>
      <c r="H8309" t="s">
        <v>54</v>
      </c>
      <c r="I8309" t="s">
        <v>54</v>
      </c>
      <c r="J8309" t="s">
        <v>54</v>
      </c>
      <c r="K8309" t="s">
        <v>54</v>
      </c>
      <c r="L8309" t="s">
        <v>54</v>
      </c>
      <c r="M8309" t="s">
        <v>54</v>
      </c>
      <c r="N8309" t="s">
        <v>54</v>
      </c>
      <c r="O8309" t="s">
        <v>54</v>
      </c>
      <c r="P8309" t="s">
        <v>54</v>
      </c>
      <c r="Q8309" t="s">
        <v>54</v>
      </c>
      <c r="R8309" t="s">
        <v>323</v>
      </c>
      <c r="S8309" t="s">
        <v>330</v>
      </c>
      <c r="AK8309" t="s">
        <v>366</v>
      </c>
    </row>
    <row r="8310" spans="1:37">
      <c r="B8310" t="s">
        <v>55</v>
      </c>
      <c r="C8310" t="s">
        <v>78</v>
      </c>
      <c r="D8310" t="s">
        <v>55</v>
      </c>
      <c r="E8310" t="s">
        <v>78</v>
      </c>
      <c r="F8310" t="s">
        <v>55</v>
      </c>
      <c r="G8310" t="s">
        <v>78</v>
      </c>
      <c r="H8310" t="s">
        <v>55</v>
      </c>
      <c r="I8310" t="s">
        <v>78</v>
      </c>
      <c r="J8310" t="s">
        <v>55</v>
      </c>
      <c r="K8310" t="s">
        <v>78</v>
      </c>
      <c r="L8310" t="s">
        <v>55</v>
      </c>
      <c r="M8310" t="s">
        <v>78</v>
      </c>
      <c r="N8310" t="s">
        <v>55</v>
      </c>
      <c r="O8310" t="s">
        <v>78</v>
      </c>
      <c r="P8310" t="s">
        <v>55</v>
      </c>
      <c r="Q8310" t="s">
        <v>78</v>
      </c>
      <c r="R8310" t="s">
        <v>55</v>
      </c>
      <c r="S8310" t="s">
        <v>78</v>
      </c>
      <c r="T8310" t="s">
        <v>55</v>
      </c>
      <c r="U8310" t="s">
        <v>78</v>
      </c>
      <c r="V8310" t="s">
        <v>55</v>
      </c>
      <c r="W8310" t="s">
        <v>78</v>
      </c>
      <c r="X8310" t="s">
        <v>55</v>
      </c>
      <c r="Y8310" t="s">
        <v>78</v>
      </c>
      <c r="Z8310" t="s">
        <v>55</v>
      </c>
      <c r="AA8310" t="s">
        <v>78</v>
      </c>
      <c r="AB8310" t="s">
        <v>55</v>
      </c>
      <c r="AC8310" t="s">
        <v>78</v>
      </c>
      <c r="AD8310" t="s">
        <v>55</v>
      </c>
      <c r="AE8310" t="s">
        <v>78</v>
      </c>
      <c r="AF8310" t="s">
        <v>55</v>
      </c>
      <c r="AG8310" t="s">
        <v>78</v>
      </c>
      <c r="AH8310" t="s">
        <v>55</v>
      </c>
      <c r="AI8310" t="s">
        <v>78</v>
      </c>
      <c r="AK8310" t="s">
        <v>366</v>
      </c>
    </row>
    <row r="8311" spans="1:37">
      <c r="B8311" t="s">
        <v>56</v>
      </c>
      <c r="C8311" t="s">
        <v>56</v>
      </c>
      <c r="D8311" t="s">
        <v>56</v>
      </c>
      <c r="E8311" t="s">
        <v>56</v>
      </c>
      <c r="F8311" t="s">
        <v>56</v>
      </c>
      <c r="G8311" t="s">
        <v>176</v>
      </c>
      <c r="H8311" t="s">
        <v>211</v>
      </c>
      <c r="I8311" t="s">
        <v>231</v>
      </c>
      <c r="J8311" t="s">
        <v>250</v>
      </c>
      <c r="K8311" t="s">
        <v>264</v>
      </c>
      <c r="L8311" t="s">
        <v>276</v>
      </c>
      <c r="M8311" t="s">
        <v>285</v>
      </c>
      <c r="N8311" t="s">
        <v>295</v>
      </c>
      <c r="O8311" t="s">
        <v>303</v>
      </c>
      <c r="P8311" t="s">
        <v>56</v>
      </c>
      <c r="Q8311" t="s">
        <v>317</v>
      </c>
      <c r="R8311" t="s">
        <v>324</v>
      </c>
      <c r="S8311" t="s">
        <v>331</v>
      </c>
      <c r="T8311" t="s">
        <v>334</v>
      </c>
      <c r="U8311" t="s">
        <v>338</v>
      </c>
      <c r="V8311" t="s">
        <v>342</v>
      </c>
      <c r="W8311" t="s">
        <v>346</v>
      </c>
      <c r="X8311" t="s">
        <v>351</v>
      </c>
      <c r="AK8311" t="s">
        <v>366</v>
      </c>
    </row>
    <row r="8312" spans="1:37">
      <c r="B8312" t="s">
        <v>57</v>
      </c>
      <c r="C8312" t="s">
        <v>79</v>
      </c>
      <c r="D8312" t="s">
        <v>98</v>
      </c>
      <c r="E8312" t="s">
        <v>117</v>
      </c>
      <c r="F8312" t="s">
        <v>151</v>
      </c>
      <c r="G8312" t="s">
        <v>177</v>
      </c>
      <c r="H8312" t="s">
        <v>212</v>
      </c>
      <c r="I8312" t="s">
        <v>232</v>
      </c>
      <c r="J8312" t="s">
        <v>251</v>
      </c>
      <c r="K8312" t="s">
        <v>265</v>
      </c>
      <c r="L8312" t="s">
        <v>277</v>
      </c>
      <c r="M8312" t="s">
        <v>286</v>
      </c>
      <c r="N8312" t="s">
        <v>296</v>
      </c>
      <c r="O8312" t="s">
        <v>304</v>
      </c>
      <c r="P8312" t="s">
        <v>311</v>
      </c>
      <c r="Q8312" t="s">
        <v>318</v>
      </c>
      <c r="R8312" t="s">
        <v>185</v>
      </c>
      <c r="S8312" t="s">
        <v>159</v>
      </c>
      <c r="T8312" t="s">
        <v>185</v>
      </c>
      <c r="U8312" t="s">
        <v>339</v>
      </c>
      <c r="V8312" t="s">
        <v>72</v>
      </c>
      <c r="W8312" t="s">
        <v>347</v>
      </c>
      <c r="X8312" t="s">
        <v>72</v>
      </c>
      <c r="Y8312" t="s">
        <v>96</v>
      </c>
      <c r="AK8312" t="s">
        <v>366</v>
      </c>
    </row>
    <row r="8313" spans="1:37">
      <c r="B8313" t="s">
        <v>58</v>
      </c>
      <c r="C8313" t="s">
        <v>80</v>
      </c>
      <c r="D8313" t="s">
        <v>99</v>
      </c>
      <c r="E8313" t="s">
        <v>118</v>
      </c>
      <c r="F8313" t="s">
        <v>152</v>
      </c>
      <c r="G8313" t="s">
        <v>178</v>
      </c>
      <c r="H8313" t="s">
        <v>213</v>
      </c>
      <c r="I8313" t="s">
        <v>233</v>
      </c>
      <c r="J8313" t="s">
        <v>252</v>
      </c>
      <c r="K8313" t="s">
        <v>266</v>
      </c>
      <c r="L8313" t="s">
        <v>278</v>
      </c>
      <c r="M8313" t="s">
        <v>287</v>
      </c>
      <c r="N8313" t="s">
        <v>297</v>
      </c>
      <c r="O8313" t="s">
        <v>305</v>
      </c>
      <c r="P8313" t="s">
        <v>312</v>
      </c>
      <c r="Q8313" t="s">
        <v>319</v>
      </c>
      <c r="R8313">
        <f>&gt;10       ветра      2.4     18   7</f>
        <v>0</v>
      </c>
      <c r="AK8313" t="s">
        <v>366</v>
      </c>
    </row>
    <row r="8314" spans="1:37">
      <c r="A8314" t="s">
        <v>40</v>
      </c>
      <c r="B8314" t="s">
        <v>59</v>
      </c>
      <c r="C8314" t="s">
        <v>81</v>
      </c>
      <c r="D8314" t="s">
        <v>100</v>
      </c>
      <c r="E8314" t="s">
        <v>119</v>
      </c>
      <c r="F8314" t="s">
        <v>153</v>
      </c>
      <c r="G8314" t="s">
        <v>179</v>
      </c>
      <c r="H8314" t="s">
        <v>214</v>
      </c>
      <c r="I8314" t="s">
        <v>234</v>
      </c>
      <c r="AK8314" t="s">
        <v>366</v>
      </c>
    </row>
    <row r="8315" spans="1:37">
      <c r="A8315" t="s">
        <v>40</v>
      </c>
      <c r="B8315" t="s">
        <v>60</v>
      </c>
      <c r="C8315" t="s">
        <v>82</v>
      </c>
      <c r="D8315" t="s">
        <v>101</v>
      </c>
      <c r="E8315" t="s">
        <v>120</v>
      </c>
      <c r="F8315" t="s">
        <v>154</v>
      </c>
      <c r="G8315" t="s">
        <v>180</v>
      </c>
      <c r="H8315" t="s">
        <v>215</v>
      </c>
      <c r="I8315" t="s">
        <v>235</v>
      </c>
      <c r="J8315" t="s">
        <v>253</v>
      </c>
      <c r="K8315" t="s">
        <v>267</v>
      </c>
      <c r="L8315" t="s">
        <v>279</v>
      </c>
      <c r="M8315" t="s">
        <v>288</v>
      </c>
      <c r="N8315" t="s">
        <v>100</v>
      </c>
      <c r="O8315" t="s">
        <v>306</v>
      </c>
      <c r="P8315" t="s">
        <v>313</v>
      </c>
      <c r="Q8315" t="s">
        <v>320</v>
      </c>
      <c r="R8315" t="s">
        <v>325</v>
      </c>
      <c r="S8315" t="s">
        <v>332</v>
      </c>
      <c r="T8315" t="s">
        <v>119</v>
      </c>
      <c r="U8315" t="s">
        <v>234</v>
      </c>
      <c r="V8315" t="s">
        <v>343</v>
      </c>
      <c r="W8315" t="s">
        <v>348</v>
      </c>
      <c r="X8315" t="s">
        <v>352</v>
      </c>
      <c r="Y8315" t="s">
        <v>354</v>
      </c>
      <c r="AK8315" t="s">
        <v>366</v>
      </c>
    </row>
    <row r="8316" spans="1:37">
      <c r="A8316" t="s">
        <v>41</v>
      </c>
      <c r="B8316" t="s">
        <v>61</v>
      </c>
      <c r="C8316" t="s">
        <v>83</v>
      </c>
      <c r="D8316" t="s">
        <v>102</v>
      </c>
      <c r="E8316" t="s">
        <v>121</v>
      </c>
      <c r="F8316" t="s">
        <v>155</v>
      </c>
      <c r="G8316" t="s">
        <v>181</v>
      </c>
      <c r="H8316" t="s">
        <v>216</v>
      </c>
      <c r="I8316" t="s">
        <v>236</v>
      </c>
      <c r="AK8316" t="s">
        <v>366</v>
      </c>
    </row>
    <row r="8317" spans="1:37">
      <c r="A8317" t="s">
        <v>42</v>
      </c>
      <c r="B8317" t="s">
        <v>62</v>
      </c>
      <c r="C8317" t="s">
        <v>84</v>
      </c>
      <c r="D8317" t="s">
        <v>103</v>
      </c>
      <c r="E8317" t="s">
        <v>122</v>
      </c>
      <c r="F8317" t="s">
        <v>156</v>
      </c>
      <c r="G8317" t="s">
        <v>182</v>
      </c>
      <c r="H8317" t="s">
        <v>83</v>
      </c>
      <c r="I8317" t="s">
        <v>237</v>
      </c>
      <c r="J8317" t="s">
        <v>254</v>
      </c>
      <c r="K8317" t="s">
        <v>268</v>
      </c>
      <c r="L8317" t="s">
        <v>280</v>
      </c>
      <c r="M8317" t="s">
        <v>289</v>
      </c>
      <c r="N8317" t="s">
        <v>298</v>
      </c>
      <c r="O8317" t="s">
        <v>307</v>
      </c>
      <c r="P8317" t="s">
        <v>314</v>
      </c>
      <c r="Q8317" t="s">
        <v>216</v>
      </c>
      <c r="R8317" t="s">
        <v>326</v>
      </c>
      <c r="S8317" t="s">
        <v>333</v>
      </c>
      <c r="T8317" t="s">
        <v>335</v>
      </c>
      <c r="U8317" t="s">
        <v>340</v>
      </c>
      <c r="V8317" t="s">
        <v>344</v>
      </c>
      <c r="W8317" t="s">
        <v>349</v>
      </c>
      <c r="AK8317" t="s">
        <v>366</v>
      </c>
    </row>
    <row r="8318" spans="1:37">
      <c r="A8318" t="s">
        <v>43</v>
      </c>
      <c r="B8318" t="s">
        <v>63</v>
      </c>
      <c r="C8318" t="s">
        <v>85</v>
      </c>
      <c r="D8318" t="s">
        <v>104</v>
      </c>
      <c r="E8318" t="s">
        <v>123</v>
      </c>
      <c r="F8318" t="s">
        <v>157</v>
      </c>
      <c r="G8318" t="s">
        <v>183</v>
      </c>
      <c r="AK8318" t="s">
        <v>366</v>
      </c>
    </row>
    <row r="8319" spans="1:37">
      <c r="A8319" t="s">
        <v>44</v>
      </c>
      <c r="B8319" t="s">
        <v>64</v>
      </c>
      <c r="C8319" t="s">
        <v>86</v>
      </c>
      <c r="D8319" t="s">
        <v>105</v>
      </c>
      <c r="E8319" t="s">
        <v>124</v>
      </c>
      <c r="F8319" t="s">
        <v>158</v>
      </c>
      <c r="G8319" t="s">
        <v>184</v>
      </c>
      <c r="AK8319" t="s">
        <v>366</v>
      </c>
    </row>
    <row r="8320" spans="1:37">
      <c r="A8320" t="s">
        <v>45</v>
      </c>
      <c r="B8320" t="s">
        <v>65</v>
      </c>
      <c r="C8320" t="s">
        <v>87</v>
      </c>
      <c r="D8320" t="s">
        <v>106</v>
      </c>
      <c r="E8320" t="s">
        <v>125</v>
      </c>
      <c r="F8320" t="s">
        <v>159</v>
      </c>
      <c r="G8320" t="s">
        <v>185</v>
      </c>
      <c r="H8320" t="s">
        <v>159</v>
      </c>
      <c r="I8320" t="s">
        <v>185</v>
      </c>
      <c r="J8320" t="s">
        <v>255</v>
      </c>
      <c r="AK8320" t="s">
        <v>366</v>
      </c>
    </row>
    <row r="8321" spans="1:37">
      <c r="A8321" t="s">
        <v>46</v>
      </c>
      <c r="B8321" t="s">
        <v>66</v>
      </c>
      <c r="C8321" t="s">
        <v>88</v>
      </c>
      <c r="D8321" t="s">
        <v>76</v>
      </c>
      <c r="E8321" t="s">
        <v>126</v>
      </c>
      <c r="F8321" t="s">
        <v>160</v>
      </c>
      <c r="G8321" t="s">
        <v>186</v>
      </c>
      <c r="H8321" t="s">
        <v>217</v>
      </c>
      <c r="I8321" t="s">
        <v>238</v>
      </c>
      <c r="J8321" t="s">
        <v>256</v>
      </c>
      <c r="K8321" t="s">
        <v>265</v>
      </c>
      <c r="L8321" t="s">
        <v>281</v>
      </c>
      <c r="M8321" t="s">
        <v>290</v>
      </c>
      <c r="N8321" t="s">
        <v>299</v>
      </c>
      <c r="O8321" t="s">
        <v>308</v>
      </c>
      <c r="P8321" t="s">
        <v>228</v>
      </c>
      <c r="Q8321" t="s">
        <v>72</v>
      </c>
      <c r="R8321" t="s">
        <v>327</v>
      </c>
      <c r="S8321" t="s">
        <v>327</v>
      </c>
      <c r="T8321" t="s">
        <v>336</v>
      </c>
      <c r="U8321" t="s">
        <v>336</v>
      </c>
      <c r="V8321" t="s">
        <v>336</v>
      </c>
      <c r="W8321" t="s">
        <v>336</v>
      </c>
      <c r="X8321" t="s">
        <v>353</v>
      </c>
      <c r="AK8321" t="s">
        <v>366</v>
      </c>
    </row>
    <row r="8322" spans="1:37">
      <c r="A8322" t="s">
        <v>37</v>
      </c>
      <c r="B8322" t="s">
        <v>49</v>
      </c>
      <c r="C8322" t="s">
        <v>73</v>
      </c>
      <c r="D8322" t="s">
        <v>94</v>
      </c>
      <c r="E8322" t="s">
        <v>112</v>
      </c>
      <c r="F8322" t="s">
        <v>146</v>
      </c>
      <c r="G8322" t="s">
        <v>172</v>
      </c>
      <c r="H8322" t="s">
        <v>207</v>
      </c>
      <c r="I8322" t="s">
        <v>226</v>
      </c>
      <c r="J8322" t="s">
        <v>246</v>
      </c>
      <c r="K8322" t="s">
        <v>259</v>
      </c>
      <c r="AK8322" t="s">
        <v>366</v>
      </c>
    </row>
    <row r="8323" spans="1:37">
      <c r="A8323" t="s">
        <v>38</v>
      </c>
      <c r="B8323" t="s">
        <v>50</v>
      </c>
      <c r="C8323" t="s">
        <v>74</v>
      </c>
      <c r="D8323" t="s">
        <v>95</v>
      </c>
      <c r="E8323" t="s">
        <v>113</v>
      </c>
      <c r="F8323" t="s">
        <v>147</v>
      </c>
      <c r="G8323" t="s">
        <v>173</v>
      </c>
      <c r="H8323" t="s">
        <v>208</v>
      </c>
      <c r="I8323" t="s">
        <v>227</v>
      </c>
      <c r="J8323" t="s">
        <v>115</v>
      </c>
      <c r="K8323" t="s">
        <v>260</v>
      </c>
      <c r="L8323" t="s">
        <v>273</v>
      </c>
      <c r="M8323" t="s">
        <v>282</v>
      </c>
      <c r="N8323" t="s">
        <v>291</v>
      </c>
      <c r="AK8323" t="s">
        <v>366</v>
      </c>
    </row>
    <row r="8324" spans="1:37">
      <c r="B8324" t="s">
        <v>51</v>
      </c>
      <c r="C8324" t="s">
        <v>75</v>
      </c>
      <c r="D8324" t="s">
        <v>52</v>
      </c>
      <c r="E8324" t="s">
        <v>114</v>
      </c>
      <c r="F8324" t="s">
        <v>148</v>
      </c>
      <c r="G8324" t="s">
        <v>148</v>
      </c>
      <c r="H8324" t="s">
        <v>209</v>
      </c>
      <c r="I8324" t="s">
        <v>228</v>
      </c>
      <c r="J8324" t="s">
        <v>247</v>
      </c>
      <c r="K8324" t="s">
        <v>261</v>
      </c>
      <c r="L8324" t="s">
        <v>274</v>
      </c>
      <c r="M8324" t="s">
        <v>283</v>
      </c>
      <c r="N8324" t="s">
        <v>292</v>
      </c>
      <c r="O8324" t="s">
        <v>300</v>
      </c>
      <c r="AK8324" t="s">
        <v>366</v>
      </c>
    </row>
    <row r="8325" spans="1:37">
      <c r="B8325" t="s">
        <v>52</v>
      </c>
      <c r="C8325" t="s">
        <v>76</v>
      </c>
      <c r="D8325" t="s">
        <v>96</v>
      </c>
      <c r="E8325" t="s">
        <v>115</v>
      </c>
      <c r="F8325" t="s">
        <v>149</v>
      </c>
      <c r="G8325" t="s">
        <v>174</v>
      </c>
      <c r="H8325" t="s">
        <v>96</v>
      </c>
      <c r="I8325" t="s">
        <v>229</v>
      </c>
      <c r="J8325" t="s">
        <v>248</v>
      </c>
      <c r="K8325" t="s">
        <v>262</v>
      </c>
      <c r="L8325" t="s">
        <v>52</v>
      </c>
      <c r="M8325" t="s">
        <v>76</v>
      </c>
      <c r="N8325" t="s">
        <v>293</v>
      </c>
      <c r="O8325" t="s">
        <v>301</v>
      </c>
      <c r="P8325" t="s">
        <v>309</v>
      </c>
      <c r="Q8325" t="s">
        <v>315</v>
      </c>
      <c r="R8325" t="s">
        <v>228</v>
      </c>
      <c r="S8325" t="s">
        <v>328</v>
      </c>
      <c r="T8325" t="s">
        <v>149</v>
      </c>
      <c r="U8325" t="s">
        <v>337</v>
      </c>
      <c r="V8325" t="s">
        <v>341</v>
      </c>
      <c r="W8325" t="s">
        <v>345</v>
      </c>
      <c r="X8325" t="s">
        <v>350</v>
      </c>
      <c r="AK8325" t="s">
        <v>366</v>
      </c>
    </row>
    <row r="8326" spans="1:37">
      <c r="B8326" t="s">
        <v>53</v>
      </c>
      <c r="C8326" t="s">
        <v>77</v>
      </c>
      <c r="D8326" t="s">
        <v>97</v>
      </c>
      <c r="E8326" t="s">
        <v>116</v>
      </c>
      <c r="F8326" t="s">
        <v>150</v>
      </c>
      <c r="G8326" t="s">
        <v>175</v>
      </c>
      <c r="H8326" t="s">
        <v>210</v>
      </c>
      <c r="I8326" t="s">
        <v>230</v>
      </c>
      <c r="J8326" t="s">
        <v>249</v>
      </c>
      <c r="K8326" t="s">
        <v>263</v>
      </c>
      <c r="L8326" t="s">
        <v>275</v>
      </c>
      <c r="M8326" t="s">
        <v>284</v>
      </c>
      <c r="N8326" t="s">
        <v>294</v>
      </c>
      <c r="O8326" t="s">
        <v>302</v>
      </c>
      <c r="P8326" t="s">
        <v>310</v>
      </c>
      <c r="Q8326" t="s">
        <v>316</v>
      </c>
      <c r="R8326" t="s">
        <v>322</v>
      </c>
      <c r="S8326" t="s">
        <v>329</v>
      </c>
      <c r="AK8326" t="s">
        <v>366</v>
      </c>
    </row>
    <row r="8327" spans="1:37">
      <c r="A8327" t="s">
        <v>39</v>
      </c>
      <c r="B8327" t="s">
        <v>54</v>
      </c>
      <c r="C8327" t="s">
        <v>54</v>
      </c>
      <c r="D8327" t="s">
        <v>54</v>
      </c>
      <c r="E8327" t="s">
        <v>54</v>
      </c>
      <c r="F8327" t="s">
        <v>54</v>
      </c>
      <c r="G8327" t="s">
        <v>54</v>
      </c>
      <c r="H8327" t="s">
        <v>54</v>
      </c>
      <c r="I8327" t="s">
        <v>54</v>
      </c>
      <c r="J8327" t="s">
        <v>54</v>
      </c>
      <c r="K8327" t="s">
        <v>54</v>
      </c>
      <c r="L8327" t="s">
        <v>54</v>
      </c>
      <c r="M8327" t="s">
        <v>54</v>
      </c>
      <c r="N8327" t="s">
        <v>54</v>
      </c>
      <c r="O8327" t="s">
        <v>54</v>
      </c>
      <c r="P8327" t="s">
        <v>54</v>
      </c>
      <c r="Q8327" t="s">
        <v>54</v>
      </c>
      <c r="R8327" t="s">
        <v>323</v>
      </c>
      <c r="S8327" t="s">
        <v>330</v>
      </c>
      <c r="AK8327" t="s">
        <v>366</v>
      </c>
    </row>
    <row r="8328" spans="1:37">
      <c r="B8328" t="s">
        <v>55</v>
      </c>
      <c r="C8328" t="s">
        <v>78</v>
      </c>
      <c r="D8328" t="s">
        <v>55</v>
      </c>
      <c r="E8328" t="s">
        <v>78</v>
      </c>
      <c r="F8328" t="s">
        <v>55</v>
      </c>
      <c r="G8328" t="s">
        <v>78</v>
      </c>
      <c r="H8328" t="s">
        <v>55</v>
      </c>
      <c r="I8328" t="s">
        <v>78</v>
      </c>
      <c r="J8328" t="s">
        <v>55</v>
      </c>
      <c r="K8328" t="s">
        <v>78</v>
      </c>
      <c r="L8328" t="s">
        <v>55</v>
      </c>
      <c r="M8328" t="s">
        <v>78</v>
      </c>
      <c r="N8328" t="s">
        <v>55</v>
      </c>
      <c r="O8328" t="s">
        <v>78</v>
      </c>
      <c r="P8328" t="s">
        <v>55</v>
      </c>
      <c r="Q8328" t="s">
        <v>78</v>
      </c>
      <c r="R8328" t="s">
        <v>55</v>
      </c>
      <c r="S8328" t="s">
        <v>78</v>
      </c>
      <c r="T8328" t="s">
        <v>55</v>
      </c>
      <c r="U8328" t="s">
        <v>78</v>
      </c>
      <c r="V8328" t="s">
        <v>55</v>
      </c>
      <c r="W8328" t="s">
        <v>78</v>
      </c>
      <c r="X8328" t="s">
        <v>55</v>
      </c>
      <c r="Y8328" t="s">
        <v>78</v>
      </c>
      <c r="Z8328" t="s">
        <v>55</v>
      </c>
      <c r="AA8328" t="s">
        <v>78</v>
      </c>
      <c r="AB8328" t="s">
        <v>55</v>
      </c>
      <c r="AC8328" t="s">
        <v>78</v>
      </c>
      <c r="AD8328" t="s">
        <v>55</v>
      </c>
      <c r="AE8328" t="s">
        <v>78</v>
      </c>
      <c r="AF8328" t="s">
        <v>55</v>
      </c>
      <c r="AG8328" t="s">
        <v>78</v>
      </c>
      <c r="AH8328" t="s">
        <v>55</v>
      </c>
      <c r="AI8328" t="s">
        <v>78</v>
      </c>
      <c r="AK8328" t="s">
        <v>366</v>
      </c>
    </row>
    <row r="8329" spans="1:37">
      <c r="B8329" t="s">
        <v>56</v>
      </c>
      <c r="C8329" t="s">
        <v>56</v>
      </c>
      <c r="D8329" t="s">
        <v>56</v>
      </c>
      <c r="E8329" t="s">
        <v>56</v>
      </c>
      <c r="F8329" t="s">
        <v>56</v>
      </c>
      <c r="G8329" t="s">
        <v>176</v>
      </c>
      <c r="H8329" t="s">
        <v>211</v>
      </c>
      <c r="I8329" t="s">
        <v>231</v>
      </c>
      <c r="J8329" t="s">
        <v>250</v>
      </c>
      <c r="K8329" t="s">
        <v>264</v>
      </c>
      <c r="L8329" t="s">
        <v>276</v>
      </c>
      <c r="M8329" t="s">
        <v>285</v>
      </c>
      <c r="N8329" t="s">
        <v>295</v>
      </c>
      <c r="O8329" t="s">
        <v>303</v>
      </c>
      <c r="P8329" t="s">
        <v>56</v>
      </c>
      <c r="Q8329" t="s">
        <v>317</v>
      </c>
      <c r="R8329" t="s">
        <v>324</v>
      </c>
      <c r="S8329" t="s">
        <v>331</v>
      </c>
      <c r="T8329" t="s">
        <v>334</v>
      </c>
      <c r="U8329" t="s">
        <v>338</v>
      </c>
      <c r="V8329" t="s">
        <v>342</v>
      </c>
      <c r="W8329" t="s">
        <v>346</v>
      </c>
      <c r="X8329" t="s">
        <v>351</v>
      </c>
      <c r="AK8329" t="s">
        <v>366</v>
      </c>
    </row>
    <row r="8330" spans="1:37">
      <c r="B8330" t="s">
        <v>57</v>
      </c>
      <c r="C8330" t="s">
        <v>79</v>
      </c>
      <c r="D8330" t="s">
        <v>98</v>
      </c>
      <c r="E8330" t="s">
        <v>117</v>
      </c>
      <c r="F8330" t="s">
        <v>151</v>
      </c>
      <c r="G8330" t="s">
        <v>177</v>
      </c>
      <c r="H8330" t="s">
        <v>212</v>
      </c>
      <c r="I8330" t="s">
        <v>232</v>
      </c>
      <c r="J8330" t="s">
        <v>251</v>
      </c>
      <c r="K8330" t="s">
        <v>265</v>
      </c>
      <c r="L8330" t="s">
        <v>277</v>
      </c>
      <c r="M8330" t="s">
        <v>286</v>
      </c>
      <c r="N8330" t="s">
        <v>296</v>
      </c>
      <c r="O8330" t="s">
        <v>304</v>
      </c>
      <c r="P8330" t="s">
        <v>311</v>
      </c>
      <c r="Q8330" t="s">
        <v>318</v>
      </c>
      <c r="R8330" t="s">
        <v>185</v>
      </c>
      <c r="S8330" t="s">
        <v>159</v>
      </c>
      <c r="T8330" t="s">
        <v>185</v>
      </c>
      <c r="U8330" t="s">
        <v>339</v>
      </c>
      <c r="V8330" t="s">
        <v>72</v>
      </c>
      <c r="W8330" t="s">
        <v>347</v>
      </c>
      <c r="X8330" t="s">
        <v>72</v>
      </c>
      <c r="Y8330" t="s">
        <v>96</v>
      </c>
      <c r="AK8330" t="s">
        <v>366</v>
      </c>
    </row>
    <row r="8331" spans="1:37">
      <c r="B8331" t="s">
        <v>58</v>
      </c>
      <c r="C8331" t="s">
        <v>80</v>
      </c>
      <c r="D8331" t="s">
        <v>99</v>
      </c>
      <c r="E8331" t="s">
        <v>118</v>
      </c>
      <c r="F8331" t="s">
        <v>152</v>
      </c>
      <c r="G8331" t="s">
        <v>178</v>
      </c>
      <c r="H8331" t="s">
        <v>213</v>
      </c>
      <c r="I8331" t="s">
        <v>233</v>
      </c>
      <c r="J8331" t="s">
        <v>252</v>
      </c>
      <c r="K8331" t="s">
        <v>266</v>
      </c>
      <c r="L8331" t="s">
        <v>278</v>
      </c>
      <c r="M8331" t="s">
        <v>287</v>
      </c>
      <c r="N8331" t="s">
        <v>297</v>
      </c>
      <c r="O8331" t="s">
        <v>305</v>
      </c>
      <c r="P8331" t="s">
        <v>312</v>
      </c>
      <c r="Q8331" t="s">
        <v>319</v>
      </c>
      <c r="R8331">
        <f>&gt;10       ветра      0.6     22   7</f>
        <v>0</v>
      </c>
      <c r="AK8331" t="s">
        <v>366</v>
      </c>
    </row>
    <row r="8332" spans="1:37">
      <c r="A8332" t="s">
        <v>40</v>
      </c>
      <c r="B8332" t="s">
        <v>59</v>
      </c>
      <c r="C8332" t="s">
        <v>81</v>
      </c>
      <c r="D8332" t="s">
        <v>100</v>
      </c>
      <c r="E8332" t="s">
        <v>119</v>
      </c>
      <c r="F8332" t="s">
        <v>153</v>
      </c>
      <c r="G8332" t="s">
        <v>179</v>
      </c>
      <c r="H8332" t="s">
        <v>214</v>
      </c>
      <c r="I8332" t="s">
        <v>234</v>
      </c>
      <c r="AK8332" t="s">
        <v>366</v>
      </c>
    </row>
    <row r="8333" spans="1:37">
      <c r="A8333" t="s">
        <v>40</v>
      </c>
      <c r="B8333" t="s">
        <v>60</v>
      </c>
      <c r="C8333" t="s">
        <v>82</v>
      </c>
      <c r="D8333" t="s">
        <v>101</v>
      </c>
      <c r="E8333" t="s">
        <v>120</v>
      </c>
      <c r="F8333" t="s">
        <v>154</v>
      </c>
      <c r="G8333" t="s">
        <v>180</v>
      </c>
      <c r="H8333" t="s">
        <v>215</v>
      </c>
      <c r="I8333" t="s">
        <v>235</v>
      </c>
      <c r="J8333" t="s">
        <v>253</v>
      </c>
      <c r="K8333" t="s">
        <v>267</v>
      </c>
      <c r="L8333" t="s">
        <v>279</v>
      </c>
      <c r="M8333" t="s">
        <v>288</v>
      </c>
      <c r="N8333" t="s">
        <v>100</v>
      </c>
      <c r="O8333" t="s">
        <v>306</v>
      </c>
      <c r="P8333" t="s">
        <v>313</v>
      </c>
      <c r="Q8333" t="s">
        <v>320</v>
      </c>
      <c r="R8333" t="s">
        <v>325</v>
      </c>
      <c r="S8333" t="s">
        <v>332</v>
      </c>
      <c r="T8333" t="s">
        <v>119</v>
      </c>
      <c r="U8333" t="s">
        <v>234</v>
      </c>
      <c r="V8333" t="s">
        <v>343</v>
      </c>
      <c r="W8333" t="s">
        <v>348</v>
      </c>
      <c r="X8333" t="s">
        <v>352</v>
      </c>
      <c r="Y8333" t="s">
        <v>354</v>
      </c>
      <c r="AK8333" t="s">
        <v>366</v>
      </c>
    </row>
    <row r="8334" spans="1:37">
      <c r="A8334" t="s">
        <v>41</v>
      </c>
      <c r="B8334" t="s">
        <v>61</v>
      </c>
      <c r="C8334" t="s">
        <v>83</v>
      </c>
      <c r="D8334" t="s">
        <v>102</v>
      </c>
      <c r="E8334" t="s">
        <v>121</v>
      </c>
      <c r="F8334" t="s">
        <v>155</v>
      </c>
      <c r="G8334" t="s">
        <v>181</v>
      </c>
      <c r="H8334" t="s">
        <v>216</v>
      </c>
      <c r="I8334" t="s">
        <v>236</v>
      </c>
      <c r="AK8334" t="s">
        <v>366</v>
      </c>
    </row>
    <row r="8335" spans="1:37">
      <c r="A8335" t="s">
        <v>42</v>
      </c>
      <c r="B8335" t="s">
        <v>62</v>
      </c>
      <c r="C8335" t="s">
        <v>84</v>
      </c>
      <c r="D8335" t="s">
        <v>103</v>
      </c>
      <c r="E8335" t="s">
        <v>122</v>
      </c>
      <c r="F8335" t="s">
        <v>156</v>
      </c>
      <c r="G8335" t="s">
        <v>182</v>
      </c>
      <c r="H8335" t="s">
        <v>83</v>
      </c>
      <c r="I8335" t="s">
        <v>237</v>
      </c>
      <c r="J8335" t="s">
        <v>254</v>
      </c>
      <c r="K8335" t="s">
        <v>268</v>
      </c>
      <c r="L8335" t="s">
        <v>280</v>
      </c>
      <c r="M8335" t="s">
        <v>289</v>
      </c>
      <c r="N8335" t="s">
        <v>298</v>
      </c>
      <c r="O8335" t="s">
        <v>307</v>
      </c>
      <c r="P8335" t="s">
        <v>314</v>
      </c>
      <c r="Q8335" t="s">
        <v>216</v>
      </c>
      <c r="R8335" t="s">
        <v>326</v>
      </c>
      <c r="S8335" t="s">
        <v>333</v>
      </c>
      <c r="T8335" t="s">
        <v>335</v>
      </c>
      <c r="U8335" t="s">
        <v>340</v>
      </c>
      <c r="V8335" t="s">
        <v>344</v>
      </c>
      <c r="W8335" t="s">
        <v>349</v>
      </c>
      <c r="AK8335" t="s">
        <v>366</v>
      </c>
    </row>
    <row r="8336" spans="1:37">
      <c r="A8336" t="s">
        <v>43</v>
      </c>
      <c r="B8336" t="s">
        <v>63</v>
      </c>
      <c r="C8336" t="s">
        <v>85</v>
      </c>
      <c r="D8336" t="s">
        <v>104</v>
      </c>
      <c r="E8336" t="s">
        <v>123</v>
      </c>
      <c r="F8336" t="s">
        <v>157</v>
      </c>
      <c r="G8336" t="s">
        <v>183</v>
      </c>
      <c r="AK8336" t="s">
        <v>366</v>
      </c>
    </row>
    <row r="8337" spans="1:37">
      <c r="A8337" t="s">
        <v>44</v>
      </c>
      <c r="B8337" t="s">
        <v>64</v>
      </c>
      <c r="C8337" t="s">
        <v>86</v>
      </c>
      <c r="D8337" t="s">
        <v>105</v>
      </c>
      <c r="E8337" t="s">
        <v>124</v>
      </c>
      <c r="F8337" t="s">
        <v>158</v>
      </c>
      <c r="G8337" t="s">
        <v>184</v>
      </c>
      <c r="AK8337" t="s">
        <v>366</v>
      </c>
    </row>
    <row r="8338" spans="1:37">
      <c r="A8338" t="s">
        <v>45</v>
      </c>
      <c r="B8338" t="s">
        <v>65</v>
      </c>
      <c r="C8338" t="s">
        <v>87</v>
      </c>
      <c r="D8338" t="s">
        <v>106</v>
      </c>
      <c r="E8338" t="s">
        <v>125</v>
      </c>
      <c r="F8338" t="s">
        <v>159</v>
      </c>
      <c r="G8338" t="s">
        <v>185</v>
      </c>
      <c r="H8338" t="s">
        <v>159</v>
      </c>
      <c r="I8338" t="s">
        <v>185</v>
      </c>
      <c r="J8338" t="s">
        <v>255</v>
      </c>
      <c r="AK8338" t="s">
        <v>366</v>
      </c>
    </row>
    <row r="8339" spans="1:37">
      <c r="A8339" t="s">
        <v>46</v>
      </c>
      <c r="B8339" t="s">
        <v>66</v>
      </c>
      <c r="C8339" t="s">
        <v>88</v>
      </c>
      <c r="D8339" t="s">
        <v>76</v>
      </c>
      <c r="E8339" t="s">
        <v>126</v>
      </c>
      <c r="F8339" t="s">
        <v>160</v>
      </c>
      <c r="G8339" t="s">
        <v>186</v>
      </c>
      <c r="H8339" t="s">
        <v>217</v>
      </c>
      <c r="I8339" t="s">
        <v>238</v>
      </c>
      <c r="J8339" t="s">
        <v>256</v>
      </c>
      <c r="K8339" t="s">
        <v>265</v>
      </c>
      <c r="L8339" t="s">
        <v>281</v>
      </c>
      <c r="M8339" t="s">
        <v>290</v>
      </c>
      <c r="N8339" t="s">
        <v>299</v>
      </c>
      <c r="O8339" t="s">
        <v>308</v>
      </c>
      <c r="P8339" t="s">
        <v>228</v>
      </c>
      <c r="Q8339" t="s">
        <v>72</v>
      </c>
      <c r="R8339" t="s">
        <v>327</v>
      </c>
      <c r="S8339" t="s">
        <v>327</v>
      </c>
      <c r="T8339" t="s">
        <v>336</v>
      </c>
      <c r="U8339" t="s">
        <v>336</v>
      </c>
      <c r="V8339" t="s">
        <v>336</v>
      </c>
      <c r="W8339" t="s">
        <v>336</v>
      </c>
      <c r="X8339" t="s">
        <v>353</v>
      </c>
      <c r="AK8339" t="s">
        <v>366</v>
      </c>
    </row>
    <row r="8340" spans="1:37">
      <c r="A8340" t="s">
        <v>37</v>
      </c>
      <c r="B8340" t="s">
        <v>49</v>
      </c>
      <c r="C8340" t="s">
        <v>73</v>
      </c>
      <c r="D8340" t="s">
        <v>94</v>
      </c>
      <c r="E8340" t="s">
        <v>112</v>
      </c>
      <c r="F8340" t="s">
        <v>146</v>
      </c>
      <c r="G8340" t="s">
        <v>172</v>
      </c>
      <c r="H8340" t="s">
        <v>207</v>
      </c>
      <c r="I8340" t="s">
        <v>226</v>
      </c>
      <c r="J8340" t="s">
        <v>246</v>
      </c>
      <c r="K8340" t="s">
        <v>259</v>
      </c>
      <c r="AK8340" t="s">
        <v>366</v>
      </c>
    </row>
    <row r="8341" spans="1:37">
      <c r="A8341" t="s">
        <v>38</v>
      </c>
      <c r="B8341" t="s">
        <v>50</v>
      </c>
      <c r="C8341" t="s">
        <v>74</v>
      </c>
      <c r="D8341" t="s">
        <v>95</v>
      </c>
      <c r="E8341" t="s">
        <v>113</v>
      </c>
      <c r="F8341" t="s">
        <v>147</v>
      </c>
      <c r="G8341" t="s">
        <v>173</v>
      </c>
      <c r="H8341" t="s">
        <v>208</v>
      </c>
      <c r="I8341" t="s">
        <v>227</v>
      </c>
      <c r="J8341" t="s">
        <v>115</v>
      </c>
      <c r="K8341" t="s">
        <v>260</v>
      </c>
      <c r="L8341" t="s">
        <v>273</v>
      </c>
      <c r="M8341" t="s">
        <v>282</v>
      </c>
      <c r="N8341" t="s">
        <v>291</v>
      </c>
      <c r="AK8341" t="s">
        <v>366</v>
      </c>
    </row>
    <row r="8342" spans="1:37">
      <c r="B8342" t="s">
        <v>51</v>
      </c>
      <c r="C8342" t="s">
        <v>75</v>
      </c>
      <c r="D8342" t="s">
        <v>52</v>
      </c>
      <c r="E8342" t="s">
        <v>114</v>
      </c>
      <c r="F8342" t="s">
        <v>148</v>
      </c>
      <c r="G8342" t="s">
        <v>148</v>
      </c>
      <c r="H8342" t="s">
        <v>209</v>
      </c>
      <c r="I8342" t="s">
        <v>228</v>
      </c>
      <c r="J8342" t="s">
        <v>247</v>
      </c>
      <c r="K8342" t="s">
        <v>261</v>
      </c>
      <c r="L8342" t="s">
        <v>274</v>
      </c>
      <c r="M8342" t="s">
        <v>283</v>
      </c>
      <c r="N8342" t="s">
        <v>292</v>
      </c>
      <c r="O8342" t="s">
        <v>300</v>
      </c>
      <c r="AK8342" t="s">
        <v>366</v>
      </c>
    </row>
    <row r="8343" spans="1:37">
      <c r="B8343" t="s">
        <v>52</v>
      </c>
      <c r="C8343" t="s">
        <v>76</v>
      </c>
      <c r="D8343" t="s">
        <v>96</v>
      </c>
      <c r="E8343" t="s">
        <v>115</v>
      </c>
      <c r="F8343" t="s">
        <v>149</v>
      </c>
      <c r="G8343" t="s">
        <v>174</v>
      </c>
      <c r="H8343" t="s">
        <v>96</v>
      </c>
      <c r="I8343" t="s">
        <v>229</v>
      </c>
      <c r="J8343" t="s">
        <v>248</v>
      </c>
      <c r="K8343" t="s">
        <v>262</v>
      </c>
      <c r="L8343" t="s">
        <v>52</v>
      </c>
      <c r="M8343" t="s">
        <v>76</v>
      </c>
      <c r="N8343" t="s">
        <v>293</v>
      </c>
      <c r="O8343" t="s">
        <v>301</v>
      </c>
      <c r="P8343" t="s">
        <v>309</v>
      </c>
      <c r="Q8343" t="s">
        <v>315</v>
      </c>
      <c r="R8343" t="s">
        <v>228</v>
      </c>
      <c r="S8343" t="s">
        <v>328</v>
      </c>
      <c r="T8343" t="s">
        <v>149</v>
      </c>
      <c r="U8343" t="s">
        <v>337</v>
      </c>
      <c r="V8343" t="s">
        <v>341</v>
      </c>
      <c r="W8343" t="s">
        <v>345</v>
      </c>
      <c r="X8343" t="s">
        <v>350</v>
      </c>
      <c r="AK8343" t="s">
        <v>366</v>
      </c>
    </row>
    <row r="8344" spans="1:37">
      <c r="B8344" t="s">
        <v>53</v>
      </c>
      <c r="C8344" t="s">
        <v>77</v>
      </c>
      <c r="D8344" t="s">
        <v>97</v>
      </c>
      <c r="E8344" t="s">
        <v>116</v>
      </c>
      <c r="F8344" t="s">
        <v>150</v>
      </c>
      <c r="G8344" t="s">
        <v>175</v>
      </c>
      <c r="H8344" t="s">
        <v>210</v>
      </c>
      <c r="I8344" t="s">
        <v>230</v>
      </c>
      <c r="J8344" t="s">
        <v>249</v>
      </c>
      <c r="K8344" t="s">
        <v>263</v>
      </c>
      <c r="L8344" t="s">
        <v>275</v>
      </c>
      <c r="M8344" t="s">
        <v>284</v>
      </c>
      <c r="N8344" t="s">
        <v>294</v>
      </c>
      <c r="O8344" t="s">
        <v>302</v>
      </c>
      <c r="P8344" t="s">
        <v>310</v>
      </c>
      <c r="Q8344" t="s">
        <v>316</v>
      </c>
      <c r="R8344" t="s">
        <v>322</v>
      </c>
      <c r="S8344" t="s">
        <v>329</v>
      </c>
      <c r="AK8344" t="s">
        <v>366</v>
      </c>
    </row>
    <row r="8345" spans="1:37">
      <c r="A8345" t="s">
        <v>39</v>
      </c>
      <c r="B8345" t="s">
        <v>54</v>
      </c>
      <c r="C8345" t="s">
        <v>54</v>
      </c>
      <c r="D8345" t="s">
        <v>54</v>
      </c>
      <c r="E8345" t="s">
        <v>54</v>
      </c>
      <c r="F8345" t="s">
        <v>54</v>
      </c>
      <c r="G8345" t="s">
        <v>54</v>
      </c>
      <c r="H8345" t="s">
        <v>54</v>
      </c>
      <c r="I8345" t="s">
        <v>54</v>
      </c>
      <c r="J8345" t="s">
        <v>54</v>
      </c>
      <c r="K8345" t="s">
        <v>54</v>
      </c>
      <c r="L8345" t="s">
        <v>54</v>
      </c>
      <c r="M8345" t="s">
        <v>54</v>
      </c>
      <c r="N8345" t="s">
        <v>54</v>
      </c>
      <c r="O8345" t="s">
        <v>54</v>
      </c>
      <c r="P8345" t="s">
        <v>54</v>
      </c>
      <c r="Q8345" t="s">
        <v>54</v>
      </c>
      <c r="R8345" t="s">
        <v>323</v>
      </c>
      <c r="S8345" t="s">
        <v>330</v>
      </c>
      <c r="AK8345" t="s">
        <v>366</v>
      </c>
    </row>
    <row r="8346" spans="1:37">
      <c r="B8346" t="s">
        <v>55</v>
      </c>
      <c r="C8346" t="s">
        <v>78</v>
      </c>
      <c r="D8346" t="s">
        <v>55</v>
      </c>
      <c r="E8346" t="s">
        <v>78</v>
      </c>
      <c r="F8346" t="s">
        <v>55</v>
      </c>
      <c r="G8346" t="s">
        <v>78</v>
      </c>
      <c r="H8346" t="s">
        <v>55</v>
      </c>
      <c r="I8346" t="s">
        <v>78</v>
      </c>
      <c r="J8346" t="s">
        <v>55</v>
      </c>
      <c r="K8346" t="s">
        <v>78</v>
      </c>
      <c r="L8346" t="s">
        <v>55</v>
      </c>
      <c r="M8346" t="s">
        <v>78</v>
      </c>
      <c r="N8346" t="s">
        <v>55</v>
      </c>
      <c r="O8346" t="s">
        <v>78</v>
      </c>
      <c r="P8346" t="s">
        <v>55</v>
      </c>
      <c r="Q8346" t="s">
        <v>78</v>
      </c>
      <c r="R8346" t="s">
        <v>55</v>
      </c>
      <c r="S8346" t="s">
        <v>78</v>
      </c>
      <c r="T8346" t="s">
        <v>55</v>
      </c>
      <c r="U8346" t="s">
        <v>78</v>
      </c>
      <c r="V8346" t="s">
        <v>55</v>
      </c>
      <c r="W8346" t="s">
        <v>78</v>
      </c>
      <c r="X8346" t="s">
        <v>55</v>
      </c>
      <c r="Y8346" t="s">
        <v>78</v>
      </c>
      <c r="Z8346" t="s">
        <v>55</v>
      </c>
      <c r="AA8346" t="s">
        <v>78</v>
      </c>
      <c r="AB8346" t="s">
        <v>55</v>
      </c>
      <c r="AC8346" t="s">
        <v>78</v>
      </c>
      <c r="AD8346" t="s">
        <v>55</v>
      </c>
      <c r="AE8346" t="s">
        <v>78</v>
      </c>
      <c r="AF8346" t="s">
        <v>55</v>
      </c>
      <c r="AG8346" t="s">
        <v>78</v>
      </c>
      <c r="AH8346" t="s">
        <v>55</v>
      </c>
      <c r="AI8346" t="s">
        <v>78</v>
      </c>
      <c r="AK8346" t="s">
        <v>366</v>
      </c>
    </row>
    <row r="8347" spans="1:37">
      <c r="B8347" t="s">
        <v>56</v>
      </c>
      <c r="C8347" t="s">
        <v>56</v>
      </c>
      <c r="D8347" t="s">
        <v>56</v>
      </c>
      <c r="E8347" t="s">
        <v>56</v>
      </c>
      <c r="F8347" t="s">
        <v>56</v>
      </c>
      <c r="G8347" t="s">
        <v>176</v>
      </c>
      <c r="H8347" t="s">
        <v>211</v>
      </c>
      <c r="I8347" t="s">
        <v>231</v>
      </c>
      <c r="J8347" t="s">
        <v>250</v>
      </c>
      <c r="K8347" t="s">
        <v>264</v>
      </c>
      <c r="L8347" t="s">
        <v>276</v>
      </c>
      <c r="M8347" t="s">
        <v>285</v>
      </c>
      <c r="N8347" t="s">
        <v>295</v>
      </c>
      <c r="O8347" t="s">
        <v>303</v>
      </c>
      <c r="P8347" t="s">
        <v>56</v>
      </c>
      <c r="Q8347" t="s">
        <v>317</v>
      </c>
      <c r="R8347" t="s">
        <v>324</v>
      </c>
      <c r="S8347" t="s">
        <v>331</v>
      </c>
      <c r="T8347" t="s">
        <v>334</v>
      </c>
      <c r="U8347" t="s">
        <v>338</v>
      </c>
      <c r="V8347" t="s">
        <v>342</v>
      </c>
      <c r="W8347" t="s">
        <v>346</v>
      </c>
      <c r="X8347" t="s">
        <v>351</v>
      </c>
      <c r="AK8347" t="s">
        <v>366</v>
      </c>
    </row>
    <row r="8348" spans="1:37">
      <c r="B8348" t="s">
        <v>57</v>
      </c>
      <c r="C8348" t="s">
        <v>79</v>
      </c>
      <c r="D8348" t="s">
        <v>98</v>
      </c>
      <c r="E8348" t="s">
        <v>117</v>
      </c>
      <c r="F8348" t="s">
        <v>151</v>
      </c>
      <c r="G8348" t="s">
        <v>177</v>
      </c>
      <c r="H8348" t="s">
        <v>212</v>
      </c>
      <c r="I8348" t="s">
        <v>232</v>
      </c>
      <c r="J8348" t="s">
        <v>251</v>
      </c>
      <c r="K8348" t="s">
        <v>265</v>
      </c>
      <c r="L8348" t="s">
        <v>277</v>
      </c>
      <c r="M8348" t="s">
        <v>286</v>
      </c>
      <c r="N8348" t="s">
        <v>296</v>
      </c>
      <c r="O8348" t="s">
        <v>304</v>
      </c>
      <c r="P8348" t="s">
        <v>311</v>
      </c>
      <c r="Q8348" t="s">
        <v>318</v>
      </c>
      <c r="R8348" t="s">
        <v>185</v>
      </c>
      <c r="S8348" t="s">
        <v>159</v>
      </c>
      <c r="T8348" t="s">
        <v>185</v>
      </c>
      <c r="U8348" t="s">
        <v>339</v>
      </c>
      <c r="V8348" t="s">
        <v>72</v>
      </c>
      <c r="W8348" t="s">
        <v>347</v>
      </c>
      <c r="X8348" t="s">
        <v>72</v>
      </c>
      <c r="Y8348" t="s">
        <v>96</v>
      </c>
      <c r="AK8348" t="s">
        <v>366</v>
      </c>
    </row>
    <row r="8349" spans="1:37">
      <c r="B8349" t="s">
        <v>58</v>
      </c>
      <c r="C8349" t="s">
        <v>80</v>
      </c>
      <c r="D8349" t="s">
        <v>99</v>
      </c>
      <c r="E8349" t="s">
        <v>118</v>
      </c>
      <c r="F8349" t="s">
        <v>152</v>
      </c>
      <c r="G8349" t="s">
        <v>178</v>
      </c>
      <c r="H8349" t="s">
        <v>213</v>
      </c>
      <c r="I8349" t="s">
        <v>233</v>
      </c>
      <c r="J8349" t="s">
        <v>252</v>
      </c>
      <c r="K8349" t="s">
        <v>266</v>
      </c>
      <c r="L8349" t="s">
        <v>278</v>
      </c>
      <c r="M8349" t="s">
        <v>287</v>
      </c>
      <c r="N8349" t="s">
        <v>297</v>
      </c>
      <c r="O8349" t="s">
        <v>305</v>
      </c>
      <c r="P8349" t="s">
        <v>312</v>
      </c>
      <c r="Q8349" t="s">
        <v>319</v>
      </c>
      <c r="R8349">
        <f>&gt;10       ветра      2.0     22   7</f>
        <v>0</v>
      </c>
      <c r="AK8349" t="s">
        <v>366</v>
      </c>
    </row>
    <row r="8350" spans="1:37">
      <c r="A8350" t="s">
        <v>40</v>
      </c>
      <c r="B8350" t="s">
        <v>59</v>
      </c>
      <c r="C8350" t="s">
        <v>81</v>
      </c>
      <c r="D8350" t="s">
        <v>100</v>
      </c>
      <c r="E8350" t="s">
        <v>119</v>
      </c>
      <c r="F8350" t="s">
        <v>153</v>
      </c>
      <c r="G8350" t="s">
        <v>179</v>
      </c>
      <c r="H8350" t="s">
        <v>214</v>
      </c>
      <c r="I8350" t="s">
        <v>234</v>
      </c>
      <c r="AK8350" t="s">
        <v>366</v>
      </c>
    </row>
    <row r="8351" spans="1:37">
      <c r="A8351" t="s">
        <v>40</v>
      </c>
      <c r="B8351" t="s">
        <v>60</v>
      </c>
      <c r="C8351" t="s">
        <v>82</v>
      </c>
      <c r="D8351" t="s">
        <v>101</v>
      </c>
      <c r="E8351" t="s">
        <v>120</v>
      </c>
      <c r="F8351" t="s">
        <v>154</v>
      </c>
      <c r="G8351" t="s">
        <v>180</v>
      </c>
      <c r="H8351" t="s">
        <v>215</v>
      </c>
      <c r="I8351" t="s">
        <v>235</v>
      </c>
      <c r="J8351" t="s">
        <v>253</v>
      </c>
      <c r="K8351" t="s">
        <v>267</v>
      </c>
      <c r="L8351" t="s">
        <v>279</v>
      </c>
      <c r="M8351" t="s">
        <v>288</v>
      </c>
      <c r="N8351" t="s">
        <v>100</v>
      </c>
      <c r="O8351" t="s">
        <v>306</v>
      </c>
      <c r="P8351" t="s">
        <v>313</v>
      </c>
      <c r="Q8351" t="s">
        <v>320</v>
      </c>
      <c r="R8351" t="s">
        <v>325</v>
      </c>
      <c r="S8351" t="s">
        <v>332</v>
      </c>
      <c r="T8351" t="s">
        <v>119</v>
      </c>
      <c r="U8351" t="s">
        <v>234</v>
      </c>
      <c r="V8351" t="s">
        <v>343</v>
      </c>
      <c r="W8351" t="s">
        <v>348</v>
      </c>
      <c r="X8351" t="s">
        <v>352</v>
      </c>
      <c r="Y8351" t="s">
        <v>354</v>
      </c>
      <c r="AK8351" t="s">
        <v>366</v>
      </c>
    </row>
    <row r="8352" spans="1:37">
      <c r="A8352" t="s">
        <v>41</v>
      </c>
      <c r="B8352" t="s">
        <v>61</v>
      </c>
      <c r="C8352" t="s">
        <v>83</v>
      </c>
      <c r="D8352" t="s">
        <v>102</v>
      </c>
      <c r="E8352" t="s">
        <v>121</v>
      </c>
      <c r="F8352" t="s">
        <v>155</v>
      </c>
      <c r="G8352" t="s">
        <v>181</v>
      </c>
      <c r="H8352" t="s">
        <v>216</v>
      </c>
      <c r="I8352" t="s">
        <v>236</v>
      </c>
      <c r="AK8352" t="s">
        <v>366</v>
      </c>
    </row>
    <row r="8353" spans="1:37">
      <c r="A8353" t="s">
        <v>42</v>
      </c>
      <c r="B8353" t="s">
        <v>62</v>
      </c>
      <c r="C8353" t="s">
        <v>84</v>
      </c>
      <c r="D8353" t="s">
        <v>103</v>
      </c>
      <c r="E8353" t="s">
        <v>122</v>
      </c>
      <c r="F8353" t="s">
        <v>156</v>
      </c>
      <c r="G8353" t="s">
        <v>182</v>
      </c>
      <c r="H8353" t="s">
        <v>83</v>
      </c>
      <c r="I8353" t="s">
        <v>237</v>
      </c>
      <c r="J8353" t="s">
        <v>254</v>
      </c>
      <c r="K8353" t="s">
        <v>268</v>
      </c>
      <c r="L8353" t="s">
        <v>280</v>
      </c>
      <c r="M8353" t="s">
        <v>289</v>
      </c>
      <c r="N8353" t="s">
        <v>298</v>
      </c>
      <c r="O8353" t="s">
        <v>307</v>
      </c>
      <c r="P8353" t="s">
        <v>314</v>
      </c>
      <c r="Q8353" t="s">
        <v>216</v>
      </c>
      <c r="R8353" t="s">
        <v>326</v>
      </c>
      <c r="S8353" t="s">
        <v>333</v>
      </c>
      <c r="T8353" t="s">
        <v>335</v>
      </c>
      <c r="U8353" t="s">
        <v>340</v>
      </c>
      <c r="V8353" t="s">
        <v>344</v>
      </c>
      <c r="W8353" t="s">
        <v>349</v>
      </c>
      <c r="AK8353" t="s">
        <v>366</v>
      </c>
    </row>
    <row r="8354" spans="1:37">
      <c r="A8354" t="s">
        <v>43</v>
      </c>
      <c r="B8354" t="s">
        <v>63</v>
      </c>
      <c r="C8354" t="s">
        <v>85</v>
      </c>
      <c r="D8354" t="s">
        <v>104</v>
      </c>
      <c r="E8354" t="s">
        <v>123</v>
      </c>
      <c r="F8354" t="s">
        <v>157</v>
      </c>
      <c r="G8354" t="s">
        <v>183</v>
      </c>
      <c r="AK8354" t="s">
        <v>366</v>
      </c>
    </row>
    <row r="8355" spans="1:37">
      <c r="A8355" t="s">
        <v>44</v>
      </c>
      <c r="B8355" t="s">
        <v>64</v>
      </c>
      <c r="C8355" t="s">
        <v>86</v>
      </c>
      <c r="D8355" t="s">
        <v>105</v>
      </c>
      <c r="E8355" t="s">
        <v>124</v>
      </c>
      <c r="F8355" t="s">
        <v>158</v>
      </c>
      <c r="G8355" t="s">
        <v>184</v>
      </c>
      <c r="AK8355" t="s">
        <v>366</v>
      </c>
    </row>
    <row r="8356" spans="1:37">
      <c r="A8356" t="s">
        <v>45</v>
      </c>
      <c r="B8356" t="s">
        <v>65</v>
      </c>
      <c r="C8356" t="s">
        <v>87</v>
      </c>
      <c r="D8356" t="s">
        <v>106</v>
      </c>
      <c r="E8356" t="s">
        <v>125</v>
      </c>
      <c r="F8356" t="s">
        <v>159</v>
      </c>
      <c r="G8356" t="s">
        <v>185</v>
      </c>
      <c r="H8356" t="s">
        <v>159</v>
      </c>
      <c r="I8356" t="s">
        <v>185</v>
      </c>
      <c r="J8356" t="s">
        <v>255</v>
      </c>
      <c r="AK8356" t="s">
        <v>366</v>
      </c>
    </row>
    <row r="8357" spans="1:37">
      <c r="A8357" t="s">
        <v>46</v>
      </c>
      <c r="B8357" t="s">
        <v>66</v>
      </c>
      <c r="C8357" t="s">
        <v>88</v>
      </c>
      <c r="D8357" t="s">
        <v>76</v>
      </c>
      <c r="E8357" t="s">
        <v>126</v>
      </c>
      <c r="F8357" t="s">
        <v>160</v>
      </c>
      <c r="G8357" t="s">
        <v>186</v>
      </c>
      <c r="H8357" t="s">
        <v>217</v>
      </c>
      <c r="I8357" t="s">
        <v>238</v>
      </c>
      <c r="J8357" t="s">
        <v>256</v>
      </c>
      <c r="K8357" t="s">
        <v>265</v>
      </c>
      <c r="L8357" t="s">
        <v>281</v>
      </c>
      <c r="M8357" t="s">
        <v>290</v>
      </c>
      <c r="N8357" t="s">
        <v>299</v>
      </c>
      <c r="O8357" t="s">
        <v>308</v>
      </c>
      <c r="P8357" t="s">
        <v>228</v>
      </c>
      <c r="Q8357" t="s">
        <v>72</v>
      </c>
      <c r="R8357" t="s">
        <v>327</v>
      </c>
      <c r="S8357" t="s">
        <v>327</v>
      </c>
      <c r="T8357" t="s">
        <v>336</v>
      </c>
      <c r="U8357" t="s">
        <v>336</v>
      </c>
      <c r="V8357" t="s">
        <v>336</v>
      </c>
      <c r="W8357" t="s">
        <v>336</v>
      </c>
      <c r="X8357" t="s">
        <v>353</v>
      </c>
      <c r="AK8357" t="s">
        <v>366</v>
      </c>
    </row>
    <row r="8358" spans="1:37">
      <c r="B8358" t="s">
        <v>67</v>
      </c>
      <c r="C8358" t="s">
        <v>89</v>
      </c>
      <c r="D8358" t="s">
        <v>107</v>
      </c>
      <c r="AK8358" t="s">
        <v>366</v>
      </c>
    </row>
    <row r="8359" spans="1:37">
      <c r="B8359" t="s">
        <v>68</v>
      </c>
      <c r="C8359" t="s">
        <v>90</v>
      </c>
      <c r="D8359" t="s">
        <v>108</v>
      </c>
      <c r="AK8359" t="s">
        <v>366</v>
      </c>
    </row>
    <row r="8360" spans="1:37">
      <c r="A8360" t="s">
        <v>47</v>
      </c>
      <c r="B8360" t="s">
        <v>69</v>
      </c>
      <c r="C8360" t="s">
        <v>91</v>
      </c>
      <c r="D8360" t="s">
        <v>109</v>
      </c>
      <c r="E8360" t="s">
        <v>109</v>
      </c>
      <c r="F8360" t="s">
        <v>109</v>
      </c>
      <c r="G8360" t="s">
        <v>109</v>
      </c>
      <c r="H8360" t="s">
        <v>109</v>
      </c>
      <c r="I8360" t="s">
        <v>239</v>
      </c>
      <c r="AK8360" t="s">
        <v>366</v>
      </c>
    </row>
    <row r="8361" spans="1:37">
      <c r="B8361" t="s">
        <v>70</v>
      </c>
      <c r="C8361" t="s">
        <v>92</v>
      </c>
      <c r="D8361" t="s">
        <v>110</v>
      </c>
      <c r="E8361" t="s">
        <v>127</v>
      </c>
      <c r="F8361" t="s">
        <v>161</v>
      </c>
      <c r="G8361" t="s">
        <v>187</v>
      </c>
      <c r="H8361" t="s">
        <v>218</v>
      </c>
      <c r="AK8361" t="s">
        <v>366</v>
      </c>
    </row>
    <row r="8362" spans="1:37">
      <c r="B8362" t="s">
        <v>71</v>
      </c>
      <c r="C8362" t="s">
        <v>93</v>
      </c>
      <c r="D8362" t="s">
        <v>111</v>
      </c>
      <c r="E8362" t="s">
        <v>128</v>
      </c>
      <c r="F8362" t="s">
        <v>162</v>
      </c>
      <c r="G8362" t="s">
        <v>188</v>
      </c>
      <c r="H8362" t="s">
        <v>219</v>
      </c>
      <c r="I8362" t="s">
        <v>240</v>
      </c>
      <c r="J8362" t="s">
        <v>257</v>
      </c>
      <c r="K8362" t="s">
        <v>269</v>
      </c>
      <c r="L8362" t="s">
        <v>109</v>
      </c>
      <c r="M8362" t="s">
        <v>109</v>
      </c>
      <c r="N8362" t="s">
        <v>109</v>
      </c>
      <c r="O8362" t="s">
        <v>109</v>
      </c>
      <c r="P8362" t="s">
        <v>109</v>
      </c>
      <c r="Q8362" t="s">
        <v>321</v>
      </c>
      <c r="AK8362" t="s">
        <v>366</v>
      </c>
    </row>
    <row r="8363" spans="1:37">
      <c r="A8363" t="s">
        <v>48</v>
      </c>
      <c r="B8363" t="s">
        <v>71</v>
      </c>
      <c r="C8363" t="s">
        <v>93</v>
      </c>
      <c r="D8363" t="s">
        <v>111</v>
      </c>
      <c r="E8363" t="s">
        <v>128</v>
      </c>
      <c r="F8363" t="s">
        <v>163</v>
      </c>
      <c r="G8363" t="s">
        <v>189</v>
      </c>
      <c r="H8363" t="s">
        <v>220</v>
      </c>
      <c r="I8363" t="s">
        <v>241</v>
      </c>
      <c r="J8363" t="s">
        <v>258</v>
      </c>
      <c r="K8363" t="s">
        <v>270</v>
      </c>
      <c r="AK8363" t="s">
        <v>366</v>
      </c>
    </row>
    <row r="8364" spans="1:37">
      <c r="B8364" t="s">
        <v>72</v>
      </c>
      <c r="C8364" t="s">
        <v>72</v>
      </c>
      <c r="D8364" t="s">
        <v>72</v>
      </c>
      <c r="E8364" t="s">
        <v>129</v>
      </c>
      <c r="F8364" t="s">
        <v>129</v>
      </c>
      <c r="G8364" t="s">
        <v>206</v>
      </c>
      <c r="H8364" t="s">
        <v>192</v>
      </c>
      <c r="I8364" t="s">
        <v>192</v>
      </c>
      <c r="J8364" t="s">
        <v>192</v>
      </c>
      <c r="K8364" t="s">
        <v>271</v>
      </c>
      <c r="AK8364" t="s">
        <v>366</v>
      </c>
    </row>
    <row r="8365" spans="1:37">
      <c r="A8365" t="s">
        <v>37</v>
      </c>
      <c r="B8365" t="s">
        <v>49</v>
      </c>
      <c r="C8365" t="s">
        <v>73</v>
      </c>
      <c r="D8365" t="s">
        <v>94</v>
      </c>
      <c r="E8365" t="s">
        <v>112</v>
      </c>
      <c r="F8365" t="s">
        <v>146</v>
      </c>
      <c r="G8365" t="s">
        <v>172</v>
      </c>
      <c r="H8365" t="s">
        <v>207</v>
      </c>
      <c r="I8365" t="s">
        <v>226</v>
      </c>
      <c r="J8365" t="s">
        <v>246</v>
      </c>
      <c r="K8365" t="s">
        <v>259</v>
      </c>
      <c r="AK8365" t="s">
        <v>366</v>
      </c>
    </row>
    <row r="8366" spans="1:37">
      <c r="A8366" t="s">
        <v>38</v>
      </c>
      <c r="B8366" t="s">
        <v>50</v>
      </c>
      <c r="C8366" t="s">
        <v>74</v>
      </c>
      <c r="D8366" t="s">
        <v>95</v>
      </c>
      <c r="E8366" t="s">
        <v>113</v>
      </c>
      <c r="F8366" t="s">
        <v>147</v>
      </c>
      <c r="G8366" t="s">
        <v>173</v>
      </c>
      <c r="H8366" t="s">
        <v>208</v>
      </c>
      <c r="I8366" t="s">
        <v>227</v>
      </c>
      <c r="J8366" t="s">
        <v>115</v>
      </c>
      <c r="K8366" t="s">
        <v>260</v>
      </c>
      <c r="L8366" t="s">
        <v>273</v>
      </c>
      <c r="M8366" t="s">
        <v>282</v>
      </c>
      <c r="N8366" t="s">
        <v>291</v>
      </c>
      <c r="AK8366" t="s">
        <v>366</v>
      </c>
    </row>
    <row r="8367" spans="1:37">
      <c r="B8367" t="s">
        <v>51</v>
      </c>
      <c r="C8367" t="s">
        <v>75</v>
      </c>
      <c r="D8367" t="s">
        <v>52</v>
      </c>
      <c r="E8367" t="s">
        <v>114</v>
      </c>
      <c r="F8367" t="s">
        <v>148</v>
      </c>
      <c r="G8367" t="s">
        <v>148</v>
      </c>
      <c r="H8367" t="s">
        <v>209</v>
      </c>
      <c r="I8367" t="s">
        <v>228</v>
      </c>
      <c r="J8367" t="s">
        <v>247</v>
      </c>
      <c r="K8367" t="s">
        <v>261</v>
      </c>
      <c r="L8367" t="s">
        <v>274</v>
      </c>
      <c r="M8367" t="s">
        <v>283</v>
      </c>
      <c r="N8367" t="s">
        <v>292</v>
      </c>
      <c r="O8367" t="s">
        <v>300</v>
      </c>
      <c r="AK8367" t="s">
        <v>366</v>
      </c>
    </row>
    <row r="8368" spans="1:37">
      <c r="B8368" t="s">
        <v>52</v>
      </c>
      <c r="C8368" t="s">
        <v>76</v>
      </c>
      <c r="D8368" t="s">
        <v>96</v>
      </c>
      <c r="E8368" t="s">
        <v>115</v>
      </c>
      <c r="F8368" t="s">
        <v>149</v>
      </c>
      <c r="G8368" t="s">
        <v>174</v>
      </c>
      <c r="H8368" t="s">
        <v>96</v>
      </c>
      <c r="I8368" t="s">
        <v>229</v>
      </c>
      <c r="J8368" t="s">
        <v>248</v>
      </c>
      <c r="K8368" t="s">
        <v>262</v>
      </c>
      <c r="L8368" t="s">
        <v>52</v>
      </c>
      <c r="M8368" t="s">
        <v>76</v>
      </c>
      <c r="N8368" t="s">
        <v>293</v>
      </c>
      <c r="O8368" t="s">
        <v>301</v>
      </c>
      <c r="P8368" t="s">
        <v>309</v>
      </c>
      <c r="Q8368" t="s">
        <v>315</v>
      </c>
      <c r="R8368" t="s">
        <v>228</v>
      </c>
      <c r="S8368" t="s">
        <v>328</v>
      </c>
      <c r="T8368" t="s">
        <v>149</v>
      </c>
      <c r="U8368" t="s">
        <v>337</v>
      </c>
      <c r="V8368" t="s">
        <v>341</v>
      </c>
      <c r="W8368" t="s">
        <v>345</v>
      </c>
      <c r="X8368" t="s">
        <v>350</v>
      </c>
      <c r="AK8368" t="s">
        <v>366</v>
      </c>
    </row>
    <row r="8369" spans="1:37">
      <c r="B8369" t="s">
        <v>53</v>
      </c>
      <c r="C8369" t="s">
        <v>77</v>
      </c>
      <c r="D8369" t="s">
        <v>97</v>
      </c>
      <c r="E8369" t="s">
        <v>116</v>
      </c>
      <c r="F8369" t="s">
        <v>150</v>
      </c>
      <c r="G8369" t="s">
        <v>175</v>
      </c>
      <c r="H8369" t="s">
        <v>210</v>
      </c>
      <c r="I8369" t="s">
        <v>230</v>
      </c>
      <c r="J8369" t="s">
        <v>249</v>
      </c>
      <c r="K8369" t="s">
        <v>263</v>
      </c>
      <c r="L8369" t="s">
        <v>275</v>
      </c>
      <c r="M8369" t="s">
        <v>284</v>
      </c>
      <c r="N8369" t="s">
        <v>294</v>
      </c>
      <c r="O8369" t="s">
        <v>302</v>
      </c>
      <c r="P8369" t="s">
        <v>310</v>
      </c>
      <c r="Q8369" t="s">
        <v>316</v>
      </c>
      <c r="R8369" t="s">
        <v>322</v>
      </c>
      <c r="S8369" t="s">
        <v>329</v>
      </c>
      <c r="AK8369" t="s">
        <v>366</v>
      </c>
    </row>
    <row r="8370" spans="1:37">
      <c r="A8370" t="s">
        <v>39</v>
      </c>
      <c r="B8370" t="s">
        <v>54</v>
      </c>
      <c r="C8370" t="s">
        <v>54</v>
      </c>
      <c r="D8370" t="s">
        <v>54</v>
      </c>
      <c r="E8370" t="s">
        <v>54</v>
      </c>
      <c r="F8370" t="s">
        <v>54</v>
      </c>
      <c r="G8370" t="s">
        <v>54</v>
      </c>
      <c r="H8370" t="s">
        <v>54</v>
      </c>
      <c r="I8370" t="s">
        <v>54</v>
      </c>
      <c r="J8370" t="s">
        <v>54</v>
      </c>
      <c r="K8370" t="s">
        <v>54</v>
      </c>
      <c r="L8370" t="s">
        <v>54</v>
      </c>
      <c r="M8370" t="s">
        <v>54</v>
      </c>
      <c r="N8370" t="s">
        <v>54</v>
      </c>
      <c r="O8370" t="s">
        <v>54</v>
      </c>
      <c r="P8370" t="s">
        <v>54</v>
      </c>
      <c r="Q8370" t="s">
        <v>54</v>
      </c>
      <c r="R8370" t="s">
        <v>323</v>
      </c>
      <c r="S8370" t="s">
        <v>330</v>
      </c>
      <c r="AK8370" t="s">
        <v>366</v>
      </c>
    </row>
    <row r="8371" spans="1:37">
      <c r="B8371" t="s">
        <v>55</v>
      </c>
      <c r="C8371" t="s">
        <v>78</v>
      </c>
      <c r="D8371" t="s">
        <v>55</v>
      </c>
      <c r="E8371" t="s">
        <v>78</v>
      </c>
      <c r="F8371" t="s">
        <v>55</v>
      </c>
      <c r="G8371" t="s">
        <v>78</v>
      </c>
      <c r="H8371" t="s">
        <v>55</v>
      </c>
      <c r="I8371" t="s">
        <v>78</v>
      </c>
      <c r="J8371" t="s">
        <v>55</v>
      </c>
      <c r="K8371" t="s">
        <v>78</v>
      </c>
      <c r="L8371" t="s">
        <v>55</v>
      </c>
      <c r="M8371" t="s">
        <v>78</v>
      </c>
      <c r="N8371" t="s">
        <v>55</v>
      </c>
      <c r="O8371" t="s">
        <v>78</v>
      </c>
      <c r="P8371" t="s">
        <v>55</v>
      </c>
      <c r="Q8371" t="s">
        <v>78</v>
      </c>
      <c r="R8371" t="s">
        <v>55</v>
      </c>
      <c r="S8371" t="s">
        <v>78</v>
      </c>
      <c r="T8371" t="s">
        <v>55</v>
      </c>
      <c r="U8371" t="s">
        <v>78</v>
      </c>
      <c r="V8371" t="s">
        <v>55</v>
      </c>
      <c r="W8371" t="s">
        <v>78</v>
      </c>
      <c r="X8371" t="s">
        <v>55</v>
      </c>
      <c r="Y8371" t="s">
        <v>78</v>
      </c>
      <c r="Z8371" t="s">
        <v>55</v>
      </c>
      <c r="AA8371" t="s">
        <v>78</v>
      </c>
      <c r="AB8371" t="s">
        <v>55</v>
      </c>
      <c r="AC8371" t="s">
        <v>78</v>
      </c>
      <c r="AD8371" t="s">
        <v>55</v>
      </c>
      <c r="AE8371" t="s">
        <v>78</v>
      </c>
      <c r="AF8371" t="s">
        <v>55</v>
      </c>
      <c r="AG8371" t="s">
        <v>78</v>
      </c>
      <c r="AH8371" t="s">
        <v>55</v>
      </c>
      <c r="AI8371" t="s">
        <v>78</v>
      </c>
      <c r="AK8371" t="s">
        <v>366</v>
      </c>
    </row>
    <row r="8372" spans="1:37">
      <c r="B8372" t="s">
        <v>56</v>
      </c>
      <c r="C8372" t="s">
        <v>56</v>
      </c>
      <c r="D8372" t="s">
        <v>56</v>
      </c>
      <c r="E8372" t="s">
        <v>56</v>
      </c>
      <c r="F8372" t="s">
        <v>56</v>
      </c>
      <c r="G8372" t="s">
        <v>176</v>
      </c>
      <c r="H8372" t="s">
        <v>211</v>
      </c>
      <c r="I8372" t="s">
        <v>231</v>
      </c>
      <c r="J8372" t="s">
        <v>250</v>
      </c>
      <c r="K8372" t="s">
        <v>264</v>
      </c>
      <c r="L8372" t="s">
        <v>276</v>
      </c>
      <c r="M8372" t="s">
        <v>285</v>
      </c>
      <c r="N8372" t="s">
        <v>295</v>
      </c>
      <c r="O8372" t="s">
        <v>303</v>
      </c>
      <c r="P8372" t="s">
        <v>56</v>
      </c>
      <c r="Q8372" t="s">
        <v>317</v>
      </c>
      <c r="R8372" t="s">
        <v>324</v>
      </c>
      <c r="S8372" t="s">
        <v>331</v>
      </c>
      <c r="T8372" t="s">
        <v>334</v>
      </c>
      <c r="U8372" t="s">
        <v>338</v>
      </c>
      <c r="V8372" t="s">
        <v>342</v>
      </c>
      <c r="W8372" t="s">
        <v>346</v>
      </c>
      <c r="X8372" t="s">
        <v>351</v>
      </c>
      <c r="AK8372" t="s">
        <v>366</v>
      </c>
    </row>
    <row r="8373" spans="1:37">
      <c r="B8373" t="s">
        <v>57</v>
      </c>
      <c r="C8373" t="s">
        <v>79</v>
      </c>
      <c r="D8373" t="s">
        <v>98</v>
      </c>
      <c r="E8373" t="s">
        <v>117</v>
      </c>
      <c r="F8373" t="s">
        <v>151</v>
      </c>
      <c r="G8373" t="s">
        <v>177</v>
      </c>
      <c r="H8373" t="s">
        <v>212</v>
      </c>
      <c r="I8373" t="s">
        <v>232</v>
      </c>
      <c r="J8373" t="s">
        <v>251</v>
      </c>
      <c r="K8373" t="s">
        <v>265</v>
      </c>
      <c r="L8373" t="s">
        <v>277</v>
      </c>
      <c r="M8373" t="s">
        <v>286</v>
      </c>
      <c r="N8373" t="s">
        <v>296</v>
      </c>
      <c r="O8373" t="s">
        <v>304</v>
      </c>
      <c r="P8373" t="s">
        <v>311</v>
      </c>
      <c r="Q8373" t="s">
        <v>318</v>
      </c>
      <c r="R8373" t="s">
        <v>185</v>
      </c>
      <c r="S8373" t="s">
        <v>159</v>
      </c>
      <c r="T8373" t="s">
        <v>185</v>
      </c>
      <c r="U8373" t="s">
        <v>339</v>
      </c>
      <c r="V8373" t="s">
        <v>72</v>
      </c>
      <c r="W8373" t="s">
        <v>347</v>
      </c>
      <c r="X8373" t="s">
        <v>72</v>
      </c>
      <c r="Y8373" t="s">
        <v>96</v>
      </c>
      <c r="AK8373" t="s">
        <v>366</v>
      </c>
    </row>
    <row r="8374" spans="1:37">
      <c r="B8374" t="s">
        <v>58</v>
      </c>
      <c r="C8374" t="s">
        <v>80</v>
      </c>
      <c r="D8374" t="s">
        <v>99</v>
      </c>
      <c r="E8374" t="s">
        <v>118</v>
      </c>
      <c r="F8374" t="s">
        <v>152</v>
      </c>
      <c r="G8374" t="s">
        <v>178</v>
      </c>
      <c r="H8374" t="s">
        <v>213</v>
      </c>
      <c r="I8374" t="s">
        <v>233</v>
      </c>
      <c r="J8374" t="s">
        <v>252</v>
      </c>
      <c r="K8374" t="s">
        <v>266</v>
      </c>
      <c r="L8374" t="s">
        <v>278</v>
      </c>
      <c r="M8374" t="s">
        <v>287</v>
      </c>
      <c r="N8374" t="s">
        <v>297</v>
      </c>
      <c r="O8374" t="s">
        <v>305</v>
      </c>
      <c r="P8374" t="s">
        <v>312</v>
      </c>
      <c r="Q8374" t="s">
        <v>319</v>
      </c>
      <c r="R8374">
        <f>&gt;10       ветра      3.8     17   7</f>
        <v>0</v>
      </c>
      <c r="AK8374" t="s">
        <v>366</v>
      </c>
    </row>
    <row r="8375" spans="1:37">
      <c r="A8375" t="s">
        <v>40</v>
      </c>
      <c r="B8375" t="s">
        <v>59</v>
      </c>
      <c r="C8375" t="s">
        <v>81</v>
      </c>
      <c r="D8375" t="s">
        <v>100</v>
      </c>
      <c r="E8375" t="s">
        <v>119</v>
      </c>
      <c r="F8375" t="s">
        <v>153</v>
      </c>
      <c r="G8375" t="s">
        <v>179</v>
      </c>
      <c r="H8375" t="s">
        <v>214</v>
      </c>
      <c r="I8375" t="s">
        <v>234</v>
      </c>
      <c r="AK8375" t="s">
        <v>366</v>
      </c>
    </row>
    <row r="8376" spans="1:37">
      <c r="A8376" t="s">
        <v>40</v>
      </c>
      <c r="B8376" t="s">
        <v>60</v>
      </c>
      <c r="C8376" t="s">
        <v>82</v>
      </c>
      <c r="D8376" t="s">
        <v>101</v>
      </c>
      <c r="E8376" t="s">
        <v>120</v>
      </c>
      <c r="F8376" t="s">
        <v>154</v>
      </c>
      <c r="G8376" t="s">
        <v>180</v>
      </c>
      <c r="H8376" t="s">
        <v>215</v>
      </c>
      <c r="I8376" t="s">
        <v>235</v>
      </c>
      <c r="J8376" t="s">
        <v>253</v>
      </c>
      <c r="K8376" t="s">
        <v>267</v>
      </c>
      <c r="L8376" t="s">
        <v>279</v>
      </c>
      <c r="M8376" t="s">
        <v>288</v>
      </c>
      <c r="N8376" t="s">
        <v>100</v>
      </c>
      <c r="O8376" t="s">
        <v>306</v>
      </c>
      <c r="P8376" t="s">
        <v>313</v>
      </c>
      <c r="Q8376" t="s">
        <v>320</v>
      </c>
      <c r="R8376" t="s">
        <v>325</v>
      </c>
      <c r="S8376" t="s">
        <v>332</v>
      </c>
      <c r="T8376" t="s">
        <v>119</v>
      </c>
      <c r="U8376" t="s">
        <v>234</v>
      </c>
      <c r="V8376" t="s">
        <v>343</v>
      </c>
      <c r="W8376" t="s">
        <v>348</v>
      </c>
      <c r="X8376" t="s">
        <v>352</v>
      </c>
      <c r="Y8376" t="s">
        <v>354</v>
      </c>
      <c r="AK8376" t="s">
        <v>366</v>
      </c>
    </row>
    <row r="8377" spans="1:37">
      <c r="A8377" t="s">
        <v>41</v>
      </c>
      <c r="B8377" t="s">
        <v>61</v>
      </c>
      <c r="C8377" t="s">
        <v>83</v>
      </c>
      <c r="D8377" t="s">
        <v>102</v>
      </c>
      <c r="E8377" t="s">
        <v>121</v>
      </c>
      <c r="F8377" t="s">
        <v>155</v>
      </c>
      <c r="G8377" t="s">
        <v>181</v>
      </c>
      <c r="H8377" t="s">
        <v>216</v>
      </c>
      <c r="I8377" t="s">
        <v>236</v>
      </c>
      <c r="AK8377" t="s">
        <v>366</v>
      </c>
    </row>
    <row r="8378" spans="1:37">
      <c r="A8378" t="s">
        <v>42</v>
      </c>
      <c r="B8378" t="s">
        <v>62</v>
      </c>
      <c r="C8378" t="s">
        <v>84</v>
      </c>
      <c r="D8378" t="s">
        <v>103</v>
      </c>
      <c r="E8378" t="s">
        <v>122</v>
      </c>
      <c r="F8378" t="s">
        <v>156</v>
      </c>
      <c r="G8378" t="s">
        <v>182</v>
      </c>
      <c r="H8378" t="s">
        <v>83</v>
      </c>
      <c r="I8378" t="s">
        <v>237</v>
      </c>
      <c r="J8378" t="s">
        <v>254</v>
      </c>
      <c r="K8378" t="s">
        <v>268</v>
      </c>
      <c r="L8378" t="s">
        <v>280</v>
      </c>
      <c r="M8378" t="s">
        <v>289</v>
      </c>
      <c r="N8378" t="s">
        <v>298</v>
      </c>
      <c r="O8378" t="s">
        <v>307</v>
      </c>
      <c r="P8378" t="s">
        <v>314</v>
      </c>
      <c r="Q8378" t="s">
        <v>216</v>
      </c>
      <c r="R8378" t="s">
        <v>326</v>
      </c>
      <c r="S8378" t="s">
        <v>333</v>
      </c>
      <c r="T8378" t="s">
        <v>335</v>
      </c>
      <c r="U8378" t="s">
        <v>340</v>
      </c>
      <c r="V8378" t="s">
        <v>344</v>
      </c>
      <c r="W8378" t="s">
        <v>349</v>
      </c>
      <c r="AK8378" t="s">
        <v>366</v>
      </c>
    </row>
    <row r="8379" spans="1:37">
      <c r="A8379" t="s">
        <v>43</v>
      </c>
      <c r="B8379" t="s">
        <v>63</v>
      </c>
      <c r="C8379" t="s">
        <v>85</v>
      </c>
      <c r="D8379" t="s">
        <v>104</v>
      </c>
      <c r="E8379" t="s">
        <v>123</v>
      </c>
      <c r="F8379" t="s">
        <v>157</v>
      </c>
      <c r="G8379" t="s">
        <v>183</v>
      </c>
      <c r="AK8379" t="s">
        <v>366</v>
      </c>
    </row>
    <row r="8380" spans="1:37">
      <c r="A8380" t="s">
        <v>44</v>
      </c>
      <c r="B8380" t="s">
        <v>64</v>
      </c>
      <c r="C8380" t="s">
        <v>86</v>
      </c>
      <c r="D8380" t="s">
        <v>105</v>
      </c>
      <c r="E8380" t="s">
        <v>124</v>
      </c>
      <c r="F8380" t="s">
        <v>158</v>
      </c>
      <c r="G8380" t="s">
        <v>184</v>
      </c>
      <c r="AK8380" t="s">
        <v>366</v>
      </c>
    </row>
    <row r="8381" spans="1:37">
      <c r="A8381" t="s">
        <v>45</v>
      </c>
      <c r="B8381" t="s">
        <v>65</v>
      </c>
      <c r="C8381" t="s">
        <v>87</v>
      </c>
      <c r="D8381" t="s">
        <v>106</v>
      </c>
      <c r="E8381" t="s">
        <v>125</v>
      </c>
      <c r="F8381" t="s">
        <v>159</v>
      </c>
      <c r="G8381" t="s">
        <v>185</v>
      </c>
      <c r="H8381" t="s">
        <v>159</v>
      </c>
      <c r="I8381" t="s">
        <v>185</v>
      </c>
      <c r="J8381" t="s">
        <v>255</v>
      </c>
      <c r="AK8381" t="s">
        <v>366</v>
      </c>
    </row>
    <row r="8382" spans="1:37">
      <c r="A8382" t="s">
        <v>46</v>
      </c>
      <c r="B8382" t="s">
        <v>66</v>
      </c>
      <c r="C8382" t="s">
        <v>88</v>
      </c>
      <c r="D8382" t="s">
        <v>76</v>
      </c>
      <c r="E8382" t="s">
        <v>126</v>
      </c>
      <c r="F8382" t="s">
        <v>160</v>
      </c>
      <c r="G8382" t="s">
        <v>186</v>
      </c>
      <c r="H8382" t="s">
        <v>217</v>
      </c>
      <c r="I8382" t="s">
        <v>238</v>
      </c>
      <c r="J8382" t="s">
        <v>256</v>
      </c>
      <c r="K8382" t="s">
        <v>265</v>
      </c>
      <c r="L8382" t="s">
        <v>281</v>
      </c>
      <c r="M8382" t="s">
        <v>290</v>
      </c>
      <c r="N8382" t="s">
        <v>299</v>
      </c>
      <c r="O8382" t="s">
        <v>308</v>
      </c>
      <c r="P8382" t="s">
        <v>228</v>
      </c>
      <c r="Q8382" t="s">
        <v>72</v>
      </c>
      <c r="R8382" t="s">
        <v>327</v>
      </c>
      <c r="S8382" t="s">
        <v>327</v>
      </c>
      <c r="T8382" t="s">
        <v>336</v>
      </c>
      <c r="U8382" t="s">
        <v>336</v>
      </c>
      <c r="V8382" t="s">
        <v>336</v>
      </c>
      <c r="W8382" t="s">
        <v>336</v>
      </c>
      <c r="X8382" t="s">
        <v>353</v>
      </c>
      <c r="AK8382" t="s">
        <v>366</v>
      </c>
    </row>
    <row r="8383" spans="1:37">
      <c r="B8383" t="s">
        <v>67</v>
      </c>
      <c r="C8383" t="s">
        <v>89</v>
      </c>
      <c r="D8383" t="s">
        <v>107</v>
      </c>
      <c r="AK8383" t="s">
        <v>366</v>
      </c>
    </row>
    <row r="8384" spans="1:37">
      <c r="B8384" t="s">
        <v>68</v>
      </c>
      <c r="C8384" t="s">
        <v>90</v>
      </c>
      <c r="D8384" t="s">
        <v>108</v>
      </c>
      <c r="AK8384" t="s">
        <v>366</v>
      </c>
    </row>
    <row r="8385" spans="1:37">
      <c r="A8385" t="s">
        <v>47</v>
      </c>
      <c r="B8385" t="s">
        <v>69</v>
      </c>
      <c r="C8385" t="s">
        <v>91</v>
      </c>
      <c r="D8385" t="s">
        <v>109</v>
      </c>
      <c r="E8385" t="s">
        <v>109</v>
      </c>
      <c r="F8385" t="s">
        <v>109</v>
      </c>
      <c r="G8385" t="s">
        <v>109</v>
      </c>
      <c r="H8385" t="s">
        <v>109</v>
      </c>
      <c r="I8385" t="s">
        <v>239</v>
      </c>
      <c r="AK8385" t="s">
        <v>366</v>
      </c>
    </row>
    <row r="8386" spans="1:37">
      <c r="B8386" t="s">
        <v>70</v>
      </c>
      <c r="C8386" t="s">
        <v>92</v>
      </c>
      <c r="D8386" t="s">
        <v>110</v>
      </c>
      <c r="E8386" t="s">
        <v>127</v>
      </c>
      <c r="F8386" t="s">
        <v>161</v>
      </c>
      <c r="G8386" t="s">
        <v>187</v>
      </c>
      <c r="H8386" t="s">
        <v>218</v>
      </c>
      <c r="AK8386" t="s">
        <v>366</v>
      </c>
    </row>
    <row r="8387" spans="1:37">
      <c r="B8387" t="s">
        <v>71</v>
      </c>
      <c r="C8387" t="s">
        <v>93</v>
      </c>
      <c r="D8387" t="s">
        <v>111</v>
      </c>
      <c r="E8387" t="s">
        <v>128</v>
      </c>
      <c r="F8387" t="s">
        <v>162</v>
      </c>
      <c r="G8387" t="s">
        <v>188</v>
      </c>
      <c r="H8387" t="s">
        <v>219</v>
      </c>
      <c r="I8387" t="s">
        <v>240</v>
      </c>
      <c r="J8387" t="s">
        <v>257</v>
      </c>
      <c r="K8387" t="s">
        <v>269</v>
      </c>
      <c r="L8387" t="s">
        <v>109</v>
      </c>
      <c r="M8387" t="s">
        <v>109</v>
      </c>
      <c r="N8387" t="s">
        <v>109</v>
      </c>
      <c r="O8387" t="s">
        <v>109</v>
      </c>
      <c r="P8387" t="s">
        <v>109</v>
      </c>
      <c r="Q8387" t="s">
        <v>321</v>
      </c>
      <c r="AK8387" t="s">
        <v>366</v>
      </c>
    </row>
    <row r="8388" spans="1:37">
      <c r="A8388" t="s">
        <v>48</v>
      </c>
      <c r="B8388" t="s">
        <v>71</v>
      </c>
      <c r="C8388" t="s">
        <v>93</v>
      </c>
      <c r="D8388" t="s">
        <v>111</v>
      </c>
      <c r="E8388" t="s">
        <v>128</v>
      </c>
      <c r="F8388" t="s">
        <v>163</v>
      </c>
      <c r="G8388" t="s">
        <v>189</v>
      </c>
      <c r="H8388" t="s">
        <v>220</v>
      </c>
      <c r="I8388" t="s">
        <v>241</v>
      </c>
      <c r="J8388" t="s">
        <v>258</v>
      </c>
      <c r="K8388" t="s">
        <v>270</v>
      </c>
      <c r="AK8388" t="s">
        <v>366</v>
      </c>
    </row>
    <row r="8389" spans="1:37">
      <c r="B8389" t="s">
        <v>72</v>
      </c>
      <c r="C8389" t="s">
        <v>72</v>
      </c>
      <c r="D8389" t="s">
        <v>72</v>
      </c>
      <c r="E8389" t="s">
        <v>129</v>
      </c>
      <c r="F8389" t="s">
        <v>134</v>
      </c>
      <c r="G8389" t="s">
        <v>192</v>
      </c>
      <c r="H8389" t="s">
        <v>192</v>
      </c>
      <c r="I8389" t="s">
        <v>192</v>
      </c>
      <c r="J8389" t="s">
        <v>192</v>
      </c>
      <c r="K8389" t="s">
        <v>271</v>
      </c>
      <c r="AK8389" t="s">
        <v>366</v>
      </c>
    </row>
    <row r="8390" spans="1:37">
      <c r="A8390" t="s">
        <v>37</v>
      </c>
      <c r="B8390" t="s">
        <v>49</v>
      </c>
      <c r="C8390" t="s">
        <v>73</v>
      </c>
      <c r="D8390" t="s">
        <v>94</v>
      </c>
      <c r="E8390" t="s">
        <v>112</v>
      </c>
      <c r="F8390" t="s">
        <v>146</v>
      </c>
      <c r="G8390" t="s">
        <v>172</v>
      </c>
      <c r="H8390" t="s">
        <v>207</v>
      </c>
      <c r="I8390" t="s">
        <v>226</v>
      </c>
      <c r="J8390" t="s">
        <v>246</v>
      </c>
      <c r="K8390" t="s">
        <v>259</v>
      </c>
      <c r="AK8390" t="s">
        <v>366</v>
      </c>
    </row>
    <row r="8391" spans="1:37">
      <c r="A8391" t="s">
        <v>38</v>
      </c>
      <c r="B8391" t="s">
        <v>50</v>
      </c>
      <c r="C8391" t="s">
        <v>74</v>
      </c>
      <c r="D8391" t="s">
        <v>95</v>
      </c>
      <c r="E8391" t="s">
        <v>113</v>
      </c>
      <c r="F8391" t="s">
        <v>147</v>
      </c>
      <c r="G8391" t="s">
        <v>173</v>
      </c>
      <c r="H8391" t="s">
        <v>208</v>
      </c>
      <c r="I8391" t="s">
        <v>227</v>
      </c>
      <c r="J8391" t="s">
        <v>115</v>
      </c>
      <c r="K8391" t="s">
        <v>260</v>
      </c>
      <c r="L8391" t="s">
        <v>273</v>
      </c>
      <c r="M8391" t="s">
        <v>282</v>
      </c>
      <c r="N8391" t="s">
        <v>291</v>
      </c>
      <c r="AK8391" t="s">
        <v>366</v>
      </c>
    </row>
    <row r="8392" spans="1:37">
      <c r="B8392" t="s">
        <v>51</v>
      </c>
      <c r="C8392" t="s">
        <v>75</v>
      </c>
      <c r="D8392" t="s">
        <v>52</v>
      </c>
      <c r="E8392" t="s">
        <v>114</v>
      </c>
      <c r="F8392" t="s">
        <v>148</v>
      </c>
      <c r="G8392" t="s">
        <v>148</v>
      </c>
      <c r="H8392" t="s">
        <v>209</v>
      </c>
      <c r="I8392" t="s">
        <v>228</v>
      </c>
      <c r="J8392" t="s">
        <v>247</v>
      </c>
      <c r="K8392" t="s">
        <v>261</v>
      </c>
      <c r="L8392" t="s">
        <v>274</v>
      </c>
      <c r="M8392" t="s">
        <v>283</v>
      </c>
      <c r="N8392" t="s">
        <v>292</v>
      </c>
      <c r="O8392" t="s">
        <v>300</v>
      </c>
      <c r="AK8392" t="s">
        <v>366</v>
      </c>
    </row>
    <row r="8393" spans="1:37">
      <c r="B8393" t="s">
        <v>52</v>
      </c>
      <c r="C8393" t="s">
        <v>76</v>
      </c>
      <c r="D8393" t="s">
        <v>96</v>
      </c>
      <c r="E8393" t="s">
        <v>115</v>
      </c>
      <c r="F8393" t="s">
        <v>149</v>
      </c>
      <c r="G8393" t="s">
        <v>174</v>
      </c>
      <c r="H8393" t="s">
        <v>96</v>
      </c>
      <c r="I8393" t="s">
        <v>229</v>
      </c>
      <c r="J8393" t="s">
        <v>248</v>
      </c>
      <c r="K8393" t="s">
        <v>262</v>
      </c>
      <c r="L8393" t="s">
        <v>52</v>
      </c>
      <c r="M8393" t="s">
        <v>76</v>
      </c>
      <c r="N8393" t="s">
        <v>293</v>
      </c>
      <c r="O8393" t="s">
        <v>301</v>
      </c>
      <c r="P8393" t="s">
        <v>309</v>
      </c>
      <c r="Q8393" t="s">
        <v>315</v>
      </c>
      <c r="R8393" t="s">
        <v>228</v>
      </c>
      <c r="S8393" t="s">
        <v>328</v>
      </c>
      <c r="T8393" t="s">
        <v>149</v>
      </c>
      <c r="U8393" t="s">
        <v>337</v>
      </c>
      <c r="V8393" t="s">
        <v>341</v>
      </c>
      <c r="W8393" t="s">
        <v>345</v>
      </c>
      <c r="X8393" t="s">
        <v>350</v>
      </c>
      <c r="AK8393" t="s">
        <v>366</v>
      </c>
    </row>
    <row r="8394" spans="1:37">
      <c r="B8394" t="s">
        <v>53</v>
      </c>
      <c r="C8394" t="s">
        <v>77</v>
      </c>
      <c r="D8394" t="s">
        <v>97</v>
      </c>
      <c r="E8394" t="s">
        <v>116</v>
      </c>
      <c r="F8394" t="s">
        <v>150</v>
      </c>
      <c r="G8394" t="s">
        <v>175</v>
      </c>
      <c r="H8394" t="s">
        <v>210</v>
      </c>
      <c r="I8394" t="s">
        <v>230</v>
      </c>
      <c r="J8394" t="s">
        <v>249</v>
      </c>
      <c r="K8394" t="s">
        <v>263</v>
      </c>
      <c r="L8394" t="s">
        <v>275</v>
      </c>
      <c r="M8394" t="s">
        <v>284</v>
      </c>
      <c r="N8394" t="s">
        <v>294</v>
      </c>
      <c r="O8394" t="s">
        <v>302</v>
      </c>
      <c r="P8394" t="s">
        <v>310</v>
      </c>
      <c r="Q8394" t="s">
        <v>316</v>
      </c>
      <c r="R8394" t="s">
        <v>322</v>
      </c>
      <c r="S8394" t="s">
        <v>329</v>
      </c>
      <c r="AK8394" t="s">
        <v>366</v>
      </c>
    </row>
    <row r="8395" spans="1:37">
      <c r="A8395" t="s">
        <v>39</v>
      </c>
      <c r="B8395" t="s">
        <v>54</v>
      </c>
      <c r="C8395" t="s">
        <v>54</v>
      </c>
      <c r="D8395" t="s">
        <v>54</v>
      </c>
      <c r="E8395" t="s">
        <v>54</v>
      </c>
      <c r="F8395" t="s">
        <v>54</v>
      </c>
      <c r="G8395" t="s">
        <v>54</v>
      </c>
      <c r="H8395" t="s">
        <v>54</v>
      </c>
      <c r="I8395" t="s">
        <v>54</v>
      </c>
      <c r="J8395" t="s">
        <v>54</v>
      </c>
      <c r="K8395" t="s">
        <v>54</v>
      </c>
      <c r="L8395" t="s">
        <v>54</v>
      </c>
      <c r="M8395" t="s">
        <v>54</v>
      </c>
      <c r="N8395" t="s">
        <v>54</v>
      </c>
      <c r="O8395" t="s">
        <v>54</v>
      </c>
      <c r="P8395" t="s">
        <v>54</v>
      </c>
      <c r="Q8395" t="s">
        <v>54</v>
      </c>
      <c r="R8395" t="s">
        <v>323</v>
      </c>
      <c r="S8395" t="s">
        <v>330</v>
      </c>
      <c r="AK8395" t="s">
        <v>366</v>
      </c>
    </row>
    <row r="8396" spans="1:37">
      <c r="B8396" t="s">
        <v>55</v>
      </c>
      <c r="C8396" t="s">
        <v>78</v>
      </c>
      <c r="D8396" t="s">
        <v>55</v>
      </c>
      <c r="E8396" t="s">
        <v>78</v>
      </c>
      <c r="F8396" t="s">
        <v>55</v>
      </c>
      <c r="G8396" t="s">
        <v>78</v>
      </c>
      <c r="H8396" t="s">
        <v>55</v>
      </c>
      <c r="I8396" t="s">
        <v>78</v>
      </c>
      <c r="J8396" t="s">
        <v>55</v>
      </c>
      <c r="K8396" t="s">
        <v>78</v>
      </c>
      <c r="L8396" t="s">
        <v>55</v>
      </c>
      <c r="M8396" t="s">
        <v>78</v>
      </c>
      <c r="N8396" t="s">
        <v>55</v>
      </c>
      <c r="O8396" t="s">
        <v>78</v>
      </c>
      <c r="P8396" t="s">
        <v>55</v>
      </c>
      <c r="Q8396" t="s">
        <v>78</v>
      </c>
      <c r="R8396" t="s">
        <v>55</v>
      </c>
      <c r="S8396" t="s">
        <v>78</v>
      </c>
      <c r="T8396" t="s">
        <v>55</v>
      </c>
      <c r="U8396" t="s">
        <v>78</v>
      </c>
      <c r="V8396" t="s">
        <v>55</v>
      </c>
      <c r="W8396" t="s">
        <v>78</v>
      </c>
      <c r="X8396" t="s">
        <v>55</v>
      </c>
      <c r="Y8396" t="s">
        <v>78</v>
      </c>
      <c r="Z8396" t="s">
        <v>55</v>
      </c>
      <c r="AA8396" t="s">
        <v>78</v>
      </c>
      <c r="AB8396" t="s">
        <v>55</v>
      </c>
      <c r="AC8396" t="s">
        <v>78</v>
      </c>
      <c r="AD8396" t="s">
        <v>55</v>
      </c>
      <c r="AE8396" t="s">
        <v>78</v>
      </c>
      <c r="AF8396" t="s">
        <v>55</v>
      </c>
      <c r="AG8396" t="s">
        <v>78</v>
      </c>
      <c r="AH8396" t="s">
        <v>55</v>
      </c>
      <c r="AI8396" t="s">
        <v>78</v>
      </c>
      <c r="AK8396" t="s">
        <v>366</v>
      </c>
    </row>
    <row r="8397" spans="1:37">
      <c r="B8397" t="s">
        <v>56</v>
      </c>
      <c r="C8397" t="s">
        <v>56</v>
      </c>
      <c r="D8397" t="s">
        <v>56</v>
      </c>
      <c r="E8397" t="s">
        <v>56</v>
      </c>
      <c r="F8397" t="s">
        <v>56</v>
      </c>
      <c r="G8397" t="s">
        <v>176</v>
      </c>
      <c r="H8397" t="s">
        <v>211</v>
      </c>
      <c r="I8397" t="s">
        <v>231</v>
      </c>
      <c r="J8397" t="s">
        <v>250</v>
      </c>
      <c r="K8397" t="s">
        <v>264</v>
      </c>
      <c r="L8397" t="s">
        <v>276</v>
      </c>
      <c r="M8397" t="s">
        <v>285</v>
      </c>
      <c r="N8397" t="s">
        <v>295</v>
      </c>
      <c r="O8397" t="s">
        <v>303</v>
      </c>
      <c r="P8397" t="s">
        <v>56</v>
      </c>
      <c r="Q8397" t="s">
        <v>317</v>
      </c>
      <c r="R8397" t="s">
        <v>324</v>
      </c>
      <c r="S8397" t="s">
        <v>331</v>
      </c>
      <c r="T8397" t="s">
        <v>334</v>
      </c>
      <c r="U8397" t="s">
        <v>338</v>
      </c>
      <c r="V8397" t="s">
        <v>342</v>
      </c>
      <c r="W8397" t="s">
        <v>346</v>
      </c>
      <c r="X8397" t="s">
        <v>351</v>
      </c>
      <c r="AK8397" t="s">
        <v>366</v>
      </c>
    </row>
    <row r="8398" spans="1:37">
      <c r="B8398" t="s">
        <v>57</v>
      </c>
      <c r="C8398" t="s">
        <v>79</v>
      </c>
      <c r="D8398" t="s">
        <v>98</v>
      </c>
      <c r="E8398" t="s">
        <v>117</v>
      </c>
      <c r="F8398" t="s">
        <v>151</v>
      </c>
      <c r="G8398" t="s">
        <v>177</v>
      </c>
      <c r="H8398" t="s">
        <v>212</v>
      </c>
      <c r="I8398" t="s">
        <v>232</v>
      </c>
      <c r="J8398" t="s">
        <v>251</v>
      </c>
      <c r="K8398" t="s">
        <v>265</v>
      </c>
      <c r="L8398" t="s">
        <v>277</v>
      </c>
      <c r="M8398" t="s">
        <v>286</v>
      </c>
      <c r="N8398" t="s">
        <v>296</v>
      </c>
      <c r="O8398" t="s">
        <v>304</v>
      </c>
      <c r="P8398" t="s">
        <v>311</v>
      </c>
      <c r="Q8398" t="s">
        <v>318</v>
      </c>
      <c r="R8398" t="s">
        <v>185</v>
      </c>
      <c r="S8398" t="s">
        <v>159</v>
      </c>
      <c r="T8398" t="s">
        <v>185</v>
      </c>
      <c r="U8398" t="s">
        <v>339</v>
      </c>
      <c r="V8398" t="s">
        <v>72</v>
      </c>
      <c r="W8398" t="s">
        <v>347</v>
      </c>
      <c r="X8398" t="s">
        <v>72</v>
      </c>
      <c r="Y8398" t="s">
        <v>96</v>
      </c>
      <c r="AK8398" t="s">
        <v>366</v>
      </c>
    </row>
    <row r="8399" spans="1:37">
      <c r="B8399" t="s">
        <v>58</v>
      </c>
      <c r="C8399" t="s">
        <v>80</v>
      </c>
      <c r="D8399" t="s">
        <v>99</v>
      </c>
      <c r="E8399" t="s">
        <v>118</v>
      </c>
      <c r="F8399" t="s">
        <v>152</v>
      </c>
      <c r="G8399" t="s">
        <v>178</v>
      </c>
      <c r="H8399" t="s">
        <v>213</v>
      </c>
      <c r="I8399" t="s">
        <v>233</v>
      </c>
      <c r="J8399" t="s">
        <v>252</v>
      </c>
      <c r="K8399" t="s">
        <v>266</v>
      </c>
      <c r="L8399" t="s">
        <v>278</v>
      </c>
      <c r="M8399" t="s">
        <v>287</v>
      </c>
      <c r="N8399" t="s">
        <v>297</v>
      </c>
      <c r="O8399" t="s">
        <v>305</v>
      </c>
      <c r="P8399" t="s">
        <v>312</v>
      </c>
      <c r="Q8399" t="s">
        <v>319</v>
      </c>
      <c r="R8399">
        <f>&gt;10       ветра      2.8     20  13</f>
        <v>0</v>
      </c>
      <c r="AK8399" t="s">
        <v>366</v>
      </c>
    </row>
    <row r="8400" spans="1:37">
      <c r="A8400" t="s">
        <v>40</v>
      </c>
      <c r="B8400" t="s">
        <v>59</v>
      </c>
      <c r="C8400" t="s">
        <v>81</v>
      </c>
      <c r="D8400" t="s">
        <v>100</v>
      </c>
      <c r="E8400" t="s">
        <v>119</v>
      </c>
      <c r="F8400" t="s">
        <v>153</v>
      </c>
      <c r="G8400" t="s">
        <v>179</v>
      </c>
      <c r="H8400" t="s">
        <v>214</v>
      </c>
      <c r="I8400" t="s">
        <v>234</v>
      </c>
      <c r="AK8400" t="s">
        <v>366</v>
      </c>
    </row>
    <row r="8401" spans="1:37">
      <c r="A8401" t="s">
        <v>40</v>
      </c>
      <c r="B8401" t="s">
        <v>60</v>
      </c>
      <c r="C8401" t="s">
        <v>82</v>
      </c>
      <c r="D8401" t="s">
        <v>101</v>
      </c>
      <c r="E8401" t="s">
        <v>120</v>
      </c>
      <c r="F8401" t="s">
        <v>154</v>
      </c>
      <c r="G8401" t="s">
        <v>180</v>
      </c>
      <c r="H8401" t="s">
        <v>215</v>
      </c>
      <c r="I8401" t="s">
        <v>235</v>
      </c>
      <c r="J8401" t="s">
        <v>253</v>
      </c>
      <c r="K8401" t="s">
        <v>267</v>
      </c>
      <c r="L8401" t="s">
        <v>279</v>
      </c>
      <c r="M8401" t="s">
        <v>288</v>
      </c>
      <c r="N8401" t="s">
        <v>100</v>
      </c>
      <c r="O8401" t="s">
        <v>306</v>
      </c>
      <c r="P8401" t="s">
        <v>313</v>
      </c>
      <c r="Q8401" t="s">
        <v>320</v>
      </c>
      <c r="R8401" t="s">
        <v>325</v>
      </c>
      <c r="S8401" t="s">
        <v>332</v>
      </c>
      <c r="T8401" t="s">
        <v>119</v>
      </c>
      <c r="U8401" t="s">
        <v>234</v>
      </c>
      <c r="V8401" t="s">
        <v>343</v>
      </c>
      <c r="W8401" t="s">
        <v>348</v>
      </c>
      <c r="X8401" t="s">
        <v>352</v>
      </c>
      <c r="Y8401" t="s">
        <v>354</v>
      </c>
      <c r="AK8401" t="s">
        <v>366</v>
      </c>
    </row>
    <row r="8402" spans="1:37">
      <c r="A8402" t="s">
        <v>41</v>
      </c>
      <c r="B8402" t="s">
        <v>61</v>
      </c>
      <c r="C8402" t="s">
        <v>83</v>
      </c>
      <c r="D8402" t="s">
        <v>102</v>
      </c>
      <c r="E8402" t="s">
        <v>121</v>
      </c>
      <c r="F8402" t="s">
        <v>155</v>
      </c>
      <c r="G8402" t="s">
        <v>181</v>
      </c>
      <c r="H8402" t="s">
        <v>216</v>
      </c>
      <c r="I8402" t="s">
        <v>236</v>
      </c>
      <c r="AK8402" t="s">
        <v>366</v>
      </c>
    </row>
    <row r="8403" spans="1:37">
      <c r="A8403" t="s">
        <v>42</v>
      </c>
      <c r="B8403" t="s">
        <v>62</v>
      </c>
      <c r="C8403" t="s">
        <v>84</v>
      </c>
      <c r="D8403" t="s">
        <v>103</v>
      </c>
      <c r="E8403" t="s">
        <v>122</v>
      </c>
      <c r="F8403" t="s">
        <v>156</v>
      </c>
      <c r="G8403" t="s">
        <v>182</v>
      </c>
      <c r="H8403" t="s">
        <v>83</v>
      </c>
      <c r="I8403" t="s">
        <v>237</v>
      </c>
      <c r="J8403" t="s">
        <v>254</v>
      </c>
      <c r="K8403" t="s">
        <v>268</v>
      </c>
      <c r="L8403" t="s">
        <v>280</v>
      </c>
      <c r="M8403" t="s">
        <v>289</v>
      </c>
      <c r="N8403" t="s">
        <v>298</v>
      </c>
      <c r="O8403" t="s">
        <v>307</v>
      </c>
      <c r="P8403" t="s">
        <v>314</v>
      </c>
      <c r="Q8403" t="s">
        <v>216</v>
      </c>
      <c r="R8403" t="s">
        <v>326</v>
      </c>
      <c r="S8403" t="s">
        <v>333</v>
      </c>
      <c r="T8403" t="s">
        <v>335</v>
      </c>
      <c r="U8403" t="s">
        <v>340</v>
      </c>
      <c r="V8403" t="s">
        <v>344</v>
      </c>
      <c r="W8403" t="s">
        <v>349</v>
      </c>
      <c r="AK8403" t="s">
        <v>366</v>
      </c>
    </row>
    <row r="8404" spans="1:37">
      <c r="A8404" t="s">
        <v>43</v>
      </c>
      <c r="B8404" t="s">
        <v>63</v>
      </c>
      <c r="C8404" t="s">
        <v>85</v>
      </c>
      <c r="D8404" t="s">
        <v>104</v>
      </c>
      <c r="E8404" t="s">
        <v>123</v>
      </c>
      <c r="F8404" t="s">
        <v>157</v>
      </c>
      <c r="G8404" t="s">
        <v>183</v>
      </c>
      <c r="AK8404" t="s">
        <v>366</v>
      </c>
    </row>
    <row r="8405" spans="1:37">
      <c r="A8405" t="s">
        <v>44</v>
      </c>
      <c r="B8405" t="s">
        <v>64</v>
      </c>
      <c r="C8405" t="s">
        <v>86</v>
      </c>
      <c r="D8405" t="s">
        <v>105</v>
      </c>
      <c r="E8405" t="s">
        <v>124</v>
      </c>
      <c r="F8405" t="s">
        <v>158</v>
      </c>
      <c r="G8405" t="s">
        <v>184</v>
      </c>
      <c r="AK8405" t="s">
        <v>366</v>
      </c>
    </row>
    <row r="8406" spans="1:37">
      <c r="A8406" t="s">
        <v>45</v>
      </c>
      <c r="B8406" t="s">
        <v>65</v>
      </c>
      <c r="C8406" t="s">
        <v>87</v>
      </c>
      <c r="D8406" t="s">
        <v>106</v>
      </c>
      <c r="E8406" t="s">
        <v>125</v>
      </c>
      <c r="F8406" t="s">
        <v>159</v>
      </c>
      <c r="G8406" t="s">
        <v>185</v>
      </c>
      <c r="H8406" t="s">
        <v>159</v>
      </c>
      <c r="I8406" t="s">
        <v>185</v>
      </c>
      <c r="J8406" t="s">
        <v>255</v>
      </c>
      <c r="AK8406" t="s">
        <v>366</v>
      </c>
    </row>
    <row r="8407" spans="1:37">
      <c r="A8407" t="s">
        <v>46</v>
      </c>
      <c r="B8407" t="s">
        <v>66</v>
      </c>
      <c r="C8407" t="s">
        <v>88</v>
      </c>
      <c r="D8407" t="s">
        <v>76</v>
      </c>
      <c r="E8407" t="s">
        <v>126</v>
      </c>
      <c r="F8407" t="s">
        <v>160</v>
      </c>
      <c r="G8407" t="s">
        <v>186</v>
      </c>
      <c r="H8407" t="s">
        <v>217</v>
      </c>
      <c r="I8407" t="s">
        <v>238</v>
      </c>
      <c r="J8407" t="s">
        <v>256</v>
      </c>
      <c r="K8407" t="s">
        <v>265</v>
      </c>
      <c r="L8407" t="s">
        <v>281</v>
      </c>
      <c r="M8407" t="s">
        <v>290</v>
      </c>
      <c r="N8407" t="s">
        <v>299</v>
      </c>
      <c r="O8407" t="s">
        <v>308</v>
      </c>
      <c r="P8407" t="s">
        <v>228</v>
      </c>
      <c r="Q8407" t="s">
        <v>72</v>
      </c>
      <c r="R8407" t="s">
        <v>327</v>
      </c>
      <c r="S8407" t="s">
        <v>327</v>
      </c>
      <c r="T8407" t="s">
        <v>336</v>
      </c>
      <c r="U8407" t="s">
        <v>336</v>
      </c>
      <c r="V8407" t="s">
        <v>336</v>
      </c>
      <c r="W8407" t="s">
        <v>336</v>
      </c>
      <c r="X8407" t="s">
        <v>353</v>
      </c>
      <c r="AK8407" t="s">
        <v>366</v>
      </c>
    </row>
    <row r="8408" spans="1:37">
      <c r="A8408" t="s">
        <v>37</v>
      </c>
      <c r="B8408" t="s">
        <v>49</v>
      </c>
      <c r="C8408" t="s">
        <v>73</v>
      </c>
      <c r="D8408" t="s">
        <v>94</v>
      </c>
      <c r="E8408" t="s">
        <v>112</v>
      </c>
      <c r="F8408" t="s">
        <v>146</v>
      </c>
      <c r="G8408" t="s">
        <v>172</v>
      </c>
      <c r="H8408" t="s">
        <v>207</v>
      </c>
      <c r="I8408" t="s">
        <v>226</v>
      </c>
      <c r="J8408" t="s">
        <v>246</v>
      </c>
      <c r="K8408" t="s">
        <v>259</v>
      </c>
      <c r="AK8408" t="s">
        <v>366</v>
      </c>
    </row>
    <row r="8409" spans="1:37">
      <c r="A8409" t="s">
        <v>38</v>
      </c>
      <c r="B8409" t="s">
        <v>50</v>
      </c>
      <c r="C8409" t="s">
        <v>74</v>
      </c>
      <c r="D8409" t="s">
        <v>95</v>
      </c>
      <c r="E8409" t="s">
        <v>113</v>
      </c>
      <c r="F8409" t="s">
        <v>147</v>
      </c>
      <c r="G8409" t="s">
        <v>173</v>
      </c>
      <c r="H8409" t="s">
        <v>208</v>
      </c>
      <c r="I8409" t="s">
        <v>227</v>
      </c>
      <c r="J8409" t="s">
        <v>115</v>
      </c>
      <c r="K8409" t="s">
        <v>260</v>
      </c>
      <c r="L8409" t="s">
        <v>273</v>
      </c>
      <c r="M8409" t="s">
        <v>282</v>
      </c>
      <c r="N8409" t="s">
        <v>291</v>
      </c>
      <c r="AK8409" t="s">
        <v>366</v>
      </c>
    </row>
    <row r="8410" spans="1:37">
      <c r="B8410" t="s">
        <v>51</v>
      </c>
      <c r="C8410" t="s">
        <v>75</v>
      </c>
      <c r="D8410" t="s">
        <v>52</v>
      </c>
      <c r="E8410" t="s">
        <v>114</v>
      </c>
      <c r="F8410" t="s">
        <v>148</v>
      </c>
      <c r="G8410" t="s">
        <v>148</v>
      </c>
      <c r="H8410" t="s">
        <v>209</v>
      </c>
      <c r="I8410" t="s">
        <v>228</v>
      </c>
      <c r="J8410" t="s">
        <v>247</v>
      </c>
      <c r="K8410" t="s">
        <v>261</v>
      </c>
      <c r="L8410" t="s">
        <v>274</v>
      </c>
      <c r="M8410" t="s">
        <v>283</v>
      </c>
      <c r="N8410" t="s">
        <v>292</v>
      </c>
      <c r="O8410" t="s">
        <v>300</v>
      </c>
      <c r="AK8410" t="s">
        <v>366</v>
      </c>
    </row>
    <row r="8411" spans="1:37">
      <c r="B8411" t="s">
        <v>52</v>
      </c>
      <c r="C8411" t="s">
        <v>76</v>
      </c>
      <c r="D8411" t="s">
        <v>96</v>
      </c>
      <c r="E8411" t="s">
        <v>115</v>
      </c>
      <c r="F8411" t="s">
        <v>149</v>
      </c>
      <c r="G8411" t="s">
        <v>174</v>
      </c>
      <c r="H8411" t="s">
        <v>96</v>
      </c>
      <c r="I8411" t="s">
        <v>229</v>
      </c>
      <c r="J8411" t="s">
        <v>248</v>
      </c>
      <c r="K8411" t="s">
        <v>262</v>
      </c>
      <c r="L8411" t="s">
        <v>52</v>
      </c>
      <c r="M8411" t="s">
        <v>76</v>
      </c>
      <c r="N8411" t="s">
        <v>293</v>
      </c>
      <c r="O8411" t="s">
        <v>301</v>
      </c>
      <c r="P8411" t="s">
        <v>309</v>
      </c>
      <c r="Q8411" t="s">
        <v>315</v>
      </c>
      <c r="R8411" t="s">
        <v>228</v>
      </c>
      <c r="S8411" t="s">
        <v>328</v>
      </c>
      <c r="T8411" t="s">
        <v>149</v>
      </c>
      <c r="U8411" t="s">
        <v>337</v>
      </c>
      <c r="V8411" t="s">
        <v>341</v>
      </c>
      <c r="W8411" t="s">
        <v>345</v>
      </c>
      <c r="X8411" t="s">
        <v>350</v>
      </c>
      <c r="AK8411" t="s">
        <v>366</v>
      </c>
    </row>
    <row r="8412" spans="1:37">
      <c r="B8412" t="s">
        <v>53</v>
      </c>
      <c r="C8412" t="s">
        <v>77</v>
      </c>
      <c r="D8412" t="s">
        <v>97</v>
      </c>
      <c r="E8412" t="s">
        <v>116</v>
      </c>
      <c r="F8412" t="s">
        <v>150</v>
      </c>
      <c r="G8412" t="s">
        <v>175</v>
      </c>
      <c r="H8412" t="s">
        <v>210</v>
      </c>
      <c r="I8412" t="s">
        <v>230</v>
      </c>
      <c r="J8412" t="s">
        <v>249</v>
      </c>
      <c r="K8412" t="s">
        <v>263</v>
      </c>
      <c r="L8412" t="s">
        <v>275</v>
      </c>
      <c r="M8412" t="s">
        <v>284</v>
      </c>
      <c r="N8412" t="s">
        <v>294</v>
      </c>
      <c r="O8412" t="s">
        <v>302</v>
      </c>
      <c r="P8412" t="s">
        <v>310</v>
      </c>
      <c r="Q8412" t="s">
        <v>316</v>
      </c>
      <c r="R8412" t="s">
        <v>322</v>
      </c>
      <c r="S8412" t="s">
        <v>329</v>
      </c>
      <c r="AK8412" t="s">
        <v>366</v>
      </c>
    </row>
    <row r="8413" spans="1:37">
      <c r="A8413" t="s">
        <v>39</v>
      </c>
      <c r="B8413" t="s">
        <v>54</v>
      </c>
      <c r="C8413" t="s">
        <v>54</v>
      </c>
      <c r="D8413" t="s">
        <v>54</v>
      </c>
      <c r="E8413" t="s">
        <v>54</v>
      </c>
      <c r="F8413" t="s">
        <v>54</v>
      </c>
      <c r="G8413" t="s">
        <v>54</v>
      </c>
      <c r="H8413" t="s">
        <v>54</v>
      </c>
      <c r="I8413" t="s">
        <v>54</v>
      </c>
      <c r="J8413" t="s">
        <v>54</v>
      </c>
      <c r="K8413" t="s">
        <v>54</v>
      </c>
      <c r="L8413" t="s">
        <v>54</v>
      </c>
      <c r="M8413" t="s">
        <v>54</v>
      </c>
      <c r="N8413" t="s">
        <v>54</v>
      </c>
      <c r="O8413" t="s">
        <v>54</v>
      </c>
      <c r="P8413" t="s">
        <v>54</v>
      </c>
      <c r="Q8413" t="s">
        <v>54</v>
      </c>
      <c r="R8413" t="s">
        <v>323</v>
      </c>
      <c r="S8413" t="s">
        <v>330</v>
      </c>
      <c r="AK8413" t="s">
        <v>366</v>
      </c>
    </row>
    <row r="8414" spans="1:37">
      <c r="B8414" t="s">
        <v>55</v>
      </c>
      <c r="C8414" t="s">
        <v>78</v>
      </c>
      <c r="D8414" t="s">
        <v>55</v>
      </c>
      <c r="E8414" t="s">
        <v>78</v>
      </c>
      <c r="F8414" t="s">
        <v>55</v>
      </c>
      <c r="G8414" t="s">
        <v>78</v>
      </c>
      <c r="H8414" t="s">
        <v>55</v>
      </c>
      <c r="I8414" t="s">
        <v>78</v>
      </c>
      <c r="J8414" t="s">
        <v>55</v>
      </c>
      <c r="K8414" t="s">
        <v>78</v>
      </c>
      <c r="L8414" t="s">
        <v>55</v>
      </c>
      <c r="M8414" t="s">
        <v>78</v>
      </c>
      <c r="N8414" t="s">
        <v>55</v>
      </c>
      <c r="O8414" t="s">
        <v>78</v>
      </c>
      <c r="P8414" t="s">
        <v>55</v>
      </c>
      <c r="Q8414" t="s">
        <v>78</v>
      </c>
      <c r="R8414" t="s">
        <v>55</v>
      </c>
      <c r="S8414" t="s">
        <v>78</v>
      </c>
      <c r="T8414" t="s">
        <v>55</v>
      </c>
      <c r="U8414" t="s">
        <v>78</v>
      </c>
      <c r="V8414" t="s">
        <v>55</v>
      </c>
      <c r="W8414" t="s">
        <v>78</v>
      </c>
      <c r="X8414" t="s">
        <v>55</v>
      </c>
      <c r="Y8414" t="s">
        <v>78</v>
      </c>
      <c r="Z8414" t="s">
        <v>55</v>
      </c>
      <c r="AA8414" t="s">
        <v>78</v>
      </c>
      <c r="AB8414" t="s">
        <v>55</v>
      </c>
      <c r="AC8414" t="s">
        <v>78</v>
      </c>
      <c r="AD8414" t="s">
        <v>55</v>
      </c>
      <c r="AE8414" t="s">
        <v>78</v>
      </c>
      <c r="AF8414" t="s">
        <v>55</v>
      </c>
      <c r="AG8414" t="s">
        <v>78</v>
      </c>
      <c r="AH8414" t="s">
        <v>55</v>
      </c>
      <c r="AI8414" t="s">
        <v>78</v>
      </c>
      <c r="AK8414" t="s">
        <v>366</v>
      </c>
    </row>
    <row r="8415" spans="1:37">
      <c r="B8415" t="s">
        <v>56</v>
      </c>
      <c r="C8415" t="s">
        <v>56</v>
      </c>
      <c r="D8415" t="s">
        <v>56</v>
      </c>
      <c r="E8415" t="s">
        <v>56</v>
      </c>
      <c r="F8415" t="s">
        <v>56</v>
      </c>
      <c r="G8415" t="s">
        <v>176</v>
      </c>
      <c r="H8415" t="s">
        <v>211</v>
      </c>
      <c r="I8415" t="s">
        <v>231</v>
      </c>
      <c r="J8415" t="s">
        <v>250</v>
      </c>
      <c r="K8415" t="s">
        <v>264</v>
      </c>
      <c r="L8415" t="s">
        <v>276</v>
      </c>
      <c r="M8415" t="s">
        <v>285</v>
      </c>
      <c r="N8415" t="s">
        <v>295</v>
      </c>
      <c r="O8415" t="s">
        <v>303</v>
      </c>
      <c r="P8415" t="s">
        <v>56</v>
      </c>
      <c r="Q8415" t="s">
        <v>317</v>
      </c>
      <c r="R8415" t="s">
        <v>324</v>
      </c>
      <c r="S8415" t="s">
        <v>331</v>
      </c>
      <c r="T8415" t="s">
        <v>334</v>
      </c>
      <c r="U8415" t="s">
        <v>338</v>
      </c>
      <c r="V8415" t="s">
        <v>342</v>
      </c>
      <c r="W8415" t="s">
        <v>346</v>
      </c>
      <c r="X8415" t="s">
        <v>351</v>
      </c>
      <c r="AK8415" t="s">
        <v>366</v>
      </c>
    </row>
    <row r="8416" spans="1:37">
      <c r="B8416" t="s">
        <v>57</v>
      </c>
      <c r="C8416" t="s">
        <v>79</v>
      </c>
      <c r="D8416" t="s">
        <v>98</v>
      </c>
      <c r="E8416" t="s">
        <v>117</v>
      </c>
      <c r="F8416" t="s">
        <v>151</v>
      </c>
      <c r="G8416" t="s">
        <v>177</v>
      </c>
      <c r="H8416" t="s">
        <v>212</v>
      </c>
      <c r="I8416" t="s">
        <v>232</v>
      </c>
      <c r="J8416" t="s">
        <v>251</v>
      </c>
      <c r="K8416" t="s">
        <v>265</v>
      </c>
      <c r="L8416" t="s">
        <v>277</v>
      </c>
      <c r="M8416" t="s">
        <v>286</v>
      </c>
      <c r="N8416" t="s">
        <v>296</v>
      </c>
      <c r="O8416" t="s">
        <v>304</v>
      </c>
      <c r="P8416" t="s">
        <v>311</v>
      </c>
      <c r="Q8416" t="s">
        <v>318</v>
      </c>
      <c r="R8416" t="s">
        <v>185</v>
      </c>
      <c r="S8416" t="s">
        <v>159</v>
      </c>
      <c r="T8416" t="s">
        <v>185</v>
      </c>
      <c r="U8416" t="s">
        <v>339</v>
      </c>
      <c r="V8416" t="s">
        <v>72</v>
      </c>
      <c r="W8416" t="s">
        <v>347</v>
      </c>
      <c r="X8416" t="s">
        <v>72</v>
      </c>
      <c r="Y8416" t="s">
        <v>96</v>
      </c>
      <c r="AK8416" t="s">
        <v>366</v>
      </c>
    </row>
    <row r="8417" spans="1:37">
      <c r="B8417" t="s">
        <v>58</v>
      </c>
      <c r="C8417" t="s">
        <v>80</v>
      </c>
      <c r="D8417" t="s">
        <v>99</v>
      </c>
      <c r="E8417" t="s">
        <v>118</v>
      </c>
      <c r="F8417" t="s">
        <v>152</v>
      </c>
      <c r="G8417" t="s">
        <v>178</v>
      </c>
      <c r="H8417" t="s">
        <v>213</v>
      </c>
      <c r="I8417" t="s">
        <v>233</v>
      </c>
      <c r="J8417" t="s">
        <v>252</v>
      </c>
      <c r="K8417" t="s">
        <v>266</v>
      </c>
      <c r="L8417" t="s">
        <v>278</v>
      </c>
      <c r="M8417" t="s">
        <v>287</v>
      </c>
      <c r="N8417" t="s">
        <v>297</v>
      </c>
      <c r="O8417" t="s">
        <v>305</v>
      </c>
      <c r="P8417" t="s">
        <v>312</v>
      </c>
      <c r="Q8417" t="s">
        <v>319</v>
      </c>
      <c r="R8417">
        <f>&gt;10       ветра      0.8     18   7</f>
        <v>0</v>
      </c>
      <c r="AK8417" t="s">
        <v>366</v>
      </c>
    </row>
    <row r="8418" spans="1:37">
      <c r="A8418" t="s">
        <v>40</v>
      </c>
      <c r="B8418" t="s">
        <v>59</v>
      </c>
      <c r="C8418" t="s">
        <v>81</v>
      </c>
      <c r="D8418" t="s">
        <v>100</v>
      </c>
      <c r="E8418" t="s">
        <v>119</v>
      </c>
      <c r="F8418" t="s">
        <v>153</v>
      </c>
      <c r="G8418" t="s">
        <v>179</v>
      </c>
      <c r="H8418" t="s">
        <v>214</v>
      </c>
      <c r="I8418" t="s">
        <v>234</v>
      </c>
      <c r="AK8418" t="s">
        <v>366</v>
      </c>
    </row>
    <row r="8419" spans="1:37">
      <c r="A8419" t="s">
        <v>40</v>
      </c>
      <c r="B8419" t="s">
        <v>60</v>
      </c>
      <c r="C8419" t="s">
        <v>82</v>
      </c>
      <c r="D8419" t="s">
        <v>101</v>
      </c>
      <c r="E8419" t="s">
        <v>120</v>
      </c>
      <c r="F8419" t="s">
        <v>154</v>
      </c>
      <c r="G8419" t="s">
        <v>180</v>
      </c>
      <c r="H8419" t="s">
        <v>215</v>
      </c>
      <c r="I8419" t="s">
        <v>235</v>
      </c>
      <c r="J8419" t="s">
        <v>253</v>
      </c>
      <c r="K8419" t="s">
        <v>267</v>
      </c>
      <c r="L8419" t="s">
        <v>279</v>
      </c>
      <c r="M8419" t="s">
        <v>288</v>
      </c>
      <c r="N8419" t="s">
        <v>100</v>
      </c>
      <c r="O8419" t="s">
        <v>306</v>
      </c>
      <c r="P8419" t="s">
        <v>313</v>
      </c>
      <c r="Q8419" t="s">
        <v>320</v>
      </c>
      <c r="R8419" t="s">
        <v>325</v>
      </c>
      <c r="S8419" t="s">
        <v>332</v>
      </c>
      <c r="T8419" t="s">
        <v>119</v>
      </c>
      <c r="U8419" t="s">
        <v>234</v>
      </c>
      <c r="V8419" t="s">
        <v>343</v>
      </c>
      <c r="W8419" t="s">
        <v>348</v>
      </c>
      <c r="X8419" t="s">
        <v>352</v>
      </c>
      <c r="Y8419" t="s">
        <v>354</v>
      </c>
      <c r="AK8419" t="s">
        <v>366</v>
      </c>
    </row>
    <row r="8420" spans="1:37">
      <c r="A8420" t="s">
        <v>41</v>
      </c>
      <c r="B8420" t="s">
        <v>61</v>
      </c>
      <c r="C8420" t="s">
        <v>83</v>
      </c>
      <c r="D8420" t="s">
        <v>102</v>
      </c>
      <c r="E8420" t="s">
        <v>121</v>
      </c>
      <c r="F8420" t="s">
        <v>155</v>
      </c>
      <c r="G8420" t="s">
        <v>181</v>
      </c>
      <c r="H8420" t="s">
        <v>216</v>
      </c>
      <c r="I8420" t="s">
        <v>236</v>
      </c>
      <c r="AK8420" t="s">
        <v>366</v>
      </c>
    </row>
    <row r="8421" spans="1:37">
      <c r="A8421" t="s">
        <v>42</v>
      </c>
      <c r="B8421" t="s">
        <v>62</v>
      </c>
      <c r="C8421" t="s">
        <v>84</v>
      </c>
      <c r="D8421" t="s">
        <v>103</v>
      </c>
      <c r="E8421" t="s">
        <v>122</v>
      </c>
      <c r="F8421" t="s">
        <v>156</v>
      </c>
      <c r="G8421" t="s">
        <v>182</v>
      </c>
      <c r="H8421" t="s">
        <v>83</v>
      </c>
      <c r="I8421" t="s">
        <v>237</v>
      </c>
      <c r="J8421" t="s">
        <v>254</v>
      </c>
      <c r="K8421" t="s">
        <v>268</v>
      </c>
      <c r="L8421" t="s">
        <v>280</v>
      </c>
      <c r="M8421" t="s">
        <v>289</v>
      </c>
      <c r="N8421" t="s">
        <v>298</v>
      </c>
      <c r="O8421" t="s">
        <v>307</v>
      </c>
      <c r="P8421" t="s">
        <v>314</v>
      </c>
      <c r="Q8421" t="s">
        <v>216</v>
      </c>
      <c r="R8421" t="s">
        <v>326</v>
      </c>
      <c r="S8421" t="s">
        <v>333</v>
      </c>
      <c r="T8421" t="s">
        <v>335</v>
      </c>
      <c r="U8421" t="s">
        <v>340</v>
      </c>
      <c r="V8421" t="s">
        <v>344</v>
      </c>
      <c r="W8421" t="s">
        <v>349</v>
      </c>
      <c r="AK8421" t="s">
        <v>366</v>
      </c>
    </row>
    <row r="8422" spans="1:37">
      <c r="A8422" t="s">
        <v>43</v>
      </c>
      <c r="B8422" t="s">
        <v>63</v>
      </c>
      <c r="C8422" t="s">
        <v>85</v>
      </c>
      <c r="D8422" t="s">
        <v>104</v>
      </c>
      <c r="E8422" t="s">
        <v>123</v>
      </c>
      <c r="F8422" t="s">
        <v>157</v>
      </c>
      <c r="G8422" t="s">
        <v>183</v>
      </c>
      <c r="AK8422" t="s">
        <v>366</v>
      </c>
    </row>
    <row r="8423" spans="1:37">
      <c r="A8423" t="s">
        <v>44</v>
      </c>
      <c r="B8423" t="s">
        <v>64</v>
      </c>
      <c r="C8423" t="s">
        <v>86</v>
      </c>
      <c r="D8423" t="s">
        <v>105</v>
      </c>
      <c r="E8423" t="s">
        <v>124</v>
      </c>
      <c r="F8423" t="s">
        <v>158</v>
      </c>
      <c r="G8423" t="s">
        <v>184</v>
      </c>
      <c r="AK8423" t="s">
        <v>366</v>
      </c>
    </row>
    <row r="8424" spans="1:37">
      <c r="A8424" t="s">
        <v>45</v>
      </c>
      <c r="B8424" t="s">
        <v>65</v>
      </c>
      <c r="C8424" t="s">
        <v>87</v>
      </c>
      <c r="D8424" t="s">
        <v>106</v>
      </c>
      <c r="E8424" t="s">
        <v>125</v>
      </c>
      <c r="F8424" t="s">
        <v>159</v>
      </c>
      <c r="G8424" t="s">
        <v>185</v>
      </c>
      <c r="H8424" t="s">
        <v>159</v>
      </c>
      <c r="I8424" t="s">
        <v>185</v>
      </c>
      <c r="J8424" t="s">
        <v>255</v>
      </c>
      <c r="AK8424" t="s">
        <v>366</v>
      </c>
    </row>
    <row r="8425" spans="1:37">
      <c r="A8425" t="s">
        <v>46</v>
      </c>
      <c r="B8425" t="s">
        <v>66</v>
      </c>
      <c r="C8425" t="s">
        <v>88</v>
      </c>
      <c r="D8425" t="s">
        <v>76</v>
      </c>
      <c r="E8425" t="s">
        <v>126</v>
      </c>
      <c r="F8425" t="s">
        <v>160</v>
      </c>
      <c r="G8425" t="s">
        <v>186</v>
      </c>
      <c r="H8425" t="s">
        <v>217</v>
      </c>
      <c r="I8425" t="s">
        <v>238</v>
      </c>
      <c r="J8425" t="s">
        <v>256</v>
      </c>
      <c r="K8425" t="s">
        <v>265</v>
      </c>
      <c r="L8425" t="s">
        <v>281</v>
      </c>
      <c r="M8425" t="s">
        <v>290</v>
      </c>
      <c r="N8425" t="s">
        <v>299</v>
      </c>
      <c r="O8425" t="s">
        <v>308</v>
      </c>
      <c r="P8425" t="s">
        <v>228</v>
      </c>
      <c r="Q8425" t="s">
        <v>72</v>
      </c>
      <c r="R8425" t="s">
        <v>327</v>
      </c>
      <c r="S8425" t="s">
        <v>327</v>
      </c>
      <c r="T8425" t="s">
        <v>336</v>
      </c>
      <c r="U8425" t="s">
        <v>336</v>
      </c>
      <c r="V8425" t="s">
        <v>336</v>
      </c>
      <c r="W8425" t="s">
        <v>336</v>
      </c>
      <c r="X8425" t="s">
        <v>353</v>
      </c>
      <c r="AK8425" t="s">
        <v>366</v>
      </c>
    </row>
    <row r="8426" spans="1:37">
      <c r="A8426" t="s">
        <v>37</v>
      </c>
      <c r="B8426" t="s">
        <v>49</v>
      </c>
      <c r="C8426" t="s">
        <v>73</v>
      </c>
      <c r="D8426" t="s">
        <v>94</v>
      </c>
      <c r="E8426" t="s">
        <v>112</v>
      </c>
      <c r="F8426" t="s">
        <v>146</v>
      </c>
      <c r="G8426" t="s">
        <v>172</v>
      </c>
      <c r="H8426" t="s">
        <v>207</v>
      </c>
      <c r="I8426" t="s">
        <v>226</v>
      </c>
      <c r="J8426" t="s">
        <v>246</v>
      </c>
      <c r="K8426" t="s">
        <v>259</v>
      </c>
      <c r="AK8426" t="s">
        <v>366</v>
      </c>
    </row>
    <row r="8427" spans="1:37">
      <c r="A8427" t="s">
        <v>38</v>
      </c>
      <c r="B8427" t="s">
        <v>50</v>
      </c>
      <c r="C8427" t="s">
        <v>74</v>
      </c>
      <c r="D8427" t="s">
        <v>95</v>
      </c>
      <c r="E8427" t="s">
        <v>113</v>
      </c>
      <c r="F8427" t="s">
        <v>147</v>
      </c>
      <c r="G8427" t="s">
        <v>173</v>
      </c>
      <c r="H8427" t="s">
        <v>208</v>
      </c>
      <c r="I8427" t="s">
        <v>227</v>
      </c>
      <c r="J8427" t="s">
        <v>115</v>
      </c>
      <c r="K8427" t="s">
        <v>260</v>
      </c>
      <c r="L8427" t="s">
        <v>273</v>
      </c>
      <c r="M8427" t="s">
        <v>282</v>
      </c>
      <c r="N8427" t="s">
        <v>291</v>
      </c>
      <c r="AK8427" t="s">
        <v>366</v>
      </c>
    </row>
    <row r="8428" spans="1:37">
      <c r="B8428" t="s">
        <v>51</v>
      </c>
      <c r="C8428" t="s">
        <v>75</v>
      </c>
      <c r="D8428" t="s">
        <v>52</v>
      </c>
      <c r="E8428" t="s">
        <v>114</v>
      </c>
      <c r="F8428" t="s">
        <v>148</v>
      </c>
      <c r="G8428" t="s">
        <v>148</v>
      </c>
      <c r="H8428" t="s">
        <v>209</v>
      </c>
      <c r="I8428" t="s">
        <v>228</v>
      </c>
      <c r="J8428" t="s">
        <v>247</v>
      </c>
      <c r="K8428" t="s">
        <v>261</v>
      </c>
      <c r="L8428" t="s">
        <v>274</v>
      </c>
      <c r="M8428" t="s">
        <v>283</v>
      </c>
      <c r="N8428" t="s">
        <v>292</v>
      </c>
      <c r="O8428" t="s">
        <v>300</v>
      </c>
      <c r="AK8428" t="s">
        <v>366</v>
      </c>
    </row>
    <row r="8429" spans="1:37">
      <c r="B8429" t="s">
        <v>52</v>
      </c>
      <c r="C8429" t="s">
        <v>76</v>
      </c>
      <c r="D8429" t="s">
        <v>96</v>
      </c>
      <c r="E8429" t="s">
        <v>115</v>
      </c>
      <c r="F8429" t="s">
        <v>149</v>
      </c>
      <c r="G8429" t="s">
        <v>174</v>
      </c>
      <c r="H8429" t="s">
        <v>96</v>
      </c>
      <c r="I8429" t="s">
        <v>229</v>
      </c>
      <c r="J8429" t="s">
        <v>248</v>
      </c>
      <c r="K8429" t="s">
        <v>262</v>
      </c>
      <c r="L8429" t="s">
        <v>52</v>
      </c>
      <c r="M8429" t="s">
        <v>76</v>
      </c>
      <c r="N8429" t="s">
        <v>293</v>
      </c>
      <c r="O8429" t="s">
        <v>301</v>
      </c>
      <c r="P8429" t="s">
        <v>309</v>
      </c>
      <c r="Q8429" t="s">
        <v>315</v>
      </c>
      <c r="R8429" t="s">
        <v>228</v>
      </c>
      <c r="S8429" t="s">
        <v>328</v>
      </c>
      <c r="T8429" t="s">
        <v>149</v>
      </c>
      <c r="U8429" t="s">
        <v>337</v>
      </c>
      <c r="V8429" t="s">
        <v>341</v>
      </c>
      <c r="W8429" t="s">
        <v>345</v>
      </c>
      <c r="X8429" t="s">
        <v>350</v>
      </c>
      <c r="AK8429" t="s">
        <v>366</v>
      </c>
    </row>
    <row r="8430" spans="1:37">
      <c r="B8430" t="s">
        <v>53</v>
      </c>
      <c r="C8430" t="s">
        <v>77</v>
      </c>
      <c r="D8430" t="s">
        <v>97</v>
      </c>
      <c r="E8430" t="s">
        <v>116</v>
      </c>
      <c r="F8430" t="s">
        <v>150</v>
      </c>
      <c r="G8430" t="s">
        <v>175</v>
      </c>
      <c r="H8430" t="s">
        <v>210</v>
      </c>
      <c r="I8430" t="s">
        <v>230</v>
      </c>
      <c r="J8430" t="s">
        <v>249</v>
      </c>
      <c r="K8430" t="s">
        <v>263</v>
      </c>
      <c r="L8430" t="s">
        <v>275</v>
      </c>
      <c r="M8430" t="s">
        <v>284</v>
      </c>
      <c r="N8430" t="s">
        <v>294</v>
      </c>
      <c r="O8430" t="s">
        <v>302</v>
      </c>
      <c r="P8430" t="s">
        <v>310</v>
      </c>
      <c r="Q8430" t="s">
        <v>316</v>
      </c>
      <c r="R8430" t="s">
        <v>322</v>
      </c>
      <c r="S8430" t="s">
        <v>329</v>
      </c>
      <c r="AK8430" t="s">
        <v>366</v>
      </c>
    </row>
    <row r="8431" spans="1:37">
      <c r="A8431" t="s">
        <v>39</v>
      </c>
      <c r="B8431" t="s">
        <v>54</v>
      </c>
      <c r="C8431" t="s">
        <v>54</v>
      </c>
      <c r="D8431" t="s">
        <v>54</v>
      </c>
      <c r="E8431" t="s">
        <v>54</v>
      </c>
      <c r="F8431" t="s">
        <v>54</v>
      </c>
      <c r="G8431" t="s">
        <v>54</v>
      </c>
      <c r="H8431" t="s">
        <v>54</v>
      </c>
      <c r="I8431" t="s">
        <v>54</v>
      </c>
      <c r="J8431" t="s">
        <v>54</v>
      </c>
      <c r="K8431" t="s">
        <v>54</v>
      </c>
      <c r="L8431" t="s">
        <v>54</v>
      </c>
      <c r="M8431" t="s">
        <v>54</v>
      </c>
      <c r="N8431" t="s">
        <v>54</v>
      </c>
      <c r="O8431" t="s">
        <v>54</v>
      </c>
      <c r="P8431" t="s">
        <v>54</v>
      </c>
      <c r="Q8431" t="s">
        <v>54</v>
      </c>
      <c r="R8431" t="s">
        <v>323</v>
      </c>
      <c r="S8431" t="s">
        <v>330</v>
      </c>
      <c r="AK8431" t="s">
        <v>366</v>
      </c>
    </row>
    <row r="8432" spans="1:37">
      <c r="B8432" t="s">
        <v>55</v>
      </c>
      <c r="C8432" t="s">
        <v>78</v>
      </c>
      <c r="D8432" t="s">
        <v>55</v>
      </c>
      <c r="E8432" t="s">
        <v>78</v>
      </c>
      <c r="F8432" t="s">
        <v>55</v>
      </c>
      <c r="G8432" t="s">
        <v>78</v>
      </c>
      <c r="H8432" t="s">
        <v>55</v>
      </c>
      <c r="I8432" t="s">
        <v>78</v>
      </c>
      <c r="J8432" t="s">
        <v>55</v>
      </c>
      <c r="K8432" t="s">
        <v>78</v>
      </c>
      <c r="L8432" t="s">
        <v>55</v>
      </c>
      <c r="M8432" t="s">
        <v>78</v>
      </c>
      <c r="N8432" t="s">
        <v>55</v>
      </c>
      <c r="O8432" t="s">
        <v>78</v>
      </c>
      <c r="P8432" t="s">
        <v>55</v>
      </c>
      <c r="Q8432" t="s">
        <v>78</v>
      </c>
      <c r="R8432" t="s">
        <v>55</v>
      </c>
      <c r="S8432" t="s">
        <v>78</v>
      </c>
      <c r="T8432" t="s">
        <v>55</v>
      </c>
      <c r="U8432" t="s">
        <v>78</v>
      </c>
      <c r="V8432" t="s">
        <v>55</v>
      </c>
      <c r="W8432" t="s">
        <v>78</v>
      </c>
      <c r="X8432" t="s">
        <v>55</v>
      </c>
      <c r="Y8432" t="s">
        <v>78</v>
      </c>
      <c r="Z8432" t="s">
        <v>55</v>
      </c>
      <c r="AA8432" t="s">
        <v>78</v>
      </c>
      <c r="AB8432" t="s">
        <v>55</v>
      </c>
      <c r="AC8432" t="s">
        <v>78</v>
      </c>
      <c r="AD8432" t="s">
        <v>55</v>
      </c>
      <c r="AE8432" t="s">
        <v>78</v>
      </c>
      <c r="AF8432" t="s">
        <v>55</v>
      </c>
      <c r="AG8432" t="s">
        <v>78</v>
      </c>
      <c r="AH8432" t="s">
        <v>55</v>
      </c>
      <c r="AI8432" t="s">
        <v>78</v>
      </c>
      <c r="AK8432" t="s">
        <v>366</v>
      </c>
    </row>
    <row r="8433" spans="1:37">
      <c r="B8433" t="s">
        <v>56</v>
      </c>
      <c r="C8433" t="s">
        <v>56</v>
      </c>
      <c r="D8433" t="s">
        <v>56</v>
      </c>
      <c r="E8433" t="s">
        <v>56</v>
      </c>
      <c r="F8433" t="s">
        <v>56</v>
      </c>
      <c r="G8433" t="s">
        <v>176</v>
      </c>
      <c r="H8433" t="s">
        <v>211</v>
      </c>
      <c r="I8433" t="s">
        <v>231</v>
      </c>
      <c r="J8433" t="s">
        <v>250</v>
      </c>
      <c r="K8433" t="s">
        <v>264</v>
      </c>
      <c r="L8433" t="s">
        <v>276</v>
      </c>
      <c r="M8433" t="s">
        <v>285</v>
      </c>
      <c r="N8433" t="s">
        <v>295</v>
      </c>
      <c r="O8433" t="s">
        <v>303</v>
      </c>
      <c r="P8433" t="s">
        <v>56</v>
      </c>
      <c r="Q8433" t="s">
        <v>317</v>
      </c>
      <c r="R8433" t="s">
        <v>324</v>
      </c>
      <c r="S8433" t="s">
        <v>331</v>
      </c>
      <c r="T8433" t="s">
        <v>334</v>
      </c>
      <c r="U8433" t="s">
        <v>338</v>
      </c>
      <c r="V8433" t="s">
        <v>342</v>
      </c>
      <c r="W8433" t="s">
        <v>346</v>
      </c>
      <c r="X8433" t="s">
        <v>351</v>
      </c>
      <c r="AK8433" t="s">
        <v>366</v>
      </c>
    </row>
    <row r="8434" spans="1:37">
      <c r="B8434" t="s">
        <v>57</v>
      </c>
      <c r="C8434" t="s">
        <v>79</v>
      </c>
      <c r="D8434" t="s">
        <v>98</v>
      </c>
      <c r="E8434" t="s">
        <v>117</v>
      </c>
      <c r="F8434" t="s">
        <v>151</v>
      </c>
      <c r="G8434" t="s">
        <v>177</v>
      </c>
      <c r="H8434" t="s">
        <v>212</v>
      </c>
      <c r="I8434" t="s">
        <v>232</v>
      </c>
      <c r="J8434" t="s">
        <v>251</v>
      </c>
      <c r="K8434" t="s">
        <v>265</v>
      </c>
      <c r="L8434" t="s">
        <v>277</v>
      </c>
      <c r="M8434" t="s">
        <v>286</v>
      </c>
      <c r="N8434" t="s">
        <v>296</v>
      </c>
      <c r="O8434" t="s">
        <v>304</v>
      </c>
      <c r="P8434" t="s">
        <v>311</v>
      </c>
      <c r="Q8434" t="s">
        <v>318</v>
      </c>
      <c r="R8434" t="s">
        <v>185</v>
      </c>
      <c r="S8434" t="s">
        <v>159</v>
      </c>
      <c r="T8434" t="s">
        <v>185</v>
      </c>
      <c r="U8434" t="s">
        <v>339</v>
      </c>
      <c r="V8434" t="s">
        <v>72</v>
      </c>
      <c r="W8434" t="s">
        <v>347</v>
      </c>
      <c r="X8434" t="s">
        <v>72</v>
      </c>
      <c r="Y8434" t="s">
        <v>96</v>
      </c>
      <c r="AK8434" t="s">
        <v>366</v>
      </c>
    </row>
    <row r="8435" spans="1:37">
      <c r="B8435" t="s">
        <v>58</v>
      </c>
      <c r="C8435" t="s">
        <v>80</v>
      </c>
      <c r="D8435" t="s">
        <v>99</v>
      </c>
      <c r="E8435" t="s">
        <v>118</v>
      </c>
      <c r="F8435" t="s">
        <v>152</v>
      </c>
      <c r="G8435" t="s">
        <v>178</v>
      </c>
      <c r="H8435" t="s">
        <v>213</v>
      </c>
      <c r="I8435" t="s">
        <v>233</v>
      </c>
      <c r="J8435" t="s">
        <v>252</v>
      </c>
      <c r="K8435" t="s">
        <v>266</v>
      </c>
      <c r="L8435" t="s">
        <v>278</v>
      </c>
      <c r="M8435" t="s">
        <v>287</v>
      </c>
      <c r="N8435" t="s">
        <v>297</v>
      </c>
      <c r="O8435" t="s">
        <v>305</v>
      </c>
      <c r="P8435" t="s">
        <v>312</v>
      </c>
      <c r="Q8435" t="s">
        <v>319</v>
      </c>
      <c r="R8435">
        <f>&gt;10       ветра      2.1     18   7</f>
        <v>0</v>
      </c>
      <c r="AK8435" t="s">
        <v>366</v>
      </c>
    </row>
    <row r="8436" spans="1:37">
      <c r="A8436" t="s">
        <v>40</v>
      </c>
      <c r="B8436" t="s">
        <v>59</v>
      </c>
      <c r="C8436" t="s">
        <v>81</v>
      </c>
      <c r="D8436" t="s">
        <v>100</v>
      </c>
      <c r="E8436" t="s">
        <v>119</v>
      </c>
      <c r="F8436" t="s">
        <v>153</v>
      </c>
      <c r="G8436" t="s">
        <v>179</v>
      </c>
      <c r="H8436" t="s">
        <v>214</v>
      </c>
      <c r="I8436" t="s">
        <v>234</v>
      </c>
      <c r="AK8436" t="s">
        <v>366</v>
      </c>
    </row>
    <row r="8437" spans="1:37">
      <c r="A8437" t="s">
        <v>40</v>
      </c>
      <c r="B8437" t="s">
        <v>60</v>
      </c>
      <c r="C8437" t="s">
        <v>82</v>
      </c>
      <c r="D8437" t="s">
        <v>101</v>
      </c>
      <c r="E8437" t="s">
        <v>120</v>
      </c>
      <c r="F8437" t="s">
        <v>154</v>
      </c>
      <c r="G8437" t="s">
        <v>180</v>
      </c>
      <c r="H8437" t="s">
        <v>215</v>
      </c>
      <c r="I8437" t="s">
        <v>235</v>
      </c>
      <c r="J8437" t="s">
        <v>253</v>
      </c>
      <c r="K8437" t="s">
        <v>267</v>
      </c>
      <c r="L8437" t="s">
        <v>279</v>
      </c>
      <c r="M8437" t="s">
        <v>288</v>
      </c>
      <c r="N8437" t="s">
        <v>100</v>
      </c>
      <c r="O8437" t="s">
        <v>306</v>
      </c>
      <c r="P8437" t="s">
        <v>313</v>
      </c>
      <c r="Q8437" t="s">
        <v>320</v>
      </c>
      <c r="R8437" t="s">
        <v>325</v>
      </c>
      <c r="S8437" t="s">
        <v>332</v>
      </c>
      <c r="T8437" t="s">
        <v>119</v>
      </c>
      <c r="U8437" t="s">
        <v>234</v>
      </c>
      <c r="V8437" t="s">
        <v>343</v>
      </c>
      <c r="W8437" t="s">
        <v>348</v>
      </c>
      <c r="X8437" t="s">
        <v>352</v>
      </c>
      <c r="Y8437" t="s">
        <v>354</v>
      </c>
      <c r="AK8437" t="s">
        <v>366</v>
      </c>
    </row>
    <row r="8438" spans="1:37">
      <c r="A8438" t="s">
        <v>41</v>
      </c>
      <c r="B8438" t="s">
        <v>61</v>
      </c>
      <c r="C8438" t="s">
        <v>83</v>
      </c>
      <c r="D8438" t="s">
        <v>102</v>
      </c>
      <c r="E8438" t="s">
        <v>121</v>
      </c>
      <c r="F8438" t="s">
        <v>155</v>
      </c>
      <c r="G8438" t="s">
        <v>181</v>
      </c>
      <c r="H8438" t="s">
        <v>216</v>
      </c>
      <c r="I8438" t="s">
        <v>236</v>
      </c>
      <c r="AK8438" t="s">
        <v>366</v>
      </c>
    </row>
    <row r="8439" spans="1:37">
      <c r="A8439" t="s">
        <v>42</v>
      </c>
      <c r="B8439" t="s">
        <v>62</v>
      </c>
      <c r="C8439" t="s">
        <v>84</v>
      </c>
      <c r="D8439" t="s">
        <v>103</v>
      </c>
      <c r="E8439" t="s">
        <v>122</v>
      </c>
      <c r="F8439" t="s">
        <v>156</v>
      </c>
      <c r="G8439" t="s">
        <v>182</v>
      </c>
      <c r="H8439" t="s">
        <v>83</v>
      </c>
      <c r="I8439" t="s">
        <v>237</v>
      </c>
      <c r="J8439" t="s">
        <v>254</v>
      </c>
      <c r="K8439" t="s">
        <v>268</v>
      </c>
      <c r="L8439" t="s">
        <v>280</v>
      </c>
      <c r="M8439" t="s">
        <v>289</v>
      </c>
      <c r="N8439" t="s">
        <v>298</v>
      </c>
      <c r="O8439" t="s">
        <v>307</v>
      </c>
      <c r="P8439" t="s">
        <v>314</v>
      </c>
      <c r="Q8439" t="s">
        <v>216</v>
      </c>
      <c r="R8439" t="s">
        <v>326</v>
      </c>
      <c r="S8439" t="s">
        <v>333</v>
      </c>
      <c r="T8439" t="s">
        <v>335</v>
      </c>
      <c r="U8439" t="s">
        <v>340</v>
      </c>
      <c r="V8439" t="s">
        <v>344</v>
      </c>
      <c r="W8439" t="s">
        <v>349</v>
      </c>
      <c r="AK8439" t="s">
        <v>366</v>
      </c>
    </row>
    <row r="8440" spans="1:37">
      <c r="A8440" t="s">
        <v>43</v>
      </c>
      <c r="B8440" t="s">
        <v>63</v>
      </c>
      <c r="C8440" t="s">
        <v>85</v>
      </c>
      <c r="D8440" t="s">
        <v>104</v>
      </c>
      <c r="E8440" t="s">
        <v>123</v>
      </c>
      <c r="F8440" t="s">
        <v>157</v>
      </c>
      <c r="G8440" t="s">
        <v>183</v>
      </c>
      <c r="AK8440" t="s">
        <v>366</v>
      </c>
    </row>
    <row r="8441" spans="1:37">
      <c r="A8441" t="s">
        <v>44</v>
      </c>
      <c r="B8441" t="s">
        <v>64</v>
      </c>
      <c r="C8441" t="s">
        <v>86</v>
      </c>
      <c r="D8441" t="s">
        <v>105</v>
      </c>
      <c r="E8441" t="s">
        <v>124</v>
      </c>
      <c r="F8441" t="s">
        <v>158</v>
      </c>
      <c r="G8441" t="s">
        <v>184</v>
      </c>
      <c r="AK8441" t="s">
        <v>366</v>
      </c>
    </row>
    <row r="8442" spans="1:37">
      <c r="A8442" t="s">
        <v>45</v>
      </c>
      <c r="B8442" t="s">
        <v>65</v>
      </c>
      <c r="C8442" t="s">
        <v>87</v>
      </c>
      <c r="D8442" t="s">
        <v>106</v>
      </c>
      <c r="E8442" t="s">
        <v>125</v>
      </c>
      <c r="F8442" t="s">
        <v>159</v>
      </c>
      <c r="G8442" t="s">
        <v>185</v>
      </c>
      <c r="H8442" t="s">
        <v>159</v>
      </c>
      <c r="I8442" t="s">
        <v>185</v>
      </c>
      <c r="J8442" t="s">
        <v>255</v>
      </c>
      <c r="AK8442" t="s">
        <v>366</v>
      </c>
    </row>
    <row r="8443" spans="1:37">
      <c r="A8443" t="s">
        <v>46</v>
      </c>
      <c r="B8443" t="s">
        <v>66</v>
      </c>
      <c r="C8443" t="s">
        <v>88</v>
      </c>
      <c r="D8443" t="s">
        <v>76</v>
      </c>
      <c r="E8443" t="s">
        <v>126</v>
      </c>
      <c r="F8443" t="s">
        <v>160</v>
      </c>
      <c r="G8443" t="s">
        <v>186</v>
      </c>
      <c r="H8443" t="s">
        <v>217</v>
      </c>
      <c r="I8443" t="s">
        <v>238</v>
      </c>
      <c r="J8443" t="s">
        <v>256</v>
      </c>
      <c r="K8443" t="s">
        <v>265</v>
      </c>
      <c r="L8443" t="s">
        <v>281</v>
      </c>
      <c r="M8443" t="s">
        <v>290</v>
      </c>
      <c r="N8443" t="s">
        <v>299</v>
      </c>
      <c r="O8443" t="s">
        <v>308</v>
      </c>
      <c r="P8443" t="s">
        <v>228</v>
      </c>
      <c r="Q8443" t="s">
        <v>72</v>
      </c>
      <c r="R8443" t="s">
        <v>327</v>
      </c>
      <c r="S8443" t="s">
        <v>327</v>
      </c>
      <c r="T8443" t="s">
        <v>336</v>
      </c>
      <c r="U8443" t="s">
        <v>336</v>
      </c>
      <c r="V8443" t="s">
        <v>336</v>
      </c>
      <c r="W8443" t="s">
        <v>336</v>
      </c>
      <c r="X8443" t="s">
        <v>353</v>
      </c>
      <c r="AK8443" t="s">
        <v>366</v>
      </c>
    </row>
    <row r="8444" spans="1:37">
      <c r="B8444" t="s">
        <v>67</v>
      </c>
      <c r="C8444" t="s">
        <v>89</v>
      </c>
      <c r="D8444" t="s">
        <v>107</v>
      </c>
      <c r="AK8444" t="s">
        <v>366</v>
      </c>
    </row>
    <row r="8445" spans="1:37">
      <c r="B8445" t="s">
        <v>68</v>
      </c>
      <c r="C8445" t="s">
        <v>90</v>
      </c>
      <c r="D8445" t="s">
        <v>108</v>
      </c>
      <c r="AK8445" t="s">
        <v>366</v>
      </c>
    </row>
    <row r="8446" spans="1:37">
      <c r="A8446" t="s">
        <v>47</v>
      </c>
      <c r="B8446" t="s">
        <v>69</v>
      </c>
      <c r="C8446" t="s">
        <v>91</v>
      </c>
      <c r="D8446" t="s">
        <v>109</v>
      </c>
      <c r="E8446" t="s">
        <v>109</v>
      </c>
      <c r="F8446" t="s">
        <v>109</v>
      </c>
      <c r="G8446" t="s">
        <v>109</v>
      </c>
      <c r="H8446" t="s">
        <v>109</v>
      </c>
      <c r="I8446" t="s">
        <v>239</v>
      </c>
      <c r="AK8446" t="s">
        <v>366</v>
      </c>
    </row>
    <row r="8447" spans="1:37">
      <c r="B8447" t="s">
        <v>70</v>
      </c>
      <c r="C8447" t="s">
        <v>92</v>
      </c>
      <c r="D8447" t="s">
        <v>110</v>
      </c>
      <c r="E8447" t="s">
        <v>127</v>
      </c>
      <c r="F8447" t="s">
        <v>161</v>
      </c>
      <c r="G8447" t="s">
        <v>187</v>
      </c>
      <c r="H8447" t="s">
        <v>218</v>
      </c>
      <c r="AK8447" t="s">
        <v>366</v>
      </c>
    </row>
    <row r="8448" spans="1:37">
      <c r="B8448" t="s">
        <v>71</v>
      </c>
      <c r="C8448" t="s">
        <v>93</v>
      </c>
      <c r="D8448" t="s">
        <v>111</v>
      </c>
      <c r="E8448" t="s">
        <v>128</v>
      </c>
      <c r="F8448" t="s">
        <v>162</v>
      </c>
      <c r="G8448" t="s">
        <v>188</v>
      </c>
      <c r="H8448" t="s">
        <v>219</v>
      </c>
      <c r="I8448" t="s">
        <v>240</v>
      </c>
      <c r="J8448" t="s">
        <v>257</v>
      </c>
      <c r="K8448" t="s">
        <v>269</v>
      </c>
      <c r="L8448" t="s">
        <v>109</v>
      </c>
      <c r="M8448" t="s">
        <v>109</v>
      </c>
      <c r="N8448" t="s">
        <v>109</v>
      </c>
      <c r="O8448" t="s">
        <v>109</v>
      </c>
      <c r="P8448" t="s">
        <v>109</v>
      </c>
      <c r="Q8448" t="s">
        <v>321</v>
      </c>
      <c r="AK8448" t="s">
        <v>366</v>
      </c>
    </row>
    <row r="8449" spans="1:37">
      <c r="A8449" t="s">
        <v>48</v>
      </c>
      <c r="B8449" t="s">
        <v>71</v>
      </c>
      <c r="C8449" t="s">
        <v>93</v>
      </c>
      <c r="D8449" t="s">
        <v>111</v>
      </c>
      <c r="E8449" t="s">
        <v>128</v>
      </c>
      <c r="F8449" t="s">
        <v>163</v>
      </c>
      <c r="G8449" t="s">
        <v>189</v>
      </c>
      <c r="H8449" t="s">
        <v>220</v>
      </c>
      <c r="I8449" t="s">
        <v>241</v>
      </c>
      <c r="J8449" t="s">
        <v>258</v>
      </c>
      <c r="K8449" t="s">
        <v>270</v>
      </c>
      <c r="AK8449" t="s">
        <v>366</v>
      </c>
    </row>
    <row r="8450" spans="1:37">
      <c r="B8450" t="s">
        <v>72</v>
      </c>
      <c r="C8450" t="s">
        <v>72</v>
      </c>
      <c r="D8450" t="s">
        <v>72</v>
      </c>
      <c r="E8450" t="s">
        <v>139</v>
      </c>
      <c r="F8450" t="s">
        <v>139</v>
      </c>
      <c r="G8450" t="s">
        <v>192</v>
      </c>
      <c r="H8450" t="s">
        <v>192</v>
      </c>
      <c r="I8450" t="s">
        <v>192</v>
      </c>
      <c r="J8450" t="s">
        <v>192</v>
      </c>
      <c r="K8450" t="s">
        <v>271</v>
      </c>
      <c r="AK8450" t="s">
        <v>366</v>
      </c>
    </row>
    <row r="8451" spans="1:37">
      <c r="A8451" t="s">
        <v>37</v>
      </c>
      <c r="B8451" t="s">
        <v>49</v>
      </c>
      <c r="C8451" t="s">
        <v>73</v>
      </c>
      <c r="D8451" t="s">
        <v>94</v>
      </c>
      <c r="E8451" t="s">
        <v>112</v>
      </c>
      <c r="F8451" t="s">
        <v>146</v>
      </c>
      <c r="G8451" t="s">
        <v>172</v>
      </c>
      <c r="H8451" t="s">
        <v>207</v>
      </c>
      <c r="I8451" t="s">
        <v>226</v>
      </c>
      <c r="J8451" t="s">
        <v>246</v>
      </c>
      <c r="K8451" t="s">
        <v>259</v>
      </c>
      <c r="AK8451" t="s">
        <v>366</v>
      </c>
    </row>
    <row r="8452" spans="1:37">
      <c r="A8452" t="s">
        <v>38</v>
      </c>
      <c r="B8452" t="s">
        <v>50</v>
      </c>
      <c r="C8452" t="s">
        <v>74</v>
      </c>
      <c r="D8452" t="s">
        <v>95</v>
      </c>
      <c r="E8452" t="s">
        <v>113</v>
      </c>
      <c r="F8452" t="s">
        <v>147</v>
      </c>
      <c r="G8452" t="s">
        <v>173</v>
      </c>
      <c r="H8452" t="s">
        <v>208</v>
      </c>
      <c r="I8452" t="s">
        <v>227</v>
      </c>
      <c r="J8452" t="s">
        <v>115</v>
      </c>
      <c r="K8452" t="s">
        <v>260</v>
      </c>
      <c r="L8452" t="s">
        <v>273</v>
      </c>
      <c r="M8452" t="s">
        <v>282</v>
      </c>
      <c r="N8452" t="s">
        <v>291</v>
      </c>
      <c r="AK8452" t="s">
        <v>366</v>
      </c>
    </row>
    <row r="8453" spans="1:37">
      <c r="B8453" t="s">
        <v>51</v>
      </c>
      <c r="C8453" t="s">
        <v>75</v>
      </c>
      <c r="D8453" t="s">
        <v>52</v>
      </c>
      <c r="E8453" t="s">
        <v>114</v>
      </c>
      <c r="F8453" t="s">
        <v>148</v>
      </c>
      <c r="G8453" t="s">
        <v>148</v>
      </c>
      <c r="H8453" t="s">
        <v>209</v>
      </c>
      <c r="I8453" t="s">
        <v>228</v>
      </c>
      <c r="J8453" t="s">
        <v>247</v>
      </c>
      <c r="K8453" t="s">
        <v>261</v>
      </c>
      <c r="L8453" t="s">
        <v>274</v>
      </c>
      <c r="M8453" t="s">
        <v>283</v>
      </c>
      <c r="N8453" t="s">
        <v>292</v>
      </c>
      <c r="O8453" t="s">
        <v>300</v>
      </c>
      <c r="AK8453" t="s">
        <v>366</v>
      </c>
    </row>
    <row r="8454" spans="1:37">
      <c r="B8454" t="s">
        <v>52</v>
      </c>
      <c r="C8454" t="s">
        <v>76</v>
      </c>
      <c r="D8454" t="s">
        <v>96</v>
      </c>
      <c r="E8454" t="s">
        <v>115</v>
      </c>
      <c r="F8454" t="s">
        <v>149</v>
      </c>
      <c r="G8454" t="s">
        <v>174</v>
      </c>
      <c r="H8454" t="s">
        <v>96</v>
      </c>
      <c r="I8454" t="s">
        <v>229</v>
      </c>
      <c r="J8454" t="s">
        <v>248</v>
      </c>
      <c r="K8454" t="s">
        <v>262</v>
      </c>
      <c r="L8454" t="s">
        <v>52</v>
      </c>
      <c r="M8454" t="s">
        <v>76</v>
      </c>
      <c r="N8454" t="s">
        <v>293</v>
      </c>
      <c r="O8454" t="s">
        <v>301</v>
      </c>
      <c r="P8454" t="s">
        <v>309</v>
      </c>
      <c r="Q8454" t="s">
        <v>315</v>
      </c>
      <c r="R8454" t="s">
        <v>228</v>
      </c>
      <c r="S8454" t="s">
        <v>328</v>
      </c>
      <c r="T8454" t="s">
        <v>149</v>
      </c>
      <c r="U8454" t="s">
        <v>337</v>
      </c>
      <c r="V8454" t="s">
        <v>341</v>
      </c>
      <c r="W8454" t="s">
        <v>345</v>
      </c>
      <c r="X8454" t="s">
        <v>350</v>
      </c>
      <c r="AK8454" t="s">
        <v>366</v>
      </c>
    </row>
    <row r="8455" spans="1:37">
      <c r="B8455" t="s">
        <v>53</v>
      </c>
      <c r="C8455" t="s">
        <v>77</v>
      </c>
      <c r="D8455" t="s">
        <v>97</v>
      </c>
      <c r="E8455" t="s">
        <v>116</v>
      </c>
      <c r="F8455" t="s">
        <v>150</v>
      </c>
      <c r="G8455" t="s">
        <v>175</v>
      </c>
      <c r="H8455" t="s">
        <v>210</v>
      </c>
      <c r="I8455" t="s">
        <v>230</v>
      </c>
      <c r="J8455" t="s">
        <v>249</v>
      </c>
      <c r="K8455" t="s">
        <v>263</v>
      </c>
      <c r="L8455" t="s">
        <v>275</v>
      </c>
      <c r="M8455" t="s">
        <v>284</v>
      </c>
      <c r="N8455" t="s">
        <v>294</v>
      </c>
      <c r="O8455" t="s">
        <v>302</v>
      </c>
      <c r="P8455" t="s">
        <v>310</v>
      </c>
      <c r="Q8455" t="s">
        <v>316</v>
      </c>
      <c r="R8455" t="s">
        <v>322</v>
      </c>
      <c r="S8455" t="s">
        <v>329</v>
      </c>
      <c r="AK8455" t="s">
        <v>366</v>
      </c>
    </row>
    <row r="8456" spans="1:37">
      <c r="A8456" t="s">
        <v>39</v>
      </c>
      <c r="B8456" t="s">
        <v>54</v>
      </c>
      <c r="C8456" t="s">
        <v>54</v>
      </c>
      <c r="D8456" t="s">
        <v>54</v>
      </c>
      <c r="E8456" t="s">
        <v>54</v>
      </c>
      <c r="F8456" t="s">
        <v>54</v>
      </c>
      <c r="G8456" t="s">
        <v>54</v>
      </c>
      <c r="H8456" t="s">
        <v>54</v>
      </c>
      <c r="I8456" t="s">
        <v>54</v>
      </c>
      <c r="J8456" t="s">
        <v>54</v>
      </c>
      <c r="K8456" t="s">
        <v>54</v>
      </c>
      <c r="L8456" t="s">
        <v>54</v>
      </c>
      <c r="M8456" t="s">
        <v>54</v>
      </c>
      <c r="N8456" t="s">
        <v>54</v>
      </c>
      <c r="O8456" t="s">
        <v>54</v>
      </c>
      <c r="P8456" t="s">
        <v>54</v>
      </c>
      <c r="Q8456" t="s">
        <v>54</v>
      </c>
      <c r="R8456" t="s">
        <v>323</v>
      </c>
      <c r="S8456" t="s">
        <v>330</v>
      </c>
      <c r="AK8456" t="s">
        <v>366</v>
      </c>
    </row>
    <row r="8457" spans="1:37">
      <c r="B8457" t="s">
        <v>55</v>
      </c>
      <c r="C8457" t="s">
        <v>78</v>
      </c>
      <c r="D8457" t="s">
        <v>55</v>
      </c>
      <c r="E8457" t="s">
        <v>78</v>
      </c>
      <c r="F8457" t="s">
        <v>55</v>
      </c>
      <c r="G8457" t="s">
        <v>78</v>
      </c>
      <c r="H8457" t="s">
        <v>55</v>
      </c>
      <c r="I8457" t="s">
        <v>78</v>
      </c>
      <c r="J8457" t="s">
        <v>55</v>
      </c>
      <c r="K8457" t="s">
        <v>78</v>
      </c>
      <c r="L8457" t="s">
        <v>55</v>
      </c>
      <c r="M8457" t="s">
        <v>78</v>
      </c>
      <c r="N8457" t="s">
        <v>55</v>
      </c>
      <c r="O8457" t="s">
        <v>78</v>
      </c>
      <c r="P8457" t="s">
        <v>55</v>
      </c>
      <c r="Q8457" t="s">
        <v>78</v>
      </c>
      <c r="R8457" t="s">
        <v>55</v>
      </c>
      <c r="S8457" t="s">
        <v>78</v>
      </c>
      <c r="T8457" t="s">
        <v>55</v>
      </c>
      <c r="U8457" t="s">
        <v>78</v>
      </c>
      <c r="V8457" t="s">
        <v>55</v>
      </c>
      <c r="W8457" t="s">
        <v>78</v>
      </c>
      <c r="X8457" t="s">
        <v>55</v>
      </c>
      <c r="Y8457" t="s">
        <v>78</v>
      </c>
      <c r="Z8457" t="s">
        <v>55</v>
      </c>
      <c r="AA8457" t="s">
        <v>78</v>
      </c>
      <c r="AB8457" t="s">
        <v>55</v>
      </c>
      <c r="AC8457" t="s">
        <v>78</v>
      </c>
      <c r="AD8457" t="s">
        <v>55</v>
      </c>
      <c r="AE8457" t="s">
        <v>78</v>
      </c>
      <c r="AF8457" t="s">
        <v>55</v>
      </c>
      <c r="AG8457" t="s">
        <v>78</v>
      </c>
      <c r="AH8457" t="s">
        <v>55</v>
      </c>
      <c r="AI8457" t="s">
        <v>78</v>
      </c>
      <c r="AK8457" t="s">
        <v>366</v>
      </c>
    </row>
    <row r="8458" spans="1:37">
      <c r="B8458" t="s">
        <v>56</v>
      </c>
      <c r="C8458" t="s">
        <v>56</v>
      </c>
      <c r="D8458" t="s">
        <v>56</v>
      </c>
      <c r="E8458" t="s">
        <v>56</v>
      </c>
      <c r="F8458" t="s">
        <v>56</v>
      </c>
      <c r="G8458" t="s">
        <v>176</v>
      </c>
      <c r="H8458" t="s">
        <v>211</v>
      </c>
      <c r="I8458" t="s">
        <v>231</v>
      </c>
      <c r="J8458" t="s">
        <v>250</v>
      </c>
      <c r="K8458" t="s">
        <v>264</v>
      </c>
      <c r="L8458" t="s">
        <v>276</v>
      </c>
      <c r="M8458" t="s">
        <v>285</v>
      </c>
      <c r="N8458" t="s">
        <v>295</v>
      </c>
      <c r="O8458" t="s">
        <v>303</v>
      </c>
      <c r="P8458" t="s">
        <v>56</v>
      </c>
      <c r="Q8458" t="s">
        <v>317</v>
      </c>
      <c r="R8458" t="s">
        <v>324</v>
      </c>
      <c r="S8458" t="s">
        <v>331</v>
      </c>
      <c r="T8458" t="s">
        <v>334</v>
      </c>
      <c r="U8458" t="s">
        <v>338</v>
      </c>
      <c r="V8458" t="s">
        <v>342</v>
      </c>
      <c r="W8458" t="s">
        <v>346</v>
      </c>
      <c r="X8458" t="s">
        <v>351</v>
      </c>
      <c r="AK8458" t="s">
        <v>366</v>
      </c>
    </row>
    <row r="8459" spans="1:37">
      <c r="B8459" t="s">
        <v>57</v>
      </c>
      <c r="C8459" t="s">
        <v>79</v>
      </c>
      <c r="D8459" t="s">
        <v>98</v>
      </c>
      <c r="E8459" t="s">
        <v>117</v>
      </c>
      <c r="F8459" t="s">
        <v>151</v>
      </c>
      <c r="G8459" t="s">
        <v>177</v>
      </c>
      <c r="H8459" t="s">
        <v>212</v>
      </c>
      <c r="I8459" t="s">
        <v>232</v>
      </c>
      <c r="J8459" t="s">
        <v>251</v>
      </c>
      <c r="K8459" t="s">
        <v>265</v>
      </c>
      <c r="L8459" t="s">
        <v>277</v>
      </c>
      <c r="M8459" t="s">
        <v>286</v>
      </c>
      <c r="N8459" t="s">
        <v>296</v>
      </c>
      <c r="O8459" t="s">
        <v>304</v>
      </c>
      <c r="P8459" t="s">
        <v>311</v>
      </c>
      <c r="Q8459" t="s">
        <v>318</v>
      </c>
      <c r="R8459" t="s">
        <v>185</v>
      </c>
      <c r="S8459" t="s">
        <v>159</v>
      </c>
      <c r="T8459" t="s">
        <v>185</v>
      </c>
      <c r="U8459" t="s">
        <v>339</v>
      </c>
      <c r="V8459" t="s">
        <v>72</v>
      </c>
      <c r="W8459" t="s">
        <v>347</v>
      </c>
      <c r="X8459" t="s">
        <v>72</v>
      </c>
      <c r="Y8459" t="s">
        <v>96</v>
      </c>
      <c r="AK8459" t="s">
        <v>366</v>
      </c>
    </row>
    <row r="8460" spans="1:37">
      <c r="B8460" t="s">
        <v>58</v>
      </c>
      <c r="C8460" t="s">
        <v>80</v>
      </c>
      <c r="D8460" t="s">
        <v>99</v>
      </c>
      <c r="E8460" t="s">
        <v>118</v>
      </c>
      <c r="F8460" t="s">
        <v>152</v>
      </c>
      <c r="G8460" t="s">
        <v>178</v>
      </c>
      <c r="H8460" t="s">
        <v>213</v>
      </c>
      <c r="I8460" t="s">
        <v>233</v>
      </c>
      <c r="J8460" t="s">
        <v>252</v>
      </c>
      <c r="K8460" t="s">
        <v>266</v>
      </c>
      <c r="L8460" t="s">
        <v>278</v>
      </c>
      <c r="M8460" t="s">
        <v>287</v>
      </c>
      <c r="N8460" t="s">
        <v>297</v>
      </c>
      <c r="O8460" t="s">
        <v>305</v>
      </c>
      <c r="P8460" t="s">
        <v>312</v>
      </c>
      <c r="Q8460" t="s">
        <v>319</v>
      </c>
      <c r="R8460">
        <f>&gt;10       ветра      2.6     16  15</f>
        <v>0</v>
      </c>
      <c r="AK8460" t="s">
        <v>366</v>
      </c>
    </row>
    <row r="8461" spans="1:37">
      <c r="A8461" t="s">
        <v>40</v>
      </c>
      <c r="B8461" t="s">
        <v>59</v>
      </c>
      <c r="C8461" t="s">
        <v>81</v>
      </c>
      <c r="D8461" t="s">
        <v>100</v>
      </c>
      <c r="E8461" t="s">
        <v>119</v>
      </c>
      <c r="F8461" t="s">
        <v>153</v>
      </c>
      <c r="G8461" t="s">
        <v>179</v>
      </c>
      <c r="H8461" t="s">
        <v>214</v>
      </c>
      <c r="I8461" t="s">
        <v>234</v>
      </c>
      <c r="AK8461" t="s">
        <v>366</v>
      </c>
    </row>
    <row r="8462" spans="1:37">
      <c r="A8462" t="s">
        <v>40</v>
      </c>
      <c r="B8462" t="s">
        <v>60</v>
      </c>
      <c r="C8462" t="s">
        <v>82</v>
      </c>
      <c r="D8462" t="s">
        <v>101</v>
      </c>
      <c r="E8462" t="s">
        <v>120</v>
      </c>
      <c r="F8462" t="s">
        <v>154</v>
      </c>
      <c r="G8462" t="s">
        <v>180</v>
      </c>
      <c r="H8462" t="s">
        <v>215</v>
      </c>
      <c r="I8462" t="s">
        <v>235</v>
      </c>
      <c r="J8462" t="s">
        <v>253</v>
      </c>
      <c r="K8462" t="s">
        <v>267</v>
      </c>
      <c r="L8462" t="s">
        <v>279</v>
      </c>
      <c r="M8462" t="s">
        <v>288</v>
      </c>
      <c r="N8462" t="s">
        <v>100</v>
      </c>
      <c r="O8462" t="s">
        <v>306</v>
      </c>
      <c r="P8462" t="s">
        <v>313</v>
      </c>
      <c r="Q8462" t="s">
        <v>320</v>
      </c>
      <c r="R8462" t="s">
        <v>325</v>
      </c>
      <c r="S8462" t="s">
        <v>332</v>
      </c>
      <c r="T8462" t="s">
        <v>119</v>
      </c>
      <c r="U8462" t="s">
        <v>234</v>
      </c>
      <c r="V8462" t="s">
        <v>343</v>
      </c>
      <c r="W8462" t="s">
        <v>348</v>
      </c>
      <c r="X8462" t="s">
        <v>352</v>
      </c>
      <c r="Y8462" t="s">
        <v>354</v>
      </c>
      <c r="AK8462" t="s">
        <v>366</v>
      </c>
    </row>
    <row r="8463" spans="1:37">
      <c r="A8463" t="s">
        <v>41</v>
      </c>
      <c r="B8463" t="s">
        <v>61</v>
      </c>
      <c r="C8463" t="s">
        <v>83</v>
      </c>
      <c r="D8463" t="s">
        <v>102</v>
      </c>
      <c r="E8463" t="s">
        <v>121</v>
      </c>
      <c r="F8463" t="s">
        <v>155</v>
      </c>
      <c r="G8463" t="s">
        <v>181</v>
      </c>
      <c r="H8463" t="s">
        <v>216</v>
      </c>
      <c r="I8463" t="s">
        <v>236</v>
      </c>
      <c r="AK8463" t="s">
        <v>366</v>
      </c>
    </row>
    <row r="8464" spans="1:37">
      <c r="A8464" t="s">
        <v>42</v>
      </c>
      <c r="B8464" t="s">
        <v>62</v>
      </c>
      <c r="C8464" t="s">
        <v>84</v>
      </c>
      <c r="D8464" t="s">
        <v>103</v>
      </c>
      <c r="E8464" t="s">
        <v>122</v>
      </c>
      <c r="F8464" t="s">
        <v>156</v>
      </c>
      <c r="G8464" t="s">
        <v>182</v>
      </c>
      <c r="H8464" t="s">
        <v>83</v>
      </c>
      <c r="I8464" t="s">
        <v>237</v>
      </c>
      <c r="J8464" t="s">
        <v>254</v>
      </c>
      <c r="K8464" t="s">
        <v>268</v>
      </c>
      <c r="L8464" t="s">
        <v>280</v>
      </c>
      <c r="M8464" t="s">
        <v>289</v>
      </c>
      <c r="N8464" t="s">
        <v>298</v>
      </c>
      <c r="O8464" t="s">
        <v>307</v>
      </c>
      <c r="P8464" t="s">
        <v>314</v>
      </c>
      <c r="Q8464" t="s">
        <v>216</v>
      </c>
      <c r="R8464" t="s">
        <v>326</v>
      </c>
      <c r="S8464" t="s">
        <v>333</v>
      </c>
      <c r="T8464" t="s">
        <v>335</v>
      </c>
      <c r="U8464" t="s">
        <v>340</v>
      </c>
      <c r="V8464" t="s">
        <v>344</v>
      </c>
      <c r="W8464" t="s">
        <v>349</v>
      </c>
      <c r="AK8464" t="s">
        <v>366</v>
      </c>
    </row>
    <row r="8465" spans="1:37">
      <c r="A8465" t="s">
        <v>43</v>
      </c>
      <c r="B8465" t="s">
        <v>63</v>
      </c>
      <c r="C8465" t="s">
        <v>85</v>
      </c>
      <c r="D8465" t="s">
        <v>104</v>
      </c>
      <c r="E8465" t="s">
        <v>123</v>
      </c>
      <c r="F8465" t="s">
        <v>157</v>
      </c>
      <c r="G8465" t="s">
        <v>183</v>
      </c>
      <c r="AK8465" t="s">
        <v>366</v>
      </c>
    </row>
    <row r="8466" spans="1:37">
      <c r="A8466" t="s">
        <v>44</v>
      </c>
      <c r="B8466" t="s">
        <v>64</v>
      </c>
      <c r="C8466" t="s">
        <v>86</v>
      </c>
      <c r="D8466" t="s">
        <v>105</v>
      </c>
      <c r="E8466" t="s">
        <v>124</v>
      </c>
      <c r="F8466" t="s">
        <v>158</v>
      </c>
      <c r="G8466" t="s">
        <v>184</v>
      </c>
      <c r="AK8466" t="s">
        <v>366</v>
      </c>
    </row>
    <row r="8467" spans="1:37">
      <c r="A8467" t="s">
        <v>45</v>
      </c>
      <c r="B8467" t="s">
        <v>65</v>
      </c>
      <c r="C8467" t="s">
        <v>87</v>
      </c>
      <c r="D8467" t="s">
        <v>106</v>
      </c>
      <c r="E8467" t="s">
        <v>125</v>
      </c>
      <c r="F8467" t="s">
        <v>159</v>
      </c>
      <c r="G8467" t="s">
        <v>185</v>
      </c>
      <c r="H8467" t="s">
        <v>159</v>
      </c>
      <c r="I8467" t="s">
        <v>185</v>
      </c>
      <c r="J8467" t="s">
        <v>255</v>
      </c>
      <c r="AK8467" t="s">
        <v>366</v>
      </c>
    </row>
    <row r="8468" spans="1:37">
      <c r="A8468" t="s">
        <v>46</v>
      </c>
      <c r="B8468" t="s">
        <v>66</v>
      </c>
      <c r="C8468" t="s">
        <v>88</v>
      </c>
      <c r="D8468" t="s">
        <v>76</v>
      </c>
      <c r="E8468" t="s">
        <v>126</v>
      </c>
      <c r="F8468" t="s">
        <v>160</v>
      </c>
      <c r="G8468" t="s">
        <v>186</v>
      </c>
      <c r="H8468" t="s">
        <v>217</v>
      </c>
      <c r="I8468" t="s">
        <v>238</v>
      </c>
      <c r="J8468" t="s">
        <v>256</v>
      </c>
      <c r="K8468" t="s">
        <v>265</v>
      </c>
      <c r="L8468" t="s">
        <v>281</v>
      </c>
      <c r="M8468" t="s">
        <v>290</v>
      </c>
      <c r="N8468" t="s">
        <v>299</v>
      </c>
      <c r="O8468" t="s">
        <v>308</v>
      </c>
      <c r="P8468" t="s">
        <v>228</v>
      </c>
      <c r="Q8468" t="s">
        <v>72</v>
      </c>
      <c r="R8468" t="s">
        <v>327</v>
      </c>
      <c r="S8468" t="s">
        <v>327</v>
      </c>
      <c r="T8468" t="s">
        <v>336</v>
      </c>
      <c r="U8468" t="s">
        <v>336</v>
      </c>
      <c r="V8468" t="s">
        <v>336</v>
      </c>
      <c r="W8468" t="s">
        <v>336</v>
      </c>
      <c r="X8468" t="s">
        <v>353</v>
      </c>
      <c r="AK8468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2024-12-12T06:04:39Z</dcterms:created>
  <dcterms:modified xsi:type="dcterms:W3CDTF">2024-12-12T06:04:39Z</dcterms:modified>
</cp:coreProperties>
</file>